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style1.xml" ContentType="application/vnd.ms-office.chartstyle+xml"/>
  <Override PartName="/xl/charts/colors1.xml" ContentType="application/vnd.ms-office.chartcolorstyle+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030" codeName="{7A2D7E96-6E34-419A-AE5F-296B3A7E7977}"/>
  <workbookPr showInkAnnotation="0" codeName="ThisWorkbook" hidePivotFieldList="1" autoCompressPictures="0"/>
  <bookViews>
    <workbookView xWindow="0" yWindow="-460" windowWidth="28800" windowHeight="18000" tabRatio="500" firstSheet="3" activeTab="5"/>
  </bookViews>
  <sheets>
    <sheet name="Congress Composition" sheetId="1" r:id="rId1"/>
    <sheet name="US President Parties" sheetId="3" r:id="rId2"/>
    <sheet name="Bills by Final Status" sheetId="2" r:id="rId3"/>
    <sheet name="Treaties" sheetId="4" r:id="rId4"/>
    <sheet name="Action to Status" sheetId="5" r:id="rId5"/>
    <sheet name="Chart" sheetId="6" r:id="rId6"/>
  </sheets>
  <definedNames>
    <definedName name="_xlnm._FilterDatabase" localSheetId="5" hidden="1">Chart!$A$34:$I$56</definedName>
  </definedNames>
  <calcPr calcId="140001" concurrentCalc="0"/>
  <pivotCaches>
    <pivotCache cacheId="13" r:id="rId7"/>
    <pivotCache cacheId="14"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H36" i="6" l="1"/>
  <c r="H35" i="6"/>
  <c r="E35" i="6"/>
  <c r="G36" i="6" a="1"/>
  <c r="G36" i="6"/>
  <c r="E36" i="6"/>
  <c r="E37" i="6"/>
  <c r="E38" i="6"/>
  <c r="E39" i="6"/>
  <c r="E40" i="6"/>
  <c r="E41" i="6"/>
  <c r="E42" i="6"/>
  <c r="E43" i="6"/>
  <c r="E44" i="6"/>
  <c r="E45" i="6"/>
  <c r="E46" i="6"/>
  <c r="E47" i="6"/>
  <c r="E48" i="6"/>
  <c r="E49" i="6"/>
  <c r="E50" i="6"/>
  <c r="E51" i="6"/>
  <c r="E52" i="6"/>
  <c r="E53" i="6"/>
  <c r="E54" i="6"/>
  <c r="E55" i="6"/>
  <c r="E56" i="6"/>
  <c r="G35" i="6" a="1"/>
  <c r="G35" i="6"/>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M64" i="1"/>
  <c r="O64" i="1"/>
  <c r="N64" i="1"/>
  <c r="P64" i="1"/>
  <c r="L646" i="4"/>
  <c r="I647" i="4"/>
  <c r="I648" i="4"/>
  <c r="I649" i="4"/>
  <c r="I650" i="4"/>
  <c r="L650" i="4"/>
  <c r="I651" i="4"/>
  <c r="I652" i="4"/>
  <c r="I653" i="4"/>
  <c r="I654" i="4"/>
  <c r="L654" i="4"/>
  <c r="I655" i="4"/>
  <c r="I656" i="4"/>
  <c r="I657" i="4"/>
  <c r="I658" i="4"/>
  <c r="L658" i="4"/>
  <c r="I659" i="4"/>
  <c r="I660" i="4"/>
  <c r="I661" i="4"/>
  <c r="I662" i="4"/>
  <c r="L662" i="4"/>
  <c r="I663" i="4"/>
  <c r="I664" i="4"/>
  <c r="I665" i="4"/>
  <c r="I666" i="4"/>
  <c r="L666" i="4"/>
  <c r="I667" i="4"/>
  <c r="I668" i="4"/>
  <c r="I669" i="4"/>
  <c r="I670" i="4"/>
  <c r="L670" i="4"/>
  <c r="I671" i="4"/>
  <c r="I672" i="4"/>
  <c r="I673" i="4"/>
  <c r="I674" i="4"/>
  <c r="L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M62" i="1"/>
  <c r="O62" i="1"/>
  <c r="N62" i="1"/>
  <c r="P62" i="1"/>
  <c r="L714" i="4"/>
  <c r="I715" i="4"/>
  <c r="I716" i="4"/>
  <c r="I717" i="4"/>
  <c r="I718" i="4"/>
  <c r="L718" i="4"/>
  <c r="I719" i="4"/>
  <c r="I720" i="4"/>
  <c r="I721" i="4"/>
  <c r="I722" i="4"/>
  <c r="L722" i="4"/>
  <c r="I723" i="4"/>
  <c r="I724" i="4"/>
  <c r="I725" i="4"/>
  <c r="I726" i="4"/>
  <c r="L726" i="4"/>
  <c r="I727" i="4"/>
  <c r="I728" i="4"/>
  <c r="I729" i="4"/>
  <c r="I730" i="4"/>
  <c r="L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M5" i="1"/>
  <c r="N5" i="1"/>
  <c r="M6" i="1"/>
  <c r="N6" i="1"/>
  <c r="M7" i="1"/>
  <c r="N7" i="1"/>
  <c r="M8" i="1"/>
  <c r="N8" i="1"/>
  <c r="M9" i="1"/>
  <c r="N9" i="1"/>
  <c r="M10" i="1"/>
  <c r="N10" i="1"/>
  <c r="M11" i="1"/>
  <c r="N11" i="1"/>
  <c r="M12" i="1"/>
  <c r="N12" i="1"/>
  <c r="M13" i="1"/>
  <c r="O13" i="1"/>
  <c r="N13" i="1"/>
  <c r="P13" i="1"/>
  <c r="M14" i="1"/>
  <c r="N14" i="1"/>
  <c r="M15" i="1"/>
  <c r="N15" i="1"/>
  <c r="M16" i="1"/>
  <c r="N16" i="1"/>
  <c r="M17" i="1"/>
  <c r="N17" i="1"/>
  <c r="M18" i="1"/>
  <c r="N18" i="1"/>
  <c r="M19" i="1"/>
  <c r="N19" i="1"/>
  <c r="M20" i="1"/>
  <c r="O20" i="1"/>
  <c r="N20" i="1"/>
  <c r="P20" i="1"/>
  <c r="M21" i="1"/>
  <c r="O21" i="1"/>
  <c r="N21" i="1"/>
  <c r="P21" i="1"/>
  <c r="M22" i="1"/>
  <c r="N22" i="1"/>
  <c r="M23" i="1"/>
  <c r="N23" i="1"/>
  <c r="M24" i="1"/>
  <c r="N24" i="1"/>
  <c r="M25" i="1"/>
  <c r="N25" i="1"/>
  <c r="M26" i="1"/>
  <c r="N26" i="1"/>
  <c r="M27" i="1"/>
  <c r="N27" i="1"/>
  <c r="M28" i="1"/>
  <c r="N28" i="1"/>
  <c r="P28" i="1"/>
  <c r="M29" i="1"/>
  <c r="O29" i="1"/>
  <c r="N29" i="1"/>
  <c r="P29" i="1"/>
  <c r="M30" i="1"/>
  <c r="N30" i="1"/>
  <c r="O30" i="1"/>
  <c r="P30" i="1"/>
  <c r="M31" i="1"/>
  <c r="N31" i="1"/>
  <c r="M32" i="1"/>
  <c r="N32" i="1"/>
  <c r="M33" i="1"/>
  <c r="N33" i="1"/>
  <c r="M34" i="1"/>
  <c r="N34" i="1"/>
  <c r="M35" i="1"/>
  <c r="N35" i="1"/>
  <c r="M36" i="1"/>
  <c r="O36" i="1"/>
  <c r="N36" i="1"/>
  <c r="P36" i="1"/>
  <c r="M37" i="1"/>
  <c r="N37" i="1"/>
  <c r="M38" i="1"/>
  <c r="N38" i="1"/>
  <c r="O38" i="1"/>
  <c r="P38" i="1"/>
  <c r="M39" i="1"/>
  <c r="N39" i="1"/>
  <c r="M40" i="1"/>
  <c r="N40" i="1"/>
  <c r="M41" i="1"/>
  <c r="O41" i="1"/>
  <c r="N41" i="1"/>
  <c r="P41" i="1"/>
  <c r="M42" i="1"/>
  <c r="N42" i="1"/>
  <c r="O42" i="1"/>
  <c r="P42" i="1"/>
  <c r="M43" i="1"/>
  <c r="N43" i="1"/>
  <c r="M44" i="1"/>
  <c r="O44" i="1"/>
  <c r="N44" i="1"/>
  <c r="P44" i="1"/>
  <c r="M45" i="1"/>
  <c r="O45" i="1"/>
  <c r="N45" i="1"/>
  <c r="P45" i="1"/>
  <c r="M46" i="1"/>
  <c r="N46" i="1"/>
  <c r="M47" i="1"/>
  <c r="N47" i="1"/>
  <c r="M48" i="1"/>
  <c r="N48" i="1"/>
  <c r="M49" i="1"/>
  <c r="O49" i="1"/>
  <c r="N49" i="1"/>
  <c r="P49" i="1"/>
  <c r="M50" i="1"/>
  <c r="N50" i="1"/>
  <c r="M51" i="1"/>
  <c r="N51" i="1"/>
  <c r="M52" i="1"/>
  <c r="O52" i="1"/>
  <c r="N52" i="1"/>
  <c r="P52" i="1"/>
  <c r="M53" i="1"/>
  <c r="N53" i="1"/>
  <c r="M54" i="1"/>
  <c r="N54" i="1"/>
  <c r="O54" i="1"/>
  <c r="P54" i="1"/>
  <c r="M55" i="1"/>
  <c r="N55" i="1"/>
  <c r="M56" i="1"/>
  <c r="O56" i="1"/>
  <c r="N56" i="1"/>
  <c r="P56" i="1"/>
  <c r="M57" i="1"/>
  <c r="O57" i="1"/>
  <c r="N57" i="1"/>
  <c r="P57" i="1"/>
  <c r="M58" i="1"/>
  <c r="N58" i="1"/>
  <c r="M59" i="1"/>
  <c r="N59" i="1"/>
  <c r="M60" i="1"/>
  <c r="O60" i="1"/>
  <c r="N60" i="1"/>
  <c r="P60" i="1"/>
  <c r="M61" i="1"/>
  <c r="N61" i="1"/>
  <c r="M63" i="1"/>
  <c r="N63" i="1"/>
  <c r="I26" i="2"/>
  <c r="M65" i="1"/>
  <c r="N65" i="1"/>
  <c r="M66" i="1"/>
  <c r="N66" i="1"/>
  <c r="O66" i="1"/>
  <c r="P66" i="1"/>
  <c r="I24" i="2"/>
  <c r="M67" i="1"/>
  <c r="N67" i="1"/>
  <c r="M68" i="1"/>
  <c r="O68" i="1"/>
  <c r="N68" i="1"/>
  <c r="P68" i="1"/>
  <c r="I22" i="2"/>
  <c r="M69" i="1"/>
  <c r="N69" i="1"/>
  <c r="M70" i="1"/>
  <c r="O70" i="1"/>
  <c r="N70" i="1"/>
  <c r="P70" i="1"/>
  <c r="I20" i="2"/>
  <c r="M71" i="1"/>
  <c r="N71" i="1"/>
  <c r="M72" i="1"/>
  <c r="N72" i="1"/>
  <c r="M73" i="1"/>
  <c r="N73" i="1"/>
  <c r="M74" i="1"/>
  <c r="O74" i="1"/>
  <c r="N74" i="1"/>
  <c r="P74" i="1"/>
  <c r="M75" i="1"/>
  <c r="N75" i="1"/>
  <c r="M76" i="1"/>
  <c r="N76" i="1"/>
  <c r="O76" i="1"/>
  <c r="P76" i="1"/>
  <c r="I14" i="2"/>
  <c r="M77" i="1"/>
  <c r="N77" i="1"/>
  <c r="M78" i="1"/>
  <c r="N78" i="1"/>
  <c r="M79" i="1"/>
  <c r="N79" i="1"/>
  <c r="O79" i="1"/>
  <c r="P79" i="1"/>
  <c r="I11" i="2"/>
  <c r="M80" i="1"/>
  <c r="O80" i="1"/>
  <c r="N80" i="1"/>
  <c r="P80" i="1"/>
  <c r="I10" i="2"/>
  <c r="M81" i="1"/>
  <c r="O81" i="1"/>
  <c r="N81" i="1"/>
  <c r="P81" i="1"/>
  <c r="I9" i="2"/>
  <c r="M82" i="1"/>
  <c r="N82" i="1"/>
  <c r="O82" i="1"/>
  <c r="P82" i="1"/>
  <c r="M83" i="1"/>
  <c r="N83" i="1"/>
  <c r="M84" i="1"/>
  <c r="O84" i="1"/>
  <c r="N84" i="1"/>
  <c r="P84" i="1"/>
  <c r="I6" i="2"/>
  <c r="M85" i="1"/>
  <c r="N85" i="1"/>
  <c r="O83" i="1"/>
  <c r="P83" i="1"/>
  <c r="I7" i="2"/>
  <c r="O78" i="1"/>
  <c r="O77" i="1"/>
  <c r="O75" i="1"/>
  <c r="P75" i="1"/>
  <c r="O73" i="1"/>
  <c r="O72" i="1"/>
  <c r="P72" i="1"/>
  <c r="I18" i="2"/>
  <c r="O71" i="1"/>
  <c r="P71" i="1"/>
  <c r="I19" i="2"/>
  <c r="O69" i="1"/>
  <c r="O67" i="1"/>
  <c r="P67" i="1"/>
  <c r="I23" i="2"/>
  <c r="O65" i="1"/>
  <c r="O5" i="1"/>
  <c r="O85" i="1"/>
  <c r="O63" i="1"/>
  <c r="P63" i="1"/>
  <c r="O61" i="1"/>
  <c r="O58" i="1"/>
  <c r="P58" i="1"/>
  <c r="O46" i="1"/>
  <c r="P46" i="1"/>
  <c r="O47" i="1"/>
  <c r="P47" i="1"/>
  <c r="O48" i="1"/>
  <c r="O50" i="1"/>
  <c r="P50" i="1"/>
  <c r="O51" i="1"/>
  <c r="P51" i="1"/>
  <c r="O53" i="1"/>
  <c r="O55" i="1"/>
  <c r="P55" i="1"/>
  <c r="O59" i="1"/>
  <c r="P59" i="1"/>
  <c r="O6" i="1"/>
  <c r="P6" i="1"/>
  <c r="O7" i="1"/>
  <c r="P7" i="1"/>
  <c r="O8" i="1"/>
  <c r="O9" i="1"/>
  <c r="O10" i="1"/>
  <c r="P10" i="1"/>
  <c r="O11" i="1"/>
  <c r="P11" i="1"/>
  <c r="O12" i="1"/>
  <c r="O14" i="1"/>
  <c r="P14" i="1"/>
  <c r="O15" i="1"/>
  <c r="P15" i="1"/>
  <c r="O16" i="1"/>
  <c r="O17" i="1"/>
  <c r="O18" i="1"/>
  <c r="P18" i="1"/>
  <c r="O19" i="1"/>
  <c r="P19" i="1"/>
  <c r="O22" i="1"/>
  <c r="P22" i="1"/>
  <c r="O23" i="1"/>
  <c r="P23" i="1"/>
  <c r="O24" i="1"/>
  <c r="O25" i="1"/>
  <c r="O26" i="1"/>
  <c r="P26" i="1"/>
  <c r="O27" i="1"/>
  <c r="P27" i="1"/>
  <c r="O31" i="1"/>
  <c r="P31" i="1"/>
  <c r="O32" i="1"/>
  <c r="O33" i="1"/>
  <c r="O34" i="1"/>
  <c r="P34" i="1"/>
  <c r="O35" i="1"/>
  <c r="P35" i="1"/>
  <c r="O37" i="1"/>
  <c r="O39" i="1"/>
  <c r="P39" i="1"/>
  <c r="O40" i="1"/>
  <c r="O43" i="1"/>
  <c r="P43" i="1"/>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35" i="4"/>
  <c r="K335" i="4"/>
  <c r="J336" i="4"/>
  <c r="K336" i="4"/>
  <c r="J337" i="4"/>
  <c r="K337" i="4"/>
  <c r="J338" i="4"/>
  <c r="K338" i="4"/>
  <c r="J339" i="4"/>
  <c r="K339" i="4"/>
  <c r="J340" i="4"/>
  <c r="K340" i="4"/>
  <c r="J341" i="4"/>
  <c r="K341" i="4"/>
  <c r="J342" i="4"/>
  <c r="K342" i="4"/>
  <c r="J343" i="4"/>
  <c r="K343" i="4"/>
  <c r="J344" i="4"/>
  <c r="K344" i="4"/>
  <c r="J345" i="4"/>
  <c r="K345" i="4"/>
  <c r="J346" i="4"/>
  <c r="K346" i="4"/>
  <c r="J347" i="4"/>
  <c r="K347" i="4"/>
  <c r="J348" i="4"/>
  <c r="K348" i="4"/>
  <c r="J349" i="4"/>
  <c r="K349" i="4"/>
  <c r="J350" i="4"/>
  <c r="K350" i="4"/>
  <c r="J351" i="4"/>
  <c r="K351" i="4"/>
  <c r="J352" i="4"/>
  <c r="K352" i="4"/>
  <c r="J353" i="4"/>
  <c r="K353" i="4"/>
  <c r="J354" i="4"/>
  <c r="K354" i="4"/>
  <c r="J355" i="4"/>
  <c r="K355" i="4"/>
  <c r="J356" i="4"/>
  <c r="K356" i="4"/>
  <c r="J357" i="4"/>
  <c r="K357" i="4"/>
  <c r="J358" i="4"/>
  <c r="K358" i="4"/>
  <c r="J359" i="4"/>
  <c r="K359" i="4"/>
  <c r="J360" i="4"/>
  <c r="K360" i="4"/>
  <c r="J361" i="4"/>
  <c r="K361" i="4"/>
  <c r="J362" i="4"/>
  <c r="K362" i="4"/>
  <c r="J363" i="4"/>
  <c r="K363" i="4"/>
  <c r="J364" i="4"/>
  <c r="K364" i="4"/>
  <c r="J365" i="4"/>
  <c r="K365" i="4"/>
  <c r="J366" i="4"/>
  <c r="K366" i="4"/>
  <c r="J367" i="4"/>
  <c r="K367" i="4"/>
  <c r="J368" i="4"/>
  <c r="K368" i="4"/>
  <c r="J369" i="4"/>
  <c r="K369" i="4"/>
  <c r="J370" i="4"/>
  <c r="K370" i="4"/>
  <c r="J371" i="4"/>
  <c r="K371" i="4"/>
  <c r="J372" i="4"/>
  <c r="K372" i="4"/>
  <c r="J373" i="4"/>
  <c r="K373" i="4"/>
  <c r="J374" i="4"/>
  <c r="K374" i="4"/>
  <c r="J375" i="4"/>
  <c r="K375" i="4"/>
  <c r="J376" i="4"/>
  <c r="K376" i="4"/>
  <c r="J377" i="4"/>
  <c r="K377" i="4"/>
  <c r="J378" i="4"/>
  <c r="K378" i="4"/>
  <c r="J379" i="4"/>
  <c r="K379" i="4"/>
  <c r="J380" i="4"/>
  <c r="K380" i="4"/>
  <c r="J381" i="4"/>
  <c r="K381" i="4"/>
  <c r="J382" i="4"/>
  <c r="K382" i="4"/>
  <c r="J383" i="4"/>
  <c r="K383" i="4"/>
  <c r="J384" i="4"/>
  <c r="K384" i="4"/>
  <c r="J385" i="4"/>
  <c r="K385" i="4"/>
  <c r="J386" i="4"/>
  <c r="K386" i="4"/>
  <c r="J387" i="4"/>
  <c r="K387" i="4"/>
  <c r="J388" i="4"/>
  <c r="K388" i="4"/>
  <c r="J389" i="4"/>
  <c r="K389" i="4"/>
  <c r="J390" i="4"/>
  <c r="K390" i="4"/>
  <c r="J391" i="4"/>
  <c r="K391" i="4"/>
  <c r="J392" i="4"/>
  <c r="K392" i="4"/>
  <c r="J393" i="4"/>
  <c r="K393" i="4"/>
  <c r="J394" i="4"/>
  <c r="K394" i="4"/>
  <c r="J395" i="4"/>
  <c r="K395" i="4"/>
  <c r="J396" i="4"/>
  <c r="K396" i="4"/>
  <c r="J397" i="4"/>
  <c r="K397" i="4"/>
  <c r="J398" i="4"/>
  <c r="K398" i="4"/>
  <c r="J399" i="4"/>
  <c r="K399" i="4"/>
  <c r="J400" i="4"/>
  <c r="K400" i="4"/>
  <c r="J401" i="4"/>
  <c r="K401" i="4"/>
  <c r="J402" i="4"/>
  <c r="K402" i="4"/>
  <c r="J403" i="4"/>
  <c r="K403" i="4"/>
  <c r="J404" i="4"/>
  <c r="K404" i="4"/>
  <c r="J405" i="4"/>
  <c r="K405" i="4"/>
  <c r="J406" i="4"/>
  <c r="K406" i="4"/>
  <c r="J407" i="4"/>
  <c r="K407" i="4"/>
  <c r="J408" i="4"/>
  <c r="K408" i="4"/>
  <c r="J409" i="4"/>
  <c r="K409" i="4"/>
  <c r="J410" i="4"/>
  <c r="K410" i="4"/>
  <c r="J411" i="4"/>
  <c r="K411" i="4"/>
  <c r="J412" i="4"/>
  <c r="K412" i="4"/>
  <c r="J413" i="4"/>
  <c r="K413" i="4"/>
  <c r="J414" i="4"/>
  <c r="K414" i="4"/>
  <c r="J415" i="4"/>
  <c r="K415" i="4"/>
  <c r="J416" i="4"/>
  <c r="K416" i="4"/>
  <c r="J417" i="4"/>
  <c r="K417" i="4"/>
  <c r="J418" i="4"/>
  <c r="K418" i="4"/>
  <c r="J419" i="4"/>
  <c r="K419" i="4"/>
  <c r="J420" i="4"/>
  <c r="K420" i="4"/>
  <c r="J421" i="4"/>
  <c r="K421" i="4"/>
  <c r="J422" i="4"/>
  <c r="K422" i="4"/>
  <c r="J423" i="4"/>
  <c r="K423" i="4"/>
  <c r="J424" i="4"/>
  <c r="K424" i="4"/>
  <c r="J425" i="4"/>
  <c r="K425" i="4"/>
  <c r="J426" i="4"/>
  <c r="K426" i="4"/>
  <c r="J427" i="4"/>
  <c r="K427" i="4"/>
  <c r="J428" i="4"/>
  <c r="K428" i="4"/>
  <c r="J429" i="4"/>
  <c r="K429" i="4"/>
  <c r="J430" i="4"/>
  <c r="K430" i="4"/>
  <c r="J431" i="4"/>
  <c r="K431" i="4"/>
  <c r="J432" i="4"/>
  <c r="K432" i="4"/>
  <c r="J433" i="4"/>
  <c r="K433" i="4"/>
  <c r="J434" i="4"/>
  <c r="K434" i="4"/>
  <c r="J435" i="4"/>
  <c r="K435" i="4"/>
  <c r="J436" i="4"/>
  <c r="K436" i="4"/>
  <c r="J437" i="4"/>
  <c r="K437" i="4"/>
  <c r="J438" i="4"/>
  <c r="K438" i="4"/>
  <c r="J439" i="4"/>
  <c r="K439" i="4"/>
  <c r="J440" i="4"/>
  <c r="K440" i="4"/>
  <c r="J441" i="4"/>
  <c r="K441" i="4"/>
  <c r="J442" i="4"/>
  <c r="K442" i="4"/>
  <c r="J443" i="4"/>
  <c r="K443" i="4"/>
  <c r="J444" i="4"/>
  <c r="K444" i="4"/>
  <c r="J445" i="4"/>
  <c r="K445" i="4"/>
  <c r="J446" i="4"/>
  <c r="K446" i="4"/>
  <c r="J447" i="4"/>
  <c r="K447" i="4"/>
  <c r="J448" i="4"/>
  <c r="K448" i="4"/>
  <c r="J449" i="4"/>
  <c r="K449" i="4"/>
  <c r="J450" i="4"/>
  <c r="K450" i="4"/>
  <c r="J451" i="4"/>
  <c r="K451" i="4"/>
  <c r="J452" i="4"/>
  <c r="K452" i="4"/>
  <c r="J453" i="4"/>
  <c r="K453" i="4"/>
  <c r="J454" i="4"/>
  <c r="K454" i="4"/>
  <c r="J455" i="4"/>
  <c r="K455" i="4"/>
  <c r="J456" i="4"/>
  <c r="K456" i="4"/>
  <c r="J457" i="4"/>
  <c r="K457" i="4"/>
  <c r="J458" i="4"/>
  <c r="K458" i="4"/>
  <c r="J459" i="4"/>
  <c r="K459" i="4"/>
  <c r="J460" i="4"/>
  <c r="K460" i="4"/>
  <c r="J461" i="4"/>
  <c r="K461" i="4"/>
  <c r="J462" i="4"/>
  <c r="K462" i="4"/>
  <c r="J463" i="4"/>
  <c r="K463" i="4"/>
  <c r="J464" i="4"/>
  <c r="K464" i="4"/>
  <c r="J465" i="4"/>
  <c r="K465" i="4"/>
  <c r="J466" i="4"/>
  <c r="K466" i="4"/>
  <c r="J467" i="4"/>
  <c r="K467" i="4"/>
  <c r="J468" i="4"/>
  <c r="K468" i="4"/>
  <c r="J469" i="4"/>
  <c r="K469" i="4"/>
  <c r="J470" i="4"/>
  <c r="K470" i="4"/>
  <c r="J471" i="4"/>
  <c r="K471" i="4"/>
  <c r="J472" i="4"/>
  <c r="K472" i="4"/>
  <c r="J473" i="4"/>
  <c r="K473" i="4"/>
  <c r="J474" i="4"/>
  <c r="K474" i="4"/>
  <c r="J475" i="4"/>
  <c r="K475" i="4"/>
  <c r="J476" i="4"/>
  <c r="K476" i="4"/>
  <c r="J477" i="4"/>
  <c r="K477" i="4"/>
  <c r="J478" i="4"/>
  <c r="K478" i="4"/>
  <c r="J479" i="4"/>
  <c r="K479" i="4"/>
  <c r="J480" i="4"/>
  <c r="K480" i="4"/>
  <c r="J481" i="4"/>
  <c r="K481" i="4"/>
  <c r="J482" i="4"/>
  <c r="K482" i="4"/>
  <c r="J483" i="4"/>
  <c r="K483" i="4"/>
  <c r="J484" i="4"/>
  <c r="K484" i="4"/>
  <c r="J485" i="4"/>
  <c r="K485" i="4"/>
  <c r="J486" i="4"/>
  <c r="K486" i="4"/>
  <c r="J487" i="4"/>
  <c r="K487" i="4"/>
  <c r="J488" i="4"/>
  <c r="K488" i="4"/>
  <c r="J489" i="4"/>
  <c r="K489" i="4"/>
  <c r="J490" i="4"/>
  <c r="K490" i="4"/>
  <c r="J491" i="4"/>
  <c r="K491" i="4"/>
  <c r="J492" i="4"/>
  <c r="K492" i="4"/>
  <c r="J493" i="4"/>
  <c r="K493" i="4"/>
  <c r="J494" i="4"/>
  <c r="K494" i="4"/>
  <c r="J495" i="4"/>
  <c r="K495" i="4"/>
  <c r="J496" i="4"/>
  <c r="K496" i="4"/>
  <c r="J497" i="4"/>
  <c r="K497" i="4"/>
  <c r="J498" i="4"/>
  <c r="K498" i="4"/>
  <c r="J499" i="4"/>
  <c r="K499" i="4"/>
  <c r="J500" i="4"/>
  <c r="K500" i="4"/>
  <c r="J501" i="4"/>
  <c r="K501" i="4"/>
  <c r="J502" i="4"/>
  <c r="K502" i="4"/>
  <c r="J503" i="4"/>
  <c r="K503" i="4"/>
  <c r="J504" i="4"/>
  <c r="K504" i="4"/>
  <c r="J505" i="4"/>
  <c r="K505" i="4"/>
  <c r="J506" i="4"/>
  <c r="K506" i="4"/>
  <c r="J507" i="4"/>
  <c r="K507" i="4"/>
  <c r="J508" i="4"/>
  <c r="K508" i="4"/>
  <c r="J509" i="4"/>
  <c r="K509" i="4"/>
  <c r="J510" i="4"/>
  <c r="K510" i="4"/>
  <c r="J511" i="4"/>
  <c r="K511" i="4"/>
  <c r="J512" i="4"/>
  <c r="K512" i="4"/>
  <c r="J513" i="4"/>
  <c r="K513" i="4"/>
  <c r="J514" i="4"/>
  <c r="K514" i="4"/>
  <c r="J515" i="4"/>
  <c r="K515" i="4"/>
  <c r="J516" i="4"/>
  <c r="K516" i="4"/>
  <c r="J517" i="4"/>
  <c r="K517" i="4"/>
  <c r="J518" i="4"/>
  <c r="K518" i="4"/>
  <c r="J519" i="4"/>
  <c r="K519" i="4"/>
  <c r="J520" i="4"/>
  <c r="K520" i="4"/>
  <c r="J521" i="4"/>
  <c r="K521" i="4"/>
  <c r="J522" i="4"/>
  <c r="K522" i="4"/>
  <c r="J523" i="4"/>
  <c r="K523" i="4"/>
  <c r="J524" i="4"/>
  <c r="K524" i="4"/>
  <c r="J525" i="4"/>
  <c r="K525" i="4"/>
  <c r="J526" i="4"/>
  <c r="K526" i="4"/>
  <c r="J527" i="4"/>
  <c r="K527" i="4"/>
  <c r="J528" i="4"/>
  <c r="K528" i="4"/>
  <c r="J529" i="4"/>
  <c r="K529" i="4"/>
  <c r="J530" i="4"/>
  <c r="K530" i="4"/>
  <c r="J531" i="4"/>
  <c r="K531" i="4"/>
  <c r="J532" i="4"/>
  <c r="K532" i="4"/>
  <c r="J533" i="4"/>
  <c r="K533" i="4"/>
  <c r="J534" i="4"/>
  <c r="K534" i="4"/>
  <c r="J535" i="4"/>
  <c r="K535" i="4"/>
  <c r="J536" i="4"/>
  <c r="K536" i="4"/>
  <c r="J537" i="4"/>
  <c r="K537" i="4"/>
  <c r="J538" i="4"/>
  <c r="K538" i="4"/>
  <c r="J539" i="4"/>
  <c r="K539" i="4"/>
  <c r="J540" i="4"/>
  <c r="K540" i="4"/>
  <c r="J541" i="4"/>
  <c r="K541" i="4"/>
  <c r="J542" i="4"/>
  <c r="K542" i="4"/>
  <c r="J543" i="4"/>
  <c r="K543" i="4"/>
  <c r="J544" i="4"/>
  <c r="K544" i="4"/>
  <c r="J545" i="4"/>
  <c r="K545" i="4"/>
  <c r="J546" i="4"/>
  <c r="K546" i="4"/>
  <c r="J547" i="4"/>
  <c r="K547" i="4"/>
  <c r="J548" i="4"/>
  <c r="K548" i="4"/>
  <c r="J549" i="4"/>
  <c r="K549" i="4"/>
  <c r="J550" i="4"/>
  <c r="K550" i="4"/>
  <c r="J551" i="4"/>
  <c r="K551" i="4"/>
  <c r="J552" i="4"/>
  <c r="K552" i="4"/>
  <c r="J553" i="4"/>
  <c r="K553" i="4"/>
  <c r="J554" i="4"/>
  <c r="K554" i="4"/>
  <c r="J555" i="4"/>
  <c r="K555" i="4"/>
  <c r="J556" i="4"/>
  <c r="K556" i="4"/>
  <c r="J557" i="4"/>
  <c r="K557" i="4"/>
  <c r="J558" i="4"/>
  <c r="K558" i="4"/>
  <c r="J559" i="4"/>
  <c r="K559" i="4"/>
  <c r="J560" i="4"/>
  <c r="K560" i="4"/>
  <c r="J561" i="4"/>
  <c r="K561" i="4"/>
  <c r="J562" i="4"/>
  <c r="K562" i="4"/>
  <c r="J563" i="4"/>
  <c r="K563" i="4"/>
  <c r="J564" i="4"/>
  <c r="K564" i="4"/>
  <c r="J565" i="4"/>
  <c r="K565" i="4"/>
  <c r="J566" i="4"/>
  <c r="K566" i="4"/>
  <c r="J567" i="4"/>
  <c r="K567" i="4"/>
  <c r="J568" i="4"/>
  <c r="K568" i="4"/>
  <c r="J569" i="4"/>
  <c r="K569" i="4"/>
  <c r="J570" i="4"/>
  <c r="K570" i="4"/>
  <c r="J571" i="4"/>
  <c r="K571" i="4"/>
  <c r="J572" i="4"/>
  <c r="K572" i="4"/>
  <c r="J573" i="4"/>
  <c r="K573" i="4"/>
  <c r="J574" i="4"/>
  <c r="K574" i="4"/>
  <c r="J575" i="4"/>
  <c r="K575" i="4"/>
  <c r="J576" i="4"/>
  <c r="K576" i="4"/>
  <c r="J577" i="4"/>
  <c r="K577" i="4"/>
  <c r="J578" i="4"/>
  <c r="K578" i="4"/>
  <c r="J579" i="4"/>
  <c r="K579" i="4"/>
  <c r="J580" i="4"/>
  <c r="K580" i="4"/>
  <c r="J581" i="4"/>
  <c r="K581" i="4"/>
  <c r="J582" i="4"/>
  <c r="K582" i="4"/>
  <c r="J583" i="4"/>
  <c r="K583" i="4"/>
  <c r="J584" i="4"/>
  <c r="K584" i="4"/>
  <c r="J585" i="4"/>
  <c r="K585" i="4"/>
  <c r="J586" i="4"/>
  <c r="K586" i="4"/>
  <c r="J587" i="4"/>
  <c r="K587" i="4"/>
  <c r="J588" i="4"/>
  <c r="K588" i="4"/>
  <c r="J589" i="4"/>
  <c r="K589" i="4"/>
  <c r="J590" i="4"/>
  <c r="K590" i="4"/>
  <c r="J591" i="4"/>
  <c r="K591" i="4"/>
  <c r="J592" i="4"/>
  <c r="K592" i="4"/>
  <c r="J593" i="4"/>
  <c r="K593" i="4"/>
  <c r="J594" i="4"/>
  <c r="K594" i="4"/>
  <c r="J595" i="4"/>
  <c r="K595" i="4"/>
  <c r="J596" i="4"/>
  <c r="K596" i="4"/>
  <c r="J597" i="4"/>
  <c r="K597" i="4"/>
  <c r="J598" i="4"/>
  <c r="K598" i="4"/>
  <c r="J599" i="4"/>
  <c r="K599" i="4"/>
  <c r="J600" i="4"/>
  <c r="K600" i="4"/>
  <c r="J601" i="4"/>
  <c r="K601" i="4"/>
  <c r="J602" i="4"/>
  <c r="K602" i="4"/>
  <c r="J603" i="4"/>
  <c r="K603" i="4"/>
  <c r="J604" i="4"/>
  <c r="K604" i="4"/>
  <c r="J605" i="4"/>
  <c r="K605" i="4"/>
  <c r="J606" i="4"/>
  <c r="K606" i="4"/>
  <c r="J607" i="4"/>
  <c r="K607" i="4"/>
  <c r="J608" i="4"/>
  <c r="K608" i="4"/>
  <c r="J609" i="4"/>
  <c r="K609" i="4"/>
  <c r="J610" i="4"/>
  <c r="K610" i="4"/>
  <c r="J611" i="4"/>
  <c r="K611" i="4"/>
  <c r="J612" i="4"/>
  <c r="K612" i="4"/>
  <c r="J613" i="4"/>
  <c r="K613" i="4"/>
  <c r="J614" i="4"/>
  <c r="K614" i="4"/>
  <c r="J615" i="4"/>
  <c r="K615" i="4"/>
  <c r="J616" i="4"/>
  <c r="K616" i="4"/>
  <c r="J617" i="4"/>
  <c r="K617" i="4"/>
  <c r="J618" i="4"/>
  <c r="K618" i="4"/>
  <c r="J619" i="4"/>
  <c r="K619" i="4"/>
  <c r="J620" i="4"/>
  <c r="K620" i="4"/>
  <c r="J621" i="4"/>
  <c r="K621" i="4"/>
  <c r="J622" i="4"/>
  <c r="K622" i="4"/>
  <c r="J623" i="4"/>
  <c r="K623" i="4"/>
  <c r="J624" i="4"/>
  <c r="K624" i="4"/>
  <c r="J625" i="4"/>
  <c r="K625" i="4"/>
  <c r="J626" i="4"/>
  <c r="K626" i="4"/>
  <c r="J627" i="4"/>
  <c r="K627" i="4"/>
  <c r="J628" i="4"/>
  <c r="K628" i="4"/>
  <c r="J629" i="4"/>
  <c r="K629" i="4"/>
  <c r="J630" i="4"/>
  <c r="K630" i="4"/>
  <c r="J631" i="4"/>
  <c r="K631" i="4"/>
  <c r="J632" i="4"/>
  <c r="K632" i="4"/>
  <c r="J633" i="4"/>
  <c r="K633" i="4"/>
  <c r="J634" i="4"/>
  <c r="K634" i="4"/>
  <c r="J635" i="4"/>
  <c r="K635" i="4"/>
  <c r="J636" i="4"/>
  <c r="K636" i="4"/>
  <c r="J637" i="4"/>
  <c r="K637" i="4"/>
  <c r="J638" i="4"/>
  <c r="K638" i="4"/>
  <c r="J639" i="4"/>
  <c r="K639" i="4"/>
  <c r="J640" i="4"/>
  <c r="K640" i="4"/>
  <c r="J641" i="4"/>
  <c r="K641" i="4"/>
  <c r="J642" i="4"/>
  <c r="K642" i="4"/>
  <c r="J643" i="4"/>
  <c r="K643" i="4"/>
  <c r="J644" i="4"/>
  <c r="K644" i="4"/>
  <c r="J645" i="4"/>
  <c r="K645" i="4"/>
  <c r="J646" i="4"/>
  <c r="K646" i="4"/>
  <c r="J647" i="4"/>
  <c r="K647" i="4"/>
  <c r="J648" i="4"/>
  <c r="K648" i="4"/>
  <c r="J649" i="4"/>
  <c r="K649" i="4"/>
  <c r="J650" i="4"/>
  <c r="K650" i="4"/>
  <c r="J651" i="4"/>
  <c r="K651" i="4"/>
  <c r="J652" i="4"/>
  <c r="K652" i="4"/>
  <c r="J653" i="4"/>
  <c r="K653" i="4"/>
  <c r="J654" i="4"/>
  <c r="K654" i="4"/>
  <c r="J655" i="4"/>
  <c r="K655" i="4"/>
  <c r="J656" i="4"/>
  <c r="K656" i="4"/>
  <c r="J657" i="4"/>
  <c r="K657" i="4"/>
  <c r="J658" i="4"/>
  <c r="K658" i="4"/>
  <c r="J659" i="4"/>
  <c r="K659" i="4"/>
  <c r="J660" i="4"/>
  <c r="K660" i="4"/>
  <c r="J661" i="4"/>
  <c r="K661" i="4"/>
  <c r="J662" i="4"/>
  <c r="K662" i="4"/>
  <c r="J663" i="4"/>
  <c r="K663" i="4"/>
  <c r="J664" i="4"/>
  <c r="K664" i="4"/>
  <c r="J665" i="4"/>
  <c r="K665" i="4"/>
  <c r="J666" i="4"/>
  <c r="K666" i="4"/>
  <c r="J667" i="4"/>
  <c r="K667" i="4"/>
  <c r="J668" i="4"/>
  <c r="K668" i="4"/>
  <c r="J669" i="4"/>
  <c r="K669" i="4"/>
  <c r="J670" i="4"/>
  <c r="K670" i="4"/>
  <c r="J671" i="4"/>
  <c r="K671" i="4"/>
  <c r="J672" i="4"/>
  <c r="K672" i="4"/>
  <c r="J673" i="4"/>
  <c r="K673" i="4"/>
  <c r="J674" i="4"/>
  <c r="K674" i="4"/>
  <c r="J675" i="4"/>
  <c r="K675" i="4"/>
  <c r="J676" i="4"/>
  <c r="K676" i="4"/>
  <c r="J677" i="4"/>
  <c r="K677" i="4"/>
  <c r="J678" i="4"/>
  <c r="K678" i="4"/>
  <c r="J679" i="4"/>
  <c r="K679" i="4"/>
  <c r="J680" i="4"/>
  <c r="K680" i="4"/>
  <c r="J681" i="4"/>
  <c r="K681" i="4"/>
  <c r="J682" i="4"/>
  <c r="K682" i="4"/>
  <c r="J683" i="4"/>
  <c r="K683" i="4"/>
  <c r="J684" i="4"/>
  <c r="K684" i="4"/>
  <c r="J685" i="4"/>
  <c r="K685" i="4"/>
  <c r="J686" i="4"/>
  <c r="K686" i="4"/>
  <c r="J687" i="4"/>
  <c r="K687" i="4"/>
  <c r="J688" i="4"/>
  <c r="K688" i="4"/>
  <c r="J689" i="4"/>
  <c r="K689" i="4"/>
  <c r="J690" i="4"/>
  <c r="K690" i="4"/>
  <c r="J691" i="4"/>
  <c r="K691" i="4"/>
  <c r="J692" i="4"/>
  <c r="K692" i="4"/>
  <c r="J693" i="4"/>
  <c r="K693" i="4"/>
  <c r="J694" i="4"/>
  <c r="K694" i="4"/>
  <c r="J695" i="4"/>
  <c r="K695" i="4"/>
  <c r="J696" i="4"/>
  <c r="K696" i="4"/>
  <c r="J697" i="4"/>
  <c r="K697" i="4"/>
  <c r="J698" i="4"/>
  <c r="K698" i="4"/>
  <c r="J699" i="4"/>
  <c r="K699" i="4"/>
  <c r="J700" i="4"/>
  <c r="K700" i="4"/>
  <c r="J701" i="4"/>
  <c r="K701" i="4"/>
  <c r="J702" i="4"/>
  <c r="K702" i="4"/>
  <c r="J703" i="4"/>
  <c r="K703" i="4"/>
  <c r="J704" i="4"/>
  <c r="K704" i="4"/>
  <c r="J705" i="4"/>
  <c r="K705" i="4"/>
  <c r="J706" i="4"/>
  <c r="K706" i="4"/>
  <c r="J707" i="4"/>
  <c r="K707" i="4"/>
  <c r="J708" i="4"/>
  <c r="K708" i="4"/>
  <c r="J709" i="4"/>
  <c r="K709" i="4"/>
  <c r="J710" i="4"/>
  <c r="K710" i="4"/>
  <c r="J711" i="4"/>
  <c r="K711" i="4"/>
  <c r="J712" i="4"/>
  <c r="K712" i="4"/>
  <c r="J713" i="4"/>
  <c r="K713" i="4"/>
  <c r="J714" i="4"/>
  <c r="K714" i="4"/>
  <c r="J715" i="4"/>
  <c r="K715" i="4"/>
  <c r="J716" i="4"/>
  <c r="K716" i="4"/>
  <c r="J717" i="4"/>
  <c r="K717" i="4"/>
  <c r="J718" i="4"/>
  <c r="K718" i="4"/>
  <c r="J719" i="4"/>
  <c r="K719" i="4"/>
  <c r="J720" i="4"/>
  <c r="K720" i="4"/>
  <c r="J721" i="4"/>
  <c r="K721" i="4"/>
  <c r="J722" i="4"/>
  <c r="K722" i="4"/>
  <c r="J723" i="4"/>
  <c r="K723" i="4"/>
  <c r="J724" i="4"/>
  <c r="K724" i="4"/>
  <c r="J725" i="4"/>
  <c r="K725" i="4"/>
  <c r="J726" i="4"/>
  <c r="K726" i="4"/>
  <c r="J727" i="4"/>
  <c r="K727" i="4"/>
  <c r="J728" i="4"/>
  <c r="K728" i="4"/>
  <c r="J729" i="4"/>
  <c r="K729" i="4"/>
  <c r="J730" i="4"/>
  <c r="K730" i="4"/>
  <c r="J731" i="4"/>
  <c r="K731" i="4"/>
  <c r="J732" i="4"/>
  <c r="K732" i="4"/>
  <c r="J733" i="4"/>
  <c r="K733" i="4"/>
  <c r="J734" i="4"/>
  <c r="K734" i="4"/>
  <c r="J735" i="4"/>
  <c r="K735" i="4"/>
  <c r="J736" i="4"/>
  <c r="K736" i="4"/>
  <c r="J737" i="4"/>
  <c r="K737" i="4"/>
  <c r="J738" i="4"/>
  <c r="K738" i="4"/>
  <c r="J739" i="4"/>
  <c r="K739" i="4"/>
  <c r="J740" i="4"/>
  <c r="K740" i="4"/>
  <c r="J741" i="4"/>
  <c r="K741" i="4"/>
  <c r="J742" i="4"/>
  <c r="K742" i="4"/>
  <c r="J743" i="4"/>
  <c r="K743" i="4"/>
  <c r="J744" i="4"/>
  <c r="K744" i="4"/>
  <c r="J745" i="4"/>
  <c r="K745" i="4"/>
  <c r="J746" i="4"/>
  <c r="K746" i="4"/>
  <c r="J747" i="4"/>
  <c r="K747" i="4"/>
  <c r="J748" i="4"/>
  <c r="K748" i="4"/>
  <c r="J749" i="4"/>
  <c r="K749" i="4"/>
  <c r="J750" i="4"/>
  <c r="K750" i="4"/>
  <c r="J751" i="4"/>
  <c r="K751" i="4"/>
  <c r="J752" i="4"/>
  <c r="K752" i="4"/>
  <c r="J753" i="4"/>
  <c r="K753" i="4"/>
  <c r="J754" i="4"/>
  <c r="K754" i="4"/>
  <c r="J755" i="4"/>
  <c r="K755" i="4"/>
  <c r="J756" i="4"/>
  <c r="K756" i="4"/>
  <c r="J757" i="4"/>
  <c r="K757" i="4"/>
  <c r="J758" i="4"/>
  <c r="K758" i="4"/>
  <c r="J759" i="4"/>
  <c r="K759" i="4"/>
  <c r="J760" i="4"/>
  <c r="K760" i="4"/>
  <c r="J761" i="4"/>
  <c r="K761" i="4"/>
  <c r="J762" i="4"/>
  <c r="K762" i="4"/>
  <c r="J763" i="4"/>
  <c r="K763" i="4"/>
  <c r="J764" i="4"/>
  <c r="K764" i="4"/>
  <c r="J765" i="4"/>
  <c r="K765" i="4"/>
  <c r="J766" i="4"/>
  <c r="K766"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P78" i="1"/>
  <c r="I12" i="2"/>
  <c r="P65" i="1"/>
  <c r="I25" i="2"/>
  <c r="I15" i="2"/>
  <c r="L293" i="4"/>
  <c r="L37" i="4"/>
  <c r="I8" i="2"/>
  <c r="L341" i="4"/>
  <c r="I16" i="2"/>
  <c r="P73" i="1"/>
  <c r="I17" i="2"/>
  <c r="P61" i="1"/>
  <c r="P53" i="1"/>
  <c r="P48" i="1"/>
  <c r="P40" i="1"/>
  <c r="P37" i="1"/>
  <c r="P12" i="1"/>
  <c r="P5" i="1"/>
  <c r="L764" i="4"/>
  <c r="L760" i="4"/>
  <c r="L756" i="4"/>
  <c r="L752" i="4"/>
  <c r="L748" i="4"/>
  <c r="L744" i="4"/>
  <c r="L740" i="4"/>
  <c r="L736" i="4"/>
  <c r="L732" i="4"/>
  <c r="L728" i="4"/>
  <c r="L724" i="4"/>
  <c r="L720" i="4"/>
  <c r="L716" i="4"/>
  <c r="L712" i="4"/>
  <c r="L708" i="4"/>
  <c r="L704" i="4"/>
  <c r="L700" i="4"/>
  <c r="L696" i="4"/>
  <c r="L692" i="4"/>
  <c r="L688" i="4"/>
  <c r="L684" i="4"/>
  <c r="L680" i="4"/>
  <c r="L676" i="4"/>
  <c r="L672" i="4"/>
  <c r="L668" i="4"/>
  <c r="L664" i="4"/>
  <c r="L660" i="4"/>
  <c r="P77" i="1"/>
  <c r="P33" i="1"/>
  <c r="P24" i="1"/>
  <c r="P17" i="1"/>
  <c r="P8" i="1"/>
  <c r="L766" i="4"/>
  <c r="L762" i="4"/>
  <c r="L758" i="4"/>
  <c r="L754" i="4"/>
  <c r="L750" i="4"/>
  <c r="L746" i="4"/>
  <c r="L742" i="4"/>
  <c r="L738" i="4"/>
  <c r="L734" i="4"/>
  <c r="L710" i="4"/>
  <c r="L706" i="4"/>
  <c r="L702" i="4"/>
  <c r="L698" i="4"/>
  <c r="L694" i="4"/>
  <c r="L690" i="4"/>
  <c r="L686" i="4"/>
  <c r="L682" i="4"/>
  <c r="L678" i="4"/>
  <c r="L642" i="4"/>
  <c r="L638" i="4"/>
  <c r="L634" i="4"/>
  <c r="L630" i="4"/>
  <c r="L626" i="4"/>
  <c r="L622" i="4"/>
  <c r="L618" i="4"/>
  <c r="L614" i="4"/>
  <c r="L610" i="4"/>
  <c r="L606" i="4"/>
  <c r="L602" i="4"/>
  <c r="L598" i="4"/>
  <c r="L594" i="4"/>
  <c r="L590" i="4"/>
  <c r="L586" i="4"/>
  <c r="L582" i="4"/>
  <c r="L578" i="4"/>
  <c r="L574" i="4"/>
  <c r="L570" i="4"/>
  <c r="L566" i="4"/>
  <c r="L562" i="4"/>
  <c r="L558" i="4"/>
  <c r="L554" i="4"/>
  <c r="L550" i="4"/>
  <c r="L546" i="4"/>
  <c r="L542" i="4"/>
  <c r="L538" i="4"/>
  <c r="L534" i="4"/>
  <c r="L530" i="4"/>
  <c r="L526" i="4"/>
  <c r="L522" i="4"/>
  <c r="L518" i="4"/>
  <c r="L514" i="4"/>
  <c r="L474" i="4"/>
  <c r="L470" i="4"/>
  <c r="L466" i="4"/>
  <c r="L462" i="4"/>
  <c r="L458" i="4"/>
  <c r="L454" i="4"/>
  <c r="L450" i="4"/>
  <c r="L446" i="4"/>
  <c r="L442" i="4"/>
  <c r="L438" i="4"/>
  <c r="L434" i="4"/>
  <c r="L406" i="4"/>
  <c r="L374" i="4"/>
  <c r="L122" i="4"/>
  <c r="P85" i="1"/>
  <c r="I5" i="2"/>
  <c r="P69" i="1"/>
  <c r="I21" i="2"/>
  <c r="P32" i="1"/>
  <c r="P25" i="1"/>
  <c r="P16" i="1"/>
  <c r="P9" i="1"/>
  <c r="L430" i="4"/>
  <c r="L426" i="4"/>
  <c r="L422" i="4"/>
  <c r="L418" i="4"/>
  <c r="L414" i="4"/>
  <c r="L410" i="4"/>
  <c r="L402" i="4"/>
  <c r="L398" i="4"/>
  <c r="L394" i="4"/>
  <c r="L390" i="4"/>
  <c r="L386" i="4"/>
  <c r="L382" i="4"/>
  <c r="L378" i="4"/>
  <c r="L370" i="4"/>
  <c r="L366" i="4"/>
  <c r="L362" i="4"/>
  <c r="L358" i="4"/>
  <c r="L354" i="4"/>
  <c r="L350" i="4"/>
  <c r="L346" i="4"/>
  <c r="L342" i="4"/>
  <c r="L338" i="4"/>
  <c r="L334" i="4"/>
  <c r="L330" i="4"/>
  <c r="L326" i="4"/>
  <c r="L322" i="4"/>
  <c r="L318" i="4"/>
  <c r="L314" i="4"/>
  <c r="L310" i="4"/>
  <c r="L306" i="4"/>
  <c r="L302" i="4"/>
  <c r="L298" i="4"/>
  <c r="L294" i="4"/>
  <c r="L290" i="4"/>
  <c r="L286" i="4"/>
  <c r="L282" i="4"/>
  <c r="L278" i="4"/>
  <c r="L274" i="4"/>
  <c r="L270" i="4"/>
  <c r="L266" i="4"/>
  <c r="L262" i="4"/>
  <c r="L258" i="4"/>
  <c r="L254" i="4"/>
  <c r="L250" i="4"/>
  <c r="L246" i="4"/>
  <c r="L242" i="4"/>
  <c r="L238" i="4"/>
  <c r="L234" i="4"/>
  <c r="L230" i="4"/>
  <c r="L226" i="4"/>
  <c r="L222" i="4"/>
  <c r="L218" i="4"/>
  <c r="L214" i="4"/>
  <c r="L210" i="4"/>
  <c r="L206" i="4"/>
  <c r="L202" i="4"/>
  <c r="L198" i="4"/>
  <c r="L194" i="4"/>
  <c r="L190" i="4"/>
  <c r="L186" i="4"/>
  <c r="L182" i="4"/>
  <c r="L178" i="4"/>
  <c r="L174" i="4"/>
  <c r="L170" i="4"/>
  <c r="L166" i="4"/>
  <c r="L162" i="4"/>
  <c r="L158" i="4"/>
  <c r="L154" i="4"/>
  <c r="L150" i="4"/>
  <c r="L146" i="4"/>
  <c r="L142" i="4"/>
  <c r="L138" i="4"/>
  <c r="L134" i="4"/>
  <c r="L130" i="4"/>
  <c r="L126" i="4"/>
  <c r="L118" i="4"/>
  <c r="L114" i="4"/>
  <c r="L110" i="4"/>
  <c r="L106" i="4"/>
  <c r="L102" i="4"/>
  <c r="L98" i="4"/>
  <c r="L94" i="4"/>
  <c r="L90" i="4"/>
  <c r="L86" i="4"/>
  <c r="L82" i="4"/>
  <c r="L78" i="4"/>
  <c r="L74" i="4"/>
  <c r="L70" i="4"/>
  <c r="L66" i="4"/>
  <c r="L62" i="4"/>
  <c r="L58" i="4"/>
  <c r="L54" i="4"/>
  <c r="L50" i="4"/>
  <c r="L46" i="4"/>
  <c r="L42" i="4"/>
  <c r="L38" i="4"/>
  <c r="L34" i="4"/>
  <c r="L30" i="4"/>
  <c r="L26" i="4"/>
  <c r="L22" i="4"/>
  <c r="L18" i="4"/>
  <c r="L14" i="4"/>
  <c r="L10" i="4"/>
  <c r="L6" i="4"/>
  <c r="L765" i="4"/>
  <c r="L761" i="4"/>
  <c r="L757" i="4"/>
  <c r="L753" i="4"/>
  <c r="L749" i="4"/>
  <c r="L745" i="4"/>
  <c r="L741" i="4"/>
  <c r="L737" i="4"/>
  <c r="L733" i="4"/>
  <c r="L729" i="4"/>
  <c r="L725" i="4"/>
  <c r="L721" i="4"/>
  <c r="L717" i="4"/>
  <c r="L713" i="4"/>
  <c r="L709" i="4"/>
  <c r="L705" i="4"/>
  <c r="L701" i="4"/>
  <c r="L697" i="4"/>
  <c r="L693" i="4"/>
  <c r="L689" i="4"/>
  <c r="L685" i="4"/>
  <c r="L681" i="4"/>
  <c r="L677" i="4"/>
  <c r="L673" i="4"/>
  <c r="L669" i="4"/>
  <c r="L665" i="4"/>
  <c r="L661" i="4"/>
  <c r="L657" i="4"/>
  <c r="L653" i="4"/>
  <c r="L649" i="4"/>
  <c r="L645" i="4"/>
  <c r="L641" i="4"/>
  <c r="L637" i="4"/>
  <c r="L633" i="4"/>
  <c r="L629" i="4"/>
  <c r="L625" i="4"/>
  <c r="L621" i="4"/>
  <c r="L617" i="4"/>
  <c r="L613" i="4"/>
  <c r="L609" i="4"/>
  <c r="L605" i="4"/>
  <c r="L601" i="4"/>
  <c r="L597" i="4"/>
  <c r="L593" i="4"/>
  <c r="L589" i="4"/>
  <c r="L585" i="4"/>
  <c r="L581" i="4"/>
  <c r="L577" i="4"/>
  <c r="L573" i="4"/>
  <c r="L569" i="4"/>
  <c r="L565" i="4"/>
  <c r="L561" i="4"/>
  <c r="L557" i="4"/>
  <c r="L553" i="4"/>
  <c r="L549" i="4"/>
  <c r="L545" i="4"/>
  <c r="L541" i="4"/>
  <c r="L537" i="4"/>
  <c r="L533" i="4"/>
  <c r="L529" i="4"/>
  <c r="L525" i="4"/>
  <c r="L521" i="4"/>
  <c r="L517" i="4"/>
  <c r="L513" i="4"/>
  <c r="L509" i="4"/>
  <c r="L505" i="4"/>
  <c r="L501" i="4"/>
  <c r="L497" i="4"/>
  <c r="L493" i="4"/>
  <c r="L489" i="4"/>
  <c r="L485" i="4"/>
  <c r="L481" i="4"/>
  <c r="L477" i="4"/>
  <c r="L473" i="4"/>
  <c r="L469" i="4"/>
  <c r="L465" i="4"/>
  <c r="L461" i="4"/>
  <c r="L457" i="4"/>
  <c r="L453" i="4"/>
  <c r="L449" i="4"/>
  <c r="L445" i="4"/>
  <c r="L441" i="4"/>
  <c r="L437" i="4"/>
  <c r="L433" i="4"/>
  <c r="L429" i="4"/>
  <c r="L425" i="4"/>
  <c r="L309" i="4"/>
  <c r="L229" i="4"/>
  <c r="L165" i="4"/>
  <c r="L101" i="4"/>
  <c r="L656" i="4"/>
  <c r="L652" i="4"/>
  <c r="L648" i="4"/>
  <c r="L644" i="4"/>
  <c r="L640" i="4"/>
  <c r="L636" i="4"/>
  <c r="L632" i="4"/>
  <c r="L628" i="4"/>
  <c r="L624" i="4"/>
  <c r="L620" i="4"/>
  <c r="L616" i="4"/>
  <c r="L612" i="4"/>
  <c r="L608" i="4"/>
  <c r="L604" i="4"/>
  <c r="L600" i="4"/>
  <c r="L596" i="4"/>
  <c r="L592" i="4"/>
  <c r="L588" i="4"/>
  <c r="L584" i="4"/>
  <c r="L580" i="4"/>
  <c r="L576" i="4"/>
  <c r="L572" i="4"/>
  <c r="L568" i="4"/>
  <c r="L564" i="4"/>
  <c r="L560" i="4"/>
  <c r="L556" i="4"/>
  <c r="L552" i="4"/>
  <c r="L548" i="4"/>
  <c r="L544" i="4"/>
  <c r="L540" i="4"/>
  <c r="L536" i="4"/>
  <c r="L532" i="4"/>
  <c r="L528" i="4"/>
  <c r="L524" i="4"/>
  <c r="L520" i="4"/>
  <c r="L516" i="4"/>
  <c r="L512" i="4"/>
  <c r="L508" i="4"/>
  <c r="L504" i="4"/>
  <c r="L500" i="4"/>
  <c r="L496" i="4"/>
  <c r="L492" i="4"/>
  <c r="L488" i="4"/>
  <c r="L484" i="4"/>
  <c r="L480" i="4"/>
  <c r="L320" i="4"/>
  <c r="L272" i="4"/>
  <c r="L144" i="4"/>
  <c r="L80" i="4"/>
  <c r="L16" i="4"/>
  <c r="L763" i="4"/>
  <c r="L759" i="4"/>
  <c r="L755" i="4"/>
  <c r="L751" i="4"/>
  <c r="L747" i="4"/>
  <c r="L743" i="4"/>
  <c r="L739" i="4"/>
  <c r="L735" i="4"/>
  <c r="L731" i="4"/>
  <c r="L727" i="4"/>
  <c r="L723" i="4"/>
  <c r="L719" i="4"/>
  <c r="L715" i="4"/>
  <c r="L711" i="4"/>
  <c r="L707" i="4"/>
  <c r="L703" i="4"/>
  <c r="L699" i="4"/>
  <c r="L695" i="4"/>
  <c r="L691" i="4"/>
  <c r="L687" i="4"/>
  <c r="L683" i="4"/>
  <c r="L679" i="4"/>
  <c r="L675" i="4"/>
  <c r="L671" i="4"/>
  <c r="L667" i="4"/>
  <c r="L663" i="4"/>
  <c r="L659" i="4"/>
  <c r="L655" i="4"/>
  <c r="L651" i="4"/>
  <c r="L647" i="4"/>
  <c r="L643" i="4"/>
  <c r="L639" i="4"/>
  <c r="L635" i="4"/>
  <c r="L631" i="4"/>
  <c r="L627" i="4"/>
  <c r="L623" i="4"/>
  <c r="L619" i="4"/>
  <c r="L615" i="4"/>
  <c r="L611" i="4"/>
  <c r="L607" i="4"/>
  <c r="L603" i="4"/>
  <c r="L599" i="4"/>
  <c r="L595" i="4"/>
  <c r="L591" i="4"/>
  <c r="L587" i="4"/>
  <c r="L583" i="4"/>
  <c r="L579" i="4"/>
  <c r="L575" i="4"/>
  <c r="L571" i="4"/>
  <c r="L567" i="4"/>
  <c r="L563" i="4"/>
  <c r="L559" i="4"/>
  <c r="L555" i="4"/>
  <c r="L551" i="4"/>
  <c r="L547" i="4"/>
  <c r="L543" i="4"/>
  <c r="L539" i="4"/>
  <c r="L535" i="4"/>
  <c r="L531" i="4"/>
  <c r="L527" i="4"/>
  <c r="L523" i="4"/>
  <c r="L519" i="4"/>
  <c r="L515" i="4"/>
  <c r="L511" i="4"/>
  <c r="L507" i="4"/>
  <c r="L503" i="4"/>
  <c r="L499" i="4"/>
  <c r="L495" i="4"/>
  <c r="L491" i="4"/>
  <c r="L487" i="4"/>
  <c r="L483" i="4"/>
  <c r="L479" i="4"/>
  <c r="L475" i="4"/>
  <c r="L471" i="4"/>
  <c r="L476" i="4"/>
  <c r="L472" i="4"/>
  <c r="L468" i="4"/>
  <c r="L464" i="4"/>
  <c r="L460" i="4"/>
  <c r="L456" i="4"/>
  <c r="L452" i="4"/>
  <c r="L448" i="4"/>
  <c r="L444" i="4"/>
  <c r="L440" i="4"/>
  <c r="L436" i="4"/>
  <c r="L432" i="4"/>
  <c r="L428" i="4"/>
  <c r="L424" i="4"/>
  <c r="L420" i="4"/>
  <c r="L416" i="4"/>
  <c r="L412" i="4"/>
  <c r="L408" i="4"/>
  <c r="L404" i="4"/>
  <c r="L400" i="4"/>
  <c r="L396" i="4"/>
  <c r="L392" i="4"/>
  <c r="L388" i="4"/>
  <c r="L384" i="4"/>
  <c r="L380" i="4"/>
  <c r="L376" i="4"/>
  <c r="L372" i="4"/>
  <c r="L368" i="4"/>
  <c r="L364" i="4"/>
  <c r="L360" i="4"/>
  <c r="L356" i="4"/>
  <c r="L352" i="4"/>
  <c r="L348" i="4"/>
  <c r="L344" i="4"/>
  <c r="L340" i="4"/>
  <c r="L336" i="4"/>
  <c r="L332" i="4"/>
  <c r="L328" i="4"/>
  <c r="L324" i="4"/>
  <c r="L316" i="4"/>
  <c r="L312" i="4"/>
  <c r="L308" i="4"/>
  <c r="L304" i="4"/>
  <c r="L300" i="4"/>
  <c r="L296" i="4"/>
  <c r="L292" i="4"/>
  <c r="L288" i="4"/>
  <c r="L284" i="4"/>
  <c r="L280" i="4"/>
  <c r="L276" i="4"/>
  <c r="L268" i="4"/>
  <c r="L264" i="4"/>
  <c r="L260" i="4"/>
  <c r="L256" i="4"/>
  <c r="L252" i="4"/>
  <c r="L248" i="4"/>
  <c r="L244" i="4"/>
  <c r="L240" i="4"/>
  <c r="L236" i="4"/>
  <c r="L232" i="4"/>
  <c r="L228" i="4"/>
  <c r="L224" i="4"/>
  <c r="L220" i="4"/>
  <c r="L216" i="4"/>
  <c r="L212" i="4"/>
  <c r="L204" i="4"/>
  <c r="L200" i="4"/>
  <c r="L196" i="4"/>
  <c r="L192" i="4"/>
  <c r="L188" i="4"/>
  <c r="L184" i="4"/>
  <c r="L180" i="4"/>
  <c r="L176" i="4"/>
  <c r="L172" i="4"/>
  <c r="L168" i="4"/>
  <c r="L164" i="4"/>
  <c r="L160" i="4"/>
  <c r="L156" i="4"/>
  <c r="L152" i="4"/>
  <c r="L148" i="4"/>
  <c r="L140" i="4"/>
  <c r="L136" i="4"/>
  <c r="L132" i="4"/>
  <c r="L128" i="4"/>
  <c r="L124" i="4"/>
  <c r="L120" i="4"/>
  <c r="L116" i="4"/>
  <c r="L112" i="4"/>
  <c r="L108" i="4"/>
  <c r="L104" i="4"/>
  <c r="L100" i="4"/>
  <c r="L96" i="4"/>
  <c r="L92" i="4"/>
  <c r="L88" i="4"/>
  <c r="L84" i="4"/>
  <c r="L76" i="4"/>
  <c r="L72" i="4"/>
  <c r="L68" i="4"/>
  <c r="L64" i="4"/>
  <c r="L60" i="4"/>
  <c r="L56" i="4"/>
  <c r="L52" i="4"/>
  <c r="L48" i="4"/>
  <c r="L44" i="4"/>
  <c r="L40" i="4"/>
  <c r="L36" i="4"/>
  <c r="L32" i="4"/>
  <c r="L28" i="4"/>
  <c r="L24" i="4"/>
  <c r="L20" i="4"/>
  <c r="L12" i="4"/>
  <c r="L8" i="4"/>
  <c r="L467" i="4"/>
  <c r="L463" i="4"/>
  <c r="L459" i="4"/>
  <c r="L455" i="4"/>
  <c r="L451" i="4"/>
  <c r="L447" i="4"/>
  <c r="L443" i="4"/>
  <c r="L439" i="4"/>
  <c r="L435" i="4"/>
  <c r="L431" i="4"/>
  <c r="L427" i="4"/>
  <c r="L423" i="4"/>
  <c r="L419" i="4"/>
  <c r="L415" i="4"/>
  <c r="L411" i="4"/>
  <c r="L407" i="4"/>
  <c r="L403" i="4"/>
  <c r="L399" i="4"/>
  <c r="L395" i="4"/>
  <c r="L391" i="4"/>
  <c r="L387" i="4"/>
  <c r="L383" i="4"/>
  <c r="L379" i="4"/>
  <c r="L375" i="4"/>
  <c r="L371" i="4"/>
  <c r="L367" i="4"/>
  <c r="L363" i="4"/>
  <c r="L359" i="4"/>
  <c r="L355" i="4"/>
  <c r="L351" i="4"/>
  <c r="L347" i="4"/>
  <c r="L343" i="4"/>
  <c r="L339" i="4"/>
  <c r="L335" i="4"/>
  <c r="L331" i="4"/>
  <c r="L327" i="4"/>
  <c r="L323" i="4"/>
  <c r="L319" i="4"/>
  <c r="L315" i="4"/>
  <c r="L311" i="4"/>
  <c r="L307" i="4"/>
  <c r="L303" i="4"/>
  <c r="L299" i="4"/>
  <c r="L295" i="4"/>
  <c r="L291" i="4"/>
  <c r="L287" i="4"/>
  <c r="L283" i="4"/>
  <c r="L279" i="4"/>
  <c r="L275" i="4"/>
  <c r="L271" i="4"/>
  <c r="L267" i="4"/>
  <c r="L263" i="4"/>
  <c r="L259" i="4"/>
  <c r="L255" i="4"/>
  <c r="L251" i="4"/>
  <c r="L247" i="4"/>
  <c r="L243" i="4"/>
  <c r="L239" i="4"/>
  <c r="L235" i="4"/>
  <c r="L231" i="4"/>
  <c r="L227" i="4"/>
  <c r="L223" i="4"/>
  <c r="L219" i="4"/>
  <c r="L215" i="4"/>
  <c r="L211" i="4"/>
  <c r="L207" i="4"/>
  <c r="L203" i="4"/>
  <c r="L199" i="4"/>
  <c r="L195" i="4"/>
  <c r="L191" i="4"/>
  <c r="L187" i="4"/>
  <c r="L183" i="4"/>
  <c r="L179" i="4"/>
  <c r="L175" i="4"/>
  <c r="L171" i="4"/>
  <c r="L167" i="4"/>
  <c r="L163" i="4"/>
  <c r="L159" i="4"/>
  <c r="L155" i="4"/>
  <c r="L151" i="4"/>
  <c r="L147" i="4"/>
  <c r="L143" i="4"/>
  <c r="L139" i="4"/>
  <c r="L135" i="4"/>
  <c r="L131" i="4"/>
  <c r="L127" i="4"/>
  <c r="L123" i="4"/>
  <c r="L119" i="4"/>
  <c r="L115" i="4"/>
  <c r="L111" i="4"/>
  <c r="L107" i="4"/>
  <c r="L103" i="4"/>
  <c r="L99" i="4"/>
  <c r="L95" i="4"/>
  <c r="L91" i="4"/>
  <c r="L87" i="4"/>
  <c r="L83" i="4"/>
  <c r="L79" i="4"/>
  <c r="L75" i="4"/>
  <c r="L71" i="4"/>
  <c r="L67" i="4"/>
  <c r="L63" i="4"/>
  <c r="L59" i="4"/>
  <c r="L55" i="4"/>
  <c r="L51" i="4"/>
  <c r="L47" i="4"/>
  <c r="L43" i="4"/>
  <c r="L39" i="4"/>
  <c r="L35" i="4"/>
  <c r="L31" i="4"/>
  <c r="L27" i="4"/>
  <c r="L23" i="4"/>
  <c r="L19" i="4"/>
  <c r="L15" i="4"/>
  <c r="L11" i="4"/>
  <c r="L7" i="4"/>
  <c r="L421" i="4"/>
  <c r="L417" i="4"/>
  <c r="L413" i="4"/>
  <c r="L409" i="4"/>
  <c r="L405" i="4"/>
  <c r="L401" i="4"/>
  <c r="L397" i="4"/>
  <c r="L393" i="4"/>
  <c r="L389" i="4"/>
  <c r="L385" i="4"/>
  <c r="L381" i="4"/>
  <c r="L377" i="4"/>
  <c r="L373" i="4"/>
  <c r="L369" i="4"/>
  <c r="L365" i="4"/>
  <c r="L361" i="4"/>
  <c r="L357" i="4"/>
  <c r="L353" i="4"/>
  <c r="L349" i="4"/>
  <c r="L345" i="4"/>
  <c r="L337" i="4"/>
  <c r="L333" i="4"/>
  <c r="L329" i="4"/>
  <c r="L325" i="4"/>
  <c r="L321" i="4"/>
  <c r="L317" i="4"/>
  <c r="L313" i="4"/>
  <c r="L305" i="4"/>
  <c r="L301" i="4"/>
  <c r="L297" i="4"/>
  <c r="L289" i="4"/>
  <c r="L285" i="4"/>
  <c r="L281" i="4"/>
  <c r="L277" i="4"/>
  <c r="L273" i="4"/>
  <c r="L269" i="4"/>
  <c r="L265" i="4"/>
  <c r="L261" i="4"/>
  <c r="L257" i="4"/>
  <c r="L253" i="4"/>
  <c r="L249" i="4"/>
  <c r="L245" i="4"/>
  <c r="L241" i="4"/>
  <c r="L237" i="4"/>
  <c r="L233" i="4"/>
  <c r="L225" i="4"/>
  <c r="L221" i="4"/>
  <c r="L217" i="4"/>
  <c r="L213" i="4"/>
  <c r="L209" i="4"/>
  <c r="L205" i="4"/>
  <c r="L201" i="4"/>
  <c r="L197" i="4"/>
  <c r="L193" i="4"/>
  <c r="L189" i="4"/>
  <c r="L185" i="4"/>
  <c r="L181" i="4"/>
  <c r="L177" i="4"/>
  <c r="L173" i="4"/>
  <c r="L169" i="4"/>
  <c r="L161" i="4"/>
  <c r="L157" i="4"/>
  <c r="L153" i="4"/>
  <c r="L149" i="4"/>
  <c r="L145" i="4"/>
  <c r="L141" i="4"/>
  <c r="L137" i="4"/>
  <c r="L133" i="4"/>
  <c r="L129" i="4"/>
  <c r="L125" i="4"/>
  <c r="L121" i="4"/>
  <c r="L117" i="4"/>
  <c r="L113" i="4"/>
  <c r="L109" i="4"/>
  <c r="L105" i="4"/>
  <c r="L97" i="4"/>
  <c r="L93" i="4"/>
  <c r="L89" i="4"/>
  <c r="L85" i="4"/>
  <c r="L81" i="4"/>
  <c r="L77" i="4"/>
  <c r="L73" i="4"/>
  <c r="L69" i="4"/>
  <c r="L65" i="4"/>
  <c r="L61" i="4"/>
  <c r="L57" i="4"/>
  <c r="L53" i="4"/>
  <c r="L49" i="4"/>
  <c r="L45" i="4"/>
  <c r="L41" i="4"/>
  <c r="L33" i="4"/>
  <c r="L29" i="4"/>
  <c r="L25" i="4"/>
  <c r="L21" i="4"/>
  <c r="L17" i="4"/>
  <c r="L13" i="4"/>
  <c r="L9" i="4"/>
  <c r="L5" i="4"/>
  <c r="L478" i="4"/>
  <c r="L494" i="4"/>
  <c r="L510" i="4"/>
  <c r="I13" i="2"/>
  <c r="L208" i="4"/>
  <c r="L482" i="4"/>
  <c r="L498" i="4"/>
  <c r="L486" i="4"/>
  <c r="L502" i="4"/>
  <c r="L490" i="4"/>
  <c r="L506" i="4"/>
</calcChain>
</file>

<file path=xl/sharedStrings.xml><?xml version="1.0" encoding="utf-8"?>
<sst xmlns="http://schemas.openxmlformats.org/spreadsheetml/2006/main" count="6539" uniqueCount="4848">
  <si>
    <t>Senate</t>
  </si>
  <si>
    <t>House</t>
  </si>
  <si>
    <t>Congress</t>
  </si>
  <si>
    <t>Total</t>
  </si>
  <si>
    <t>Others</t>
  </si>
  <si>
    <t>Vacant</t>
  </si>
  <si>
    <t>34th</t>
  </si>
  <si>
    <t>1855–1857</t>
  </si>
  <si>
    <t>35th</t>
  </si>
  <si>
    <t>1857–1859</t>
  </si>
  <si>
    <t>36th</t>
  </si>
  <si>
    <t>1859–1861</t>
  </si>
  <si>
    <t>37th</t>
  </si>
  <si>
    <t>1861–1863</t>
  </si>
  <si>
    <t>38th</t>
  </si>
  <si>
    <t>1863–1865</t>
  </si>
  <si>
    <t>39th</t>
  </si>
  <si>
    <t>1865–1867</t>
  </si>
  <si>
    <t>40th</t>
  </si>
  <si>
    <t>1867–1869</t>
  </si>
  <si>
    <t>41st</t>
  </si>
  <si>
    <t>1869–1871</t>
  </si>
  <si>
    <t>42nd</t>
  </si>
  <si>
    <t>1871–1873</t>
  </si>
  <si>
    <t>43rd</t>
  </si>
  <si>
    <t>1873–1875</t>
  </si>
  <si>
    <t>44th</t>
  </si>
  <si>
    <t>1875–1877</t>
  </si>
  <si>
    <t>45th</t>
  </si>
  <si>
    <t>1877–1879</t>
  </si>
  <si>
    <t>46th</t>
  </si>
  <si>
    <t>1879–1881</t>
  </si>
  <si>
    <t>47th</t>
  </si>
  <si>
    <t>1881–1883</t>
  </si>
  <si>
    <t>48th</t>
  </si>
  <si>
    <t>1883–1885</t>
  </si>
  <si>
    <t>49th</t>
  </si>
  <si>
    <t>1885–1887</t>
  </si>
  <si>
    <t>50th</t>
  </si>
  <si>
    <t>1887–1889</t>
  </si>
  <si>
    <t>51st</t>
  </si>
  <si>
    <t>1889–1891</t>
  </si>
  <si>
    <t>52nd</t>
  </si>
  <si>
    <t>1891–1893</t>
  </si>
  <si>
    <t>53rd</t>
  </si>
  <si>
    <t>1893–1895</t>
  </si>
  <si>
    <t>54th</t>
  </si>
  <si>
    <t>1895–1897</t>
  </si>
  <si>
    <t>55th</t>
  </si>
  <si>
    <t>1897–1899</t>
  </si>
  <si>
    <t>56th</t>
  </si>
  <si>
    <t>1899–1901</t>
  </si>
  <si>
    <t>57th</t>
  </si>
  <si>
    <t>1901–1903</t>
  </si>
  <si>
    <t>58th</t>
  </si>
  <si>
    <t>1903–1905</t>
  </si>
  <si>
    <t>59th</t>
  </si>
  <si>
    <t>1905–1907</t>
  </si>
  <si>
    <t>60th</t>
  </si>
  <si>
    <t>1907–1909</t>
  </si>
  <si>
    <t>61st</t>
  </si>
  <si>
    <t>1909–1911</t>
  </si>
  <si>
    <t>62nd</t>
  </si>
  <si>
    <t>1911–1913</t>
  </si>
  <si>
    <t>63rd</t>
  </si>
  <si>
    <t>1913–1915</t>
  </si>
  <si>
    <t>64th</t>
  </si>
  <si>
    <t>1915–1917</t>
  </si>
  <si>
    <t>65th</t>
  </si>
  <si>
    <t>1917–1919</t>
  </si>
  <si>
    <t>66th</t>
  </si>
  <si>
    <t>1919–1921</t>
  </si>
  <si>
    <t>67th</t>
  </si>
  <si>
    <t>1921–1923</t>
  </si>
  <si>
    <t>68th</t>
  </si>
  <si>
    <t>1923–1925</t>
  </si>
  <si>
    <t>69th</t>
  </si>
  <si>
    <t>1925–1927</t>
  </si>
  <si>
    <t>70th</t>
  </si>
  <si>
    <t>1927–1929</t>
  </si>
  <si>
    <t>71st</t>
  </si>
  <si>
    <t>1929–1931</t>
  </si>
  <si>
    <t>72nd</t>
  </si>
  <si>
    <t>1931–1933</t>
  </si>
  <si>
    <t>73rd</t>
  </si>
  <si>
    <t>1933–1935</t>
  </si>
  <si>
    <t>74th</t>
  </si>
  <si>
    <t>1935–1937</t>
  </si>
  <si>
    <t>75th</t>
  </si>
  <si>
    <t>1937–1939</t>
  </si>
  <si>
    <t>76th</t>
  </si>
  <si>
    <t>1939–1941</t>
  </si>
  <si>
    <t>77th</t>
  </si>
  <si>
    <t>1941–1943</t>
  </si>
  <si>
    <t>78th</t>
  </si>
  <si>
    <t>1943–1945</t>
  </si>
  <si>
    <t>79th</t>
  </si>
  <si>
    <t>1945–1947</t>
  </si>
  <si>
    <t>80th</t>
  </si>
  <si>
    <t>1947–1949</t>
  </si>
  <si>
    <t>81st</t>
  </si>
  <si>
    <t>1949–1951</t>
  </si>
  <si>
    <t>82nd</t>
  </si>
  <si>
    <t>1951–1953</t>
  </si>
  <si>
    <t>83rd</t>
  </si>
  <si>
    <t>1953–1955</t>
  </si>
  <si>
    <t>84th</t>
  </si>
  <si>
    <t>1955–1957</t>
  </si>
  <si>
    <t>85th</t>
  </si>
  <si>
    <t>1957–1959</t>
  </si>
  <si>
    <t>86th</t>
  </si>
  <si>
    <t>1959–1961</t>
  </si>
  <si>
    <t>87th</t>
  </si>
  <si>
    <t>1961–1963</t>
  </si>
  <si>
    <t>88th</t>
  </si>
  <si>
    <t>1963–1965</t>
  </si>
  <si>
    <t>89th</t>
  </si>
  <si>
    <t>1965–1967</t>
  </si>
  <si>
    <t>90th</t>
  </si>
  <si>
    <t>1967–1969</t>
  </si>
  <si>
    <t>91st</t>
  </si>
  <si>
    <t>1969–1971</t>
  </si>
  <si>
    <t>92nd</t>
  </si>
  <si>
    <t>1971–1973</t>
  </si>
  <si>
    <t>93rd</t>
  </si>
  <si>
    <t>1973–1975</t>
  </si>
  <si>
    <t>94th</t>
  </si>
  <si>
    <t>1975–1977</t>
  </si>
  <si>
    <t>95th</t>
  </si>
  <si>
    <t>1977–1979</t>
  </si>
  <si>
    <t>96th</t>
  </si>
  <si>
    <t>1979–1981</t>
  </si>
  <si>
    <t>97th</t>
  </si>
  <si>
    <t>1981–1983</t>
  </si>
  <si>
    <t>98th</t>
  </si>
  <si>
    <t>1983–1985</t>
  </si>
  <si>
    <t>99th</t>
  </si>
  <si>
    <t>1985–1987</t>
  </si>
  <si>
    <t>100th</t>
  </si>
  <si>
    <t>1987–1989</t>
  </si>
  <si>
    <t>101st</t>
  </si>
  <si>
    <t>1989–1991</t>
  </si>
  <si>
    <t>102nd</t>
  </si>
  <si>
    <t>1991–1993</t>
  </si>
  <si>
    <t>103rd</t>
  </si>
  <si>
    <t>1993–1995</t>
  </si>
  <si>
    <t>104th</t>
  </si>
  <si>
    <t>1995–1997</t>
  </si>
  <si>
    <t>105th</t>
  </si>
  <si>
    <t>1997–1999</t>
  </si>
  <si>
    <t>106th</t>
  </si>
  <si>
    <t>1999–2001</t>
  </si>
  <si>
    <t>107th</t>
  </si>
  <si>
    <t>2001–2003</t>
  </si>
  <si>
    <t>108th</t>
  </si>
  <si>
    <t>2003–2005</t>
  </si>
  <si>
    <t>109th</t>
  </si>
  <si>
    <t>2005–2007</t>
  </si>
  <si>
    <t>110th</t>
  </si>
  <si>
    <t>2007–2009</t>
  </si>
  <si>
    <t>111th</t>
  </si>
  <si>
    <t>2009–2011</t>
  </si>
  <si>
    <t>112th</t>
  </si>
  <si>
    <t>2011–2013</t>
  </si>
  <si>
    <t>113th</t>
  </si>
  <si>
    <t>2013–2015</t>
  </si>
  <si>
    <t>114th</t>
  </si>
  <si>
    <t>2015–2017</t>
  </si>
  <si>
    <t>Enacted Laws</t>
  </si>
  <si>
    <t>Passed Resolutions</t>
  </si>
  <si>
    <t>Got A Vote</t>
  </si>
  <si>
    <t>Failed Legislation</t>
  </si>
  <si>
    <t>Vetoed Bills (w/o Override)</t>
  </si>
  <si>
    <t>Other Legislation</t>
  </si>
  <si>
    <t>TOTAL</t>
  </si>
  <si>
    <t>296</t>
  </si>
  <si>
    <t>284</t>
  </si>
  <si>
    <t>385</t>
  </si>
  <si>
    <t>460</t>
  </si>
  <si>
    <t>483</t>
  </si>
  <si>
    <t>504</t>
  </si>
  <si>
    <t>383</t>
  </si>
  <si>
    <t>604</t>
  </si>
  <si>
    <t>404</t>
  </si>
  <si>
    <t>337</t>
  </si>
  <si>
    <t>473</t>
  </si>
  <si>
    <t>610</t>
  </si>
  <si>
    <t>665</t>
  </si>
  <si>
    <t>761</t>
  </si>
  <si>
    <t>687</t>
  </si>
  <si>
    <t>677</t>
  </si>
  <si>
    <t>529</t>
  </si>
  <si>
    <t>736</t>
  </si>
  <si>
    <t>729</t>
  </si>
  <si>
    <t>Bills by Final Status</t>
  </si>
  <si>
    <t>Govtrack</t>
  </si>
  <si>
    <t>Composition of Congress by Political Party (1855-2017)</t>
  </si>
  <si>
    <t>infoplease</t>
  </si>
  <si>
    <t>President</t>
  </si>
  <si>
    <t>George Washington</t>
  </si>
  <si>
    <t>John Adams</t>
  </si>
  <si>
    <t>Federalist</t>
  </si>
  <si>
    <t>Thomas Jefferson</t>
  </si>
  <si>
    <t>Democratic-Republican</t>
  </si>
  <si>
    <t>James Madison</t>
  </si>
  <si>
    <t>James Monroe</t>
  </si>
  <si>
    <t>John Quincy Adams</t>
  </si>
  <si>
    <t>Andrew Jackson</t>
  </si>
  <si>
    <t>Martin Van Buren</t>
  </si>
  <si>
    <t>Democratic</t>
  </si>
  <si>
    <t>Whig</t>
  </si>
  <si>
    <t>John Tyler</t>
  </si>
  <si>
    <t>Zachary Taylor</t>
  </si>
  <si>
    <t>Millard Fillmore</t>
  </si>
  <si>
    <t>Franklin Pierce</t>
  </si>
  <si>
    <t>James Buchanan</t>
  </si>
  <si>
    <t>Abraham Lincoln</t>
  </si>
  <si>
    <t>Republican</t>
  </si>
  <si>
    <t>Andrew Johnson</t>
  </si>
  <si>
    <t>Grover Cleveland</t>
  </si>
  <si>
    <t>Benjamin Harrison</t>
  </si>
  <si>
    <t>William McKinley</t>
  </si>
  <si>
    <t>Theodore Roosevelt</t>
  </si>
  <si>
    <t>Woodrow Wilson</t>
  </si>
  <si>
    <t>Calvin Coolidge</t>
  </si>
  <si>
    <t>Jimmy Carter</t>
  </si>
  <si>
    <t>Bill Clinton</t>
  </si>
  <si>
    <r>
      <t xml:space="preserve">1. The Convention on the Law Applicable to Certain Rights in Respect of Securities Held with an Intermediary. Senate Consideration of Treaty Document 112-6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05/17/2012 - 112th Congress (2011-2012) </t>
    </r>
    <r>
      <rPr>
        <b/>
        <sz val="12"/>
        <color theme="1"/>
        <rFont val="Calibri"/>
        <family val="2"/>
        <scheme val="minor"/>
      </rPr>
      <t>Treaty Topic:</t>
    </r>
    <r>
      <rPr>
        <sz val="12"/>
        <color theme="1"/>
        <rFont val="Calibri"/>
        <family val="2"/>
        <scheme val="minor"/>
      </rPr>
      <t xml:space="preserve"> Investment </t>
    </r>
    <r>
      <rPr>
        <b/>
        <sz val="12"/>
        <color theme="1"/>
        <rFont val="Calibri"/>
        <family val="2"/>
        <scheme val="minor"/>
      </rPr>
      <t>Latest Senate Action:</t>
    </r>
    <r>
      <rPr>
        <sz val="12"/>
        <color theme="1"/>
        <rFont val="Calibri"/>
        <family val="2"/>
        <scheme val="minor"/>
      </rPr>
      <t xml:space="preserve"> 09/28/2016 - 114th Congress (2015-2016) - Resolution of advice and consent to ratification agreed to in Senate by Division Vote. (All Actions) </t>
    </r>
  </si>
  <si>
    <r>
      <t xml:space="preserve">2. Treaty on Plant Genetic Resources for Food and Agriculture Senate Consideration of Treaty Document 110-19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07/07/2008 - 110th Congress (2007-2008) </t>
    </r>
    <r>
      <rPr>
        <b/>
        <sz val="12"/>
        <color theme="1"/>
        <rFont val="Calibri"/>
        <family val="2"/>
        <scheme val="minor"/>
      </rPr>
      <t>Treaty Topic:</t>
    </r>
    <r>
      <rPr>
        <sz val="12"/>
        <color theme="1"/>
        <rFont val="Calibri"/>
        <family val="2"/>
        <scheme val="minor"/>
      </rPr>
      <t xml:space="preserve"> Agriculture </t>
    </r>
    <r>
      <rPr>
        <b/>
        <sz val="12"/>
        <color theme="1"/>
        <rFont val="Calibri"/>
        <family val="2"/>
        <scheme val="minor"/>
      </rPr>
      <t>Latest Senate Action:</t>
    </r>
    <r>
      <rPr>
        <sz val="12"/>
        <color theme="1"/>
        <rFont val="Calibri"/>
        <family val="2"/>
        <scheme val="minor"/>
      </rPr>
      <t xml:space="preserve"> 09/28/2016 - 114th Congress (2015-2016) - Resolution of advice and consent to ratification agreed to in Senate by Division Vote. (All Actions) </t>
    </r>
  </si>
  <si>
    <r>
      <t xml:space="preserve">3. Treaty with Algeria on Mutual Legal Assistance in Criminal Matters. Senate Consideration of Treaty Document 114-3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10/05/2015 - 114th Congress (2015-2016)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09/15/2016 - 114th Congress (2015-2016) - Resolution of advice and consent to ratification agreed to in Senate by Division Vote. (All Actions) </t>
    </r>
  </si>
  <si>
    <r>
      <t xml:space="preserve">4. Treaty with Jordan on Mutual Legal Assistance in Criminal Matters. Senate Consideration of Treaty Document 114-4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12/08/2015 - 114th Congress (2015-2016) </t>
    </r>
    <r>
      <rPr>
        <b/>
        <sz val="12"/>
        <color theme="1"/>
        <rFont val="Calibri"/>
        <family val="2"/>
        <scheme val="minor"/>
      </rPr>
      <t>Treaty Topic:</t>
    </r>
    <r>
      <rPr>
        <sz val="12"/>
        <color theme="1"/>
        <rFont val="Calibri"/>
        <family val="2"/>
        <scheme val="minor"/>
      </rPr>
      <t xml:space="preserve"> Mutual Legal Assistance </t>
    </r>
    <r>
      <rPr>
        <b/>
        <sz val="12"/>
        <color theme="1"/>
        <rFont val="Calibri"/>
        <family val="2"/>
        <scheme val="minor"/>
      </rPr>
      <t>Latest Senate Action:</t>
    </r>
    <r>
      <rPr>
        <sz val="12"/>
        <color theme="1"/>
        <rFont val="Calibri"/>
        <family val="2"/>
        <scheme val="minor"/>
      </rPr>
      <t xml:space="preserve"> 09/15/2016 - 114th Congress (2015-2016) - Resolution of advice and consent to ratification agreed to in Senate by Division Vote. (All Actions) </t>
    </r>
  </si>
  <si>
    <r>
      <t xml:space="preserve">5. Treaty with Kazakhstan on Mutual Legal Assistance in Criminal Matters Senate Consideration of Treaty Document 114-11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03/17/2016 - 114th Congress (2015-2016) </t>
    </r>
    <r>
      <rPr>
        <b/>
        <sz val="12"/>
        <color theme="1"/>
        <rFont val="Calibri"/>
        <family val="2"/>
        <scheme val="minor"/>
      </rPr>
      <t>Treaty Topic:</t>
    </r>
    <r>
      <rPr>
        <sz val="12"/>
        <color theme="1"/>
        <rFont val="Calibri"/>
        <family val="2"/>
        <scheme val="minor"/>
      </rPr>
      <t xml:space="preserve"> Mutual Legal Assistance </t>
    </r>
    <r>
      <rPr>
        <b/>
        <sz val="12"/>
        <color theme="1"/>
        <rFont val="Calibri"/>
        <family val="2"/>
        <scheme val="minor"/>
      </rPr>
      <t>Latest Senate Action:</t>
    </r>
    <r>
      <rPr>
        <sz val="12"/>
        <color theme="1"/>
        <rFont val="Calibri"/>
        <family val="2"/>
        <scheme val="minor"/>
      </rPr>
      <t xml:space="preserve"> 09/15/2016 - 114th Congress (2015-2016) - Resolution of advice and consent to ratification agreed to in Senate by Division Vote. (All Actions) </t>
    </r>
  </si>
  <si>
    <r>
      <t xml:space="preserve">6. Extradition Treaty with the Republic of Chile Senate Consideration of Treaty Document 113-6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09/17/2014 - 113th Congress (2013-2014) </t>
    </r>
    <r>
      <rPr>
        <b/>
        <sz val="12"/>
        <color theme="1"/>
        <rFont val="Calibri"/>
        <family val="2"/>
        <scheme val="minor"/>
      </rPr>
      <t>Treaty Topic:</t>
    </r>
    <r>
      <rPr>
        <sz val="12"/>
        <color theme="1"/>
        <rFont val="Calibri"/>
        <family val="2"/>
        <scheme val="minor"/>
      </rPr>
      <t xml:space="preserve"> Extradition </t>
    </r>
    <r>
      <rPr>
        <b/>
        <sz val="12"/>
        <color theme="1"/>
        <rFont val="Calibri"/>
        <family val="2"/>
        <scheme val="minor"/>
      </rPr>
      <t>Latest Senate Action:</t>
    </r>
    <r>
      <rPr>
        <sz val="12"/>
        <color theme="1"/>
        <rFont val="Calibri"/>
        <family val="2"/>
        <scheme val="minor"/>
      </rPr>
      <t xml:space="preserve"> 07/14/2016 - 114th Congress (2015-2016) - Resolution of advice and consent to ratification agreed to in Senate by Division Vote. (All Actions) </t>
    </r>
  </si>
  <si>
    <r>
      <t xml:space="preserve">7. Extradition Treaty with the Dominican Republic. Senate Consideration of Treaty Document 114-10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Extradition </t>
    </r>
    <r>
      <rPr>
        <b/>
        <sz val="12"/>
        <color theme="1"/>
        <rFont val="Calibri"/>
        <family val="2"/>
        <scheme val="minor"/>
      </rPr>
      <t>Latest Senate Action:</t>
    </r>
    <r>
      <rPr>
        <sz val="12"/>
        <color theme="1"/>
        <rFont val="Calibri"/>
        <family val="2"/>
        <scheme val="minor"/>
      </rPr>
      <t xml:space="preserve"> 07/14/2016 - 114th Congress (2015-2016) - Resolution of advice and consent to ratification agreed to in Senate by Division Vote. (All Actions) </t>
    </r>
  </si>
  <si>
    <r>
      <t xml:space="preserve">8. Protocol to the North Atlantic Treaty of 1949 on the Accession of Montenegro Senate Consideration of Treaty Document 114-12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06/28/2016 - 114th Congress (2015-2016)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06/28/2016 - 114th Congress (2015-2016) - Received in the Senate and referred to the Committee on Foreign Relations by unanimous consent removing the injunction of secrecy. (All Actions) </t>
    </r>
  </si>
  <si>
    <r>
      <t xml:space="preserve">9. U.N. Convention on the Use of Electronic Communications in International Contracts Senate Consideration of Treaty Document 114-5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Telecommunications </t>
    </r>
    <r>
      <rPr>
        <b/>
        <sz val="12"/>
        <color theme="1"/>
        <rFont val="Calibri"/>
        <family val="2"/>
        <scheme val="minor"/>
      </rPr>
      <t>Latest Senate Action:</t>
    </r>
    <r>
      <rPr>
        <sz val="12"/>
        <color theme="1"/>
        <rFont val="Calibri"/>
        <family val="2"/>
        <scheme val="minor"/>
      </rPr>
      <t xml:space="preserve"> 02/10/2016 - 114th Congress (2015-2016) - Received in the Senate and referred to the Committee on Foreign Relations by unanimous consent removing the injunction of secrecy. (All Actions) </t>
    </r>
  </si>
  <si>
    <r>
      <t xml:space="preserve">10. Marrakesh Treaty to Facilitate Access to Published Works for Persons Who Are Blind, Visually Impaired, or Otherwise Print Disabled Senate Consideration of Treaty Document 114-6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02/10/2016 - 114th Congress (2015-2016) - Received in the Senate and referred to the Committee on Foreign Relations by unanimous consent removing the injunction of secrecy. (All Actions) </t>
    </r>
  </si>
  <si>
    <r>
      <t xml:space="preserve">11. U.N. Convention on the Assignment of Receivables in International Trade Senate Consideration of Treaty Document 114-7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02/10/2016 - 114th Congress (2015-2016) - Received in the Senate and referred to the Committee on Foreign Relations by unanimous consent removing the injunction of secrecy. (All Actions) </t>
    </r>
  </si>
  <si>
    <r>
      <t xml:space="preserve">12. Beijing Treaty on Audiovisual Performances. Senate Consideration of Treaty Document 114-8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02/10/2016 - 114th Congress (2015-2016) - Received in the Senate and referred to the Committee on Foreign Relations by unanimous consent removing the injunction of secrecy. (All Actions) </t>
    </r>
  </si>
  <si>
    <r>
      <t xml:space="preserve">13. U.N. Convention on Independent Guarantees and Stand-By Letters of Credit. Senate Consideration of Treaty Document 114-9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02/10/2016 - 114th Congress (2015-2016)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02/10/2016 - 114th Congress (2015-2016) - Received in the Senate and referred to the Committee on Foreign Relations by unanimous consent removing the injunction of secrecy. (All Actions) </t>
    </r>
  </si>
  <si>
    <r>
      <t xml:space="preserve">14. Protocol Amending Tax Convention with Swiss Confederation Senate Consideration of Treaty Document 112-1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01/26/2011 - 112th Congress (2011-2012)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114-1 and a resolution of advice and consent to ratification with 4 conditions and 1 declaration. Executive Calendar No. 1. (All Actions) </t>
    </r>
  </si>
  <si>
    <r>
      <t xml:space="preserve">15. Protocol Amending the Tax Convention with Japan Senate Consideration of Treaty Document 114-1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04/13/2015 - 114th Congress (2015-2016)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114-5 and a resolution of advice and consent to ratification with 4 conditions and 1 declaration. Executive Calendar No. 5. (All Actions) </t>
    </r>
  </si>
  <si>
    <r>
      <t xml:space="preserve">16. The Protocol Amending the Tax Convention with Spain Senate Consideration of Treaty Document 113-4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05/07/2014 - 113th Congress (2013-2014)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114-2 and a resolution of advice and consent to ratification with 4 conditions and 1 declaration. Executive Calendar No. 2. (All Actions) </t>
    </r>
  </si>
  <si>
    <r>
      <t xml:space="preserve">17. Protocol Amending the Convention on Mutual Administrative Assistance in Tax Matters. Senate Consideration of Treaty Document 112-5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05/17/2012 - 112th Congress (2011-2012)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114-8 and a resolution of advice and consent to ratification with 1 declaration. Executive Calendar No. 8. (All Actions) </t>
    </r>
  </si>
  <si>
    <r>
      <t xml:space="preserve">18. Convention on Taxes with the Republic of Poland Senate Consideration of Treaty Document 113-5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05/20/2014 - 113th Congress (2013-2014)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114-3 and a resolution of advice and consent to ratification with 1 declaration. Executive Calendar No. 3. (All Actions) </t>
    </r>
  </si>
  <si>
    <r>
      <t xml:space="preserve">19. Tax Convention with Hungary Senate Consideration of Treaty Document 111-7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11/15/2010 - 111th Congress (2009-2010)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114-7 and a resolution of advice and consent to ratification with 1 declaration. Executive Calendar No. 7. (All Actions) </t>
    </r>
  </si>
  <si>
    <r>
      <t xml:space="preserve">20. Protocol Amending Tax Convention with Luxembourg Senate Consideration of Treaty Document 111-8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11/15/2010 - 111th Congress (2009-2010)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114-6 and a resolution of advice and consent to ratification with 1 declaration. Executive Calendar No. 6. (All Actions) </t>
    </r>
  </si>
  <si>
    <r>
      <t xml:space="preserve">21. Tax Convention with Chile. Senate Consideration of Treaty Document 112-8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05/17/2012 - 112th Congress (2011-2012)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02/09/2016 - 114th Congress (2015-2016) - Reported favorably by Senator Corker, Committee on Foreign Relations with printed Ex. Rept. 114-4 and a resolution of advice and consent to ratification with 1 declaration. Executive Calendar No. 4. (All Actions) </t>
    </r>
  </si>
  <si>
    <r>
      <t xml:space="preserve">22. Protocol to the Treaty on a Nuclear-Weapon-Free Zone in Central Asia Senate Consideration of Treaty Document 114-2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04/27/2015 - 114th Congress (2015-2016)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04/27/2015 - 114th Congress (2015-2016) - Received in the Senate and referred to the Committee on Foreign Relations by unanimous consent removing the injunction of secrecy. (All Actions) </t>
    </r>
  </si>
  <si>
    <r>
      <t xml:space="preserve">23. Convention on the Rights of Persons with Disabilities Senate Consideration of Treaty Document 112-7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05/17/2012 - 112th Congress (2011-2012)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12/17/2014 - 113th Congress (2013-2014) - No further action at sine die adjournment of the 113 Congress; automatically rereferred to the Committee on Foreign Relations under the provisions of Rule XXX, section 2, of the Standing Rules of the Senate. (All Actions) </t>
    </r>
  </si>
  <si>
    <r>
      <t xml:space="preserve">24. Convention on the Conservation and Management of High Seas Fishery Resources in the South Pacific Ocean. Senate Consideration of Treaty Document 113-1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04/22/2013 - 113th Congress (2013-2014)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04/03/2014 - 113th Congress (2013-2014) - Resolution of advice and consent to ratification agreed to in Senate by Division Vote. (All Actions) </t>
    </r>
  </si>
  <si>
    <r>
      <t xml:space="preserve">25. Convention on the Conservation and Management of High Seas Fisheries Resources in the North Pacific Ocean. Senate Consideration of Treaty Document 113-2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04/22/2013 - 113th Congress (2013-2014)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04/03/2014 - 113th Congress (2013-2014) - Resolution of advice and consent to ratification agreed to in Senate by Division Vote. (All Actions) </t>
    </r>
  </si>
  <si>
    <r>
      <t xml:space="preserve">26. Amendment to the Convention on Future Multilateral Cooperation in the Northwest Atlantic Fisheries. Senate Consideration of Treaty Document 113-3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04/22/2013 - 113th Congress (2013-2014)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04/03/2014 - 113th Congress (2013-2014) - Resolution of advice and consent to ratification agreed to in Senate by Division Vote. (All Actions) </t>
    </r>
  </si>
  <si>
    <r>
      <t xml:space="preserve">27. Agreement on Port State Measures to Prevent, Deter, and Eliminate Illegal, Unreported, and Unregulated Fishing Senate Consideration of Treaty Document 112-4 </t>
    </r>
    <r>
      <rPr>
        <b/>
        <sz val="12"/>
        <color theme="1"/>
        <rFont val="Calibri"/>
        <family val="2"/>
        <scheme val="minor"/>
      </rPr>
      <t>Text of Treaty Document:</t>
    </r>
    <r>
      <rPr>
        <sz val="12"/>
        <color theme="1"/>
        <rFont val="Calibri"/>
        <family val="2"/>
        <scheme val="minor"/>
      </rPr>
      <t xml:space="preserve"> TXT </t>
    </r>
    <r>
      <rPr>
        <b/>
        <sz val="12"/>
        <color theme="1"/>
        <rFont val="Calibri"/>
        <family val="2"/>
        <scheme val="minor"/>
      </rPr>
      <t>Date Received from President:</t>
    </r>
    <r>
      <rPr>
        <sz val="12"/>
        <color theme="1"/>
        <rFont val="Calibri"/>
        <family val="2"/>
        <scheme val="minor"/>
      </rPr>
      <t xml:space="preserve"> 11/14/2011 - 112th Congress (2011-2012)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04/03/2014 - 113th Congress (2013-2014) - Resolution of advice and consent to ratification agreed to in Senate by Division Vote. (All Actions) </t>
    </r>
  </si>
  <si>
    <r>
      <t xml:space="preserve">28. United Nations Convention on the Law of the Sea Senate Consideration of Treaty Document 103-39 </t>
    </r>
    <r>
      <rPr>
        <b/>
        <sz val="12"/>
        <color theme="1"/>
        <rFont val="Calibri"/>
        <family val="2"/>
        <scheme val="minor"/>
      </rPr>
      <t>Date Received from President:</t>
    </r>
    <r>
      <rPr>
        <sz val="12"/>
        <color theme="1"/>
        <rFont val="Calibri"/>
        <family val="2"/>
        <scheme val="minor"/>
      </rPr>
      <t xml:space="preserve"> 10/06/1994 - 103rd Congress (1993-1994)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06/28/2012 - 112th Congress (2011-2012) - Committee on Foreign Relations. Hearings held. Hearings printed: S.Hrg. 112-654. (All Actions) </t>
    </r>
  </si>
  <si>
    <r>
      <t xml:space="preserve">29. Mutual Legal Assistance Treaty with Bermuda Senate Consideration of Treaty Document 111-6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06/29/2010 - 111th Congress (2009-2010) </t>
    </r>
    <r>
      <rPr>
        <b/>
        <sz val="12"/>
        <color theme="1"/>
        <rFont val="Calibri"/>
        <family val="2"/>
        <scheme val="minor"/>
      </rPr>
      <t>Treaty Topic:</t>
    </r>
    <r>
      <rPr>
        <sz val="12"/>
        <color theme="1"/>
        <rFont val="Calibri"/>
        <family val="2"/>
        <scheme val="minor"/>
      </rPr>
      <t xml:space="preserve"> Mutual Legal Assistance </t>
    </r>
    <r>
      <rPr>
        <b/>
        <sz val="12"/>
        <color theme="1"/>
        <rFont val="Calibri"/>
        <family val="2"/>
        <scheme val="minor"/>
      </rPr>
      <t>Latest Senate Action:</t>
    </r>
    <r>
      <rPr>
        <sz val="12"/>
        <color theme="1"/>
        <rFont val="Calibri"/>
        <family val="2"/>
        <scheme val="minor"/>
      </rPr>
      <t xml:space="preserve"> 09/26/2011 - 112th Congress (2011-2012) - Resolution of advice and consent to ratification agreed to in Senate by Division Vote. (All Actions) </t>
    </r>
  </si>
  <si>
    <r>
      <t xml:space="preserve">30. Investment Treaty with Rwanda Senate Consideration of Treaty Document 110-23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11/20/2008 - 110th Congress (2007-2008) </t>
    </r>
    <r>
      <rPr>
        <b/>
        <sz val="12"/>
        <color theme="1"/>
        <rFont val="Calibri"/>
        <family val="2"/>
        <scheme val="minor"/>
      </rPr>
      <t>Treaty Topic:</t>
    </r>
    <r>
      <rPr>
        <sz val="12"/>
        <color theme="1"/>
        <rFont val="Calibri"/>
        <family val="2"/>
        <scheme val="minor"/>
      </rPr>
      <t xml:space="preserve"> Investment </t>
    </r>
    <r>
      <rPr>
        <b/>
        <sz val="12"/>
        <color theme="1"/>
        <rFont val="Calibri"/>
        <family val="2"/>
        <scheme val="minor"/>
      </rPr>
      <t>Latest Senate Action:</t>
    </r>
    <r>
      <rPr>
        <sz val="12"/>
        <color theme="1"/>
        <rFont val="Calibri"/>
        <family val="2"/>
        <scheme val="minor"/>
      </rPr>
      <t xml:space="preserve"> 09/26/2011 - 112th Congress (2011-2012) - Resolution of advice and consent to ratification agreed to in Senate by Division Vote. (All Actions) </t>
    </r>
  </si>
  <si>
    <r>
      <t xml:space="preserve">31. Protocols 1, 2, and 3 to the South Pacific Nuclear Free Zone Treaty Senate Consideration of Treaty Document 112-2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05/02/2011 - 112th Congress (2011-2012)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05/02/2011 - 112th Congress (2011-2012) - Received in the Senate and referred to the Committee on Foreign Relations pursuant to the removal of the injunction of secrecy. (All Actions) </t>
    </r>
  </si>
  <si>
    <r>
      <t xml:space="preserve">32. Protocols I and II to the African Nuclear-Weapon-Free Zone Treaty Senate Consideration of Treaty Document 112-3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05/02/2011 - 112th Congress (2011-2012)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05/02/2011 - 112th Congress (2011-2012) - Received in the Senate and referred to the Committee on Foreign Relations pursuant to removal of the injunction of secrecy. (All Actions) </t>
    </r>
  </si>
  <si>
    <r>
      <t xml:space="preserve">33. Treaty with Russia on Measures for Further Reduction and Limitation of Strategic Offensive Arms Senate Consideration of Treaty Document 111-5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05/13/2010 - 111th Congress (2009-2010)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12/22/2010 - 111th Congress (2009-2010) - Resolution of advice and consent to ratification agreed to as amended in Senate by Yea-Nay Vote. 71 - 26. Record Vote Number: 298. (All Actions) </t>
    </r>
  </si>
  <si>
    <r>
      <t xml:space="preserve">34. Treaty with United Kingdom Concerning Defense Trade Cooperation Senate Consideration of Treaty Document 110-7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09/20/2007 - 110th Congress (2007-2008)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09/29/2010 - 111th Congress (2009-2010) - Resolution of advice and consent to ratification agreed to in Senate by Division Vote. (All Actions) </t>
    </r>
  </si>
  <si>
    <r>
      <t xml:space="preserve">35. Treaty with Australia Concerning Defense Trade Cooperation Senate Consideration of Treaty Document 110-10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12/03/2007 - 110th Congress (2007-2008)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09/29/2010 - 111th Congress (2009-2010) - Resolution of advice and consent to ratification agreed to in Senate by Division Vote. (All Actions) </t>
    </r>
  </si>
  <si>
    <r>
      <t xml:space="preserve">36. Hague Convention on International Recovery of Child Support and Family Maintenance Senate Consideration of Treaty Document 110-21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09/08/2008 - 110th Congress (2007-2008)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09/29/2010 - 111th Congress (2009-2010) - Resolution of advice and consent to ratification agreed to as amended in Senate by Division Vote. (All Actions) </t>
    </r>
  </si>
  <si>
    <r>
      <t xml:space="preserve">37. Tax Convention with Malta Senate Consideration of Treaty Document 111-1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01/15/2009 - 111th Congress (2009-2010)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07/15/2010 - 111th Congress (2009-2010) - Resolution of advice and consent to ratification agreed to in Senate by Division Vote. (All Actions) </t>
    </r>
  </si>
  <si>
    <r>
      <t xml:space="preserve">38. Protocol Amending Tax Convention with New Zealand Senate Consideration of Treaty Document 111-3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06/16/2009 - 111th Congress (2009-2010)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07/15/2010 - 111th Congress (2009-2010) - Resolution of advice and consent to ratification agreed to in Senate by Division Vote. (All Actions) </t>
    </r>
  </si>
  <si>
    <r>
      <t xml:space="preserve">39. Protocol Amending Tax Convention with France Senate Consideration of Treaty Document 111-4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09/09/2009 - 111th Congress (2009-2010)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12/03/2009 - 111th Congress (2009-2010) - Resolution of advice and consent to ratification agreed to in Senate by Division Vote. (All Actions) </t>
    </r>
  </si>
  <si>
    <r>
      <t xml:space="preserve">40. Annex VI to the Protocol on Environmental Protection to the Antarctic Treaty Senate Consideration of Treaty Document 111-2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04/02/2009 - 111th Congress (2009-2010) </t>
    </r>
    <r>
      <rPr>
        <b/>
        <sz val="12"/>
        <color theme="1"/>
        <rFont val="Calibri"/>
        <family val="2"/>
        <scheme val="minor"/>
      </rPr>
      <t>Treaty Topic:</t>
    </r>
    <r>
      <rPr>
        <sz val="12"/>
        <color theme="1"/>
        <rFont val="Calibri"/>
        <family val="2"/>
        <scheme val="minor"/>
      </rPr>
      <t xml:space="preserve"> Environment </t>
    </r>
    <r>
      <rPr>
        <b/>
        <sz val="12"/>
        <color theme="1"/>
        <rFont val="Calibri"/>
        <family val="2"/>
        <scheme val="minor"/>
      </rPr>
      <t>Latest Senate Action:</t>
    </r>
    <r>
      <rPr>
        <sz val="12"/>
        <color theme="1"/>
        <rFont val="Calibri"/>
        <family val="2"/>
        <scheme val="minor"/>
      </rPr>
      <t xml:space="preserve"> 04/02/2009 - 111th Congress (2009-2010) - Received in the Senate and referred to the Committee on Foreign Relations by unanimous consent removing the injunction of secrecy. (All Actions) </t>
    </r>
  </si>
  <si>
    <r>
      <t xml:space="preserve">41. 1996 Protocol to Convention on Prevention of Marine Pollution by Dumping of Wastes Senate Consideration of Treaty Document 110-5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09/04/2007 - 110th Congress (2007-2008) </t>
    </r>
    <r>
      <rPr>
        <b/>
        <sz val="12"/>
        <color theme="1"/>
        <rFont val="Calibri"/>
        <family val="2"/>
        <scheme val="minor"/>
      </rPr>
      <t>Treaty Topic:</t>
    </r>
    <r>
      <rPr>
        <sz val="12"/>
        <color theme="1"/>
        <rFont val="Calibri"/>
        <family val="2"/>
        <scheme val="minor"/>
      </rPr>
      <t xml:space="preserve"> Environment </t>
    </r>
    <r>
      <rPr>
        <b/>
        <sz val="12"/>
        <color theme="1"/>
        <rFont val="Calibri"/>
        <family val="2"/>
        <scheme val="minor"/>
      </rPr>
      <t>Latest Senate Action:</t>
    </r>
    <r>
      <rPr>
        <sz val="12"/>
        <color theme="1"/>
        <rFont val="Calibri"/>
        <family val="2"/>
        <scheme val="minor"/>
      </rPr>
      <t xml:space="preserve"> 01/02/2009 - 111th Congress (2009-2010) - No further action at sine die adjournment of the 110th Congress; automatically rereferred to the Committee on Foreign Relations under the provisions of Rule XXX, section 2, of the Standing Rules of the Senate. (All Actions) </t>
    </r>
  </si>
  <si>
    <r>
      <t xml:space="preserve">42. CCW Protocol on Explosive Remnants of War Senate Consideration of Treaty Document 109-10(C)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06/20/2006 - 109th Congress (2005-2006)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09/26/2008 - 110th Congress (2007-2008) - Resolution of advice and consent to ratification agreed to in Senate by Division Vote. (All Actions) </t>
    </r>
  </si>
  <si>
    <r>
      <t xml:space="preserve">43. International Convention on Control of Harmful Anti-Fouling Systems on Ships, 2001 Senate Consideration of Treaty Document 110-13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01/22/2008 - 110th Congress (2007-2008)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09/26/2008 - 110th Congress (2007-2008) - Resolution of advice and consent to ratification agreed to in Senate by Division Vote. (All Actions) </t>
    </r>
  </si>
  <si>
    <r>
      <t xml:space="preserve">44. Agreement on Conservation of Albatrosses and Petrels Senate Consideration of Treaty Document 110-22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09/26/2008 - 110th Congress (2007-2008)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09/26/2008 - 110th Congress (2007-2008) - Received in the Senate and referred to the Committee on Foreign Relations by unanimous consent removing the injunction of secrecy. (All Actions) </t>
    </r>
  </si>
  <si>
    <r>
      <t xml:space="preserve">45. Land-Based Sources Protocol to Cartagena Convention Senate Consideration of Treaty Document 110-1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02/16/2007 - 110th Congress (2007-2008)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</si>
  <si>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46. The Hague Convention Senate Consideration of Treaty Document 106-1(A)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01/06/1999 - 106th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</si>
  <si>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47. International Convention for Suppression of Acts of Nuclear Terrorism Senate Consideration of Treaty Document 110-4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07/12/2007 - 110th Congress (2007-2008) </t>
    </r>
    <r>
      <rPr>
        <b/>
        <sz val="12"/>
        <color theme="1"/>
        <rFont val="Calibri"/>
        <family val="2"/>
        <scheme val="minor"/>
      </rPr>
      <t>Treaty Topic:</t>
    </r>
    <r>
      <rPr>
        <sz val="12"/>
        <color theme="1"/>
        <rFont val="Calibri"/>
        <family val="2"/>
        <scheme val="minor"/>
      </rPr>
      <t xml:space="preserve"> Terrorism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</si>
  <si>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48. Amendments to Constitution and Convention of International Telecommunication Union (ITU) (Geneva 1992) Senate Consideration of Treaty Document 108-5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04/30/2003 - 108th Congress (2003-2004)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</si>
  <si>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49. Amendment to Convention on Physical Protection of Nuclear Material Senate Consideration of Treaty Document 110-6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09/04/2007 - 110th Congress (2007-2008) </t>
    </r>
    <r>
      <rPr>
        <b/>
        <sz val="12"/>
        <color theme="1"/>
        <rFont val="Calibri"/>
        <family val="2"/>
        <scheme val="minor"/>
      </rPr>
      <t>Treaty Topic:</t>
    </r>
    <r>
      <rPr>
        <sz val="12"/>
        <color theme="1"/>
        <rFont val="Calibri"/>
        <family val="2"/>
        <scheme val="minor"/>
      </rPr>
      <t xml:space="preserve"> Terrorism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</si>
  <si>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50. Protocols of 2005 to the Convention concerning Safety of Maritime Navigation and to the Protocol concerning Safety of Fixed Platforms on the Continental Shelf Senate Consideration of Treaty Document 110-8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10/01/2007 - 110th Congress (2007-2008) </t>
    </r>
    <r>
      <rPr>
        <b/>
        <sz val="12"/>
        <color theme="1"/>
        <rFont val="Calibri"/>
        <family val="2"/>
        <scheme val="minor"/>
      </rPr>
      <t>Treaty Topic:</t>
    </r>
    <r>
      <rPr>
        <sz val="12"/>
        <color theme="1"/>
        <rFont val="Calibri"/>
        <family val="2"/>
        <scheme val="minor"/>
      </rPr>
      <t xml:space="preserve"> Terrorism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</si>
  <si>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51. 2002 Amendments to the ITU Constitution and Convention Senate Consideration of Treaty Document 109-11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07/10/2006 - 109th Congress (2005-2006) </t>
    </r>
    <r>
      <rPr>
        <b/>
        <sz val="12"/>
        <color theme="1"/>
        <rFont val="Calibri"/>
        <family val="2"/>
        <scheme val="minor"/>
      </rPr>
      <t>Treaty Topic:</t>
    </r>
    <r>
      <rPr>
        <sz val="12"/>
        <color theme="1"/>
        <rFont val="Calibri"/>
        <family val="2"/>
        <scheme val="minor"/>
      </rPr>
      <t xml:space="preserve"> Telecommunications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</si>
  <si>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52. Amendments to the Constitution and Convention of the International Telecommunication Union (Geneva, 1992) Senate Consideration of Treaty Document 110-16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04/08/2008 - 110th Congress (2007-2008) </t>
    </r>
    <r>
      <rPr>
        <b/>
        <sz val="12"/>
        <color theme="1"/>
        <rFont val="Calibri"/>
        <family val="2"/>
        <scheme val="minor"/>
      </rPr>
      <t>Treaty Topic:</t>
    </r>
    <r>
      <rPr>
        <sz val="12"/>
        <color theme="1"/>
        <rFont val="Calibri"/>
        <family val="2"/>
        <scheme val="minor"/>
      </rPr>
      <t xml:space="preserve"> Telecommunications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</si>
  <si>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53. Protocols to the North Atlantic Treaty of 1949 on Accession of Albania and Croatia Senate Consideration of Treaty Document 110-20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07/23/2008 - 110th Congress (2007-2008)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09/25/2008 - 110th Congress (2007-2008) - Resolution of advice and consent to ratification agreed to in Senate by Division Vote. (All Actions) </t>
    </r>
  </si>
  <si>
    <r>
      <t xml:space="preserve">54. Incendiary Weapons Protocol Senate Consideration of Treaty Document 105-1(B)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01/07/1997 - 105th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</si>
  <si>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55. PROTOCOL ON BLINDING LASER WEAPONS Senate Consideration of Treaty Document 105-1(C)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01/07/1997 - 105th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</si>
  <si>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56. Amendment to Article 1 of the Convention on Prohibitions or Restrictions on Use of Certain Conventional Weapons Which May be Deemed to be Excessively Injurious or to have Indiscriminate Effects Senate Consideration of Treaty Document 109-10(B)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06/20/2006 - 109th Congress (2005-2006)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</si>
  <si>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57. Extradition Treaty with Romania and Protocol to the Treaty on Mutual Legal Assistance in Criminal Matters with Romania Senate Consideration of Treaty Document 110-11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01/22/2008 - 110th Congress (2007-2008)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</si>
  <si>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58. Treaty with Sweden on Mutual Legal Assistance in Criminal Matters Senate Consideration of Treaty Document 107-12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07/15/2002 - 107th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</si>
  <si>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59. Extradition Treaty with Bulgaria and an Agreement on Certain Aspects of Mutual Legal Assistance in Criminal Matters with Bulgaria Senate Consideration of Treaty Document 110-12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01/22/2008 - 110th Congress (2007-2008)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</si>
  <si>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60. Mutual Legal Assistance Agreement with the European Union Senate Consideration of Treaty Document 109-13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09/28/2006 - 109th Congress (2005-2006) </t>
    </r>
    <r>
      <rPr>
        <b/>
        <sz val="12"/>
        <color theme="1"/>
        <rFont val="Calibri"/>
        <family val="2"/>
        <scheme val="minor"/>
      </rPr>
      <t>Treaty Topic:</t>
    </r>
    <r>
      <rPr>
        <sz val="12"/>
        <color theme="1"/>
        <rFont val="Calibri"/>
        <family val="2"/>
        <scheme val="minor"/>
      </rPr>
      <t xml:space="preserve"> Mutual Legal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</si>
  <si>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61. Extradition Agreement with the European Union Senate Consideration of Treaty Document 109-14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09/28/2006 - 109th Congress (2005-2006) </t>
    </r>
    <r>
      <rPr>
        <b/>
        <sz val="12"/>
        <color theme="1"/>
        <rFont val="Calibri"/>
        <family val="2"/>
        <scheme val="minor"/>
      </rPr>
      <t>Treaty Topic:</t>
    </r>
    <r>
      <rPr>
        <sz val="12"/>
        <color theme="1"/>
        <rFont val="Calibri"/>
        <family val="2"/>
        <scheme val="minor"/>
      </rPr>
      <t xml:space="preserve"> Extradition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</si>
  <si>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62. Extradition Treaty with Latvia Senate Consideration of Treaty Document 109-15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</si>
  <si>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63. Protocol Amending 1980 Tax Convention with Canada Senate Consideration of Treaty Document 110-15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03/13/2008 - 110th Congress (2007-2008)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</si>
  <si>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64. Extradition Treaty with Estonia Senate Consideration of Treaty Document 109-16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</si>
  <si>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65. Extradition Treaty with Malta Senate Consideration of Treaty Document 109-17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</si>
  <si>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66. Partial Revision (1992) of Radio Regulations (Geneva 1979) Senate Consideration of Treaty Document 107-17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09/30/2002 - 107th Congress (2001-2002) </t>
    </r>
    <r>
      <rPr>
        <b/>
        <sz val="12"/>
        <color theme="1"/>
        <rFont val="Calibri"/>
        <family val="2"/>
        <scheme val="minor"/>
      </rPr>
      <t>Treaty Topic:</t>
    </r>
    <r>
      <rPr>
        <sz val="12"/>
        <color theme="1"/>
        <rFont val="Calibri"/>
        <family val="2"/>
        <scheme val="minor"/>
      </rPr>
      <t xml:space="preserve"> Investment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</si>
  <si>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67. Tax Convention with Iceland Senate Consideration of Treaty Document 110-17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05/06/2008 - 110th Congress (2007-2008)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</si>
  <si>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68. Tax Convention with Bulgaria with Proposed Protocol of Amendment Senate Consideration of Treaty Document 110-18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06/04/2008 - 110th Congress (2007-2008)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</si>
  <si>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69. Treaty with Malaysia on Mutual Legal Assistance Senate Consideration of Treaty Document 109-22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11/14/2006 - 109th Congress (2005-2006)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</si>
  <si>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70. 1995 Revision of Radio Regulations Senate Consideration of Treaty Document 108-28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12/07/2004 - 108th Congress (2003-2004) </t>
    </r>
    <r>
      <rPr>
        <b/>
        <sz val="12"/>
        <color theme="1"/>
        <rFont val="Calibri"/>
        <family val="2"/>
        <scheme val="minor"/>
      </rPr>
      <t>Treaty Topic:</t>
    </r>
    <r>
      <rPr>
        <sz val="12"/>
        <color theme="1"/>
        <rFont val="Calibri"/>
        <family val="2"/>
        <scheme val="minor"/>
      </rPr>
      <t xml:space="preserve"> Telecommunications </t>
    </r>
    <r>
      <rPr>
        <b/>
        <sz val="12"/>
        <color theme="1"/>
        <rFont val="Calibri"/>
        <family val="2"/>
        <scheme val="minor"/>
      </rPr>
      <t>Latest Senate Action:</t>
    </r>
    <r>
      <rPr>
        <sz val="12"/>
        <color theme="1"/>
        <rFont val="Calibri"/>
        <family val="2"/>
        <scheme val="minor"/>
      </rPr>
      <t xml:space="preserve"> 09/23/2008 - 110th Congress (2007-2008) - Resolution of advice and consent to ratification agreed to in Senate by Division Vote. (All Actions) </t>
    </r>
  </si>
  <si>
    <r>
      <t xml:space="preserve">71. Protocol of Amendments to Convention on International Hydrographic Organization Senate Consideration of Treaty Document 110-9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10/23/2007 - 110th Congress (2007-2008)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07/21/2008 - 110th Congress (2007-2008) - Resolution of advice and consent to ratification agreed to in Senate by Division Vote. (All Actions) </t>
    </r>
  </si>
  <si>
    <r>
      <t xml:space="preserve">72. International Convention Against Doping in Sport Senate Consideration of Treaty Document 110-14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02/06/2008 - 110th Congress (2007-2008) </t>
    </r>
    <r>
      <rPr>
        <b/>
        <sz val="12"/>
        <color theme="1"/>
        <rFont val="Calibri"/>
        <family val="2"/>
        <scheme val="minor"/>
      </rPr>
      <t>Treaty Topic:</t>
    </r>
    <r>
      <rPr>
        <sz val="12"/>
        <color theme="1"/>
        <rFont val="Calibri"/>
        <family val="2"/>
        <scheme val="minor"/>
      </rPr>
      <t xml:space="preserve"> Drugs/Illegal Substances </t>
    </r>
    <r>
      <rPr>
        <b/>
        <sz val="12"/>
        <color theme="1"/>
        <rFont val="Calibri"/>
        <family val="2"/>
        <scheme val="minor"/>
      </rPr>
      <t>Latest Senate Action:</t>
    </r>
    <r>
      <rPr>
        <sz val="12"/>
        <color theme="1"/>
        <rFont val="Calibri"/>
        <family val="2"/>
        <scheme val="minor"/>
      </rPr>
      <t xml:space="preserve"> 07/21/2008 - 110th Congress (2007-2008) - Resolution of advice and consent to ratification agreed to in Senate by Division Vote. (All Actions) </t>
    </r>
  </si>
  <si>
    <r>
      <t xml:space="preserve">73. The Hague Convention and the Hague Protocol Senate Consideration of Treaty Document 106-1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01/06/1999 - 106th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04/15/2008 - 110th Congress (2007-2008) - Committee on Foreign Relations. Treaty divided into 2 treaties. 106-1A - the Hague Covention and 106-1B the Hague Protocol. (All Actions) </t>
    </r>
  </si>
  <si>
    <r>
      <t xml:space="preserve">74. Tax Convention with Belgium Senate Consideration of Treaty Document 110-3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06/21/2007 - 110th Congress (2007-2008)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12/14/2007 - 110th Congress (2007-2008) - Resolution of advice and consent to ratification agreed to in Senate by Division Vote. (All Actions) </t>
    </r>
  </si>
  <si>
    <r>
      <t xml:space="preserve">75. Protocol Amending Tax Convention with Germany Senate Consideration of Treaty Document 109-20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12/14/2007 - 110th Congress (2007-2008) - Resolution of advice and consent to ratification agreed to in Senate by Division Vote. (All Actions) </t>
    </r>
  </si>
  <si>
    <r>
      <t xml:space="preserve">76. Singapore Treaty on the Law of Trademarks Senate Consideration of Treaty Document 110-2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05/03/2007 - 110th Congress (2007-2008) </t>
    </r>
    <r>
      <rPr>
        <b/>
        <sz val="12"/>
        <color theme="1"/>
        <rFont val="Calibri"/>
        <family val="2"/>
        <scheme val="minor"/>
      </rPr>
      <t>Treaty Topic:</t>
    </r>
    <r>
      <rPr>
        <sz val="12"/>
        <color theme="1"/>
        <rFont val="Calibri"/>
        <family val="2"/>
        <scheme val="minor"/>
      </rPr>
      <t xml:space="preserve"> Trademarks/Patents </t>
    </r>
    <r>
      <rPr>
        <b/>
        <sz val="12"/>
        <color theme="1"/>
        <rFont val="Calibri"/>
        <family val="2"/>
        <scheme val="minor"/>
      </rPr>
      <t>Latest Senate Action:</t>
    </r>
    <r>
      <rPr>
        <sz val="12"/>
        <color theme="1"/>
        <rFont val="Calibri"/>
        <family val="2"/>
        <scheme val="minor"/>
      </rPr>
      <t xml:space="preserve"> 12/07/2007 - 110th Congress (2007-2008) - Resolution of advice and consent to ratification agreed to in Senate by Division Vote. (All Actions) </t>
    </r>
  </si>
  <si>
    <r>
      <t xml:space="preserve">77. Patent Law Treaty and Regulations Under Patent Law Treaty Senate Consideration of Treaty Document 109-12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09/05/2006 - 109th Congress (2005-2006)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12/07/2007 - 110th Congress (2007-2008) - Resolution of advice and consent to ratification agreed to in Senate by Division Vote. (All Actions) </t>
    </r>
  </si>
  <si>
    <r>
      <t xml:space="preserve">78. Geneva Act of the Hague Agreement Concerning the International Registration of Industrial Designs Senate Consideration of Treaty Document 109-21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11/13/2006 - 109th Congress (2005-2006)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12/07/2007 - 110th Congress (2007-2008) - Resolution of advice and consent to ratification agreed to in Senate by Division Vote. (All Actions) </t>
    </r>
  </si>
  <si>
    <r>
      <t xml:space="preserve">79. Protocol Amending Tax Convention with Finland Senate Consideration of Treaty Document 109-18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11/16/2007 - 110th Congress (2007-2008) - Resolution of advice and consent to ratification agreed to in Senate by Division Vote. (All Actions) </t>
    </r>
  </si>
  <si>
    <r>
      <t xml:space="preserve">80. Protocol Amending Tax Convention with Denmark Senate Consideration of Treaty Document 109-19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09/29/2006 - 109th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11/16/2007 - 110th Congress (2007-2008) - Resolution of advice and consent to ratification agreed to in Senate by Division Vote. (All Actions) </t>
    </r>
  </si>
  <si>
    <r>
      <t xml:space="preserve">81. Protocol to Treaty of Friendship, Commerce, and Navigation with Denmark Senate Consideration of Treaty Document 108-8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09/02/2003 - 108th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10/19/2007 - 110th Congress (2007-2008) - Resolution of advice and consent to ratification agreed to in Senate by Division Vote. (All Actions) </t>
    </r>
  </si>
  <si>
    <r>
      <t xml:space="preserve">82. Protocol Additional to the Geneva Conventions of 12 August 1949, and relating to the Adoption of an Additional Distinctive Emblem Senate Consideration of Treaty Document 109-10(A)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06/20/2006 - 109th Congress (2005-2006) </t>
    </r>
    <r>
      <rPr>
        <b/>
        <sz val="12"/>
        <color theme="1"/>
        <rFont val="Calibri"/>
        <family val="2"/>
        <scheme val="minor"/>
      </rPr>
      <t>Latest Senate Action:</t>
    </r>
    <r>
      <rPr>
        <sz val="12"/>
        <color theme="1"/>
        <rFont val="Calibri"/>
        <family val="2"/>
        <scheme val="minor"/>
      </rPr>
      <t xml:space="preserve"> 09/29/2006 - 109th Congress (2005-2006) - Resolution of advice and consent to ratification agreed to in Senate by Division Vote. (All Actions) </t>
    </r>
  </si>
  <si>
    <r>
      <t xml:space="preserve">83. Extradition Treaty with United Kingdom Senate Consideration of Treaty Document 108-23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04/19/2004 - 108th Congress (2003-2004)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09/29/2006 - 109th Congress (2005-2006) - Resolution of advice and consent to ratification agreed to in Senate by Division Vote. (All Actions) </t>
    </r>
  </si>
  <si>
    <r>
      <t xml:space="preserve">84. Protocol III to 1949 Geneva Conventions and an Amendment and Protocol to 1980 Conventional Weapons Convention Senate Consideration of Treaty Document 109-10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06/20/2006 - 109th Congress (2005-2006)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09/26/2006 - 109th Congress (2005-2006) - By unanimous consent agreement, treaty divided into 3 separate treaties: A, B, and C. (All Actions) </t>
    </r>
  </si>
  <si>
    <r>
      <t xml:space="preserve">85. Protocol Amending 1962 Extradition Convention with Israel Senate Consideration of Treaty Document 109-3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09/13/2005 - 109th Congress (2005-2006)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09/15/2006 - 109th Congress (2005-2006) - Resolution of advice and consent to ratification agreed to in Senate by Division Vote. (All Actions) </t>
    </r>
  </si>
  <si>
    <r>
      <t xml:space="preserve">86. U. N. Convention Against Corruption Senate Consideration of Treaty Document 109-6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10/27/2005 - 109th Congress (2005-2006)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09/15/2006 - 109th Congress (2005-2006) - Resolution of advice and consent to ratification agreed to in Senate by Division Vote. (All Actions) </t>
    </r>
  </si>
  <si>
    <r>
      <t xml:space="preserve">87. Investment Treaty with Uruguay Senate Consideration of Treaty Document 109-9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04/04/2006 - 109th Congress (2005-2006) </t>
    </r>
    <r>
      <rPr>
        <b/>
        <sz val="12"/>
        <color theme="1"/>
        <rFont val="Calibri"/>
        <family val="2"/>
        <scheme val="minor"/>
      </rPr>
      <t>Treaty Topic:</t>
    </r>
    <r>
      <rPr>
        <sz val="12"/>
        <color theme="1"/>
        <rFont val="Calibri"/>
        <family val="2"/>
        <scheme val="minor"/>
      </rPr>
      <t xml:space="preserve"> Investment </t>
    </r>
    <r>
      <rPr>
        <b/>
        <sz val="12"/>
        <color theme="1"/>
        <rFont val="Calibri"/>
        <family val="2"/>
        <scheme val="minor"/>
      </rPr>
      <t>Latest Senate Action:</t>
    </r>
    <r>
      <rPr>
        <sz val="12"/>
        <color theme="1"/>
        <rFont val="Calibri"/>
        <family val="2"/>
        <scheme val="minor"/>
      </rPr>
      <t xml:space="preserve"> 09/12/2006 - 109th Congress (2005-2006) - Resolution of advice and consent to ratification agreed to in Senate by Division Vote. (All Actions) </t>
    </r>
  </si>
  <si>
    <r>
      <t xml:space="preserve">88. Council of Europe Convention on Cybercrime Senate Consideration of Treaty Document 108-11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11/17/2003 - 108th Congress (2003-2004)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08/03/2006 - 109th Congress (2005-2006) - Resolution of advice and consent to ratification agreed to in Senate by Division Vote. (All Actions) </t>
    </r>
  </si>
  <si>
    <r>
      <t xml:space="preserve">89. Convention on Supplementary Compensation on Nuclear Damage Senate Consideration of Treaty Document 107-21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11/15/2002 - 107th Congress (2001-2002)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08/03/2006 - 109th Congress (2005-2006) - Resolution of advice and consent to ratification agreed to in Senate by Division Vote. (All Actions) </t>
    </r>
  </si>
  <si>
    <r>
      <t xml:space="preserve">90. Mutual Legal Assistance Treaty with Germany Senate Consideration of Treaty Document 108-27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11/16/2004 - 108th Congress (2003-2004)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07/27/2006 - 109th Congress (2005-2006) - Resolution of advice and consent to ratification agreed to in Senate by Division Vote. (All Actions) </t>
    </r>
  </si>
  <si>
    <r>
      <t xml:space="preserve">91. Protocol of 1997 Amending MARPOL Convention Senate Consideration of Treaty Document 108-7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05/15/2003 - 108th Congress (2003-2004)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04/07/2006 - 109th Congress (2005-2006) - Resolution of advice and consent to ratification agreed to in Senate by Division Vote. (All Actions) </t>
    </r>
  </si>
  <si>
    <r>
      <t xml:space="preserve">92. Mutual Legal Assistance Treaty with Japan Senate Consideration of Treaty Document 108-12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11/24/2003 - 108th Congress (2003-2004)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04/07/2006 - 109th Congress (2005-2006) - Resolution of advice and consent to ratification agreed to in Senate by Division Vote. (All Actions) </t>
    </r>
  </si>
  <si>
    <r>
      <t xml:space="preserve">93. Protocol Amending the Tax Convention with France Senate Consideration of Treaty Document 109-4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09/28/2005 - 109th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03/31/2006 - 109th Congress (2005-2006) - Resolution of advice and consent to ratification agreed to in Senate by Division Vote. (All Actions) </t>
    </r>
  </si>
  <si>
    <r>
      <t xml:space="preserve">94. Tax Convention with Bangladesh Senate Consideration of Treaty Document 109-5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10/27/2005 - 109th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03/31/2006 - 109th Congress (2005-2006) - Resolution of advice and consent to ratification agreed to in Senate by Division Vote. (All Actions) </t>
    </r>
  </si>
  <si>
    <r>
      <t xml:space="preserve">95. Protocol Amending Tax Convention on Inheritances with France Senate Consideration of Treaty Document 109-7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11/04/2005 - 109th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03/31/2006 - 109th Congress (2005-2006) - Resolution of advice and consent to ratification agreed to in Senate by Division Vote. (All Actions) </t>
    </r>
  </si>
  <si>
    <r>
      <t xml:space="preserve">96. Protocol Amending the Convention with Sweden on Taxes on Income Senate Consideration of Treaty Document 109-8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11/10/2005 - 109th Congress (2005-2006)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03/31/2006 - 109th Congress (2005-2006) - Resolution of advice and consent to ratification agreed to in Senate by Division Vote. (All Actions) </t>
    </r>
  </si>
  <si>
    <r>
      <t xml:space="preserve">97. Convention Concerning Migratory Fish Stock in the Pacific Ocean Senate Consideration of Treaty Document 109-1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05/16/2005 - 109th Congress (2005-2006)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11/18/2005 - 109th Congress (2005-2006) - Resolution of advice and consent to ratification agreed to in Senate by Division Vote. (All Actions) </t>
    </r>
  </si>
  <si>
    <r>
      <t xml:space="preserve">98. Convention Strengthening Inter-American Tuna Commission Senate Consideration of Treaty Document 109-2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05/16/2005 - 109th Congress (2005-2006)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11/18/2005 - 109th Congress (2005-2006) - Resolution of advice and consent to ratification agreed to in Senate by Division Vote. (All Actions) </t>
    </r>
  </si>
  <si>
    <r>
      <t xml:space="preserve">99. Agreement with Canada on Pacific Hake/Whiting Senate Consideration of Treaty Document 108-24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06/16/2004 - 108th Congress (2003-2004)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11/18/2005 - 109th Congress (2005-2006) - Resolution of advice and consent to ratification agreed to in Senate by Division Vote. (All Actions) </t>
    </r>
  </si>
  <si>
    <r>
      <t xml:space="preserve">100. U.N. Convention Against Transnational Organized Crime Senate Consideration of Treaty Document 108-16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02/23/2004 - 108th Congress (2003-2004)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10/07/2005 - 109th Congress (2005-2006) - Resolution of advice and consent to ratification agreed to in Senate by Division Vote. (All Actions) </t>
    </r>
  </si>
  <si>
    <r>
      <t xml:space="preserve">101. Inter-American Convention Against Terrorism Senate Consideration of Treaty Document 107-18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11/12/2002 - 107th Congress (2001-2002) </t>
    </r>
    <r>
      <rPr>
        <b/>
        <sz val="12"/>
        <color theme="1"/>
        <rFont val="Calibri"/>
        <family val="2"/>
        <scheme val="minor"/>
      </rPr>
      <t>Treaty Topic:</t>
    </r>
    <r>
      <rPr>
        <sz val="12"/>
        <color theme="1"/>
        <rFont val="Calibri"/>
        <family val="2"/>
        <scheme val="minor"/>
      </rPr>
      <t xml:space="preserve"> Terrorism </t>
    </r>
    <r>
      <rPr>
        <b/>
        <sz val="12"/>
        <color theme="1"/>
        <rFont val="Calibri"/>
        <family val="2"/>
        <scheme val="minor"/>
      </rPr>
      <t>Latest Senate Action:</t>
    </r>
    <r>
      <rPr>
        <sz val="12"/>
        <color theme="1"/>
        <rFont val="Calibri"/>
        <family val="2"/>
        <scheme val="minor"/>
      </rPr>
      <t xml:space="preserve"> 10/07/2005 - 109th Congress (2005-2006) - Resolution of advice and consent to ratification agreed to in Senate by Division Vote. (All Actions) </t>
    </r>
  </si>
  <si>
    <r>
      <t xml:space="preserve">102. Protocol of Amendment to International Convention on Simplification and Harmonization of Customs Procedures Senate Consideration of Treaty Document 108-6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04/30/2003 - 108th Congress (2003-2004)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09/26/2005 - 109th Congress (2005-2006) - Resolution of advice and consent to ratification agreed to in Senate by Yea-Nay Vote. 87 - 0. Record Vote Number: 244. (All Actions) </t>
    </r>
  </si>
  <si>
    <r>
      <t xml:space="preserve">103. Protocol Amending Tax Convention with the Netherlands Senate Consideration of Treaty Document 108-25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07/16/2004 - 108th Congress (2003-2004)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11/17/2004 - 108th Congress (2003-2004) - Resolution of advice and consent to ratification agreed to in Senate by Division Vote. (All Actions) </t>
    </r>
  </si>
  <si>
    <r>
      <t xml:space="preserve">104. 2nd Protocol Amending Tax Convention with Barbados Senate Consideration of Treaty Document 108-26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09/13/2004 - 108th Congress (2003-2004)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10/10/2004 - 108th Congress (2003-2004) - Resolution of advice and consent to ratification agreed to in Senate by Division Vote. (All Actions) </t>
    </r>
  </si>
  <si>
    <r>
      <t xml:space="preserve">105. Convention on International Interests in Mobile Equipment and Protocol to Convention on International Interests in Mobile Equipment Senate Consideration of Treaty Document 108-10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11/05/2003 - 108th Congress (2003-2004)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07/21/2004 - 108th Congress (2003-2004) - Resolution of advice and consent to ratification agreed to in Senate by Division Vote. (All Actions) </t>
    </r>
  </si>
  <si>
    <r>
      <t xml:space="preserve">106. Additional Protocol to Investment Treaty with Romania Senate Consideration of Treaty Document 108-13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12/09/2003 - 108th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</si>
  <si>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107. Additional Protocol Amending Investment Treaty with Bulgaria Senate Consideration of Treaty Document 108-15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01/21/2004 - 108th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</si>
  <si>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108. Investment Protocol with Estonia Senate Consideration of Treaty Document 108-17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</si>
  <si>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109. Additional Investment Protocol with the Czech Republic Senate Consideration of Treaty Document 108-18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</si>
  <si>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110. Additional Investment Protocol with the Slovak Republic Senate Consideration of Treaty Document 108-19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</si>
  <si>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111. Additional Investment Protocol with the Latvia Senate Consideration of Treaty Document 108-20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</si>
  <si>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112. Additional Investment Protocol with Lithuania Senate Consideration of Treaty Document 108-21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</si>
  <si>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113. Additional Protocol Concerning Business and Economic Relations with Poland Senate Consideration of Treaty Document 108-22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03/12/2004 - 108th Congress (2003-2004) </t>
    </r>
    <r>
      <rPr>
        <b/>
        <sz val="12"/>
        <color theme="1"/>
        <rFont val="Calibri"/>
        <family val="2"/>
        <scheme val="minor"/>
      </rPr>
      <t>Treaty Topic:</t>
    </r>
    <r>
      <rPr>
        <sz val="12"/>
        <color theme="1"/>
        <rFont val="Calibri"/>
        <family val="2"/>
        <scheme val="minor"/>
      </rPr>
      <t xml:space="preserve"> Intellectual Property/Copyrights </t>
    </r>
    <r>
      <rPr>
        <b/>
        <sz val="12"/>
        <color theme="1"/>
        <rFont val="Calibri"/>
        <family val="2"/>
        <scheme val="minor"/>
      </rPr>
      <t>Latest Senate Action:</t>
    </r>
    <r>
      <rPr>
        <sz val="12"/>
        <color theme="1"/>
        <rFont val="Calibri"/>
        <family val="2"/>
        <scheme val="minor"/>
      </rPr>
      <t xml:space="preserve"> 05/06/2004 - 108th Congress (2003-2004) - Resolution of advice and consent to ratification agreed to in Senate by Division Vote. (All Actions) </t>
    </r>
  </si>
  <si>
    <r>
      <t xml:space="preserve">114. The Protocol to the Agreement of the International Atomic Energy Agency Regarding Safeguards in the United States Senate Consideration of Treaty Document 107-7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05/09/2002 - 107th Congress (2001-2002)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03/31/2004 - 108th Congress (2003-2004) - Resolution of advice and consent to ratification agreed to in Senate by Division Vote. (All Actions) </t>
    </r>
  </si>
  <si>
    <r>
      <t xml:space="preserve">115. Protocol Amending Tax Convention with Sri Lanka Senate Consideration of Treaty Document 108-9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10/28/2003 - 108th Congress (2003-2004)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03/25/2004 - 108th Congress (2003-2004) - Resolution of advice and consent to ratification agreed to in Senate by Division Vote. (All Actions) </t>
    </r>
  </si>
  <si>
    <r>
      <t xml:space="preserve">116. INCOME TAX CONVENTION WITH SRI LANKA Senate Consideration of Treaty Document 99-10 </t>
    </r>
    <r>
      <rPr>
        <b/>
        <sz val="12"/>
        <color theme="1"/>
        <rFont val="Calibri"/>
        <family val="2"/>
        <scheme val="minor"/>
      </rPr>
      <t>Date Received from President:</t>
    </r>
    <r>
      <rPr>
        <sz val="12"/>
        <color theme="1"/>
        <rFont val="Calibri"/>
        <family val="2"/>
        <scheme val="minor"/>
      </rPr>
      <t xml:space="preserve"> 10/02/1985 - 99th Congress (1985-1986)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03/25/2004 - 108th Congress (2003-2004) - Resolution of advice and consent to ratification agreed to in Senate by Division Vote. (All Actions) </t>
    </r>
  </si>
  <si>
    <r>
      <t xml:space="preserve">117. Taxation Convention with Japan Senate Consideration of Treaty Document 108-14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12/09/2003 - 108th Congress (2003-2004)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03/09/2004 - 108th Congress (2003-2004) - Resolution of advice and consent to ratification agreed to in Senate by Division Vote. (All Actions) </t>
    </r>
  </si>
  <si>
    <r>
      <t xml:space="preserve">118. Agreement Amending Treaty with Canada Concerning Pacific Coast Albacore Tuna Vessels and Port Privileges Senate Consideration of Treaty Document 108-1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01/09/2003 - 108th Congress (2003-2004)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07/31/2003 - 108th Congress (2003-2004) - Resolution of advice and consent to ratification agreed to in Senate by Division Vote. (All Actions) </t>
    </r>
  </si>
  <si>
    <r>
      <t xml:space="preserve">119. Amendments to the 1987 Treaty on Fisheries with Pacific Island States Senate Consideration of Treaty Document 108-2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02/11/2003 - 108th Congress (2003-2004)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07/31/2003 - 108th Congress (2003-2004) - Resolution of advice and consent to ratification agreed to in Senate by Division Vote. (All Actions) </t>
    </r>
  </si>
  <si>
    <r>
      <t xml:space="preserve">120. Agreement with Russian Federation concerning Polar Bear Population Senate Consideration of Treaty Document 107-10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07/11/2002 - 107th Congress (2001-2002)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07/31/2003 - 108th Congress (2003-2004) - Resolution of advice and consent to ratification agreed to in Senate by Division Vote. (All Actions) </t>
    </r>
  </si>
  <si>
    <r>
      <t xml:space="preserve">121. Protocol to Amend the Convention for Unification of Certain Rules Relating to International Carriage by Air Senate Consideration of Treaty Document 107-14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07/31/2002 - 107th Congress (2001-2002)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07/31/2003 - 108th Congress (2003-2004) - Resolution of advice and consent to ratification agreed to in Senate by Division Vote. (All Actions) </t>
    </r>
  </si>
  <si>
    <r>
      <t xml:space="preserve">122. CONVENTION FOR INTERNATIONAL CARRIAGE BY AIR Senate Consideration of Treaty Document 106-45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09/06/2000 - 106th Congress (1999-2000)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07/31/2003 - 108th Congress (2003-2004) - Resolution of advice and consent to ratification agreed to in Senate by Division Vote. (All Actions) </t>
    </r>
  </si>
  <si>
    <r>
      <t xml:space="preserve">123. Stockholm Convention on Organic Pollutants Senate Consideration of Treaty Document 107-5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05/06/2002 - 107th Congress (2001-2002) </t>
    </r>
    <r>
      <rPr>
        <b/>
        <sz val="12"/>
        <color theme="1"/>
        <rFont val="Calibri"/>
        <family val="2"/>
        <scheme val="minor"/>
      </rPr>
      <t>Treaty Topic:</t>
    </r>
    <r>
      <rPr>
        <sz val="12"/>
        <color theme="1"/>
        <rFont val="Calibri"/>
        <family val="2"/>
        <scheme val="minor"/>
      </rPr>
      <t xml:space="preserve"> Environment </t>
    </r>
    <r>
      <rPr>
        <b/>
        <sz val="12"/>
        <color theme="1"/>
        <rFont val="Calibri"/>
        <family val="2"/>
        <scheme val="minor"/>
      </rPr>
      <t>Latest Senate Action:</t>
    </r>
    <r>
      <rPr>
        <sz val="12"/>
        <color theme="1"/>
        <rFont val="Calibri"/>
        <family val="2"/>
        <scheme val="minor"/>
      </rPr>
      <t xml:space="preserve"> 06/17/2003 - 108th Congress (2003-2004) - Committee on Foreign Relations. Hearings held. Hearings printed: S.Hrg. in Ex. Rept. 108-8. (All Actions) </t>
    </r>
  </si>
  <si>
    <r>
      <t xml:space="preserve">124. Rotterdam Convention concerning Hazardous Chemicals and Pesticides in International Trade Senate Consideration of Treaty Document 106-21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02/09/2000 - 106th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06/17/2003 - 108th Congress (2003-2004) - Committee on Foreign Relations. Hearings held. Hearings printed: S.Hrg. in Ex. Rept. 108-8. (All Actions) </t>
    </r>
  </si>
  <si>
    <r>
      <t xml:space="preserve">125. Protocols to North Atlantic Treaty of 1949 on Accession of Bulgaria, Estonia, Latvia, Lithuania, Romania, Slovakia, and Slovenia Senate Consideration of Treaty Document 108-4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04/10/2003 - 108th Congress (2003-2004)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05/08/2003 - 108th Congress (2003-2004) - Resolution of advice and consent to ratification agreed to in Senate by Yea-Nay Vote. 96 - 0. Record Vote Number: 142. (All Actions) </t>
    </r>
  </si>
  <si>
    <r>
      <t xml:space="preserve">126. Joint Convention on Safety of Spent Fuel and Radioactive Waste Management Senate Consideration of Treaty Document 106-48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09/13/2000 - 106th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04/02/2003 - 108th Congress (2003-2004) - Resolution of advice and consent to ratification agreed to in Senate by Division Vote. (All Actions) </t>
    </r>
  </si>
  <si>
    <r>
      <t xml:space="preserve">127. Second Additional Protocol Modifying Convention with Mexico Regarding Double Taxation and Prevention of Fiscal Evasion Senate Consideration of Treaty Document 108-3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02/25/2003 - 108th Congress (2003-2004)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03/13/2003 - 108th Congress (2003-2004) - Resolution of advice and consent to ratification agreed to in Senate by Division Vote. (All Actions) </t>
    </r>
  </si>
  <si>
    <r>
      <t xml:space="preserve">128. Convention with Great Britain and Northern Ireland regarding Double Taxation and Prevention of Fiscal Evasion Senate Consideration of Treaty Document 107-19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11/14/2002 - 107th Congress (2001-2002)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03/13/2003 - 108th Congress (2003-2004) - Resolution of advice and consent to ratification agreed to in Senate by Division Vote. (All Actions) </t>
    </r>
  </si>
  <si>
    <r>
      <t xml:space="preserve">129. Protocol Amending Convention with Australia Regarding Double Taxation and Prevention of Fiscal Evasion Senate Consideration of Treaty Document 107-20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11/14/2002 - 107th Congress (2001-2002)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03/13/2003 - 108th Congress (2003-2004) - Resolution of advice and consent to ratification agreed to in Senate by Division Vote. (All Actions) </t>
    </r>
  </si>
  <si>
    <r>
      <t xml:space="preserve">130. The Moscow Treaty Senate Consideration of Treaty Document 107-8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06/20/2002 - 107th Congress (2001-2002)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03/06/2003 - 108th Congress (2003-2004) - Resolution of advice and consent to ratification agreed to in Senate by Yea-Nay Vote. 95 - 0. Record Vote Number: 43. (All Actions) </t>
    </r>
  </si>
  <si>
    <r>
      <t xml:space="preserve">131. Convention on the Elimination of All Forms of Discrimination Against Women Senate Consideration of Treaty Document 96-53 </t>
    </r>
    <r>
      <rPr>
        <b/>
        <sz val="12"/>
        <color theme="1"/>
        <rFont val="Calibri"/>
        <family val="2"/>
        <scheme val="minor"/>
      </rPr>
      <t>Date Received from President:</t>
    </r>
    <r>
      <rPr>
        <sz val="12"/>
        <color theme="1"/>
        <rFont val="Calibri"/>
        <family val="2"/>
        <scheme val="minor"/>
      </rPr>
      <t xml:space="preserve"> 11/12/1980 - 96th Congress (1979-1980)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11/20/2002 - 107th Congress (2001-2002) - No further action at sine die adjournment of the 107 Congress; automatically rereferred to the Committee on Foreign Relations under the provisions of Rule XXX, section 2, of the Standing Rules of the Senate. (All Actions) </t>
    </r>
  </si>
  <si>
    <r>
      <t xml:space="preserve">132. Treaty with India on Mutual Legal Assistance In Criminal Matters Senate Consideration of Treaty Document 107-3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04/08/2002 - 107th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</si>
  <si>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133. Extradition Treaty with Lithuania Senate Consideration of Treaty Document 107-4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05/06/2002 - 107th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</si>
  <si>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134. Extradition Treaty with Peru Senate Consideration of Treaty Document 107-6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05/08/2002 - 107th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</si>
  <si>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135. Treaty with Ireland on Mutual Legal Assistance in Criminal Matters Senate Consideration of Treaty Document 107-9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07/11/2002 - 107th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</si>
  <si>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136. Second Protocol Amending Extradition Treaty with Canada Senate Consideration of Treaty Document 107-11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07/11/2002 - 107th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</si>
  <si>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137. Treaty with Belize on Mutual Legal Assistance in Criminal Matters Senate Consideration of Treaty Document 107-13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07/15/2002 - 107th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</si>
  <si>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138. Treaty with Honduras for Return of Stolen, Robbed, and Embezzled Vehicles and Aircraft, with Annexes and Exchange of Notes Senate Consideration of Treaty Document 107-15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</si>
  <si>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139. Treaty with Liechtenstein on Mutual Legal Assistance in Criminal Matters Senate Consideration of Treaty Document 107-16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09/05/2002 - 107th Congress (2001-2002)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11/14/2002 - 107th Congress (2001-2002) - Resolution of advice and consent to ratification agreed to in Senate by Division Vote. (All Actions) </t>
    </r>
  </si>
  <si>
    <r>
      <t xml:space="preserve">140. Protocol Relating to the Madrid Agreement Senate Consideration of Treaty Document 106-41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10/17/2002 - 107th Congress (2001-2002) - Resolution of advice and consent to ratification agreed to in Senate by Division Vote. (All Actions) </t>
    </r>
  </si>
  <si>
    <r>
      <t xml:space="preserve">141. 1997 AMENDMENT TO MONTREAL PROTOCOL Senate Consideration of Treaty Document 106-10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09/16/1999 - 106th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10/09/2002 - 107th Congress (2001-2002) - Resolution of advice and consent to ratification agreed to in Senate by Voice Vote. (All Actions) </t>
    </r>
  </si>
  <si>
    <r>
      <t xml:space="preserve">142. Amendment to Montreal Protocol ("Beijing Amendment") Senate Consideration of Treaty Document 106-32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06/22/2000 - 106th Congress (1999-2000)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10/09/2002 - 107th Congress (2001-2002) - Resolution of advice and consent to ratification agreed to in Senate by Voice Vote. (All Actions) </t>
    </r>
  </si>
  <si>
    <r>
      <t xml:space="preserve">143. Protocol Amending 1949 Convention of Inter-American Tropical Tuna Commission Senate Consideration of Treaty Document 107-2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01/08/2001 - 107th Congress (2001-2002)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09/05/2002 - 107th Congress (2001-2002) - Resolution of advice and consent to ratification agreed to in Senate by Division Vote. (All Actions) </t>
    </r>
  </si>
  <si>
    <r>
      <t xml:space="preserve">144. 1990 PROTOCOL TO THE 1983 MARITIME ENVIRONMENT OF THE WIDER CARIBBEAN REGION CONVENTION Senate Consideration of Treaty Document 103-5 </t>
    </r>
    <r>
      <rPr>
        <b/>
        <sz val="12"/>
        <color theme="1"/>
        <rFont val="Calibri"/>
        <family val="2"/>
        <scheme val="minor"/>
      </rPr>
      <t>Date Received from President:</t>
    </r>
    <r>
      <rPr>
        <sz val="12"/>
        <color theme="1"/>
        <rFont val="Calibri"/>
        <family val="2"/>
        <scheme val="minor"/>
      </rPr>
      <t xml:space="preserve"> 04/20/1993 - 103rd Congress (1993-1994)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09/05/2002 - 107th Congress (2001-2002) - Resolution of advice and consent to ratification agreed to in Senate by Division Vote. (All Actions) </t>
    </r>
  </si>
  <si>
    <r>
      <t xml:space="preserve">145. SOUTH PACIFIC ENVIRONMENT PROGRAMME AGREEMENT Senate Consideration of Treaty Document 105-32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11/07/1997 - 105th Congress (1997-1998)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09/05/2002 - 107th Congress (2001-2002) - Resolution of advice and consent to ratification agreed to in Senate by Division Vote. (All Actions) </t>
    </r>
  </si>
  <si>
    <r>
      <t xml:space="preserve">146. Treaty with Niue on Delimitation of a Maritime Boundary Senate Consideration of Treaty Document 105-53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06/23/1998 - 105th Congress (1997-1998)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08/01/2002 - 107th Congress (2001-2002) - Resolution of advice and consent to ratification agreed to in Senate by Division Vote. (All Actions) </t>
    </r>
  </si>
  <si>
    <r>
      <t xml:space="preserve">147. Optional Protocol No. 1 to Convention on Rights of the Child on Involvement of Children in Armed Conflict Senate Consideration of Treaty Document 106-37(A)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07/25/2000 - 106th Congress (1999-2000)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06/18/2002 - 107th Congress (2001-2002) - Resolution of advice and consent to ratification agreed to in Senate by Division Vote. (All Actions) </t>
    </r>
  </si>
  <si>
    <r>
      <t xml:space="preserve">148. Optional Protocol No. 2 to Convention on the Rights of the Child on the Sale of Children, Child Prostitution and Child Pornography Senate Consideration of Treaty Document 106-37(B)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07/25/2000 - 106th Congress (1999-2000)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06/18/2002 - 107th Congress (2001-2002) - Resolution of advice and consent to ratification agreed to in Senate by Division Vote. (All Actions) </t>
    </r>
  </si>
  <si>
    <r>
      <t xml:space="preserve">149. Protocols to the Convention on the Rights of the Child Senate Consideration of Treaty Document 106-37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07/25/2000 - 106th Congress (1999-2000)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06/12/2002 - 107th Congress (2001-2002) - Treaty divided and reported under Ex. Rept. 107-4 with Protocol 's No. 1 and No. 2 each having separate resolutions of ratification thus creating Treaty Docs. 106-37A and 106-37B. See those documents for further action. (All Actions) </t>
    </r>
  </si>
  <si>
    <r>
      <t xml:space="preserve">150. Treaty with Russia on Mutual Legal Assistance in Criminal Matters Senate Consideration of Treaty Document 106-22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02/10/2000 - 106th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12/19/2001 - 107th Congress (2001-2002) - Resolution of advice and consent to ratification agreed to in Senate by Division Vote. (All Actions) </t>
    </r>
  </si>
  <si>
    <r>
      <t xml:space="preserve">151. International Convention for the Suppression of Terrorist Bombings Senate Consideration of Treaty Document 106-6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09/08/1999 - 106th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12/05/2001 - 107th Congress (2001-2002) - Resolution of advice and consent to ratification agreed to in Senate by Division Vote. (All Actions) </t>
    </r>
  </si>
  <si>
    <r>
      <t xml:space="preserve">152. International Convention for Suppression of Financing Terrorism Senate Consideration of Treaty Document 106-49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10/12/2000 - 106th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12/05/2001 - 107th Congress (2001-2002) - Resolution of advice and consent to ratification agreed to in Senate by Division Vote. (All Actions) </t>
    </r>
  </si>
  <si>
    <r>
      <t xml:space="preserve">153. Convention on Safety of UN and Associated Personnel Senate Consideration of Treaty Document 107-1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01/03/2001 - 107th Congress (2001-2002) </t>
    </r>
    <r>
      <rPr>
        <b/>
        <sz val="12"/>
        <color theme="1"/>
        <rFont val="Calibri"/>
        <family val="2"/>
        <scheme val="minor"/>
      </rPr>
      <t>Treaty Topic:</t>
    </r>
    <r>
      <rPr>
        <sz val="12"/>
        <color theme="1"/>
        <rFont val="Calibri"/>
        <family val="2"/>
        <scheme val="minor"/>
      </rPr>
      <t xml:space="preserve"> United Nations </t>
    </r>
    <r>
      <rPr>
        <b/>
        <sz val="12"/>
        <color theme="1"/>
        <rFont val="Calibri"/>
        <family val="2"/>
        <scheme val="minor"/>
      </rPr>
      <t>Latest Senate Action:</t>
    </r>
    <r>
      <rPr>
        <sz val="12"/>
        <color theme="1"/>
        <rFont val="Calibri"/>
        <family val="2"/>
        <scheme val="minor"/>
      </rPr>
      <t xml:space="preserve"> 01/03/2001 - 107th Congress (2001-2002) - Received in the Senate and referred to the Committee on Foreign Relations by unanimous consent. (All Actions) </t>
    </r>
  </si>
  <si>
    <r>
      <t xml:space="preserve">154. COMPREHENSIVE NUCLEAR TEST-BAN TREATY Senate Consideration of Treaty Document 105-28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09/23/1997 - 105th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12/15/2000 - 106th Congress (1999-2000) - No further action at sine die adjournment of the 106th Congress; automatically rereferred to the Committee on Foreign Relations under the provisions of Rule XXX, section 2, of the Standing Rules of the Senate. (All Actions) </t>
    </r>
  </si>
  <si>
    <r>
      <t xml:space="preserve">155. EXTRADITION TREATY WITH PARAGUAY Senate Consideration of Treaty Document 106-4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07/13/1999 - 106th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</si>
  <si>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156. TREATY WITH DOMINICAN REPUBLIC FOR THE RETURN OF STOLEN OR EMBEZZLED VEHICLES Senate Consideration of Treaty Document 106-7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09/08/1999 - 106th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</si>
  <si>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157. Treaty with Ukraine on Mutual Legal Assistance in Criminal Matters Senate Consideration of Treaty Document 106-16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11/10/1999 - 106th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</si>
  <si>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158. Treaty with France on Mutual Legal Assistance in Criminal Matters Senate Consideration of Treaty Document 106-17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01/31/2000 - 106th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</si>
  <si>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159. Treaty with Greece on Mutual Legal Assistance in Criminal Matters Senate Consideration of Treaty Document 106-18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02/01/2000 - 106th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</si>
  <si>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160. Treaty With Egypt on Mutual Legal Assistance in Criminal Matters Senate Consideration of Treaty Document 106-19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02/02/2000 - 106th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</si>
  <si>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161. Treaty with Romania on Mutual Legal Assistance in Criminal Matters Senate Consideration of Treaty Document 106-20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02/03/2000 - 106th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</si>
  <si>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162. International Plant Protection Convention (IPPC) Senate Consideration of Treaty Document 106-23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03/23/2000 - 106th Congress (1999-2000) </t>
    </r>
    <r>
      <rPr>
        <b/>
        <sz val="12"/>
        <color theme="1"/>
        <rFont val="Calibri"/>
        <family val="2"/>
        <scheme val="minor"/>
      </rPr>
      <t>Treaty Topic:</t>
    </r>
    <r>
      <rPr>
        <sz val="12"/>
        <color theme="1"/>
        <rFont val="Calibri"/>
        <family val="2"/>
        <scheme val="minor"/>
      </rPr>
      <t xml:space="preserve"> Agriculture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</si>
  <si>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163. Extradition Treaty With South Africa Senate Consideration of Treaty Document 106-24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05/18/2000 - 106th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</si>
  <si>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164. INVESTMENT TREATY WITH UZBEKISTAN Senate Consideration of Treaty Document 104-25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02/28/1996 - 104th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</si>
  <si>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165. INTER-AMERICAN CONVENTION ON MUTUAL ASSISTANCE IN CRIMINAL MATTERS WITH RELATED OPTIONAL PROTOCOL Senate Consideration of Treaty Document 105-25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</si>
  <si>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166. Investment Treaty with Bahrain Senate Consideration of Treaty Document 106-25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</si>
  <si>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167. Investment Treaty with Bolivia Senate Consideration of Treaty Document 106-26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</si>
  <si>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168. TREATY WITH NIGERIA ON MUTUAL LEGAL ASSISTANCE IN CRIMINAL MATTERS Senate Consideration of Treaty Document 102-26 </t>
    </r>
    <r>
      <rPr>
        <b/>
        <sz val="12"/>
        <color theme="1"/>
        <rFont val="Calibri"/>
        <family val="2"/>
        <scheme val="minor"/>
      </rPr>
      <t>Date Received from President:</t>
    </r>
    <r>
      <rPr>
        <sz val="12"/>
        <color theme="1"/>
        <rFont val="Calibri"/>
        <family val="2"/>
        <scheme val="minor"/>
      </rPr>
      <t xml:space="preserve"> 04/01/1992 - 102nd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</si>
  <si>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169. Investment Treaty with Honduras Senate Consideration of Treaty Document 106-27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</si>
  <si>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170. Investment Treaty with El Salvador Senate Consideration of Treaty Document 106-28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</si>
  <si>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171. UNITED NATIONS CONVENTION TO COMBAT DESERTIFICATION IN COUNTRIES EXPERIENCING DROUGHT, PARTICULARLY IN AFRICA, WITH ANNEXES Senate Consideration of Treaty Document 104-29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08/02/1996 - 104th Congress (1995-1996)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</si>
  <si>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172. Investment Treaty with Croatia Senate Consideration of Treaty Document 106-29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</si>
  <si>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173. Investment Treaty with Jordan Senate Consideration of Treaty Document 106-30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</si>
  <si>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174. Investment Treaty with Mozambique Senate Consideration of Treaty Document 106-31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05/23/2000 - 106th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</si>
  <si>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175. Extradition Treaty with Sri Lanka Senate Consideration of Treaty Document 106-34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06/27/2000 - 106th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</si>
  <si>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176. INTER-AMERICAN CONVENTION ON SERVING CRIMINAL SENTENCES ABROAD Senate Consideration of Treaty Document 104-35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09/30/1996 - 104th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</si>
  <si>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177. Treaty with Cyprus on Mutual Legal Assistance in Criminal Matters Senate Consideration of Treaty Document 106-35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07/13/2000 - 106th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</si>
  <si>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178. Treaty with South Africa on Mutual Legal Assistance in Criminal Matters Senate Consideration of Treaty Document 106-36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07/13/2000 - 106th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</si>
  <si>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179. Extradition Treaty with Belize Senate Consideration of Treaty Document 106-38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07/27/2000 - 106th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</si>
  <si>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180. Treaty with Mexico on Delimitation of Continental Shelf Senate Consideration of Treaty Document 106-39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07/27/2000 - 106th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</si>
  <si>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181. Treaty with Costa Rica on Return of Vehicles and Aircraft Senate Consideration of Treaty Document 106-40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09/05/2000 - 106th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</si>
  <si>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182. Investment Treaty with Lithuania Senate Consideration of Treaty Document 106-42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</si>
  <si>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183. Protocol Amending the 1950 Consular Convention with Ireland Senate Consideration of Treaty Document 106-43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09/05/2000 - 106th Congress (1999-2000)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</si>
  <si>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184. Treaty with Panama on Return of Vehicles and Aircraft Senate Consideration of Treaty Document 106-44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</si>
  <si>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185. Protocol Amending Investment Treaty with Panama Senate Consideration of Treaty Document 106-46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09/12/2000 - 106th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</si>
  <si>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186. Investment Treaty with Azerbaijan Senate Consideration of Treaty Document 106-47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09/12/2000 - 106th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</si>
  <si>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187. TREATY WITH BELIZE FOR RETURN OF STOLEN VEHICLES Senate Consideration of Treaty Document 105-54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06/23/1998 - 105th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</si>
  <si>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188. TREATY WITH GUATEMALA FOR RETURN OF STOLEN, ROBBED, EMBEZZLED OR APPROPRIATED VEHICLES AND AIRCRAFT Senate Consideration of Treaty Document 105-58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08/31/1998 - 105th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10/18/2000 - 106th Congress (1999-2000) - Resolution of advice and consent to ratification agreed to in Senate by Division Vote. (All Actions) </t>
    </r>
  </si>
  <si>
    <r>
      <t xml:space="preserve">189. PROTOCOL AMENDING THE NORTH PACIFIC FUR SEALS CONVENTION Senate Consideration of Treaty Document 99-5 </t>
    </r>
    <r>
      <rPr>
        <b/>
        <sz val="12"/>
        <color theme="1"/>
        <rFont val="Calibri"/>
        <family val="2"/>
        <scheme val="minor"/>
      </rPr>
      <t>Date Received from President:</t>
    </r>
    <r>
      <rPr>
        <sz val="12"/>
        <color theme="1"/>
        <rFont val="Calibri"/>
        <family val="2"/>
        <scheme val="minor"/>
      </rPr>
      <t xml:space="preserve"> 03/20/1985 - 99th Congress (1985-1986)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</si>
  <si>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190. TREATY ON THE INTERNATIONAL REGISTRATION OF AUDIOVISUAL WORKS Senate Consideration of Treaty Document 101-8 </t>
    </r>
    <r>
      <rPr>
        <b/>
        <sz val="12"/>
        <color theme="1"/>
        <rFont val="Calibri"/>
        <family val="2"/>
        <scheme val="minor"/>
      </rPr>
      <t>Date Received from President:</t>
    </r>
    <r>
      <rPr>
        <sz val="12"/>
        <color theme="1"/>
        <rFont val="Calibri"/>
        <family val="2"/>
        <scheme val="minor"/>
      </rPr>
      <t xml:space="preserve"> 01/24/1990 - 101st Congress (1989-1990)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</si>
  <si>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191. TRADEMARK REGISTRATION TREATY Senate Consideration of Treaty Document 94-8 </t>
    </r>
    <r>
      <rPr>
        <b/>
        <sz val="12"/>
        <color theme="1"/>
        <rFont val="Calibri"/>
        <family val="2"/>
        <scheme val="minor"/>
      </rPr>
      <t>Date Received from President:</t>
    </r>
    <r>
      <rPr>
        <sz val="12"/>
        <color theme="1"/>
        <rFont val="Calibri"/>
        <family val="2"/>
        <scheme val="minor"/>
      </rPr>
      <t xml:space="preserve"> 09/03/1975 - 94th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</si>
  <si>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192. PROTOCOL TO AMEND THE 1980 TAX CONVENTION WITH DENMARK Senate Consideration of Treaty Document 98-12 </t>
    </r>
    <r>
      <rPr>
        <b/>
        <sz val="12"/>
        <color theme="1"/>
        <rFont val="Calibri"/>
        <family val="2"/>
        <scheme val="minor"/>
      </rPr>
      <t>Date Received from President:</t>
    </r>
    <r>
      <rPr>
        <sz val="12"/>
        <color theme="1"/>
        <rFont val="Calibri"/>
        <family val="2"/>
        <scheme val="minor"/>
      </rPr>
      <t xml:space="preserve"> 11/16/1983 - 98th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</si>
  <si>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193. Law of the Sea--Optional Protocol Concerning the Compulsory Settlement of Disputes Senate Consideration of Treaty Document 86-14 </t>
    </r>
    <r>
      <rPr>
        <b/>
        <sz val="12"/>
        <color theme="1"/>
        <rFont val="Calibri"/>
        <family val="2"/>
        <scheme val="minor"/>
      </rPr>
      <t>Date Received from President:</t>
    </r>
    <r>
      <rPr>
        <sz val="12"/>
        <color theme="1"/>
        <rFont val="Calibri"/>
        <family val="2"/>
        <scheme val="minor"/>
      </rPr>
      <t xml:space="preserve"> 09/09/1959 - 86th Congress (1959-1960) </t>
    </r>
    <r>
      <rPr>
        <b/>
        <sz val="12"/>
        <color theme="1"/>
        <rFont val="Calibri"/>
        <family val="2"/>
        <scheme val="minor"/>
      </rPr>
      <t>Treaty Topic:</t>
    </r>
    <r>
      <rPr>
        <sz val="12"/>
        <color theme="1"/>
        <rFont val="Calibri"/>
        <family val="2"/>
        <scheme val="minor"/>
      </rPr>
      <t xml:space="preserve"> Dispute Settlement and Arbitration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</si>
  <si>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194. CONSULAR CONVENTION WITH SOUTH AFRICA Senate Consideration of Treaty Document 98-14 </t>
    </r>
    <r>
      <rPr>
        <b/>
        <sz val="12"/>
        <color theme="1"/>
        <rFont val="Calibri"/>
        <family val="2"/>
        <scheme val="minor"/>
      </rPr>
      <t>Date Received from President:</t>
    </r>
    <r>
      <rPr>
        <sz val="12"/>
        <color theme="1"/>
        <rFont val="Calibri"/>
        <family val="2"/>
        <scheme val="minor"/>
      </rPr>
      <t xml:space="preserve"> 01/27/1984 - 98th Congress (1983-1984)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</si>
  <si>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195. SUPPLEMENTARY EXTRADITION CONVENTION WITH SWEDEN Senate Consideration of Treaty Document 97-15 </t>
    </r>
    <r>
      <rPr>
        <b/>
        <sz val="12"/>
        <color theme="1"/>
        <rFont val="Calibri"/>
        <family val="2"/>
        <scheme val="minor"/>
      </rPr>
      <t>Date Received from President:</t>
    </r>
    <r>
      <rPr>
        <sz val="12"/>
        <color theme="1"/>
        <rFont val="Calibri"/>
        <family val="2"/>
        <scheme val="minor"/>
      </rPr>
      <t xml:space="preserve"> 07/28/1981 - 97th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</si>
  <si>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196. INVESTMENT TREATY WITH HAITI Senate Consideration of Treaty Document 99-16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</si>
  <si>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197. INTERNATIONAL CONVENTION ON CIVIL LIABILITY FOR OIL POLLUTION DAMAGE Senate Consideration of Treaty Document 91-17(B) </t>
    </r>
    <r>
      <rPr>
        <b/>
        <sz val="12"/>
        <color theme="1"/>
        <rFont val="Calibri"/>
        <family val="2"/>
        <scheme val="minor"/>
      </rPr>
      <t>Date Received from President:</t>
    </r>
    <r>
      <rPr>
        <sz val="12"/>
        <color theme="1"/>
        <rFont val="Calibri"/>
        <family val="2"/>
        <scheme val="minor"/>
      </rPr>
      <t xml:space="preserve"> 05/20/1970 - 91st Congress (1969-1970)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</si>
  <si>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198. Convention on the Establishment of an International Fund for Compensation for Oil Pollution Damage and Amendments to the 1954 Prevention of Pollution of the Sea by Oil Convention Senate Consideration of Treaty Document 92-23 </t>
    </r>
    <r>
      <rPr>
        <b/>
        <sz val="12"/>
        <color theme="1"/>
        <rFont val="Calibri"/>
        <family val="2"/>
        <scheme val="minor"/>
      </rPr>
      <t>Date Received from President:</t>
    </r>
    <r>
      <rPr>
        <sz val="12"/>
        <color theme="1"/>
        <rFont val="Calibri"/>
        <family val="2"/>
        <scheme val="minor"/>
      </rPr>
      <t xml:space="preserve"> 05/05/1972 - 92nd Congress (1971-1972)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</si>
  <si>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199. TREATY ON THE LIMITATION OF STRATEGIC ARMS AND PROTOCOL THERETO (SALT II TREATY) Senate Consideration of Treaty Document 96-25 </t>
    </r>
    <r>
      <rPr>
        <b/>
        <sz val="12"/>
        <color theme="1"/>
        <rFont val="Calibri"/>
        <family val="2"/>
        <scheme val="minor"/>
      </rPr>
      <t>Date Received from President:</t>
    </r>
    <r>
      <rPr>
        <sz val="12"/>
        <color theme="1"/>
        <rFont val="Calibri"/>
        <family val="2"/>
        <scheme val="minor"/>
      </rPr>
      <t xml:space="preserve"> 06/22/1979 - 96th Congress (1979-1980)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</si>
  <si>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200. PROTOCOL AMENDING THE TAX CONVENTION WITH CANADA Senate Consideration of Treaty Document 103-28 </t>
    </r>
    <r>
      <rPr>
        <b/>
        <sz val="12"/>
        <color theme="1"/>
        <rFont val="Calibri"/>
        <family val="2"/>
        <scheme val="minor"/>
      </rPr>
      <t>Date Received from President:</t>
    </r>
    <r>
      <rPr>
        <sz val="12"/>
        <color theme="1"/>
        <rFont val="Calibri"/>
        <family val="2"/>
        <scheme val="minor"/>
      </rPr>
      <t xml:space="preserve"> 09/14/1994 - 103rd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</si>
  <si>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201. TAX CONVENTION WITH DENMARK Senate Consideration of Treaty Document 96-52 </t>
    </r>
    <r>
      <rPr>
        <b/>
        <sz val="12"/>
        <color theme="1"/>
        <rFont val="Calibri"/>
        <family val="2"/>
        <scheme val="minor"/>
      </rPr>
      <t>Date Received from President:</t>
    </r>
    <r>
      <rPr>
        <sz val="12"/>
        <color theme="1"/>
        <rFont val="Calibri"/>
        <family val="2"/>
        <scheme val="minor"/>
      </rPr>
      <t xml:space="preserve"> 09/04/1980 - 96th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</si>
  <si>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202. CONVENTION ON THE RECOGNITION OF STUDIES, DIPLOMAS, AND DEGREES CONCERNING HIGHER EDUCATION IN THE STATES BELONGING TO THE EUROPE REGION Senate Consideration of Treaty Document 96-57 </t>
    </r>
    <r>
      <rPr>
        <b/>
        <sz val="12"/>
        <color theme="1"/>
        <rFont val="Calibri"/>
        <family val="2"/>
        <scheme val="minor"/>
      </rPr>
      <t>Date Received from President:</t>
    </r>
    <r>
      <rPr>
        <sz val="12"/>
        <color theme="1"/>
        <rFont val="Calibri"/>
        <family val="2"/>
        <scheme val="minor"/>
      </rPr>
      <t xml:space="preserve"> 11/13/1980 - 96th Congress (1979-1980)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</si>
  <si>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203. PROTOCOL AMENDING THE 1916 CONVENTION WITH CANADA FOR THE PROTECTION OF MIGRATORY BIRDS Senate Consideration of Treaty Document 96-58 </t>
    </r>
    <r>
      <rPr>
        <b/>
        <sz val="12"/>
        <color theme="1"/>
        <rFont val="Calibri"/>
        <family val="2"/>
        <scheme val="minor"/>
      </rPr>
      <t>Date Received from President:</t>
    </r>
    <r>
      <rPr>
        <sz val="12"/>
        <color theme="1"/>
        <rFont val="Calibri"/>
        <family val="2"/>
        <scheme val="minor"/>
      </rPr>
      <t xml:space="preserve"> 11/24/1980 - 96th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10/13/2000 - 106th Congress (1999-2000) - Returned to the President pursuant to S. Res. 267 agreed to in Senate on October 12, 2000. (All Actions) </t>
    </r>
  </si>
  <si>
    <r>
      <t xml:space="preserve">204. CONSULAR CONVENTION WITH YUGOSLAVIA Senate Consideration of Treaty Document 101-3 </t>
    </r>
    <r>
      <rPr>
        <b/>
        <sz val="12"/>
        <color theme="1"/>
        <rFont val="Calibri"/>
        <family val="2"/>
        <scheme val="minor"/>
      </rPr>
      <t>Date Received from President:</t>
    </r>
    <r>
      <rPr>
        <sz val="12"/>
        <color theme="1"/>
        <rFont val="Calibri"/>
        <family val="2"/>
        <scheme val="minor"/>
      </rPr>
      <t xml:space="preserve"> 03/13/1989 - 101st Congress (1989-1990)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agreed to in Senate on October 12, 2000. (All Actions) </t>
    </r>
  </si>
  <si>
    <r>
      <t xml:space="preserve">205. 1984 PROTOCOLS AMENDING THE CIVIL LIABILITY AND FUND CONVENTIONS ON OIL POLLUTION DAMAGE Senate Consideration of Treaty Document 99-12 </t>
    </r>
    <r>
      <rPr>
        <b/>
        <sz val="12"/>
        <color theme="1"/>
        <rFont val="Calibri"/>
        <family val="2"/>
        <scheme val="minor"/>
      </rPr>
      <t>Date Received from President:</t>
    </r>
    <r>
      <rPr>
        <sz val="12"/>
        <color theme="1"/>
        <rFont val="Calibri"/>
        <family val="2"/>
        <scheme val="minor"/>
      </rPr>
      <t xml:space="preserve"> 11/05/1985 - 99th Congress (1985-1986)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agreed to in Senate on October 12, 2000. (All Actions) </t>
    </r>
  </si>
  <si>
    <r>
      <t xml:space="preserve">206. PROTOCOL OF 1984 TO THE CIVIL LIABILITY CONVENTION FOR OIL POLLUTION DAMAGE Senate Consideration of Treaty Document 99-12(A) </t>
    </r>
    <r>
      <rPr>
        <b/>
        <sz val="12"/>
        <color theme="1"/>
        <rFont val="Calibri"/>
        <family val="2"/>
        <scheme val="minor"/>
      </rPr>
      <t>Date Received from President:</t>
    </r>
    <r>
      <rPr>
        <sz val="12"/>
        <color theme="1"/>
        <rFont val="Calibri"/>
        <family val="2"/>
        <scheme val="minor"/>
      </rPr>
      <t xml:space="preserve"> 11/05/1985 - 99th Congress (1985-1986)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 (All Actions) </t>
    </r>
  </si>
  <si>
    <r>
      <t xml:space="preserve">207. PROTOCOL OF 1984 TO AMEND THE INTERNATIONAL FUND CONVENTION FOR COMPENSATION FOR OIL POLLUTION DAMAGE Senate Consideration of Treaty Document 99-12(B) </t>
    </r>
    <r>
      <rPr>
        <b/>
        <sz val="12"/>
        <color theme="1"/>
        <rFont val="Calibri"/>
        <family val="2"/>
        <scheme val="minor"/>
      </rPr>
      <t>Date Received from President:</t>
    </r>
    <r>
      <rPr>
        <sz val="12"/>
        <color theme="1"/>
        <rFont val="Calibri"/>
        <family val="2"/>
        <scheme val="minor"/>
      </rPr>
      <t xml:space="preserve"> 11/05/1985 - 99th Congress (1985-1986)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(All Actions) </t>
    </r>
  </si>
  <si>
    <r>
      <t xml:space="preserve">208. CONVENTION ON THE ESTABLISHMENT OF AN INTERNTIONAL FUND FOR COMPENSATION FOR OIL POLLUTION DAMAGE Senate Consideration of Treaty Document 92-23(A) </t>
    </r>
    <r>
      <rPr>
        <b/>
        <sz val="12"/>
        <color theme="1"/>
        <rFont val="Calibri"/>
        <family val="2"/>
        <scheme val="minor"/>
      </rPr>
      <t>Date Received from President:</t>
    </r>
    <r>
      <rPr>
        <sz val="12"/>
        <color theme="1"/>
        <rFont val="Calibri"/>
        <family val="2"/>
        <scheme val="minor"/>
      </rPr>
      <t xml:space="preserve"> 05/05/1972 - 92nd Congress (1971-1972)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(All Actions) </t>
    </r>
  </si>
  <si>
    <r>
      <t xml:space="preserve">209. AMENDMENTS TO THE 1954 PREVENTION OF POLLUTION OF THE SEA BY OIL CONVENTION Senate Consideration of Treaty Document 92-23(B) </t>
    </r>
    <r>
      <rPr>
        <b/>
        <sz val="12"/>
        <color theme="1"/>
        <rFont val="Calibri"/>
        <family val="2"/>
        <scheme val="minor"/>
      </rPr>
      <t>Date Received from President:</t>
    </r>
    <r>
      <rPr>
        <sz val="12"/>
        <color theme="1"/>
        <rFont val="Calibri"/>
        <family val="2"/>
        <scheme val="minor"/>
      </rPr>
      <t xml:space="preserve"> 05/05/1972 - 92nd Congress (1971-1972)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10/12/2000 - 106th Congress (1999-2000) - Returned to the President pursuant to S. Res. 267, Executive Resolution resolving to return certain treaties to the President. (All Actions) </t>
    </r>
  </si>
  <si>
    <r>
      <t xml:space="preserve">210. CONVENTION (No. 176) CONCERNING SAFETY AND HEALTH IN MINES Senate Consideration of Treaty Document 106-8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09/09/1999 - 106th Congress (1999-2000)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09/20/2000 - 106th Congress (1999-2000) - Resolution of advice and consent to ratification agreed to in Senate by Division Vote. (All Actions) </t>
    </r>
  </si>
  <si>
    <r>
      <t xml:space="preserve">211. FOOD AID CONVENTION 1999 Senate Consideration of Treaty Document 106-14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10/13/1999 - 106th Congress (1999-2000)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09/20/2000 - 106th Congress (1999-2000) - Resolution of advice and consent to ratification agreed to in Senate by Division Vote. (All Actions) </t>
    </r>
  </si>
  <si>
    <r>
      <t xml:space="preserve">212. INTER-AMERICAN CONVENTION ON SEA TURTLES Senate Consideration of Treaty Document 105-48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05/22/1998 - 105th Congress (1997-1998)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09/20/2000 - 106th Congress (1999-2000) - Resolution of advice and consent to ratification agreed to in Senate by Division Vote. (All Actions) </t>
    </r>
  </si>
  <si>
    <r>
      <t xml:space="preserve">213. Convention On Protection of Children and Co-operation In Respect of Intercountry Adoption Senate Consideration of Treaty Document 105-51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06/11/1998 - 105th Congress (1997-1998)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09/20/2000 - 106th Congress (1999-2000) - Resolution of advice and consent to ratification agreed to in Senate by Division Vote. (All Actions) </t>
    </r>
  </si>
  <si>
    <r>
      <t xml:space="preserve">214. INTER-AMERICAN CONVENTION AGAINST CORRUPTION Senate Consideration of Treaty Document 105-39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04/01/1998 - 105th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07/27/2000 - 106th Congress (1999-2000) - Resolution of advice and consent to ratification agreed to in Senate by Division Vote. (All Actions) </t>
    </r>
  </si>
  <si>
    <r>
      <t xml:space="preserve">215. Investment Treaty with Nicaragua Senate Consideration of Treaty Document 106-33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06/26/2000 - 106th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06/26/2000 - 106th Congress (1999-2000) - Received in the Senate and referred to the Committee on Foreign Relations by unanimous consent. (All Actions) </t>
    </r>
  </si>
  <si>
    <r>
      <t xml:space="preserve">216. EXTRADITION TREATY WITH THE REPUBLIC OF KOREA Senate Consideration of Treaty Document 106-2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03/02/1999 - 106th Congress (1999-2000)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</si>
  <si>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217. Tax Convention with Venezuela Senate Consideration of Treaty Document 106-3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06/29/1999 - 106th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</si>
  <si>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218. CONVENTION (No. 182) FOR ELIMINATION OF THE WORST FORMS OF CHILD LABOR Senate Consideration of Treaty Document 106-5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08/05/1999 - 106th Congress (1999-2000)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</si>
  <si>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219. TAX CONVENTION WITH SLOVENIA Senate Consideration of Treaty Document 106-9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09/13/1999 - 106th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</si>
  <si>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220. TAX CONVENTION WITH ITALY Senate Consideration of Treaty Document 106-11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09/21/1999 - 106th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</si>
  <si>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221. TAX CONVENTION DENMARK Senate Consideration of Treaty Document 106-12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09/21/1999 - 106th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</si>
  <si>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222. PROTOCOL AMENDING THE TAX CONVENTION WITH GERMANY Senate Consideration of Treaty Document 106-13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09/21/1999 - 106th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</si>
  <si>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223. Tax Convention with Ireland Senate Consideration of Treaty Document 106-15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10/29/1999 - 106th Congress (1999-2000)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</si>
  <si>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224. TAX CONVENTION WITH ESTONIA Senate Consideration of Treaty Document 105-55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06/26/1998 - 105th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</si>
  <si>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225. TAX CONVENTION WITH LITHUANIA Senate Consideration of Treaty Document 105-56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06/26/1998 - 105th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</si>
  <si>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226. Tax Convention with Latvia Senate Consideration of Treaty Document 105-57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06/26/1998 - 105th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11/05/1999 - 106th Congress (1999-2000) - Resolution of advice and consent to ratification agreed to in Senate by Division vote. (All Actions) </t>
    </r>
  </si>
  <si>
    <r>
      <t xml:space="preserve">227. AMENDED MINES PROTOCOL Senate Consideration of Treaty Document 105-1(A)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01/07/1997 - 105th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05/20/1999 - 106th Congress (1999-2000) - Resolution of advice and consent to ratification agreed to in Senate by Division vote. (All Actions) </t>
    </r>
  </si>
  <si>
    <r>
      <t xml:space="preserve">228. CONVENTION ON NUCLEAR SAFETY Senate Consideration of Treaty Document 104-6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05/11/1995 - 104th Congress (1995-1996)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03/25/1999 - 106th Congress (1999-2000) - Resolution of advice and consent to ratification agreed to in Senate by Division vote. (All Actions) </t>
    </r>
  </si>
  <si>
    <r>
      <t xml:space="preserve">229. The Hague Protocol Senate Consideration of Treaty Document 106-1(B)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01/06/1999 - 106th Congress (1999-2000)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01/06/1999 - 106th Congress (1999-2000) - Received in the Senate and referred to the Committee on Foreign Relations by unanimous consent removing the injunction of secrecy. (All Actions) </t>
    </r>
  </si>
  <si>
    <r>
      <t xml:space="preserve">230. AGREEMENT WITH HONG KONG ON MUTUAL LEGAL ASSISTANCE IN CRIMINAL MATTERS, WITH ANNEX Senate Consideration of Treaty Document 105-6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05/05/1997 - 105th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</si>
  <si>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231. AGREEMENT WITH HONG KONG ON TRANSFER OF SENTENCED PERSONS Senate Consideration of Treaty Document 105-7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05/05/1997 - 105th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</si>
  <si>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232. EXTRADITION TREATY WITH LUXEMBOURG Senate Consideration of Treaty Document 105-10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07/08/1997 - 105th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</si>
  <si>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233. MUTUAL LEGAL ASSISTANCE TREATY WITH LUXEMBOURG Senate Consideration of Treaty Document 105-11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07/08/1997 - 105th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</si>
  <si>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234. MUTUAL LEGAL ASSISTANCE TREATY WITH POLAND Senate Consideration of Treaty Document 105-12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07/08/1997 - 105th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</si>
  <si>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235. EXTRADITION TREATY WITH FRANCE Senate Consideration of Treaty Document 105-13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07/09/1997 - 105th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</si>
  <si>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236. EXTRADITION TREATY WITH POLAND Senate Consideration of Treaty Document 105-14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07/09/1997 - 105th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</si>
  <si>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237. THIRD SUPPLEMENTARY EXTRADITION TREATY WITH SPAIN Senate Consideration of Treaty Document 105-15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07/10/1997 - 105th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</si>
  <si>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238. EXTRADITION TREATY WITH CYPRUS Senate Consideration of Treaty Document 105-16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07/28/1997 - 105th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</si>
  <si>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239. WIPO COPYRIGHT TREATY (WCT)(1996) AND WIPO PERFORMANCES AND PHONOGRAMS TREATY(WPPT)(1996) Senate Consideration of Treaty Document 105-17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07/28/1997 - 105th Congress (1997-1998)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</si>
  <si>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240. EXTRADITION TREATY WITH ARGENTINA Senate Consideration of Treaty Document 105-18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07/30/1997 - 105th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</si>
  <si>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241. EXTRADITION TREATY WITH ORGANIZATION OF EASTERN CARIBBEAN STATES Senate Consideration of Treaty Document 105-19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07/30/1997 - 105th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</si>
  <si>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242. EXTRADITION TREATY WITH BARBADOS Senate Consideration of Treaty Document 105-20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07/31/1997 - 105th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</si>
  <si>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243. EXTRADITION TREATY WITH TRINIDAD AND TOBAGO Senate Consideration of Treaty Document 105-21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07/31/1997 - 105th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</si>
  <si>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244. MUTUAL LEGAL ASSISTANCE IN CRIMINAL MATTERS WITH TRINIDAD AND TOBAGO Senate Consideration of Treaty Document 105-22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</si>
  <si>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245. MUTUAL LEGAL ASSISTANCE IN CRIMINAL MATTERS WITH BARBADOS Senate Consideration of Treaty Document 105-23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</si>
  <si>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246. MUTUAL LEGAL ASSISTANCE IN CRIMINAL MATTERS WITH ANTIGUA AND BARBUDA, DOMINICA, GRENADA AND ST. LUCIA Senate Consideration of Treaty Document 105-24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</si>
  <si>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247. TREATY WITH AUSTRALIA ON MUTUAL ASSISTANCE IN CRIMINAL MATTERS Senate Consideration of Treaty Document 105-27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09/18/1997 - 105th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</si>
  <si>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248. EXTRADITION TREATY WITH INDIA Senate Consideration of Treaty Document 105-30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09/23/1997 - 105th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</si>
  <si>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249. EXTRADITION TREATY WITH ZIMBABWE Senate Consideration of Treaty Document 105-33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01/28/1998 - 105th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</si>
  <si>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250. TREATY WITH LATVIA ON MUTUAL LEGAL ASSISTANCE IN CRIMINAL MATTERS Senate Consideration of Treaty Document 105-34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01/28/1998 - 105th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</si>
  <si>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251. TREATY WITH SAINT KITTS AND NEVIS ON MUTUAL LEGAL ASSISTANCE IN CRIMINAL MATTERS Senate Consideration of Treaty Document 105-37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03/20/1998 - 105th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</si>
  <si>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252. TREATY WITH VENEZUELA ON MUTUAL LEGAL ASSISTANCE IN CRIMINAL MATTERS Senate Consideration of Treaty Document 105-38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03/27/1998 - 105th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</si>
  <si>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253. TREATY WITH ISRAEL ON MUTUAL LEGAL ASSISTANCE IN CRIMINAL MATTERS Senate Consideration of Treaty Document 105-40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04/02/1998 - 105th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</si>
  <si>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254. TREATY WITH LITHUANIA ON MUTUAL LEGAL ASSISTANCE IN CRIMINAL MAATTERS Senate Consideration of Treaty Document 105-41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04/20/1998 - 105th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</si>
  <si>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255. TREATY WITH BRAZIL ON MUTUAL LEGAL ASSISTANCE IN CRIMINAL MATTERS Senate Consideration of Treaty Document 105-42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04/28/1998 - 105th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</si>
  <si>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256. TREATY WITH ST. VINCENT AND THE GRENADINES ON MUTUAL LEGAL ASSISTANCE IN CRIMINAL MATTERS Senate Consideration of Treaty Document 105-44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05/13/1998 - 105th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</si>
  <si>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257. PROTOCOL TO EXTRADITION TREATY WITH MEXICO Senate Consideration of Treaty Document 105-46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05/21/1998 - 105th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</si>
  <si>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258. TREATY WITH CZECH REPUBLIC ON MUTUAL LEGAL ASSISTANCE IN CRIMINAL MATTERS Senate Consideration of Treaty Document 105-47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05/22/1998 - 105th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</si>
  <si>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259. Extradition Treaty With Austria Senate Consideration of Treaty Document 105-50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06/11/1998 - 105th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</si>
  <si>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260. TREATY WITH ESTONIA ON MUTUAL LEGAL ASSISTANCE IN CRIMINAL MATTERS Senate Consideration of Treaty Document 105-52 </t>
    </r>
    <r>
      <rPr>
        <b/>
        <sz val="12"/>
        <color theme="1"/>
        <rFont val="Calibri"/>
        <family val="2"/>
        <scheme val="minor"/>
      </rPr>
      <t>Text of Treaty Document:</t>
    </r>
    <r>
      <rPr>
        <sz val="12"/>
        <color theme="1"/>
        <rFont val="Calibri"/>
        <family val="2"/>
        <scheme val="minor"/>
      </rPr>
      <t xml:space="preserve"> TXT </t>
    </r>
    <r>
      <rPr>
        <b/>
        <sz val="12"/>
        <color theme="1"/>
        <rFont val="Calibri"/>
        <family val="2"/>
        <scheme val="minor"/>
      </rPr>
      <t>Date Received from President:</t>
    </r>
    <r>
      <rPr>
        <sz val="12"/>
        <color theme="1"/>
        <rFont val="Calibri"/>
        <family val="2"/>
        <scheme val="minor"/>
      </rPr>
      <t xml:space="preserve"> 06/19/1998 - 105th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10/21/1998 - 105th Congress (1997-1998) - Resolution of advice and consent to ratification agreed to in Senate by Division vote. (All Actions) </t>
    </r>
  </si>
  <si>
    <r>
      <t xml:space="preserve">261. MONTREAL PROTOCOL NO. 3 Senate Consideration of Treaty Document 95-2(A) </t>
    </r>
    <r>
      <rPr>
        <b/>
        <sz val="12"/>
        <color theme="1"/>
        <rFont val="Calibri"/>
        <family val="2"/>
        <scheme val="minor"/>
      </rPr>
      <t>Date Received from President:</t>
    </r>
    <r>
      <rPr>
        <sz val="12"/>
        <color theme="1"/>
        <rFont val="Calibri"/>
        <family val="2"/>
        <scheme val="minor"/>
      </rPr>
      <t xml:space="preserve"> 01/14/1977 - 95th Congress (1977-1978)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09/28/1998 - 105th Congress (1997-1998) - Protocol No. 3 was returned to the President under proviso No. 2 of the resolution of ratification of T. Doc. 95-2(B). (All Actions) </t>
    </r>
  </si>
  <si>
    <r>
      <t xml:space="preserve">262. MONTREAL PROTOCOL NO. 4 Senate Consideration of Treaty Document 95-2(B) </t>
    </r>
    <r>
      <rPr>
        <b/>
        <sz val="12"/>
        <color theme="1"/>
        <rFont val="Calibri"/>
        <family val="2"/>
        <scheme val="minor"/>
      </rPr>
      <t>Date Received from President:</t>
    </r>
    <r>
      <rPr>
        <sz val="12"/>
        <color theme="1"/>
        <rFont val="Calibri"/>
        <family val="2"/>
        <scheme val="minor"/>
      </rPr>
      <t xml:space="preserve"> 01/14/1977 - 95th Congress (1977-1978)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09/28/1998 - 105th Congress (1997-1998) - Resolution of advice and consent to ratification agreed to in Senate by Division vote. (All Actions) </t>
    </r>
  </si>
  <si>
    <r>
      <t xml:space="preserve">263. TWO RELATED PROTOCOLS TO THE CONVENTION FOR THE UNIFICATION OF CERTAIN RULES RELATING TO INTERNATIONAL CARRIAGE BY AIR, AS AMENDED Senate Consideration of Treaty Document 95-2 </t>
    </r>
    <r>
      <rPr>
        <b/>
        <sz val="12"/>
        <color theme="1"/>
        <rFont val="Calibri"/>
        <family val="2"/>
        <scheme val="minor"/>
      </rPr>
      <t>Date Received from President:</t>
    </r>
    <r>
      <rPr>
        <sz val="12"/>
        <color theme="1"/>
        <rFont val="Calibri"/>
        <family val="2"/>
        <scheme val="minor"/>
      </rPr>
      <t xml:space="preserve"> 01/14/1977 - 95th Congress (1977-1978)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08/25/1998 - 105th Congress (1997-1998) - Treaty reported by Committee on Foreign Relations as a divided treaty, TD95-2B. Proviso (2) in the resolution of ratification directed the return of TD 95-2A. (All Actions) </t>
    </r>
  </si>
  <si>
    <r>
      <t xml:space="preserve">264. CONVENTION ON COMBATING BRIBERY OF FOREIGN PUBLIC OFFICIALS IN INTERNATIONAL BUSINESS TRANSACTIONS Senate Consideration of Treaty Document 105-43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05/01/1998 - 105th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07/31/1998 - 105th Congress (1997-1998) - Resolution of advice and consent to ratification agreed to in Senate by Division vote. (All Actions) </t>
    </r>
  </si>
  <si>
    <r>
      <t xml:space="preserve">265. INTERNATIONAL GRAINS AGREEMENT, 1995 Senate Consideration of Treaty Document 105-4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04/07/1997 - 105th Congress (1997-1998)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06/26/1998 - 105th Congress (1997-1998) - Resolution of advice and consent to ratification agreed to in Senate by Division vote. (All Actions) </t>
    </r>
  </si>
  <si>
    <r>
      <t xml:space="preserve">266. CONVENTION FOR THE PROTECTION OF PLANTS Senate Consideration of Treaty Document 104-17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09/05/1995 - 104th Congress (1995-1996)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06/26/1998 - 105th Congress (1997-1998) - Resolution of advice and consent to ratification agreed to in Senate by Division vote. (All Actions) </t>
    </r>
  </si>
  <si>
    <r>
      <t xml:space="preserve">267. TRADEMARK LAW TREATY AND REGULATIONS Senate Consideration of Treaty Document 105-35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01/29/1998 - 105th Congress (1997-1998)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06/26/1998 - 105th Congress (1997-1998) - Resolution of advice and consent to ratification agreed to in Senate by Division vote. (All Actions) </t>
    </r>
  </si>
  <si>
    <r>
      <t xml:space="preserve">268. CONVENTION ON THE INTERNATIONAL MARITIME ORGANIZATION Senate Consideration of Treaty Document 104-36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10/01/1996 - 104th Congress (1995-1996)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06/26/1998 - 105th Congress (1997-1998) - Resolution of advice and consent to ratification agreed to in Senate by Division vote. (All Actions) </t>
    </r>
  </si>
  <si>
    <r>
      <t xml:space="preserve">269. INTER-AMERICAN CONVENTION AGAINST ILLICIT MANUFACTURING AND TRAFFICKING OF FIREARMS, AMMUNITION, EXPLOSIVES, AND OTHER RELATED MATERIALS Senate Consideration of Treaty Document 105-49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06/09/1998 - 105th Congress (1997-1998)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06/09/1998 - 105th Congress (1997-1998) - Received in the Senate and referred to the Committee on Foreign Relations by unanimous consent. (All Actions) </t>
    </r>
  </si>
  <si>
    <r>
      <t xml:space="preserve">270. ILO CONVENTION (NO. 111) CONCERNING DISCRIMINATION (EMPLOYMENT AND OCCUPATION) Senate Consideration of Treaty Document 105-45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05/18/1998 - 105th Congress (1997-1998)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05/18/1998 - 105th Congress (1997-1998) - Received in the Senate and referred to the Committee on Foreign Relations by unanimous consent. (All Actions) </t>
    </r>
  </si>
  <si>
    <r>
      <t xml:space="preserve">271. PROTOCOLS TO THE NORTH ATLANTIC TREATY OF 1949 ON ACCESSION OF PO LAND, HUNGARY, AND CZECH REPUBLIC Senate Consideration of Treaty Document 105-36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02/11/1998 - 105th Congress (1997-1998)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04/30/1998 - 105th Congress (1997-1998) - Resolution of advice and consent to ratification agreed to in Senate by Yea-Nay vote. 80-19. Record Vote No: 117 EX. (All Actions) </t>
    </r>
  </si>
  <si>
    <r>
      <t xml:space="preserve">272. PROTOCOLS TO THE 1980 CONVENTIONAL WEAPONS CONVENTION Senate Consideration of Treaty Document 105-1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01/07/1997 - 105th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02/03/1998 - 105th Congress (1997-1998) - Committee on Foreign Relations. Treaty divided into 3 treaties. Created 105-1A: Amended Mines Protocol and 105-1B: Incendiary Weapons Protocol and 105-1C:Protocol on Blinding Laser Weapons. (All Actions) </t>
    </r>
  </si>
  <si>
    <r>
      <t xml:space="preserve">273. TAXATION CONVENTION WITH THAILAND Senate Consideration of Treaty Document 105-2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01/28/1997 - 105th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</si>
  <si>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274. TAX CONVENTION WITH SWISS CONFEDERATION Senate Consideration of Treaty Document 105-8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06/25/1997 - 105th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</si>
  <si>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275. TAX CONVENTION WITH SOUTH AFRICA Senate Consideration of Treaty Document 105-9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06/26/1997 - 105th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</si>
  <si>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276. PROTOCOL AMENDING TAX CONVENTION WITH CANADA Senate Consideration of Treaty Document 105-29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09/23/1997 - 105th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</si>
  <si>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277. TAXATION AGREEMENT WITH TURKEY Senate Consideration of Treaty Document 104-30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09/03/1996 - 104th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</si>
  <si>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278. TAXATION CONVENTION WITH AUSTRIA Senate Consideration of Treaty Document 104-31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09/04/1996 - 104th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</si>
  <si>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279. TAX CONVENTION WITH IRELAND Senate Consideration of Treaty Document 105-31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09/24/1997 - 105th Congress (1997-1998)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</si>
  <si>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280. TAXATION CONVENTION WITH LUXEMBOURG Senate Consideration of Treaty Document 104-33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09/04/1996 - 104th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10/31/1997 - 105th Congress (1997-1998) - Resolution of advice and consent to ratification agreed to in Senate by Division vote. (All Actions) </t>
    </r>
  </si>
  <si>
    <r>
      <t xml:space="preserve">281. AGREEMENT WITH HONG KONG FOR THE SURRENDER OF FUGITIVE OFFENDERS Senate Consideration of Treaty Document 105-3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03/03/1997 - 105th Congress (1997-1998)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10/23/1997 - 105th Congress (1997-1998) - Resolution of advice and consent to ratification agreed to in Senate by Division vote. (All Actions) </t>
    </r>
  </si>
  <si>
    <r>
      <t xml:space="preserve">282. MARITIME BOUNDARY TREATY WITH MEXICO Senate Consideration of Treaty Document 96-6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10/23/1997 - 105th Congress (1997-1998) - Resolution of advice and consent to ratification agreed to in Senate by Division vote. (All Actions) </t>
    </r>
  </si>
  <si>
    <r>
      <t xml:space="preserve">283. PROTOCOL WITH MEXICO AMENDING CONVENTION FOR PROTECTION OF MIGRATORY BIRDS AND GAME MAMMALS Senate Consideration of Treaty Document 105-26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09/15/1997 - 105th Congress (1997-1998)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10/23/1997 - 105th Congress (1997-1998) - Resolution of advice and consent to ratification agreed to in Senate by Division vote. (All Actions) </t>
    </r>
  </si>
  <si>
    <r>
      <t xml:space="preserve">284. PROTOCOL AMENDING THE 1916 CONVENTION FOR THE PROTECTION OF MIGRATORY BIRDS Senate Consideration of Treaty Document 104-28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08/02/1996 - 104th Congress (1995-1996)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10/23/1997 - 105th Congress (1997-1998) - Resolution of advice and consent to ratification agreed to in Senate by Division vote. (All Actions) </t>
    </r>
  </si>
  <si>
    <r>
      <t xml:space="preserve">285. CONSTITUTION AND CONVENTION OF THE INTERNATIONAL TELECOMMUNICATION UNION Senate Consideration of Treaty Document 104-34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09/13/1996 - 104th Congress (1995-1996)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10/23/1997 - 105th Congress (1997-1998) - Resolution of advice and consent to ratification agreed to in Senate by Division vote. (All Actions) </t>
    </r>
  </si>
  <si>
    <r>
      <t xml:space="preserve">286. FLANK DOCUMENT AGREEMENT TO THE CFE TREATY Senate Consideration of Treaty Document 105-5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04/07/1997 - 105th Congress (1997-1998)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05/14/1997 - 105th Congress (1997-1998) - Resolution of advice and consent to ratification agreed to in Senate by Yea-Nay vote. 100-0. Record Vote No: 67 EX. (All Actions) </t>
    </r>
  </si>
  <si>
    <r>
      <t xml:space="preserve">287. CHEMICAL WEAPONS CONVENTION Senate Consideration of Treaty Document 103-21 </t>
    </r>
    <r>
      <rPr>
        <b/>
        <sz val="12"/>
        <color theme="1"/>
        <rFont val="Calibri"/>
        <family val="2"/>
        <scheme val="minor"/>
      </rPr>
      <t>Date Received from President:</t>
    </r>
    <r>
      <rPr>
        <sz val="12"/>
        <color theme="1"/>
        <rFont val="Calibri"/>
        <family val="2"/>
        <scheme val="minor"/>
      </rPr>
      <t xml:space="preserve"> 11/23/1993 - 103rd Congress (1993-1994)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04/24/1997 - 105th Congress (1997-1998) - Resolution of advice and consent to ratification agreed to in Senate by Yea-Nay Vote. 74 - 26. Record Vote Number: 51. (All Actions) </t>
    </r>
  </si>
  <si>
    <r>
      <t xml:space="preserve">288. EXCHANGE OF NOTES RELATING TO THE TAX CONVENTION WITH KAZAKHSTAN Senate Consideration of Treaty Document 104-15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08/03/1995 - 104th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09/28/1996 - 104th Congress (1995-1996) - Resolution of advice and consent to ratification agreed to in Senate by Division vote. (All Actions) </t>
    </r>
  </si>
  <si>
    <r>
      <t xml:space="preserve">289. PROTOCOL AMENDING ARTICLE VIII OF THE 1948 TAX CONVENTION WITH RESPECT TO THE NETHERLANDS ANTILLES Senate Consideration of Treaty Document 104-23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01/03/1996 - 104th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09/28/1996 - 104th Congress (1995-1996) - Resolution of advice and consent to ratification agreed to in Senate by Division vote. (All Actions) </t>
    </r>
  </si>
  <si>
    <r>
      <t xml:space="preserve">290. TAXATION PROTOCOL AMENDING CONVENTION WITH INDONESIA Senate Consideration of Treaty Document 104-32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09/04/1996 - 104th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09/28/1996 - 104th Congress (1995-1996) - Resolution of advice and consent to ratification agreed to in Senate by Division vote. (All Actions) </t>
    </r>
  </si>
  <si>
    <r>
      <t xml:space="preserve">291. TAX CONVENTION WITH THE REPUBLIC OF KAZAKHSTAN Senate Consideration of Treaty Document 103-33 </t>
    </r>
    <r>
      <rPr>
        <b/>
        <sz val="12"/>
        <color theme="1"/>
        <rFont val="Calibri"/>
        <family val="2"/>
        <scheme val="minor"/>
      </rPr>
      <t>Date Received from President:</t>
    </r>
    <r>
      <rPr>
        <sz val="12"/>
        <color theme="1"/>
        <rFont val="Calibri"/>
        <family val="2"/>
        <scheme val="minor"/>
      </rPr>
      <t xml:space="preserve"> 09/15/1994 - 103rd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09/28/1996 - 104th Congress (1995-1996) - Resolution of advice and consent to ratification agreed to in Senate by Division vote. (All Actions) </t>
    </r>
  </si>
  <si>
    <r>
      <t xml:space="preserve">292. INTERNATIONAL NATURAL RUBBER AGREEMENT Senate Consideration of Treaty Document 104-27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06/18/1996 - 104th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09/25/1996 - 104th Congress (1995-1996) - Resolution of advice and consent to ratification agreed to in Senate by Division vote. (All Actions) </t>
    </r>
  </si>
  <si>
    <r>
      <t xml:space="preserve">293. TREATY WITH THE REPUBLIC OF KOREA ON MUTUAL LEGAL ASSISTANCE IN CRIMINAL MATTERS Senate Consideration of Treaty Document 104-1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01/12/1995 - 104th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</si>
  <si>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294. TREATY WITH THE UNITED KINGDOM ON MUTUAL LEGAL ASSISTANCE ON CRIMINAL MATTERS Senate Consideration of Treaty Document 104-2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01/23/1995 - 104th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</si>
  <si>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295. EXTRADITION TREATY WITH HUNGARY Senate Consideration of Treaty Document 104-5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05/08/1995 - 104th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</si>
  <si>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296. EXTRADITION TREATY WITH BELGIUM Senate Consideration of Treaty Document 104-7 </t>
    </r>
    <r>
      <rPr>
        <b/>
        <sz val="12"/>
        <color theme="1"/>
        <rFont val="Calibri"/>
        <family val="2"/>
        <scheme val="minor"/>
      </rPr>
      <t>Text of Treaty Document:</t>
    </r>
    <r>
      <rPr>
        <sz val="12"/>
        <color theme="1"/>
        <rFont val="Calibri"/>
        <family val="2"/>
        <scheme val="minor"/>
      </rPr>
      <t xml:space="preserve"> TXT </t>
    </r>
    <r>
      <rPr>
        <b/>
        <sz val="12"/>
        <color theme="1"/>
        <rFont val="Calibri"/>
        <family val="2"/>
        <scheme val="minor"/>
      </rPr>
      <t>Date Received from President:</t>
    </r>
    <r>
      <rPr>
        <sz val="12"/>
        <color theme="1"/>
        <rFont val="Calibri"/>
        <family val="2"/>
        <scheme val="minor"/>
      </rPr>
      <t xml:space="preserve"> 06/09/1995 - 104th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</si>
  <si>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297. SUPPLEMENTARY EXTRADITION TREATY WITH BELGIUM Senate Consideration of Treaty Document 104-8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06/09/1995 - 104th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</si>
  <si>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298. EXTRADITION TREATY WITH SWITZERLAND Senate Consideration of Treaty Document 104-9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06/09/1995 - 104th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</si>
  <si>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299. EXTRADITION TREATY WITH THE PHILIPPINES Senate Consideration of Treaty Document 104-16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</si>
  <si>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300. TREATY WITH THE PHILIPPINES ON MUTUAL LEGAL ASSISTANCE IN CRIMINAL MATTERS Senate Consideration of Treaty Document 104-18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09/05/1995 - 104th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</si>
  <si>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301. TREATY WITH HUNGARY ON LEGAL ASSISTANCE IN CRIMINAL MATTERS Senate Consideration of Treaty Document 104-20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09/06/1995 - 104th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</si>
  <si>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302. TREATY WITH AUSTRIA ON LEGAL ASSISTANCE IN CRIMINAL MATTERS Senate Consideration of Treaty Document 104-21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09/06/1995 - 104th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</si>
  <si>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303. EXTRADITION TREATY WITH BOLIVIA Senate Consideration of Treaty Document 104-22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10/10/1995 - 104th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</si>
  <si>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304. EXTRADITION TREATY WITH MALAYSIA Senate Consideration of Treaty Document 104-26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05/17/1996 - 104th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08/02/1996 - 104th Congress (1995-1996) - Resolution of advice and consent to ratification agreed to in Senate by Division vote. (All Actions) </t>
    </r>
  </si>
  <si>
    <r>
      <t xml:space="preserve">305. INVESTMENT TREATY WITH MONGOLIA Senate Consideration of Treaty Document 104-10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06/26/1995 - 104th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</si>
  <si>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306. INVESTMENT TREATY WITH LATVIA Senate Consideration of Treaty Document 104-12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07/10/1995 - 104th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</si>
  <si>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307. INVESTMENT TREATY WITH GEORGIA Senate Consideration of Treaty Document 104-13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07/10/1995 - 104th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</si>
  <si>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308. INVESTMENT TREATY WITH TRINIDAD AND TOBAGO Senate Consideration of Treaty Document 104-14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07/11/1995 - 104th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</si>
  <si>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309. INVESTMENT TREATY WITH ALBANIA Senate Consideration of Treaty Document 104-19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09/06/1995 - 104th Congress (1995-1996)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</si>
  <si>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310. AGREEMENT FOR THE IMPLEMENTATION OF THE UNITED NATIONS CONVENTION OF THE LAW OF THE SEA OF 10 DECEMBER 1982 RELATING TO FISH STOCKS Senate Consideration of Treaty Document 104-24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02/20/1996 - 104th Congress (1995-1996)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</si>
  <si>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311. INVESTMENT TREATY WITH JAMAICA Senate Consideration of Treaty Document 103-35 </t>
    </r>
    <r>
      <rPr>
        <b/>
        <sz val="12"/>
        <color theme="1"/>
        <rFont val="Calibri"/>
        <family val="2"/>
        <scheme val="minor"/>
      </rPr>
      <t>Date Received from President:</t>
    </r>
    <r>
      <rPr>
        <sz val="12"/>
        <color theme="1"/>
        <rFont val="Calibri"/>
        <family val="2"/>
        <scheme val="minor"/>
      </rPr>
      <t xml:space="preserve"> 09/19/1994 - 103rd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</si>
  <si>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312. ENCOURAGEMENT RECIPROCAL INVESTMENT TREATY WITH REPUBLIC OF BELARUS Senate Consideration of Treaty Document 103-36 </t>
    </r>
    <r>
      <rPr>
        <b/>
        <sz val="12"/>
        <color theme="1"/>
        <rFont val="Calibri"/>
        <family val="2"/>
        <scheme val="minor"/>
      </rPr>
      <t>Date Received from President:</t>
    </r>
    <r>
      <rPr>
        <sz val="12"/>
        <color theme="1"/>
        <rFont val="Calibri"/>
        <family val="2"/>
        <scheme val="minor"/>
      </rPr>
      <t xml:space="preserve"> 09/23/1994 - 103rd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</si>
  <si>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313. INVESTMENT TREATY WITH UKRAINE Senate Consideration of Treaty Document 103-37 </t>
    </r>
    <r>
      <rPr>
        <b/>
        <sz val="12"/>
        <color theme="1"/>
        <rFont val="Calibri"/>
        <family val="2"/>
        <scheme val="minor"/>
      </rPr>
      <t>Date Received from President:</t>
    </r>
    <r>
      <rPr>
        <sz val="12"/>
        <color theme="1"/>
        <rFont val="Calibri"/>
        <family val="2"/>
        <scheme val="minor"/>
      </rPr>
      <t xml:space="preserve"> 09/26/1994 - 103rd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</si>
  <si>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314. INVESTMENT TREATY WITH THE REPUBLIC OF ESTONIA Senate Consideration of Treaty Document 103-38 </t>
    </r>
    <r>
      <rPr>
        <b/>
        <sz val="12"/>
        <color theme="1"/>
        <rFont val="Calibri"/>
        <family val="2"/>
        <scheme val="minor"/>
      </rPr>
      <t>Date Received from President:</t>
    </r>
    <r>
      <rPr>
        <sz val="12"/>
        <color theme="1"/>
        <rFont val="Calibri"/>
        <family val="2"/>
        <scheme val="minor"/>
      </rPr>
      <t xml:space="preserve"> 09/26/1994 - 103rd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06/27/1996 - 104th Congress (1995-1996) - Resolution of advice and consent to ratification agreed to in Senate by Division vote. (All Actions) </t>
    </r>
  </si>
  <si>
    <r>
      <t xml:space="preserve">315. TREATY WITH THE RUSSIAN FEDERATION ON FURTHER REDUCTION AND LIMITATION OF STRATEGIC OFFENSIVE ARMS (THE START II TREATY) Senate Consideration of Treaty Document 103-1 </t>
    </r>
    <r>
      <rPr>
        <b/>
        <sz val="12"/>
        <color theme="1"/>
        <rFont val="Calibri"/>
        <family val="2"/>
        <scheme val="minor"/>
      </rPr>
      <t>Date Received from President:</t>
    </r>
    <r>
      <rPr>
        <sz val="12"/>
        <color theme="1"/>
        <rFont val="Calibri"/>
        <family val="2"/>
        <scheme val="minor"/>
      </rPr>
      <t xml:space="preserve"> 01/15/1993 - 103rd Congress (1993-1994)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01/26/1996 - 104th Congress (1995-1996) - Resolution of advice and consent to ratification agreed to in Senate by Yea-Nay vote. 87-4. Record Vote No: 6 EX. (All Actions) </t>
    </r>
  </si>
  <si>
    <r>
      <t xml:space="preserve">316. A REVISED PROTOCOL AMENDING THE 1980 TAX CONVENTION WITH CANADA. Senate Consideration of Treaty Document 104-4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04/24/1995 - 104th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</si>
  <si>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317. EXCHANGE OF NOTES RELATING TO THE TAX CONVENTION WITH UKRAINE Senate Consideration of Treaty Document 104-11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06/28/1995 - 104th Congress (1995-1996)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</si>
  <si>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318. TAX CONVENTION WITH SWEDEN Senate Consideration of Treaty Document 103-29 </t>
    </r>
    <r>
      <rPr>
        <b/>
        <sz val="12"/>
        <color theme="1"/>
        <rFont val="Calibri"/>
        <family val="2"/>
        <scheme val="minor"/>
      </rPr>
      <t>Date Received from President:</t>
    </r>
    <r>
      <rPr>
        <sz val="12"/>
        <color theme="1"/>
        <rFont val="Calibri"/>
        <family val="2"/>
        <scheme val="minor"/>
      </rPr>
      <t xml:space="preserve"> 09/14/1994 - 103rd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</si>
  <si>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319. TAX CONVENTION WITH UKRAINE Senate Consideration of Treaty Document 103-30 </t>
    </r>
    <r>
      <rPr>
        <b/>
        <sz val="12"/>
        <color theme="1"/>
        <rFont val="Calibri"/>
        <family val="2"/>
        <scheme val="minor"/>
      </rPr>
      <t>Date Received from President:</t>
    </r>
    <r>
      <rPr>
        <sz val="12"/>
        <color theme="1"/>
        <rFont val="Calibri"/>
        <family val="2"/>
        <scheme val="minor"/>
      </rPr>
      <t xml:space="preserve"> 09/14/1994 - 103rd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</si>
  <si>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320. Additional Protocol Modifying the Tax Convention with Mexico Senate Consideration of Treaty Document 103-31 </t>
    </r>
    <r>
      <rPr>
        <b/>
        <sz val="12"/>
        <color theme="1"/>
        <rFont val="Calibri"/>
        <family val="2"/>
        <scheme val="minor"/>
      </rPr>
      <t>Date Received from President:</t>
    </r>
    <r>
      <rPr>
        <sz val="12"/>
        <color theme="1"/>
        <rFont val="Calibri"/>
        <family val="2"/>
        <scheme val="minor"/>
      </rPr>
      <t xml:space="preserve"> 09/15/1994 - 103rd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</si>
  <si>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321. TAX CONVENTION WITH THE FRENCH REPUBLIC Senate Consideration of Treaty Document 103-32 </t>
    </r>
    <r>
      <rPr>
        <b/>
        <sz val="12"/>
        <color theme="1"/>
        <rFont val="Calibri"/>
        <family val="2"/>
        <scheme val="minor"/>
      </rPr>
      <t>Date Received from President:</t>
    </r>
    <r>
      <rPr>
        <sz val="12"/>
        <color theme="1"/>
        <rFont val="Calibri"/>
        <family val="2"/>
        <scheme val="minor"/>
      </rPr>
      <t xml:space="preserve"> 09/15/1994 - 103rd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</si>
  <si>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322. TAX CONVENTION WITH THE PORTUGUESE REPUBLIC Senate Consideration of Treaty Document 103-34 </t>
    </r>
    <r>
      <rPr>
        <b/>
        <sz val="12"/>
        <color theme="1"/>
        <rFont val="Calibri"/>
        <family val="2"/>
        <scheme val="minor"/>
      </rPr>
      <t>Date Received from President:</t>
    </r>
    <r>
      <rPr>
        <sz val="12"/>
        <color theme="1"/>
        <rFont val="Calibri"/>
        <family val="2"/>
        <scheme val="minor"/>
      </rPr>
      <t xml:space="preserve"> 09/15/1994 - 103rd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08/11/1995 - 104th Congress (1995-1996) - Resolution of advice and consent to ratification agreed to in Senate by Division vote. (All Actions) </t>
    </r>
  </si>
  <si>
    <r>
      <t xml:space="preserve">323. TREATY WITH PANAMA ON MUTUAL ASSISTANCE IN CRIMINAL MATTERS Senate Consideration of Treaty Document 102-15 </t>
    </r>
    <r>
      <rPr>
        <b/>
        <sz val="12"/>
        <color theme="1"/>
        <rFont val="Calibri"/>
        <family val="2"/>
        <scheme val="minor"/>
      </rPr>
      <t>Date Received from President:</t>
    </r>
    <r>
      <rPr>
        <sz val="12"/>
        <color theme="1"/>
        <rFont val="Calibri"/>
        <family val="2"/>
        <scheme val="minor"/>
      </rPr>
      <t xml:space="preserve"> 10/24/1991 - 102nd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05/16/1995 - 104th Congress (1995-1996) - Resolution of advice and consent to ratification agreed to in Senate by Division vote. (All Actions) </t>
    </r>
  </si>
  <si>
    <r>
      <t xml:space="preserve">324. EXTRADITION TREATY WITH JORDAN Senate Consideration of Treaty Document 104-3 </t>
    </r>
    <r>
      <rPr>
        <b/>
        <sz val="12"/>
        <color theme="1"/>
        <rFont val="Calibri"/>
        <family val="2"/>
        <scheme val="minor"/>
      </rPr>
      <t>Text of Treaty Document:</t>
    </r>
    <r>
      <rPr>
        <sz val="12"/>
        <color theme="1"/>
        <rFont val="Calibri"/>
        <family val="2"/>
        <scheme val="minor"/>
      </rPr>
      <t xml:space="preserve"> TXT | PDF </t>
    </r>
    <r>
      <rPr>
        <b/>
        <sz val="12"/>
        <color theme="1"/>
        <rFont val="Calibri"/>
        <family val="2"/>
        <scheme val="minor"/>
      </rPr>
      <t>Date Received from President:</t>
    </r>
    <r>
      <rPr>
        <sz val="12"/>
        <color theme="1"/>
        <rFont val="Calibri"/>
        <family val="2"/>
        <scheme val="minor"/>
      </rPr>
      <t xml:space="preserve"> 04/24/1995 - 104th Congress (1995-1996)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05/03/1995 - 104th Congress (1995-1996) - Resolution of advice and consent to ratification agreed to in Senate by Division vote. (All Actions) </t>
    </r>
  </si>
  <si>
    <r>
      <t xml:space="preserve">325. CONVENTION ON PROHIBITIONS OR RESTRICTIONS ON THE USE OF CERTAIN CONVENTIONAL WEAPONS Senate Consideration of Treaty Document 103-25 </t>
    </r>
    <r>
      <rPr>
        <b/>
        <sz val="12"/>
        <color theme="1"/>
        <rFont val="Calibri"/>
        <family val="2"/>
        <scheme val="minor"/>
      </rPr>
      <t>Date Received from President:</t>
    </r>
    <r>
      <rPr>
        <sz val="12"/>
        <color theme="1"/>
        <rFont val="Calibri"/>
        <family val="2"/>
        <scheme val="minor"/>
      </rPr>
      <t xml:space="preserve"> 05/12/1994 - 103rd Congress (1993-1994)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03/24/1995 - 104th Congress (1995-1996) - Resolution of advice and consent to ratification agreed to in Senate by Division vote. (All Actions) </t>
    </r>
  </si>
  <si>
    <r>
      <t xml:space="preserve">326. CONVENTION ON BIOLOGICAL DIVERSITY Senate Consideration of Treaty Document 103-20 </t>
    </r>
    <r>
      <rPr>
        <b/>
        <sz val="12"/>
        <color theme="1"/>
        <rFont val="Calibri"/>
        <family val="2"/>
        <scheme val="minor"/>
      </rPr>
      <t>Date Received from President:</t>
    </r>
    <r>
      <rPr>
        <sz val="12"/>
        <color theme="1"/>
        <rFont val="Calibri"/>
        <family val="2"/>
        <scheme val="minor"/>
      </rPr>
      <t xml:space="preserve"> 11/20/1993 - 103rd Congress (1993-1994)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12/01/1994 - 103rd Congress (1993-1994) - No further action at sine die adjournment of the 103 Congress; automatically rereferred to the Committee on Foreign Relations under the provisions of Rule XXX, section 2, of the Standing Rules of the Senate. (All Actions) </t>
    </r>
  </si>
  <si>
    <r>
      <t xml:space="preserve">327. TWO TREATIES WITH THE UNITED KINGDOM ESTABLISHING CARIBBEAN MARITIME BOUNDARIES Senate Consideration of Treaty Document 103-23 </t>
    </r>
    <r>
      <rPr>
        <b/>
        <sz val="12"/>
        <color theme="1"/>
        <rFont val="Calibri"/>
        <family val="2"/>
        <scheme val="minor"/>
      </rPr>
      <t>Date Received from President:</t>
    </r>
    <r>
      <rPr>
        <sz val="12"/>
        <color theme="1"/>
        <rFont val="Calibri"/>
        <family val="2"/>
        <scheme val="minor"/>
      </rPr>
      <t xml:space="preserve"> 03/09/1994 - 103rd Congress (1993-1994)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10/07/1994 - 103rd Congress (1993-1994) - Resolution of advice and consent to ratification agreed to in Senate by Division vote. (All Actions) </t>
    </r>
  </si>
  <si>
    <r>
      <t xml:space="preserve">328. AGREEMENT TO PROMOTE COMPLIANCE WITH INTERNATIONAL CONSERVATION AND MANAGEMENT MEASURES BY FISHING VESSELS ON THE HIGH SEAS Senate Consideration of Treaty Document 103-24 </t>
    </r>
    <r>
      <rPr>
        <b/>
        <sz val="12"/>
        <color theme="1"/>
        <rFont val="Calibri"/>
        <family val="2"/>
        <scheme val="minor"/>
      </rPr>
      <t>Date Received from President:</t>
    </r>
    <r>
      <rPr>
        <sz val="12"/>
        <color theme="1"/>
        <rFont val="Calibri"/>
        <family val="2"/>
        <scheme val="minor"/>
      </rPr>
      <t xml:space="preserve"> 04/25/1994 - 103rd Congress (1993-1994)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10/07/1994 - 103rd Congress (1993-1994) - Resolution of advice and consent to ratification agreed to in Senate by Division vote. (All Actions) </t>
    </r>
  </si>
  <si>
    <r>
      <t xml:space="preserve">329. ILO CONVENTION (NO. 150) CONCERNING LABOR ADMINISTRATION Senate Consideration of Treaty Document 103-26 </t>
    </r>
    <r>
      <rPr>
        <b/>
        <sz val="12"/>
        <color theme="1"/>
        <rFont val="Calibri"/>
        <family val="2"/>
        <scheme val="minor"/>
      </rPr>
      <t>Date Received from President:</t>
    </r>
    <r>
      <rPr>
        <sz val="12"/>
        <color theme="1"/>
        <rFont val="Calibri"/>
        <family val="2"/>
        <scheme val="minor"/>
      </rPr>
      <t xml:space="preserve"> 07/26/1994 - 103rd Congress (1993-1994)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10/07/1994 - 103rd Congress (1993-1994) - Resolution of advice and consent to ratification agreed to in Senate by Division vote. (All Actions) </t>
    </r>
  </si>
  <si>
    <r>
      <t xml:space="preserve">330. CONVENTION ON THE CONSERVATION AND MANAGEMENT OF POLLOCK RESOURCES IN THE CENTRAL BERING SEA Senate Consideration of Treaty Document 103-27 </t>
    </r>
    <r>
      <rPr>
        <b/>
        <sz val="12"/>
        <color theme="1"/>
        <rFont val="Calibri"/>
        <family val="2"/>
        <scheme val="minor"/>
      </rPr>
      <t>Date Received from President:</t>
    </r>
    <r>
      <rPr>
        <sz val="12"/>
        <color theme="1"/>
        <rFont val="Calibri"/>
        <family val="2"/>
        <scheme val="minor"/>
      </rPr>
      <t xml:space="preserve"> 08/09/1994 - 103rd Congress (1993-1994)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10/07/1994 - 103rd Congress (1993-1994) - Resolution of advice and consent to ratification agreed to in Senate by Division vote. (All Actions) </t>
    </r>
  </si>
  <si>
    <r>
      <t xml:space="preserve">331. HEADQUARTERS AGREEMENT WITH THE ORGANIZATION OF AMERICAN STATES Senate Consideration of Treaty Document 102-40 </t>
    </r>
    <r>
      <rPr>
        <b/>
        <sz val="12"/>
        <color theme="1"/>
        <rFont val="Calibri"/>
        <family val="2"/>
        <scheme val="minor"/>
      </rPr>
      <t>Date Received from President:</t>
    </r>
    <r>
      <rPr>
        <sz val="12"/>
        <color theme="1"/>
        <rFont val="Calibri"/>
        <family val="2"/>
        <scheme val="minor"/>
      </rPr>
      <t xml:space="preserve"> 09/21/1992 - 102nd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10/07/1994 - 103rd Congress (1993-1994) - Resolution of advice and consent to ratification agreed to in Senate by Division vote. (All Actions) </t>
    </r>
  </si>
  <si>
    <r>
      <t xml:space="preserve">332. SECOND PROTOCOL AMENDING THE 1975 TAX CONVENTION WITH ISRAEL Senate Consideration of Treaty Document 103-16 </t>
    </r>
    <r>
      <rPr>
        <b/>
        <sz val="12"/>
        <color theme="1"/>
        <rFont val="Calibri"/>
        <family val="2"/>
        <scheme val="minor"/>
      </rPr>
      <t>Date Received from President:</t>
    </r>
    <r>
      <rPr>
        <sz val="12"/>
        <color theme="1"/>
        <rFont val="Calibri"/>
        <family val="2"/>
        <scheme val="minor"/>
      </rPr>
      <t xml:space="preserve"> 10/19/1993 - 103rd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09/23/1994 - 103rd Congress (1993-1994) - Resolution of advice and consent to ratification agreed to in Senate by Division vote. (All Actions) </t>
    </r>
  </si>
  <si>
    <r>
      <t xml:space="preserve">333. INTERNATIONAL CONVENTION ON THE ELIMINATION OF ALL FORMS OF RACIAL DISCRIMINATION Senate Consideration of Treaty Document 95-18 </t>
    </r>
    <r>
      <rPr>
        <b/>
        <sz val="12"/>
        <color theme="1"/>
        <rFont val="Calibri"/>
        <family val="2"/>
        <scheme val="minor"/>
      </rPr>
      <t>Date Received from President:</t>
    </r>
    <r>
      <rPr>
        <sz val="12"/>
        <color theme="1"/>
        <rFont val="Calibri"/>
        <family val="2"/>
        <scheme val="minor"/>
      </rPr>
      <t xml:space="preserve"> 02/23/1978 - 95th Congress (1977-1978)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06/24/1994 - 103rd Congress (1993-1994) - Resolution of advice and consent to ratification agreed to in Senate by Division Vote. (All Actions) </t>
    </r>
  </si>
  <si>
    <r>
      <t xml:space="preserve">334. TWO PROTOCOLS AMENDING THE OAS CHARTER Senate Consideration of Treaty Document 103-22 </t>
    </r>
    <r>
      <rPr>
        <b/>
        <sz val="12"/>
        <color theme="1"/>
        <rFont val="Calibri"/>
        <family val="2"/>
        <scheme val="minor"/>
      </rPr>
      <t>Date Received from President:</t>
    </r>
    <r>
      <rPr>
        <sz val="12"/>
        <color theme="1"/>
        <rFont val="Calibri"/>
        <family val="2"/>
        <scheme val="minor"/>
      </rPr>
      <t xml:space="preserve"> 01/26/1994 - 103rd Congress (1993-1994)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05/17/1994 - 103rd Congress (1993-1994) - Resolution of advice and consent to ratification agreed to in Senate by Division Vote. (All Actions) </t>
    </r>
  </si>
  <si>
    <r>
      <t xml:space="preserve">335. 1992 Protocol to the 1966 Conservation of Atlantic Tunas Convention Senate Consideration of Treaty Document 103-4 </t>
    </r>
    <r>
      <rPr>
        <b/>
        <sz val="12"/>
        <color theme="1"/>
        <rFont val="Calibri"/>
        <family val="2"/>
        <scheme val="minor"/>
      </rPr>
      <t>Date Received from President:</t>
    </r>
    <r>
      <rPr>
        <sz val="12"/>
        <color theme="1"/>
        <rFont val="Calibri"/>
        <family val="2"/>
        <scheme val="minor"/>
      </rPr>
      <t xml:space="preserve"> 04/20/1993 - 103rd Congress (1993-1994)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</si>
  <si>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336. TAX CONVENTION WITH THE NETHERLANDS Senate Consideration of Treaty Document 103-6 </t>
    </r>
    <r>
      <rPr>
        <b/>
        <sz val="12"/>
        <color theme="1"/>
        <rFont val="Calibri"/>
        <family val="2"/>
        <scheme val="minor"/>
      </rPr>
      <t>Date Received from President:</t>
    </r>
    <r>
      <rPr>
        <sz val="12"/>
        <color theme="1"/>
        <rFont val="Calibri"/>
        <family val="2"/>
        <scheme val="minor"/>
      </rPr>
      <t xml:space="preserve"> 05/12/1993 - 103rd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</si>
  <si>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337. TAX CONVENTION WITH MEXICO Senate Consideration of Treaty Document 103-7 </t>
    </r>
    <r>
      <rPr>
        <b/>
        <sz val="12"/>
        <color theme="1"/>
        <rFont val="Calibri"/>
        <family val="2"/>
        <scheme val="minor"/>
      </rPr>
      <t>Date Received from President:</t>
    </r>
    <r>
      <rPr>
        <sz val="12"/>
        <color theme="1"/>
        <rFont val="Calibri"/>
        <family val="2"/>
        <scheme val="minor"/>
      </rPr>
      <t xml:space="preserve"> 05/20/1993 - 103rd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with an amendment by Division Vote. (All Actions) </t>
    </r>
  </si>
  <si>
    <r>
      <t xml:space="preserve">338. CONVENTION ON THE MARKING OF PLASTIC EXPLOSIVES FOR THE PURPOSE OF DETECTION Senate Consideration of Treaty Document 103-8 </t>
    </r>
    <r>
      <rPr>
        <b/>
        <sz val="12"/>
        <color theme="1"/>
        <rFont val="Calibri"/>
        <family val="2"/>
        <scheme val="minor"/>
      </rPr>
      <t>Date Received from President:</t>
    </r>
    <r>
      <rPr>
        <sz val="12"/>
        <color theme="1"/>
        <rFont val="Calibri"/>
        <family val="2"/>
        <scheme val="minor"/>
      </rPr>
      <t xml:space="preserve"> 06/29/1993 - 103rd Congress (1993-1994)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</si>
  <si>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339. AMENDMENT TO THE MONTREAL PROTOCOL ON SUBSTANCES THAT DEPLETE THE OZONE LAYER Senate Consideration of Treaty Document 103-9 </t>
    </r>
    <r>
      <rPr>
        <b/>
        <sz val="12"/>
        <color theme="1"/>
        <rFont val="Calibri"/>
        <family val="2"/>
        <scheme val="minor"/>
      </rPr>
      <t>Date Received from President:</t>
    </r>
    <r>
      <rPr>
        <sz val="12"/>
        <color theme="1"/>
        <rFont val="Calibri"/>
        <family val="2"/>
        <scheme val="minor"/>
      </rPr>
      <t xml:space="preserve"> 07/20/1993 - 103rd Congress (1993-1994)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</si>
  <si>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340. CONVENTION ON THE LIMITATION PERIOD IN THE INTERNATIONAL SALE OF GOODS, WITH PROTOCOL Senate Consideration of Treaty Document 103-10 </t>
    </r>
    <r>
      <rPr>
        <b/>
        <sz val="12"/>
        <color theme="1"/>
        <rFont val="Calibri"/>
        <family val="2"/>
        <scheme val="minor"/>
      </rPr>
      <t>Date Received from President:</t>
    </r>
    <r>
      <rPr>
        <sz val="12"/>
        <color theme="1"/>
        <rFont val="Calibri"/>
        <family val="2"/>
        <scheme val="minor"/>
      </rPr>
      <t xml:space="preserve"> 08/06/1993 - 103rd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</si>
  <si>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341. TAX CONVENTION WITH THE CZECH REPUBLIC Senate Consideration of Treaty Document 103-17 </t>
    </r>
    <r>
      <rPr>
        <b/>
        <sz val="12"/>
        <color theme="1"/>
        <rFont val="Calibri"/>
        <family val="2"/>
        <scheme val="minor"/>
      </rPr>
      <t>Date Received from President:</t>
    </r>
    <r>
      <rPr>
        <sz val="12"/>
        <color theme="1"/>
        <rFont val="Calibri"/>
        <family val="2"/>
        <scheme val="minor"/>
      </rPr>
      <t xml:space="preserve"> 10/21/1993 - 103rd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</si>
  <si>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342. TAX CONVENTION WITH THE SLOVAK REPUBLIC Senate Consideration of Treaty Document 103-18 </t>
    </r>
    <r>
      <rPr>
        <b/>
        <sz val="12"/>
        <color theme="1"/>
        <rFont val="Calibri"/>
        <family val="2"/>
        <scheme val="minor"/>
      </rPr>
      <t>Date Received from President:</t>
    </r>
    <r>
      <rPr>
        <sz val="12"/>
        <color theme="1"/>
        <rFont val="Calibri"/>
        <family val="2"/>
        <scheme val="minor"/>
      </rPr>
      <t xml:space="preserve"> 10/21/1993 - 103rd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</si>
  <si>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343. PROTOCOL AMENDING THE TAX CONVENTION WITH THE KINGDOM OF THE NETHERLANDS Senate Consideration of Treaty Document 103-19 </t>
    </r>
    <r>
      <rPr>
        <b/>
        <sz val="12"/>
        <color theme="1"/>
        <rFont val="Calibri"/>
        <family val="2"/>
        <scheme val="minor"/>
      </rPr>
      <t>Date Received from President:</t>
    </r>
    <r>
      <rPr>
        <sz val="12"/>
        <color theme="1"/>
        <rFont val="Calibri"/>
        <family val="2"/>
        <scheme val="minor"/>
      </rPr>
      <t xml:space="preserve"> 10/22/1993 - 103rd Congress (1993-1994)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</si>
  <si>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344. INCOME TAX CONVENTION WITH THE RUSSIAN FEDERATION Senate Consideration of Treaty Document 102-39 </t>
    </r>
    <r>
      <rPr>
        <b/>
        <sz val="12"/>
        <color theme="1"/>
        <rFont val="Calibri"/>
        <family val="2"/>
        <scheme val="minor"/>
      </rPr>
      <t>Date Received from President:</t>
    </r>
    <r>
      <rPr>
        <sz val="12"/>
        <color theme="1"/>
        <rFont val="Calibri"/>
        <family val="2"/>
        <scheme val="minor"/>
      </rPr>
      <t xml:space="preserve"> 09/08/1992 - 102nd Congress (1991-1992)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</si>
  <si>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345. PROTOCOL AMENDING THE 1984 INCOME TAX CONVENTION WITH BARBADOS Senate Consideration of Treaty Document 102-41 </t>
    </r>
    <r>
      <rPr>
        <b/>
        <sz val="12"/>
        <color theme="1"/>
        <rFont val="Calibri"/>
        <family val="2"/>
        <scheme val="minor"/>
      </rPr>
      <t>Date Received from President:</t>
    </r>
    <r>
      <rPr>
        <sz val="12"/>
        <color theme="1"/>
        <rFont val="Calibri"/>
        <family val="2"/>
        <scheme val="minor"/>
      </rPr>
      <t xml:space="preserve"> 09/30/1992 - 102nd Congress (1991-1992)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11/20/1993 - 103rd Congress (1993-1994) - Resolution of advice and consent to ratification agreed to in Senate by Division Vote. (All Actions) </t>
    </r>
  </si>
  <si>
    <r>
      <t xml:space="preserve">346. TREATY WITH ARGENTINA CONCERNING THE RECIPROCAL ENCOURAGEMENT AND PROTECTION OF INVESTMENT Senate Consideration of Treaty Document 103-2 </t>
    </r>
    <r>
      <rPr>
        <b/>
        <sz val="12"/>
        <color theme="1"/>
        <rFont val="Calibri"/>
        <family val="2"/>
        <scheme val="minor"/>
      </rPr>
      <t>Date Received from President:</t>
    </r>
    <r>
      <rPr>
        <sz val="12"/>
        <color theme="1"/>
        <rFont val="Calibri"/>
        <family val="2"/>
        <scheme val="minor"/>
      </rPr>
      <t xml:space="preserve"> 01/19/1993 - 103rd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</si>
  <si>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347. TREATY WITH BULGARIA CONCERNING THE ENCOURAGEMENT AND PRECIPROCAL PROTECTION OF INVESTMENT Senate Consideration of Treaty Document 103-3 </t>
    </r>
    <r>
      <rPr>
        <b/>
        <sz val="12"/>
        <color theme="1"/>
        <rFont val="Calibri"/>
        <family val="2"/>
        <scheme val="minor"/>
      </rPr>
      <t>Date Received from President:</t>
    </r>
    <r>
      <rPr>
        <sz val="12"/>
        <color theme="1"/>
        <rFont val="Calibri"/>
        <family val="2"/>
        <scheme val="minor"/>
      </rPr>
      <t xml:space="preserve"> 01/19/1993 - 103rd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</si>
  <si>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348. INVESTMENT TREATY WITH THE REPUBLIC OF ARMENIA Senate Consideration of Treaty Document 103-11 </t>
    </r>
    <r>
      <rPr>
        <b/>
        <sz val="12"/>
        <color theme="1"/>
        <rFont val="Calibri"/>
        <family val="2"/>
        <scheme val="minor"/>
      </rPr>
      <t>Date Received from President:</t>
    </r>
    <r>
      <rPr>
        <sz val="12"/>
        <color theme="1"/>
        <rFont val="Calibri"/>
        <family val="2"/>
        <scheme val="minor"/>
      </rPr>
      <t xml:space="preserve"> 09/07/1993 - 103rd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</si>
  <si>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349. INVESTMENT TREATY WITH THE REPUBLIC OF KYRGYZSTAN Senate Consideration of Treaty Document 103-13 </t>
    </r>
    <r>
      <rPr>
        <b/>
        <sz val="12"/>
        <color theme="1"/>
        <rFont val="Calibri"/>
        <family val="2"/>
        <scheme val="minor"/>
      </rPr>
      <t>Date Received from President:</t>
    </r>
    <r>
      <rPr>
        <sz val="12"/>
        <color theme="1"/>
        <rFont val="Calibri"/>
        <family val="2"/>
        <scheme val="minor"/>
      </rPr>
      <t xml:space="preserve"> 09/07/1993 - 103rd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</si>
  <si>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350. INVESTMENT TREATY WITH THE REPUBLIC OF MOLDOVA Senate Consideration of Treaty Document 103-14 </t>
    </r>
    <r>
      <rPr>
        <b/>
        <sz val="12"/>
        <color theme="1"/>
        <rFont val="Calibri"/>
        <family val="2"/>
        <scheme val="minor"/>
      </rPr>
      <t>Date Received from President:</t>
    </r>
    <r>
      <rPr>
        <sz val="12"/>
        <color theme="1"/>
        <rFont val="Calibri"/>
        <family val="2"/>
        <scheme val="minor"/>
      </rPr>
      <t xml:space="preserve"> 09/07/1993 - 103rd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</si>
  <si>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351. INVESTMENT TREATY WITH THE REPUBLIC OF ECUADOR Senate Consideration of Treaty Document 103-15 </t>
    </r>
    <r>
      <rPr>
        <b/>
        <sz val="12"/>
        <color theme="1"/>
        <rFont val="Calibri"/>
        <family val="2"/>
        <scheme val="minor"/>
      </rPr>
      <t>Date Received from President:</t>
    </r>
    <r>
      <rPr>
        <sz val="12"/>
        <color theme="1"/>
        <rFont val="Calibri"/>
        <family val="2"/>
        <scheme val="minor"/>
      </rPr>
      <t xml:space="preserve"> 09/10/1993 - 103rd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</si>
  <si>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352. TREATY WITH ROMANIA CONCERNING THE RECIPROCAL ENCOURAGEMENT AND PROTECTION OF INVESTMENT Senate Consideration of Treaty Document 102-36 </t>
    </r>
    <r>
      <rPr>
        <b/>
        <sz val="12"/>
        <color theme="1"/>
        <rFont val="Calibri"/>
        <family val="2"/>
        <scheme val="minor"/>
      </rPr>
      <t>Date Received from President:</t>
    </r>
    <r>
      <rPr>
        <sz val="12"/>
        <color theme="1"/>
        <rFont val="Calibri"/>
        <family val="2"/>
        <scheme val="minor"/>
      </rPr>
      <t xml:space="preserve"> 08/03/1992 - 102nd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11/17/1993 - 103rd Congress (1993-1994) - Resolution of advice and consent to ratification agreed to in Senate by Division Vote. (All Actions) </t>
    </r>
  </si>
  <si>
    <r>
      <t xml:space="preserve">353. INVESTMENT TREATY WITH KAZAKHSTAN Senate Consideration of Treaty Document 103-12 </t>
    </r>
    <r>
      <rPr>
        <b/>
        <sz val="12"/>
        <color theme="1"/>
        <rFont val="Calibri"/>
        <family val="2"/>
        <scheme val="minor"/>
      </rPr>
      <t>Date Received from President:</t>
    </r>
    <r>
      <rPr>
        <sz val="12"/>
        <color theme="1"/>
        <rFont val="Calibri"/>
        <family val="2"/>
        <scheme val="minor"/>
      </rPr>
      <t xml:space="preserve"> 09/07/1993 - 103rd Congress (1993-1994)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10/21/1993 - 103rd Congress (1993-1994) - Resolution of advice and consent to ratification agreed to in Senate by Division Vote. (All Actions) </t>
    </r>
  </si>
  <si>
    <r>
      <t xml:space="preserve">354. TREATY ON OPEN SKIES Senate Consideration of Treaty Document 102-37 </t>
    </r>
    <r>
      <rPr>
        <b/>
        <sz val="12"/>
        <color theme="1"/>
        <rFont val="Calibri"/>
        <family val="2"/>
        <scheme val="minor"/>
      </rPr>
      <t>Date Received from President:</t>
    </r>
    <r>
      <rPr>
        <sz val="12"/>
        <color theme="1"/>
        <rFont val="Calibri"/>
        <family val="2"/>
        <scheme val="minor"/>
      </rPr>
      <t xml:space="preserve"> 08/12/1992 - 102nd Congress (1991-1992)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08/06/1993 - 103rd Congress (1993-1994) - Resolution of advice and consent to ratification agreed to in Senate by Division Vote. (All Actions) </t>
    </r>
  </si>
  <si>
    <r>
      <t xml:space="preserve">355. PROTOCOL ON ENVIRONMENTAL PROTECTION TO THE ANTARCTIC TREATY Senate Consideration of Treaty Document 102-22 </t>
    </r>
    <r>
      <rPr>
        <b/>
        <sz val="12"/>
        <color theme="1"/>
        <rFont val="Calibri"/>
        <family val="2"/>
        <scheme val="minor"/>
      </rPr>
      <t>Date Received from President:</t>
    </r>
    <r>
      <rPr>
        <sz val="12"/>
        <color theme="1"/>
        <rFont val="Calibri"/>
        <family val="2"/>
        <scheme val="minor"/>
      </rPr>
      <t xml:space="preserve"> 02/14/1992 - 102nd Congress (1991-1992)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10/07/1992 - 102nd Congress (1991-1992) - Resolution of advice and consent to ratification agreed to in Senate by Division Vote. (All Actions) </t>
    </r>
  </si>
  <si>
    <r>
      <t xml:space="preserve">356. UNITED NATIONS FRAMEWORK CONVENTION ON CLIMATE CHANGE Senate Consideration of Treaty Document 102-38 </t>
    </r>
    <r>
      <rPr>
        <b/>
        <sz val="12"/>
        <color theme="1"/>
        <rFont val="Calibri"/>
        <family val="2"/>
        <scheme val="minor"/>
      </rPr>
      <t>Date Received from President:</t>
    </r>
    <r>
      <rPr>
        <sz val="12"/>
        <color theme="1"/>
        <rFont val="Calibri"/>
        <family val="2"/>
        <scheme val="minor"/>
      </rPr>
      <t xml:space="preserve"> 09/08/1992 - 102nd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10/07/1992 - 102nd Congress (1991-1992) - Resolution of advice and consent to ratification agreed to in Senate by Division Vote. (All Actions) </t>
    </r>
  </si>
  <si>
    <r>
      <t xml:space="preserve">357. TREATY WITH THE UNION OF SOVIET SOCIALIST REPUBLICS ON THE REDUCTION AND LIMITATION OF STRATEGIC OFFENSIVE ARMS (THE START TREATY) Senate Consideration of Treaty Document 102-20 </t>
    </r>
    <r>
      <rPr>
        <b/>
        <sz val="12"/>
        <color theme="1"/>
        <rFont val="Calibri"/>
        <family val="2"/>
        <scheme val="minor"/>
      </rPr>
      <t>Date Received from President:</t>
    </r>
    <r>
      <rPr>
        <sz val="12"/>
        <color theme="1"/>
        <rFont val="Calibri"/>
        <family val="2"/>
        <scheme val="minor"/>
      </rPr>
      <t xml:space="preserve"> 11/25/1991 - 102nd Congress (1991-1992)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10/01/1992 - 102nd Congress (1991-1992) - Resolution of advice and consent to ratification agreed to in Senate with amendments by Yea-Nay Vote. 93 - 6. Record Vote Number: 253. (All Actions) </t>
    </r>
  </si>
  <si>
    <r>
      <t xml:space="preserve">358. PROTOCOL TO THE TREATY WITH THE UNION OF SOVIET SOCIALIST REPUBLICS ON THE REDUCTION AND LIMITATION OF STRATEGIC OFFENSIVE ARMS Senate Consideration of Treaty Document 102-32 </t>
    </r>
    <r>
      <rPr>
        <b/>
        <sz val="12"/>
        <color theme="1"/>
        <rFont val="Calibri"/>
        <family val="2"/>
        <scheme val="minor"/>
      </rPr>
      <t>Date Received from President:</t>
    </r>
    <r>
      <rPr>
        <sz val="12"/>
        <color theme="1"/>
        <rFont val="Calibri"/>
        <family val="2"/>
        <scheme val="minor"/>
      </rPr>
      <t xml:space="preserve"> 06/19/1992 - 102nd Congress (1991-1992)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10/01/1992 - 102nd Congress (1991-1992) - Resolution of advice and consent to ratification agreed to in Senate with amendments by Yea-Nay Vote. 93 - 6. Record Vote Number: 253. (All Actions) </t>
    </r>
  </si>
  <si>
    <r>
      <t xml:space="preserve">359. TREATY WITH THE PEOPLE'S REPUBLIC OF THE CONGO CONCERNING THE RECIPROCAL ENCOURAGEMENT AND PROTECTION OF INVESTMENT Senate Consideration of Treaty Document 102-1 </t>
    </r>
    <r>
      <rPr>
        <b/>
        <sz val="12"/>
        <color theme="1"/>
        <rFont val="Calibri"/>
        <family val="2"/>
        <scheme val="minor"/>
      </rPr>
      <t>Date Received from President:</t>
    </r>
    <r>
      <rPr>
        <sz val="12"/>
        <color theme="1"/>
        <rFont val="Calibri"/>
        <family val="2"/>
        <scheme val="minor"/>
      </rPr>
      <t xml:space="preserve"> 03/19/1991 - 102nd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</si>
  <si>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360. BASEL CONVENTION ON THE CONTROL OF TRANSBOUNDARY MOVEMENTS OF HAZARDOUS WASTES AND THEIR DISPOSAL Senate Consideration of Treaty Document 102-5 </t>
    </r>
    <r>
      <rPr>
        <b/>
        <sz val="12"/>
        <color theme="1"/>
        <rFont val="Calibri"/>
        <family val="2"/>
        <scheme val="minor"/>
      </rPr>
      <t>Date Received from President:</t>
    </r>
    <r>
      <rPr>
        <sz val="12"/>
        <color theme="1"/>
        <rFont val="Calibri"/>
        <family val="2"/>
        <scheme val="minor"/>
      </rPr>
      <t xml:space="preserve"> 05/17/1991 - 102nd Congress (1991-1992)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with understandings by Division Vote. (All Actions) </t>
    </r>
  </si>
  <si>
    <r>
      <t xml:space="preserve">361. TREATY WITH TUNISIA CONCERNING THE RECIPROCAL ENCOURAGEMENT AND PROTECTION OF INVESTMENT Senate Consideration of Treaty Document 102-6 </t>
    </r>
    <r>
      <rPr>
        <b/>
        <sz val="12"/>
        <color theme="1"/>
        <rFont val="Calibri"/>
        <family val="2"/>
        <scheme val="minor"/>
      </rPr>
      <t>Date Received from President:</t>
    </r>
    <r>
      <rPr>
        <sz val="12"/>
        <color theme="1"/>
        <rFont val="Calibri"/>
        <family val="2"/>
        <scheme val="minor"/>
      </rPr>
      <t xml:space="preserve"> 05/17/1991 - 102nd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</si>
  <si>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362. TREATY WITH SRI LANKA CONCERNING THE ENCOURAGEMENT AND RECIPROCAL PROTECTION OF INVESTMENT Senate Consideration of Treaty Document 102-25 </t>
    </r>
    <r>
      <rPr>
        <b/>
        <sz val="12"/>
        <color theme="1"/>
        <rFont val="Calibri"/>
        <family val="2"/>
        <scheme val="minor"/>
      </rPr>
      <t>Date Received from President:</t>
    </r>
    <r>
      <rPr>
        <sz val="12"/>
        <color theme="1"/>
        <rFont val="Calibri"/>
        <family val="2"/>
        <scheme val="minor"/>
      </rPr>
      <t xml:space="preserve"> 03/24/1992 - 102nd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</si>
  <si>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363. CONVENTION FOR THE CONSERVATION OF ANADROMOUS STOCKS IN THE NORTH PACIFIC OCEAN Senate Consideration of Treaty Document 102-30 </t>
    </r>
    <r>
      <rPr>
        <b/>
        <sz val="12"/>
        <color theme="1"/>
        <rFont val="Calibri"/>
        <family val="2"/>
        <scheme val="minor"/>
      </rPr>
      <t>Date Received from President:</t>
    </r>
    <r>
      <rPr>
        <sz val="12"/>
        <color theme="1"/>
        <rFont val="Calibri"/>
        <family val="2"/>
        <scheme val="minor"/>
      </rPr>
      <t xml:space="preserve"> 05/19/1992 - 102nd Congress (1991-1992)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</si>
  <si>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364. TREATY WITH THE CZECH AND SLOVAK FEDERAL REPUBLIC CONCERNING THE RECIPROCAL ENCOURAGEMENT AND PROTECTION OF INVESTMENT Senate Consideration of Treaty Document 102-31 </t>
    </r>
    <r>
      <rPr>
        <b/>
        <sz val="12"/>
        <color theme="1"/>
        <rFont val="Calibri"/>
        <family val="2"/>
        <scheme val="minor"/>
      </rPr>
      <t>Date Received from President:</t>
    </r>
    <r>
      <rPr>
        <sz val="12"/>
        <color theme="1"/>
        <rFont val="Calibri"/>
        <family val="2"/>
        <scheme val="minor"/>
      </rPr>
      <t xml:space="preserve"> 06/02/1992 - 102nd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</si>
  <si>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365. TREATY WITH THE RUSSIAN FEDERATION CONCERNING THE ENCOURAGEMENT AND RECIPROCAL PROTECTION OF INVESTMENT Senate Consideration of Treaty Document 102-33 </t>
    </r>
    <r>
      <rPr>
        <b/>
        <sz val="12"/>
        <color theme="1"/>
        <rFont val="Calibri"/>
        <family val="2"/>
        <scheme val="minor"/>
      </rPr>
      <t>Date Received from President:</t>
    </r>
    <r>
      <rPr>
        <sz val="12"/>
        <color theme="1"/>
        <rFont val="Calibri"/>
        <family val="2"/>
        <scheme val="minor"/>
      </rPr>
      <t xml:space="preserve"> 07/28/1992 - 102nd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</si>
  <si>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366. PROTOCOL TO THE TREATY OF FRIENDSHIP, COMMERCE AND CONSULAR RIGHTS WITH THE REPUBLIC OF FINLAND Senate Consideration of Treaty Document 102-34 </t>
    </r>
    <r>
      <rPr>
        <b/>
        <sz val="12"/>
        <color theme="1"/>
        <rFont val="Calibri"/>
        <family val="2"/>
        <scheme val="minor"/>
      </rPr>
      <t>Date Received from President:</t>
    </r>
    <r>
      <rPr>
        <sz val="12"/>
        <color theme="1"/>
        <rFont val="Calibri"/>
        <family val="2"/>
        <scheme val="minor"/>
      </rPr>
      <t xml:space="preserve"> 07/30/1992 - 102nd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</si>
  <si>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367. PROTOCOL TO THE TREATY OF FRIENDSHIP, COMMERCE AMD NAVIGATION WITH IRELAND Senate Consideration of Treaty Document 102-35 </t>
    </r>
    <r>
      <rPr>
        <b/>
        <sz val="12"/>
        <color theme="1"/>
        <rFont val="Calibri"/>
        <family val="2"/>
        <scheme val="minor"/>
      </rPr>
      <t>Date Received from President:</t>
    </r>
    <r>
      <rPr>
        <sz val="12"/>
        <color theme="1"/>
        <rFont val="Calibri"/>
        <family val="2"/>
        <scheme val="minor"/>
      </rPr>
      <t xml:space="preserve"> 07/30/1992 - 102nd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08/11/1992 - 102nd Congress (1991-1992) - Resolution of advice and consent to ratification agreed to in Senate by Division Vote. (All Actions) </t>
    </r>
  </si>
  <si>
    <r>
      <t xml:space="preserve">368. 1983 PARTIAL REVISION OF THE RADIO REGULATIONS (GENEVA, 1979) AND A FINAL PROTOCOL Senate Consideration of Treaty Document 99-1 </t>
    </r>
    <r>
      <rPr>
        <b/>
        <sz val="12"/>
        <color theme="1"/>
        <rFont val="Calibri"/>
        <family val="2"/>
        <scheme val="minor"/>
      </rPr>
      <t>Date Received from President:</t>
    </r>
    <r>
      <rPr>
        <sz val="12"/>
        <color theme="1"/>
        <rFont val="Calibri"/>
        <family val="2"/>
        <scheme val="minor"/>
      </rPr>
      <t xml:space="preserve"> 01/04/1985 - 99th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</si>
  <si>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369. AGREEMENT FOR THE MEDIUM FREQUENCY BROADCASTING SERVICE IN REGION 2 Senate Consideration of Treaty Document 100-7 </t>
    </r>
    <r>
      <rPr>
        <b/>
        <sz val="12"/>
        <color theme="1"/>
        <rFont val="Calibri"/>
        <family val="2"/>
        <scheme val="minor"/>
      </rPr>
      <t>Date Received from President:</t>
    </r>
    <r>
      <rPr>
        <sz val="12"/>
        <color theme="1"/>
        <rFont val="Calibri"/>
        <family val="2"/>
        <scheme val="minor"/>
      </rPr>
      <t xml:space="preserve"> 06/26/1987 - 100th Congress (1987-1988)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</si>
  <si>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370. REGIONAL AGREEMENT ON BROADCASTING SERVICE EXPANSION IN THE WESTERN HEMISPHERE Senate Consideration of Treaty Document 102-10 </t>
    </r>
    <r>
      <rPr>
        <b/>
        <sz val="12"/>
        <color theme="1"/>
        <rFont val="Calibri"/>
        <family val="2"/>
        <scheme val="minor"/>
      </rPr>
      <t>Date Received from President:</t>
    </r>
    <r>
      <rPr>
        <sz val="12"/>
        <color theme="1"/>
        <rFont val="Calibri"/>
        <family val="2"/>
        <scheme val="minor"/>
      </rPr>
      <t xml:space="preserve"> 07/30/1991 - 102nd Congress (1991-1992)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</si>
  <si>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371. INTERNATIONAL TELECOMMUNICATION REGULATIONS (MELBOURNE, 1988) Senate Consideration of Treaty Document 102-13 </t>
    </r>
    <r>
      <rPr>
        <b/>
        <sz val="12"/>
        <color theme="1"/>
        <rFont val="Calibri"/>
        <family val="2"/>
        <scheme val="minor"/>
      </rPr>
      <t>Date Received from President:</t>
    </r>
    <r>
      <rPr>
        <sz val="12"/>
        <color theme="1"/>
        <rFont val="Calibri"/>
        <family val="2"/>
        <scheme val="minor"/>
      </rPr>
      <t xml:space="preserve"> 09/11/1991 - 102nd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</si>
  <si>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372. PARTIAL REVISION (1988), RADIO REGULATIONS, RELATING TO SPACE RADIOCOMMUNICATIONS SERVICES Senate Consideration of Treaty Document 102-27 </t>
    </r>
    <r>
      <rPr>
        <b/>
        <sz val="12"/>
        <color theme="1"/>
        <rFont val="Calibri"/>
        <family val="2"/>
        <scheme val="minor"/>
      </rPr>
      <t>Date Received from President:</t>
    </r>
    <r>
      <rPr>
        <sz val="12"/>
        <color theme="1"/>
        <rFont val="Calibri"/>
        <family val="2"/>
        <scheme val="minor"/>
      </rPr>
      <t xml:space="preserve"> 04/02/1992 - 102nd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</si>
  <si>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373. PARTIAL REVISION (1985), RADIO REGULATIONS, RELATING TO BROADCASTING-SATELLITE SERVICE IN REGION 2 Senate Consideration of Treaty Document 102-28 </t>
    </r>
    <r>
      <rPr>
        <b/>
        <sz val="12"/>
        <color theme="1"/>
        <rFont val="Calibri"/>
        <family val="2"/>
        <scheme val="minor"/>
      </rPr>
      <t>Date Received from President:</t>
    </r>
    <r>
      <rPr>
        <sz val="12"/>
        <color theme="1"/>
        <rFont val="Calibri"/>
        <family val="2"/>
        <scheme val="minor"/>
      </rPr>
      <t xml:space="preserve"> 04/02/1992 - 102nd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</si>
  <si>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374. PARTIAL REVISION OF THE RADIO REGULATIONS (GENEVA, 1979) RELATING TO MOBILE SERVICES Senate Consideration of Treaty Document 102-29 </t>
    </r>
    <r>
      <rPr>
        <b/>
        <sz val="12"/>
        <color theme="1"/>
        <rFont val="Calibri"/>
        <family val="2"/>
        <scheme val="minor"/>
      </rPr>
      <t>Date Received from President:</t>
    </r>
    <r>
      <rPr>
        <sz val="12"/>
        <color theme="1"/>
        <rFont val="Calibri"/>
        <family val="2"/>
        <scheme val="minor"/>
      </rPr>
      <t xml:space="preserve"> 05/12/1992 - 102nd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08/06/1992 - 102nd Congress (1991-1992) - Resolution of advice and consent to ratification agreed to in Senate by Division Vote. (All Actions) </t>
    </r>
  </si>
  <si>
    <r>
      <t xml:space="preserve">375. TREATY ON MUTUAL LEGAL ASSISTANCE IN CRIMINAL MATTERS Senate Consideration of Treaty Document 102-16 </t>
    </r>
    <r>
      <rPr>
        <b/>
        <sz val="12"/>
        <color theme="1"/>
        <rFont val="Calibri"/>
        <family val="2"/>
        <scheme val="minor"/>
      </rPr>
      <t>Date Received from President:</t>
    </r>
    <r>
      <rPr>
        <sz val="12"/>
        <color theme="1"/>
        <rFont val="Calibri"/>
        <family val="2"/>
        <scheme val="minor"/>
      </rPr>
      <t xml:space="preserve"> 10/25/1991 - 102nd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07/02/1992 - 102nd Congress (1991-1992) - Resolution of advice and consent to ratification agreed to in Senate by Division Vote. (All Actions) </t>
    </r>
  </si>
  <si>
    <r>
      <t xml:space="preserve">376. TREATY WITH ARGENTINA ON MUTUAL LEGAL ASSISTANCE IN CRIMINAL MATTERS Senate Consideration of Treaty Document 102-18 </t>
    </r>
    <r>
      <rPr>
        <b/>
        <sz val="12"/>
        <color theme="1"/>
        <rFont val="Calibri"/>
        <family val="2"/>
        <scheme val="minor"/>
      </rPr>
      <t>Date Received from President:</t>
    </r>
    <r>
      <rPr>
        <sz val="12"/>
        <color theme="1"/>
        <rFont val="Calibri"/>
        <family val="2"/>
        <scheme val="minor"/>
      </rPr>
      <t xml:space="preserve"> 10/31/1991 - 102nd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07/02/1992 - 102nd Congress (1991-1992) - Resolution of advice and consent to ratification agreed to in Senate by Division Vote. (All Actions) </t>
    </r>
  </si>
  <si>
    <r>
      <t xml:space="preserve">377. TREATY WITH URUGUAY ON MUTUAL LEGAL ASSISTANCE IN CRIMINAL MATTERS Senate Consideration of Treaty Document 102-19 </t>
    </r>
    <r>
      <rPr>
        <b/>
        <sz val="12"/>
        <color theme="1"/>
        <rFont val="Calibri"/>
        <family val="2"/>
        <scheme val="minor"/>
      </rPr>
      <t>Date Received from President:</t>
    </r>
    <r>
      <rPr>
        <sz val="12"/>
        <color theme="1"/>
        <rFont val="Calibri"/>
        <family val="2"/>
        <scheme val="minor"/>
      </rPr>
      <t xml:space="preserve"> 11/13/1991 - 102nd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07/02/1992 - 102nd Congress (1991-1992) - Resolution of advice and consent to ratification agreed to in Senate by Division Vote. (All Actions) </t>
    </r>
  </si>
  <si>
    <r>
      <t xml:space="preserve">378. TREATY WITH SPAIN ON MUTUAL LEGAL ASSISTANCE IN CRIMINAL MATTERS Senate Consideration of Treaty Document 102-21 </t>
    </r>
    <r>
      <rPr>
        <b/>
        <sz val="12"/>
        <color theme="1"/>
        <rFont val="Calibri"/>
        <family val="2"/>
        <scheme val="minor"/>
      </rPr>
      <t>Date Received from President:</t>
    </r>
    <r>
      <rPr>
        <sz val="12"/>
        <color theme="1"/>
        <rFont val="Calibri"/>
        <family val="2"/>
        <scheme val="minor"/>
      </rPr>
      <t xml:space="preserve"> 01/22/1992 - 102nd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07/02/1992 - 102nd Congress (1991-1992) - Resolution of advice and consent to ratification agreed to in Senate by Division Vote. (All Actions) </t>
    </r>
  </si>
  <si>
    <r>
      <t xml:space="preserve">379. SUPPLEMENTARY EXTRADITION TREATY WITH THE FEDERAL REPUBLIC OF GERMANY Senate Consideration of Treaty Document 100-6 </t>
    </r>
    <r>
      <rPr>
        <b/>
        <sz val="12"/>
        <color theme="1"/>
        <rFont val="Calibri"/>
        <family val="2"/>
        <scheme val="minor"/>
      </rPr>
      <t>Date Received from President:</t>
    </r>
    <r>
      <rPr>
        <sz val="12"/>
        <color theme="1"/>
        <rFont val="Calibri"/>
        <family val="2"/>
        <scheme val="minor"/>
      </rPr>
      <t xml:space="preserve"> 06/25/1987 - 100th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</si>
  <si>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380. CONSULAR CONVENTION WITH THE REPUBLIC OF TUNISIA Senate Consideration of Treaty Document 101-12 </t>
    </r>
    <r>
      <rPr>
        <b/>
        <sz val="12"/>
        <color theme="1"/>
        <rFont val="Calibri"/>
        <family val="2"/>
        <scheme val="minor"/>
      </rPr>
      <t>Date Received from President:</t>
    </r>
    <r>
      <rPr>
        <sz val="12"/>
        <color theme="1"/>
        <rFont val="Calibri"/>
        <family val="2"/>
        <scheme val="minor"/>
      </rPr>
      <t xml:space="preserve"> 02/23/1990 - 101st Congress (1989-1990)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</si>
  <si>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381. CONSULAR CONVENTION WITH THE DEMOCRATIC AND POPULAR REPUBLIC OF ALGERIA Senate Consideration of Treaty Document 101-13 </t>
    </r>
    <r>
      <rPr>
        <b/>
        <sz val="12"/>
        <color theme="1"/>
        <rFont val="Calibri"/>
        <family val="2"/>
        <scheme val="minor"/>
      </rPr>
      <t>Date Received from President:</t>
    </r>
    <r>
      <rPr>
        <sz val="12"/>
        <color theme="1"/>
        <rFont val="Calibri"/>
        <family val="2"/>
        <scheme val="minor"/>
      </rPr>
      <t xml:space="preserve"> 02/27/1990 - 101st Congress (1989-1990)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</si>
  <si>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382. CONSULAR CONVENTION WITH THE MONGOLIAN PEOPLE'S REPUBLIC Senate Consideration of Treaty Document 102-14 </t>
    </r>
    <r>
      <rPr>
        <b/>
        <sz val="12"/>
        <color theme="1"/>
        <rFont val="Calibri"/>
        <family val="2"/>
        <scheme val="minor"/>
      </rPr>
      <t>Date Received from President:</t>
    </r>
    <r>
      <rPr>
        <sz val="12"/>
        <color theme="1"/>
        <rFont val="Calibri"/>
        <family val="2"/>
        <scheme val="minor"/>
      </rPr>
      <t xml:space="preserve"> 09/13/1991 - 102nd Congress (1991-1992)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</si>
  <si>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383. EXTRADITION TREATY WITH THE BAHAMAS Senate Consideration of Treaty Document 102-17 </t>
    </r>
    <r>
      <rPr>
        <b/>
        <sz val="12"/>
        <color theme="1"/>
        <rFont val="Calibri"/>
        <family val="2"/>
        <scheme val="minor"/>
      </rPr>
      <t>Date Received from President:</t>
    </r>
    <r>
      <rPr>
        <sz val="12"/>
        <color theme="1"/>
        <rFont val="Calibri"/>
        <family val="2"/>
        <scheme val="minor"/>
      </rPr>
      <t xml:space="preserve"> 10/28/1991 - 102nd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</si>
  <si>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384. PROTOCOL AMENDING THE 1974 EXTRADITION TREATY WITH AUSTRALIA Senate Consideration of Treaty Document 102-23 </t>
    </r>
    <r>
      <rPr>
        <b/>
        <sz val="12"/>
        <color theme="1"/>
        <rFont val="Calibri"/>
        <family val="2"/>
        <scheme val="minor"/>
      </rPr>
      <t>Date Received from President:</t>
    </r>
    <r>
      <rPr>
        <sz val="12"/>
        <color theme="1"/>
        <rFont val="Calibri"/>
        <family val="2"/>
        <scheme val="minor"/>
      </rPr>
      <t xml:space="preserve"> 02/19/1992 - 102nd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</si>
  <si>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385. SECOND SUPPLEMENTARY EXTRADITION TREATY WITH SPAIN Senate Consideration of Treaty Document 102-24 </t>
    </r>
    <r>
      <rPr>
        <b/>
        <sz val="12"/>
        <color theme="1"/>
        <rFont val="Calibri"/>
        <family val="2"/>
        <scheme val="minor"/>
      </rPr>
      <t>Date Received from President:</t>
    </r>
    <r>
      <rPr>
        <sz val="12"/>
        <color theme="1"/>
        <rFont val="Calibri"/>
        <family val="2"/>
        <scheme val="minor"/>
      </rPr>
      <t xml:space="preserve"> 03/03/1992 - 102nd Congress (1991-1992)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05/13/1992 - 102nd Congress (1991-1992) - Resolution of advice and consent to ratification agreed to in Senate by Division Vote. (All Actions) </t>
    </r>
  </si>
  <si>
    <r>
      <t xml:space="preserve">386. INTERNATIONAL COVENANT ON CIVIL AND POLITICAL RIGHTS Senate Consideration of Treaty Document 95-20 </t>
    </r>
    <r>
      <rPr>
        <b/>
        <sz val="12"/>
        <color theme="1"/>
        <rFont val="Calibri"/>
        <family val="2"/>
        <scheme val="minor"/>
      </rPr>
      <t>Date Received from President:</t>
    </r>
    <r>
      <rPr>
        <sz val="12"/>
        <color theme="1"/>
        <rFont val="Calibri"/>
        <family val="2"/>
        <scheme val="minor"/>
      </rPr>
      <t xml:space="preserve"> 02/23/1978 - 95th Congress (1977-1978)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04/02/1992 - 102nd Congress (1991-1992) - Resolution of advice and consent to ratification agreed to in Senate by Division Vote. (All Actions) </t>
    </r>
  </si>
  <si>
    <r>
      <t xml:space="preserve">387. AMENDMENT TO THE MONTREAL PROTOCOL ON SUBSTANCES THAT DEPLETE THE OZONE LAYER Senate Consideration of Treaty Document 102-4 </t>
    </r>
    <r>
      <rPr>
        <b/>
        <sz val="12"/>
        <color theme="1"/>
        <rFont val="Calibri"/>
        <family val="2"/>
        <scheme val="minor"/>
      </rPr>
      <t>Date Received from President:</t>
    </r>
    <r>
      <rPr>
        <sz val="12"/>
        <color theme="1"/>
        <rFont val="Calibri"/>
        <family val="2"/>
        <scheme val="minor"/>
      </rPr>
      <t xml:space="preserve"> 05/14/1991 - 102nd Congress (1991-1992)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11/26/1991 - 102nd Congress (1991-1992) - Resolution of advice and consent to ratification agreed to in Senate by Division vote. (All Actions) </t>
    </r>
  </si>
  <si>
    <r>
      <t xml:space="preserve">388. CONVENTION FOR THE PROHIBITION OF FISHING WITH LONG DRIFTNETS IN THE SOUTH PACIFIC Senate Consideration of Treaty Document 102-7 </t>
    </r>
    <r>
      <rPr>
        <b/>
        <sz val="12"/>
        <color theme="1"/>
        <rFont val="Calibri"/>
        <family val="2"/>
        <scheme val="minor"/>
      </rPr>
      <t>Date Received from President:</t>
    </r>
    <r>
      <rPr>
        <sz val="12"/>
        <color theme="1"/>
        <rFont val="Calibri"/>
        <family val="2"/>
        <scheme val="minor"/>
      </rPr>
      <t xml:space="preserve"> 05/21/1991 - 102nd Congress (1991-1992)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11/26/1991 - 102nd Congress (1991-1992) - Resolution of advice and consent to ratification agreed to in Senate by Division vote. (All Actions) </t>
    </r>
  </si>
  <si>
    <r>
      <t xml:space="preserve">389. TREATY ON CONVENTIONAL ARMED FORCES IN EUROPE (CFE) Senate Consideration of Treaty Document 102-8 </t>
    </r>
    <r>
      <rPr>
        <b/>
        <sz val="12"/>
        <color theme="1"/>
        <rFont val="Calibri"/>
        <family val="2"/>
        <scheme val="minor"/>
      </rPr>
      <t>Date Received from President:</t>
    </r>
    <r>
      <rPr>
        <sz val="12"/>
        <color theme="1"/>
        <rFont val="Calibri"/>
        <family val="2"/>
        <scheme val="minor"/>
      </rPr>
      <t xml:space="preserve"> 07/09/1991 - 102nd Congress (1991-1992)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11/25/1991 - 102nd Congress (1991-1992) - Resolution of advice and consent to ratification agreed to in Senate by Yea-Nay vote. 90-4. Record Vote No: 273. (All Actions) </t>
    </r>
  </si>
  <si>
    <r>
      <t xml:space="preserve">390. CONVENTION FOR A NORTH PACIFIC MARINE SCIENCE ORGANIZATION (PICES) Senate Consideration of Treaty Document 102-9 </t>
    </r>
    <r>
      <rPr>
        <b/>
        <sz val="12"/>
        <color theme="1"/>
        <rFont val="Calibri"/>
        <family val="2"/>
        <scheme val="minor"/>
      </rPr>
      <t>Date Received from President:</t>
    </r>
    <r>
      <rPr>
        <sz val="12"/>
        <color theme="1"/>
        <rFont val="Calibri"/>
        <family val="2"/>
        <scheme val="minor"/>
      </rPr>
      <t xml:space="preserve"> 07/09/1991 - 102nd Congress (1991-1992)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10/29/1991 - 102nd Congress (1991-1992) - Resolution of advice and consent to ratification agreed to in Senate by Division Vote. (All Actions) </t>
    </r>
  </si>
  <si>
    <r>
      <t xml:space="preserve">391. INTERNATIONAL CONVENTION ON OIL POLLUTION PREPAREDNESS, RESPONSE AND CO-OPERATION, 1990 Senate Consideration of Treaty Document 102-11 </t>
    </r>
    <r>
      <rPr>
        <b/>
        <sz val="12"/>
        <color theme="1"/>
        <rFont val="Calibri"/>
        <family val="2"/>
        <scheme val="minor"/>
      </rPr>
      <t>Date Received from President:</t>
    </r>
    <r>
      <rPr>
        <sz val="12"/>
        <color theme="1"/>
        <rFont val="Calibri"/>
        <family val="2"/>
        <scheme val="minor"/>
      </rPr>
      <t xml:space="preserve"> 08/01/1991 - 102nd Congress (1991-1992)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10/29/1991 - 102nd Congress (1991-1992) - Resolution of advice and consent to ratification agreed to in Senate by Division Vote. (All Actions) </t>
    </r>
  </si>
  <si>
    <r>
      <t xml:space="preserve">392. INTERNATIONAL CONVENTION ON SALVAGE, 1989 Senate Consideration of Treaty Document 102-12 </t>
    </r>
    <r>
      <rPr>
        <b/>
        <sz val="12"/>
        <color theme="1"/>
        <rFont val="Calibri"/>
        <family val="2"/>
        <scheme val="minor"/>
      </rPr>
      <t>Date Received from President:</t>
    </r>
    <r>
      <rPr>
        <sz val="12"/>
        <color theme="1"/>
        <rFont val="Calibri"/>
        <family val="2"/>
        <scheme val="minor"/>
      </rPr>
      <t xml:space="preserve"> 09/11/1991 - 102nd Congress (1991-1992)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10/29/1991 - 102nd Congress (1991-1992) - Resolution of advice and consent to ratification agreed to in Senate by Division Vote. (All Actions) </t>
    </r>
  </si>
  <si>
    <r>
      <t xml:space="preserve">393. AGREEMENT WITH THE UNION OF SOVIET SOCIALIST REPUBLICS ON THE MARITIME BOUNDARY Senate Consideration of Treaty Document 101-22 </t>
    </r>
    <r>
      <rPr>
        <b/>
        <sz val="12"/>
        <color theme="1"/>
        <rFont val="Calibri"/>
        <family val="2"/>
        <scheme val="minor"/>
      </rPr>
      <t>Date Received from President:</t>
    </r>
    <r>
      <rPr>
        <sz val="12"/>
        <color theme="1"/>
        <rFont val="Calibri"/>
        <family val="2"/>
        <scheme val="minor"/>
      </rPr>
      <t xml:space="preserve"> 09/26/1990 - 101st Congress (1989-1990)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09/16/1991 - 102nd Congress (1991-1992) - Resolution of advice and consent to ratification agreed to in Senate by Yea-Nay Vote. 86 - 6. Record Vote Number: 192. (All Actions) </t>
    </r>
  </si>
  <si>
    <r>
      <t xml:space="preserve">394. PROTOCOL RELATING TO AN AMENDMENT TO ARTICLE 56 OF THE CONVENTION ON INTERNATIONAL CIVIL AVIATION Senate Consideration of Treaty Document 101-14 </t>
    </r>
    <r>
      <rPr>
        <b/>
        <sz val="12"/>
        <color theme="1"/>
        <rFont val="Calibri"/>
        <family val="2"/>
        <scheme val="minor"/>
      </rPr>
      <t>Date Received from President:</t>
    </r>
    <r>
      <rPr>
        <sz val="12"/>
        <color theme="1"/>
        <rFont val="Calibri"/>
        <family val="2"/>
        <scheme val="minor"/>
      </rPr>
      <t xml:space="preserve"> 02/28/1990 - 101st Congress (1989-1990)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08/02/1991 - 102nd Congress (1991-1992) - Passed Senate without amendment by Division. (All Actions) </t>
    </r>
  </si>
  <si>
    <r>
      <t xml:space="preserve">395. AMENDMENTS TO THE 1928 CONVENTION CONCERNING INTERNATIONAL EXPOSITIONS, AS AMENDED Senate Consideration of Treaty Document 101-15 </t>
    </r>
    <r>
      <rPr>
        <b/>
        <sz val="12"/>
        <color theme="1"/>
        <rFont val="Calibri"/>
        <family val="2"/>
        <scheme val="minor"/>
      </rPr>
      <t>Date Received from President:</t>
    </r>
    <r>
      <rPr>
        <sz val="12"/>
        <color theme="1"/>
        <rFont val="Calibri"/>
        <family val="2"/>
        <scheme val="minor"/>
      </rPr>
      <t xml:space="preserve"> 03/20/1990 - 101st Congress (1989-1990)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08/02/1991 - 102nd Congress (1991-1992) - Passed Senate without amendment by Division. (All Actions) </t>
    </r>
  </si>
  <si>
    <r>
      <t xml:space="preserve">396. PROTOCOL AMENDING THE EXTRADITION TREATY WITH CANADA Senate Consideration of Treaty Document 101-17 </t>
    </r>
    <r>
      <rPr>
        <b/>
        <sz val="12"/>
        <color theme="1"/>
        <rFont val="Calibri"/>
        <family val="2"/>
        <scheme val="minor"/>
      </rPr>
      <t>Date Received from President:</t>
    </r>
    <r>
      <rPr>
        <sz val="12"/>
        <color theme="1"/>
        <rFont val="Calibri"/>
        <family val="2"/>
        <scheme val="minor"/>
      </rPr>
      <t xml:space="preserve"> 04/24/1990 - 101st Congress (1989-1990)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08/02/1991 - 102nd Congress (1991-1992) - Passed Senate without amendment by Division. (All Actions) </t>
    </r>
  </si>
  <si>
    <r>
      <t xml:space="preserve">397. CONVENTION PROVIDING A UNIFORM LAW ON THE FORM OF AN INTERNATIONAL WILL Senate Consideration of Treaty Document 99-29 </t>
    </r>
    <r>
      <rPr>
        <b/>
        <sz val="12"/>
        <color theme="1"/>
        <rFont val="Calibri"/>
        <family val="2"/>
        <scheme val="minor"/>
      </rPr>
      <t>Date Received from President:</t>
    </r>
    <r>
      <rPr>
        <sz val="12"/>
        <color theme="1"/>
        <rFont val="Calibri"/>
        <family val="2"/>
        <scheme val="minor"/>
      </rPr>
      <t xml:space="preserve"> 07/02/1986 - 99th Congress (1985-1986)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08/02/1991 - 102nd Congress (1991-1992) - Passed Senate without amendment by Division. (All Actions) </t>
    </r>
  </si>
  <si>
    <r>
      <t xml:space="preserve">398. AMENDMENTS TO ANNEX II REGULATIONS OF THE 1966 INTERNATIONAL CONVENTION ON LOAD LINES Senate Consideration of Treaty Document 100-12 </t>
    </r>
    <r>
      <rPr>
        <b/>
        <sz val="12"/>
        <color theme="1"/>
        <rFont val="Calibri"/>
        <family val="2"/>
        <scheme val="minor"/>
      </rPr>
      <t>Date Received from President:</t>
    </r>
    <r>
      <rPr>
        <sz val="12"/>
        <color theme="1"/>
        <rFont val="Calibri"/>
        <family val="2"/>
        <scheme val="minor"/>
      </rPr>
      <t xml:space="preserve"> 01/26/1988 - 100th Congress (1987-1988)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06/12/1991 - 102nd Congress (1991-1992) - Treaty returned to the President. (All Actions) </t>
    </r>
  </si>
  <si>
    <r>
      <t xml:space="preserve">399. 1979 AMENDMENT TO A REGULATION OF ANNEX II OF THE INTERNATIONAL CONVENTION ON LOAD LINES, 1966 Senate Consideration of Treaty Document 97-14 </t>
    </r>
    <r>
      <rPr>
        <b/>
        <sz val="12"/>
        <color theme="1"/>
        <rFont val="Calibri"/>
        <family val="2"/>
        <scheme val="minor"/>
      </rPr>
      <t>Date Received from President:</t>
    </r>
    <r>
      <rPr>
        <sz val="12"/>
        <color theme="1"/>
        <rFont val="Calibri"/>
        <family val="2"/>
        <scheme val="minor"/>
      </rPr>
      <t xml:space="preserve"> 07/27/1981 - 97th Congress (1981-1982)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06/12/1991 - 102nd Congress (1991-1992) - Treaty returned to the President. (All Actions) </t>
    </r>
  </si>
  <si>
    <r>
      <t xml:space="preserve">400. CONVENTION FOR THE PROTECTION OF THE NATURAL RESOURCES AND ENVIRONMENT OF THE SOUTH PACIFIC REGION, WITH ANNEX, AND A PROTOCOL Senate Consideration of Treaty Document 101-21 </t>
    </r>
    <r>
      <rPr>
        <b/>
        <sz val="12"/>
        <color theme="1"/>
        <rFont val="Calibri"/>
        <family val="2"/>
        <scheme val="minor"/>
      </rPr>
      <t>Date Received from President:</t>
    </r>
    <r>
      <rPr>
        <sz val="12"/>
        <color theme="1"/>
        <rFont val="Calibri"/>
        <family val="2"/>
        <scheme val="minor"/>
      </rPr>
      <t xml:space="preserve"> 09/25/1990 - 101st Congress (1989-1990)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05/24/1991 - 102nd Congress (1991-1992) - Resolution of advice and consent to ratification agreed to in Senate with amendments by Division Vote. (All Actions) </t>
    </r>
  </si>
  <si>
    <r>
      <t xml:space="preserve">401. 1988 PROTOCOLS RELATING TO THE SAFETY OF LIFE AT SEA AND LOAD LINE CONVENTIONS Senate Consideration of Treaty Document 102-2 </t>
    </r>
    <r>
      <rPr>
        <b/>
        <sz val="12"/>
        <color theme="1"/>
        <rFont val="Calibri"/>
        <family val="2"/>
        <scheme val="minor"/>
      </rPr>
      <t>Date Received from President:</t>
    </r>
    <r>
      <rPr>
        <sz val="12"/>
        <color theme="1"/>
        <rFont val="Calibri"/>
        <family val="2"/>
        <scheme val="minor"/>
      </rPr>
      <t xml:space="preserve"> 03/19/1991 - 102nd Congress (1991-1992)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05/14/1991 - 102nd Congress (1991-1992) - Resolution of advice and consent to ratification agreed to in Senate by Yea-Nay Vote. 97 - 0. Record Vote Number: 58. (All Actions) </t>
    </r>
  </si>
  <si>
    <r>
      <t xml:space="preserve">402. ANNEX III TO THE 1973 CONVENTION FOR THE PREVENTION OF POLLUTION FROM SHIPS Senate Consideration of Treaty Document 101-7 </t>
    </r>
    <r>
      <rPr>
        <b/>
        <sz val="12"/>
        <color theme="1"/>
        <rFont val="Calibri"/>
        <family val="2"/>
        <scheme val="minor"/>
      </rPr>
      <t>Date Received from President:</t>
    </r>
    <r>
      <rPr>
        <sz val="12"/>
        <color theme="1"/>
        <rFont val="Calibri"/>
        <family val="2"/>
        <scheme val="minor"/>
      </rPr>
      <t xml:space="preserve"> 11/09/1989 - 101st Congress (1989-1990)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05/14/1991 - 102nd Congress (1991-1992) - Resolution of advice and consent to ratification agreed to in Senate by Yea-Nay Vote. 97 - 0. Record Vote Number: 57. (All Actions) </t>
    </r>
  </si>
  <si>
    <r>
      <t xml:space="preserve">403. Convention Concerning the Abolition of Forced Labor Senate Consideration of Treaty Document 88-11 </t>
    </r>
    <r>
      <rPr>
        <b/>
        <sz val="12"/>
        <color theme="1"/>
        <rFont val="Calibri"/>
        <family val="2"/>
        <scheme val="minor"/>
      </rPr>
      <t>Date Received from President:</t>
    </r>
    <r>
      <rPr>
        <sz val="12"/>
        <color theme="1"/>
        <rFont val="Calibri"/>
        <family val="2"/>
        <scheme val="minor"/>
      </rPr>
      <t xml:space="preserve"> 07/22/1963 - 88th Congress (1963-1964)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05/14/1991 - 102nd Congress (1991-1992) - Resolution of advice and consent to ratification agreed to in Senate with amendments by Yea-Nay Vote. 97 - 0. Record Vote Number: 59. (All Actions) </t>
    </r>
  </si>
  <si>
    <r>
      <t xml:space="preserve">404. INTERNATIONAL CONVENTION ON STANDARDS OF TRAINING, CERTIFICATION AND WATCHKEEPING FOR SEAFARERS, 1978 Senate Consideration of Treaty Document 96-31 </t>
    </r>
    <r>
      <rPr>
        <b/>
        <sz val="12"/>
        <color theme="1"/>
        <rFont val="Calibri"/>
        <family val="2"/>
        <scheme val="minor"/>
      </rPr>
      <t>Date Received from President:</t>
    </r>
    <r>
      <rPr>
        <sz val="12"/>
        <color theme="1"/>
        <rFont val="Calibri"/>
        <family val="2"/>
        <scheme val="minor"/>
      </rPr>
      <t xml:space="preserve"> 09/05/1979 - 96th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05/14/1991 - 102nd Congress (1991-1992) - Resolution of advice and consent to ratification agreed to in Senate by Yea-Nay Vote. 97 - 0. Record Vote Number: 56. (All Actions) </t>
    </r>
  </si>
  <si>
    <r>
      <t xml:space="preserve">405. INVESTMENT TREATY WITH PANAMA Senate Consideration of Treaty Document 99-14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10/28/1990 - 101st Congress (1989-1990) - Resolution of advice and consent to ratification agreed to in Senate by Division Vote. (All Actions) </t>
    </r>
  </si>
  <si>
    <r>
      <t xml:space="preserve">406. TREATY WITH POLAND CONCERNING BUSINESS AND ECONOMIC RELATIONS Senate Consideration of Treaty Document 101-18 </t>
    </r>
    <r>
      <rPr>
        <b/>
        <sz val="12"/>
        <color theme="1"/>
        <rFont val="Calibri"/>
        <family val="2"/>
        <scheme val="minor"/>
      </rPr>
      <t>Date Received from President:</t>
    </r>
    <r>
      <rPr>
        <sz val="12"/>
        <color theme="1"/>
        <rFont val="Calibri"/>
        <family val="2"/>
        <scheme val="minor"/>
      </rPr>
      <t xml:space="preserve"> 06/19/1990 - 101st Congress (1989-1990)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10/28/1990 - 101st Congress (1989-1990) - Resolution of advice and consent to ratification agreed to in Senate by Division Vote. (All Actions) </t>
    </r>
  </si>
  <si>
    <r>
      <t xml:space="preserve">407. CONVENTION AGAINST TORTURE AND OTHER CRUEL, INHUMAN OR DEGRADING TREATMENT OR PUNISHMENT Senate Consideration of Treaty Document 100-20 </t>
    </r>
    <r>
      <rPr>
        <b/>
        <sz val="12"/>
        <color theme="1"/>
        <rFont val="Calibri"/>
        <family val="2"/>
        <scheme val="minor"/>
      </rPr>
      <t>Date Received from President:</t>
    </r>
    <r>
      <rPr>
        <sz val="12"/>
        <color theme="1"/>
        <rFont val="Calibri"/>
        <family val="2"/>
        <scheme val="minor"/>
      </rPr>
      <t xml:space="preserve"> 05/20/1988 - 100th Congress (1987-1988)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10/27/1990 - 101st Congress (1989-1990) - Resolution of advice and consent to ratification agreed to in Senate with amendments by Division Vote. (All Actions) </t>
    </r>
  </si>
  <si>
    <r>
      <t xml:space="preserve">408. TREATY ON THE FINAL SETTLEMENT WITH RESPECT TO GERMANY Senate Consideration of Treaty Document 101-20 </t>
    </r>
    <r>
      <rPr>
        <b/>
        <sz val="12"/>
        <color theme="1"/>
        <rFont val="Calibri"/>
        <family val="2"/>
        <scheme val="minor"/>
      </rPr>
      <t>Date Received from President:</t>
    </r>
    <r>
      <rPr>
        <sz val="12"/>
        <color theme="1"/>
        <rFont val="Calibri"/>
        <family val="2"/>
        <scheme val="minor"/>
      </rPr>
      <t xml:space="preserve"> 09/25/1990 - 101st Congress (1989-1990) </t>
    </r>
    <r>
      <rPr>
        <b/>
        <sz val="12"/>
        <color theme="1"/>
        <rFont val="Calibri"/>
        <family val="2"/>
        <scheme val="minor"/>
      </rPr>
      <t>Treaty Topic:</t>
    </r>
    <r>
      <rPr>
        <sz val="12"/>
        <color theme="1"/>
        <rFont val="Calibri"/>
        <family val="2"/>
        <scheme val="minor"/>
      </rPr>
      <t xml:space="preserve"> Dispute Settlement and Arbitration </t>
    </r>
    <r>
      <rPr>
        <b/>
        <sz val="12"/>
        <color theme="1"/>
        <rFont val="Calibri"/>
        <family val="2"/>
        <scheme val="minor"/>
      </rPr>
      <t>Latest Senate Action:</t>
    </r>
    <r>
      <rPr>
        <sz val="12"/>
        <color theme="1"/>
        <rFont val="Calibri"/>
        <family val="2"/>
        <scheme val="minor"/>
      </rPr>
      <t xml:space="preserve"> 10/10/1990 - 101st Congress (1989-1990) - Resolution of advice and consent to ratification agreed to in Senate by Yea-Nay Vote. 98 - 0. Record Vote Number: 263. (All Actions) </t>
    </r>
  </si>
  <si>
    <r>
      <t xml:space="preserve">409. PROTOCOLS TO THE THRESHOLD TEST BAN AND PEACEFUL NUCLEAR EXPLOSION TREATIES WITH THE UNION OF SOVIET SOCIALIST REPUBLICS Senate Consideration of Treaty Document 101-19 </t>
    </r>
    <r>
      <rPr>
        <b/>
        <sz val="12"/>
        <color theme="1"/>
        <rFont val="Calibri"/>
        <family val="2"/>
        <scheme val="minor"/>
      </rPr>
      <t>Date Received from President:</t>
    </r>
    <r>
      <rPr>
        <sz val="12"/>
        <color theme="1"/>
        <rFont val="Calibri"/>
        <family val="2"/>
        <scheme val="minor"/>
      </rPr>
      <t xml:space="preserve"> 06/28/1990 - 101st Congress (1989-1990)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09/25/1990 - 101st Congress (1989-1990) - Resolution agreed to in Senate , this Protocol is included in Treaty Doc. Ex. N(A), 94-2 and Ex. N(B), 94-2 and recorded on roll calls No. 249 and 250. Without amendment by Yea-Nay. 98-0. Record Vote No: 249/250. (All Actions) </t>
    </r>
  </si>
  <si>
    <r>
      <t xml:space="preserve">410. TREATY WITH THE UNION OF SOVIET SOCIALIST REPUBLICS ON THE LIMITATION OF UNDERGROUND NUCLEAR WEAPON TESTS Senate Consideration of Treaty Document 94-25(A) </t>
    </r>
    <r>
      <rPr>
        <b/>
        <sz val="12"/>
        <color theme="1"/>
        <rFont val="Calibri"/>
        <family val="2"/>
        <scheme val="minor"/>
      </rPr>
      <t>Date Received from President:</t>
    </r>
    <r>
      <rPr>
        <sz val="12"/>
        <color theme="1"/>
        <rFont val="Calibri"/>
        <family val="2"/>
        <scheme val="minor"/>
      </rPr>
      <t xml:space="preserve"> 07/29/1976 - 94th Congress (1975-1976)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09/25/1990 - 101st Congress (1989-1990) - Resolution of advice and consent to ratification agreed to in Senate by Yea-Nay Vote. 98 - 0. Record Vote Number: 249. (All Actions) </t>
    </r>
  </si>
  <si>
    <r>
      <t xml:space="preserve">411. TREATY WITH THE UNION OF SOVIET SOCIALIST REPUBLICS ON UNDERGROUND NUCLEAR EXPLOSIONS FOR PEACEFUL PURPOSES Senate Consideration of Treaty Document 94-25(B) </t>
    </r>
    <r>
      <rPr>
        <b/>
        <sz val="12"/>
        <color theme="1"/>
        <rFont val="Calibri"/>
        <family val="2"/>
        <scheme val="minor"/>
      </rPr>
      <t>Date Received from President:</t>
    </r>
    <r>
      <rPr>
        <sz val="12"/>
        <color theme="1"/>
        <rFont val="Calibri"/>
        <family val="2"/>
        <scheme val="minor"/>
      </rPr>
      <t xml:space="preserve"> 07/29/1976 - 94th Congress (1975-1976)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09/25/1990 - 101st Congress (1989-1990) - Resolution of advice and consent to ratification agreed to in Senate by Yea-Nay Vote. 98 - 0. Record Vote Number: 250. (All Actions) </t>
    </r>
  </si>
  <si>
    <r>
      <t xml:space="preserve">412. TAX CONVENTION WITH THE REPUBLIC OF INDIA Senate Consideration of Treaty Document 101-5 </t>
    </r>
    <r>
      <rPr>
        <b/>
        <sz val="12"/>
        <color theme="1"/>
        <rFont val="Calibri"/>
        <family val="2"/>
        <scheme val="minor"/>
      </rPr>
      <t>Date Received from President:</t>
    </r>
    <r>
      <rPr>
        <sz val="12"/>
        <color theme="1"/>
        <rFont val="Calibri"/>
        <family val="2"/>
        <scheme val="minor"/>
      </rPr>
      <t xml:space="preserve"> 10/31/1989 - 101st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238. (All Actions) </t>
    </r>
  </si>
  <si>
    <r>
      <t xml:space="preserve">413. COUNCIL OF EUROPE-OECD CONVENTION ON MUTUAL ADMINISTRATIVE ASSISTANCE IN TAX MATTERS Senate Consideration of Treaty Document 101-6 </t>
    </r>
    <r>
      <rPr>
        <b/>
        <sz val="12"/>
        <color theme="1"/>
        <rFont val="Calibri"/>
        <family val="2"/>
        <scheme val="minor"/>
      </rPr>
      <t>Date Received from President:</t>
    </r>
    <r>
      <rPr>
        <sz val="12"/>
        <color theme="1"/>
        <rFont val="Calibri"/>
        <family val="2"/>
        <scheme val="minor"/>
      </rPr>
      <t xml:space="preserve"> 11/08/1989 - 101st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239. (All Actions) </t>
    </r>
  </si>
  <si>
    <r>
      <t xml:space="preserve">414. SUPPLEMENTARY PROTOCOL TO THE TAX CONVENTION WITH THE TUNISIAN REPUBLIC Senate Consideration of Treaty Document 101-9 </t>
    </r>
    <r>
      <rPr>
        <b/>
        <sz val="12"/>
        <color theme="1"/>
        <rFont val="Calibri"/>
        <family val="2"/>
        <scheme val="minor"/>
      </rPr>
      <t>Date Received from President:</t>
    </r>
    <r>
      <rPr>
        <sz val="12"/>
        <color theme="1"/>
        <rFont val="Calibri"/>
        <family val="2"/>
        <scheme val="minor"/>
      </rPr>
      <t xml:space="preserve"> 01/24/1990 - 101st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236. (All Actions) </t>
    </r>
  </si>
  <si>
    <r>
      <t xml:space="preserve">415. TAX CONVENTION WITH THE FEDERAL REPUBLIC OF GERMANY Senate Consideration of Treaty Document 101-10 </t>
    </r>
    <r>
      <rPr>
        <b/>
        <sz val="12"/>
        <color theme="1"/>
        <rFont val="Calibri"/>
        <family val="2"/>
        <scheme val="minor"/>
      </rPr>
      <t>Date Received from President:</t>
    </r>
    <r>
      <rPr>
        <sz val="12"/>
        <color theme="1"/>
        <rFont val="Calibri"/>
        <family val="2"/>
        <scheme val="minor"/>
      </rPr>
      <t xml:space="preserve"> 02/05/1990 - 101st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240. (All Actions) </t>
    </r>
  </si>
  <si>
    <r>
      <t xml:space="preserve">416. TAX CONVENTION WITH THE REPUBLIC OF FINLAND Senate Consideration of Treaty Document 101-11 </t>
    </r>
    <r>
      <rPr>
        <b/>
        <sz val="12"/>
        <color theme="1"/>
        <rFont val="Calibri"/>
        <family val="2"/>
        <scheme val="minor"/>
      </rPr>
      <t>Date Received from President:</t>
    </r>
    <r>
      <rPr>
        <sz val="12"/>
        <color theme="1"/>
        <rFont val="Calibri"/>
        <family val="2"/>
        <scheme val="minor"/>
      </rPr>
      <t xml:space="preserve"> 02/05/1990 - 101st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241. (All Actions) </t>
    </r>
  </si>
  <si>
    <r>
      <t xml:space="preserve">417. TAX CONVENTION WITH TUNISIA Senate Consideration of Treaty Document 99-13 </t>
    </r>
    <r>
      <rPr>
        <b/>
        <sz val="12"/>
        <color theme="1"/>
        <rFont val="Calibri"/>
        <family val="2"/>
        <scheme val="minor"/>
      </rPr>
      <t>Date Received from President:</t>
    </r>
    <r>
      <rPr>
        <sz val="12"/>
        <color theme="1"/>
        <rFont val="Calibri"/>
        <family val="2"/>
        <scheme val="minor"/>
      </rPr>
      <t xml:space="preserve"> 03/13/1986 - 99th Congress (1985-1986)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236. (All Actions) </t>
    </r>
  </si>
  <si>
    <r>
      <t xml:space="preserve">418. INCOME TAX CONVENTION WITH SPAIN, WITH PROTOCOL Senate Consideration of Treaty Document 101-16 </t>
    </r>
    <r>
      <rPr>
        <b/>
        <sz val="12"/>
        <color theme="1"/>
        <rFont val="Calibri"/>
        <family val="2"/>
        <scheme val="minor"/>
      </rPr>
      <t>Date Received from President:</t>
    </r>
    <r>
      <rPr>
        <sz val="12"/>
        <color theme="1"/>
        <rFont val="Calibri"/>
        <family val="2"/>
        <scheme val="minor"/>
      </rPr>
      <t xml:space="preserve"> 04/18/1990 - 101st Congress (1989-1990)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242. (All Actions) </t>
    </r>
  </si>
  <si>
    <r>
      <t xml:space="preserve">419. TAX CONVENTION WITH THE REPUBLIC OF INDONESIA Senate Consideration of Treaty Document 100-22 </t>
    </r>
    <r>
      <rPr>
        <b/>
        <sz val="12"/>
        <color theme="1"/>
        <rFont val="Calibri"/>
        <family val="2"/>
        <scheme val="minor"/>
      </rPr>
      <t>Date Received from President:</t>
    </r>
    <r>
      <rPr>
        <sz val="12"/>
        <color theme="1"/>
        <rFont val="Calibri"/>
        <family val="2"/>
        <scheme val="minor"/>
      </rPr>
      <t xml:space="preserve"> 08/05/1988 - 100th Congress (1987-1988)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09/18/1990 - 101st Congress (1989-1990) - Resolution of advice and consent to ratification agreed to in Senate by Yea-Nay Vote. 99 - 0. Record Vote Number: 237. (All Actions) </t>
    </r>
  </si>
  <si>
    <r>
      <t xml:space="preserve">420. ILO CONVENTION (No. 160) CONCERNING LABOR STATISTICS Senate Consideration of Treaty Document 101-2 </t>
    </r>
    <r>
      <rPr>
        <b/>
        <sz val="12"/>
        <color theme="1"/>
        <rFont val="Calibri"/>
        <family val="2"/>
        <scheme val="minor"/>
      </rPr>
      <t>Date Received from President:</t>
    </r>
    <r>
      <rPr>
        <sz val="12"/>
        <color theme="1"/>
        <rFont val="Calibri"/>
        <family val="2"/>
        <scheme val="minor"/>
      </rPr>
      <t xml:space="preserve"> 01/03/1989 - 101st Congress (1989-1990)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02/20/1990 - 101st Congress (1989-1990) - Resolution of advice and consent to ratification agreed to in Senate by Yea-Nay Vote. 94 - 0. Record Vote Number: 14. (All Actions) </t>
    </r>
  </si>
  <si>
    <r>
      <t xml:space="preserve">421. CONVENTION FOR THE SUPPRESSION OF UNLAWFUL ACTS AGAINST THE SAFETY OF MARITIME NAVIGATION, WITH RELATED PROTOCOL Senate Consideration of Treaty Document 101-1 </t>
    </r>
    <r>
      <rPr>
        <b/>
        <sz val="12"/>
        <color theme="1"/>
        <rFont val="Calibri"/>
        <family val="2"/>
        <scheme val="minor"/>
      </rPr>
      <t>Date Received from President:</t>
    </r>
    <r>
      <rPr>
        <sz val="12"/>
        <color theme="1"/>
        <rFont val="Calibri"/>
        <family val="2"/>
        <scheme val="minor"/>
      </rPr>
      <t xml:space="preserve"> 01/03/1989 - 101st Congress (1989-1990)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11/22/1989 - 101st Congress (1989-1990) - Resolution of advice and consent to ratification agreed to in Senate by Division Vote. (All Actions) </t>
    </r>
  </si>
  <si>
    <r>
      <t xml:space="preserve">422. UNITED NATIONS CONVENTION AGAINST ILLICIT TRAFFIC IN NARCOTIC DRUGS AND PSYCHOTROPIC SUBSTANCES Senate Consideration of Treaty Document 101-4 </t>
    </r>
    <r>
      <rPr>
        <b/>
        <sz val="12"/>
        <color theme="1"/>
        <rFont val="Calibri"/>
        <family val="2"/>
        <scheme val="minor"/>
      </rPr>
      <t>Date Received from President:</t>
    </r>
    <r>
      <rPr>
        <sz val="12"/>
        <color theme="1"/>
        <rFont val="Calibri"/>
        <family val="2"/>
        <scheme val="minor"/>
      </rPr>
      <t xml:space="preserve"> 06/19/1989 - 101st Congress (1989-1990)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11/22/1989 - 101st Congress (1989-1990) - Resolution of advice and consent to ratification agreed to in Senate with understandings by Division Vote. (All Actions) </t>
    </r>
  </si>
  <si>
    <r>
      <t xml:space="preserve">423. PROTOCOL FOR THE SUPPRESSION OF UNLAWFUL ACTS OF VIOLENCE AT AIRPORTS SERVING INTERNATIONAL CIVIL AVIATION Senate Consideration of Treaty Document 100-19 </t>
    </r>
    <r>
      <rPr>
        <b/>
        <sz val="12"/>
        <color theme="1"/>
        <rFont val="Calibri"/>
        <family val="2"/>
        <scheme val="minor"/>
      </rPr>
      <t>Date Received from President:</t>
    </r>
    <r>
      <rPr>
        <sz val="12"/>
        <color theme="1"/>
        <rFont val="Calibri"/>
        <family val="2"/>
        <scheme val="minor"/>
      </rPr>
      <t xml:space="preserve"> 05/20/1988 - 100th Congress (1987-1988)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11/22/1989 - 101st Congress (1989-1990) - Resolution of advice and consent to ratification agreed to in Senate by Division Vote. (All Actions) </t>
    </r>
  </si>
  <si>
    <r>
      <t xml:space="preserve">424. TREATY WITH THE UNITED KINGDOM CONCERNING THE CAYMAN ISLANDS RELATING TO MUTUAL LEGAL ASSISTANCE IN CRIMINAL MATTERS Senate Consideration of Treaty Document 100-8 </t>
    </r>
    <r>
      <rPr>
        <b/>
        <sz val="12"/>
        <color theme="1"/>
        <rFont val="Calibri"/>
        <family val="2"/>
        <scheme val="minor"/>
      </rPr>
      <t>Date Received from President:</t>
    </r>
    <r>
      <rPr>
        <sz val="12"/>
        <color theme="1"/>
        <rFont val="Calibri"/>
        <family val="2"/>
        <scheme val="minor"/>
      </rPr>
      <t xml:space="preserve"> 08/04/1987 - 100th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by Yea-Nay Vote. 99 - 0. Record Vote Number: 265. (All Actions) </t>
    </r>
  </si>
  <si>
    <r>
      <t xml:space="preserve">425. MUTUAL LEGAL ASSISTANCE COOPERATION TREATY WITH MEXICO Senate Consideration of Treaty Document 100-13 </t>
    </r>
    <r>
      <rPr>
        <b/>
        <sz val="12"/>
        <color theme="1"/>
        <rFont val="Calibri"/>
        <family val="2"/>
        <scheme val="minor"/>
      </rPr>
      <t>Date Received from President:</t>
    </r>
    <r>
      <rPr>
        <sz val="12"/>
        <color theme="1"/>
        <rFont val="Calibri"/>
        <family val="2"/>
        <scheme val="minor"/>
      </rPr>
      <t xml:space="preserve"> 02/11/1988 - 100th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by Yea-Nay Vote. 99 - 0. Record Vote Number: 266. (All Actions) </t>
    </r>
  </si>
  <si>
    <r>
      <t xml:space="preserve">426. TREATY WITH CANADA ON MUTUAL LEGAL ASSISTANCE IN CRIMINAL MATTERS Senate Consideration of Treaty Document 100-14 </t>
    </r>
    <r>
      <rPr>
        <b/>
        <sz val="12"/>
        <color theme="1"/>
        <rFont val="Calibri"/>
        <family val="2"/>
        <scheme val="minor"/>
      </rPr>
      <t>Date Received from President:</t>
    </r>
    <r>
      <rPr>
        <sz val="12"/>
        <color theme="1"/>
        <rFont val="Calibri"/>
        <family val="2"/>
        <scheme val="minor"/>
      </rPr>
      <t xml:space="preserve"> 02/22/1988 - 100th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with amendments by Yea-Nay Vote. 99 - 0. Record Vote Number: 267. (All Actions) </t>
    </r>
  </si>
  <si>
    <r>
      <t xml:space="preserve">427. TREATY WITH BELGIUM ON MUTUAL LEGAL ASSISTANCE IN CRIMINAL MATTERS Senate Consideration of Treaty Document 100-16 </t>
    </r>
    <r>
      <rPr>
        <b/>
        <sz val="12"/>
        <color theme="1"/>
        <rFont val="Calibri"/>
        <family val="2"/>
        <scheme val="minor"/>
      </rPr>
      <t>Date Received from President:</t>
    </r>
    <r>
      <rPr>
        <sz val="12"/>
        <color theme="1"/>
        <rFont val="Calibri"/>
        <family val="2"/>
        <scheme val="minor"/>
      </rPr>
      <t xml:space="preserve"> 03/29/1988 - 100th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with amendments by Yea-Nay Vote. 99 - 0. Record Vote Number: 268. (All Actions) </t>
    </r>
  </si>
  <si>
    <r>
      <t xml:space="preserve">428. TREATY WITH THE BAHAMAS ON MUTUAL ASSISTANCE IN CRIMINAL MATTERS Senate Consideration of Treaty Document 100-17 </t>
    </r>
    <r>
      <rPr>
        <b/>
        <sz val="12"/>
        <color theme="1"/>
        <rFont val="Calibri"/>
        <family val="2"/>
        <scheme val="minor"/>
      </rPr>
      <t>Date Received from President:</t>
    </r>
    <r>
      <rPr>
        <sz val="12"/>
        <color theme="1"/>
        <rFont val="Calibri"/>
        <family val="2"/>
        <scheme val="minor"/>
      </rPr>
      <t xml:space="preserve"> 04/13/1988 - 100th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with amendments by Yea-Nay Vote. 99 - 0. Record Vote Number: 269. (All Actions) </t>
    </r>
  </si>
  <si>
    <r>
      <t xml:space="preserve">429. TREATY WITH THAILAND ON MUTUAL ASSISTANCE IN CRIMINAL MATTERS Senate Consideration of Treaty Document 100-18 </t>
    </r>
    <r>
      <rPr>
        <b/>
        <sz val="12"/>
        <color theme="1"/>
        <rFont val="Calibri"/>
        <family val="2"/>
        <scheme val="minor"/>
      </rPr>
      <t>Date Received from President:</t>
    </r>
    <r>
      <rPr>
        <sz val="12"/>
        <color theme="1"/>
        <rFont val="Calibri"/>
        <family val="2"/>
        <scheme val="minor"/>
      </rPr>
      <t xml:space="preserve"> 04/22/1988 - 100th Congress (1987-1988)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10/24/1989 - 101st Congress (1989-1990) - Resolution of advice and consent to ratification agreed to in Senate with amendments by Yea-Nay Vote. 99 - 0. Record Vote Number: 270. (All Actions) </t>
    </r>
  </si>
  <si>
    <r>
      <t xml:space="preserve">430. SUPPLEMENTARY PROTOCOL TO THE 1970 TAX CONVENTION WITH BELGIUM Senate Consideration of Treaty Document 100-15 </t>
    </r>
    <r>
      <rPr>
        <b/>
        <sz val="12"/>
        <color theme="1"/>
        <rFont val="Calibri"/>
        <family val="2"/>
        <scheme val="minor"/>
      </rPr>
      <t>Date Received from President:</t>
    </r>
    <r>
      <rPr>
        <sz val="12"/>
        <color theme="1"/>
        <rFont val="Calibri"/>
        <family val="2"/>
        <scheme val="minor"/>
      </rPr>
      <t xml:space="preserve"> 02/29/1988 - 100th Congress (1987-1988)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10/22/1988 - 100th Congress (1987-1988) - Resolution of advice and consent to ratification agreed to in Senate by Division Vote. (All Actions) </t>
    </r>
  </si>
  <si>
    <r>
      <t xml:space="preserve">431. TAX CONVENTION WITH THE UNITED KINGDOM (ON BEHALF OF BERMUDA) Senate Consideration of Treaty Document 99-30 </t>
    </r>
    <r>
      <rPr>
        <b/>
        <sz val="12"/>
        <color theme="1"/>
        <rFont val="Calibri"/>
        <family val="2"/>
        <scheme val="minor"/>
      </rPr>
      <t>Date Received from President:</t>
    </r>
    <r>
      <rPr>
        <sz val="12"/>
        <color theme="1"/>
        <rFont val="Calibri"/>
        <family val="2"/>
        <scheme val="minor"/>
      </rPr>
      <t xml:space="preserve"> 09/09/1986 - 99th Congress (1985-1986)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10/22/1988 - 100th Congress (1987-1988) - Resolution of advice and consent to ratification agreed to in Senate by Division Vote. (All Actions) </t>
    </r>
  </si>
  <si>
    <r>
      <t xml:space="preserve">432. PROTOCOL TO THE 1967 TAX CONVENTION WITH FRANCE Senate Consideration of Treaty Document 100-21 </t>
    </r>
    <r>
      <rPr>
        <b/>
        <sz val="12"/>
        <color theme="1"/>
        <rFont val="Calibri"/>
        <family val="2"/>
        <scheme val="minor"/>
      </rPr>
      <t>Date Received from President:</t>
    </r>
    <r>
      <rPr>
        <sz val="12"/>
        <color theme="1"/>
        <rFont val="Calibri"/>
        <family val="2"/>
        <scheme val="minor"/>
      </rPr>
      <t xml:space="preserve"> 08/01/1988 - 100th Congress (1987-1988)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10/21/1988 - 100th Congress (1987-1988) - Resolution of advice and consent to ratification agreed to in Senate by Division Vote. (All Actions) </t>
    </r>
  </si>
  <si>
    <r>
      <t xml:space="preserve">433. INVESTMENT TREATY WITH SENEGAL Senate Consideration of Treaty Document 99-15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</si>
  <si>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434. INVESTMENT TREATY WITH ZAIRE Senate Consideration of Treaty Document 99-17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</si>
  <si>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435. INVESTMENT TREATY WITH MOROCCO Senate Consideration of Treaty Document 99-18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</si>
  <si>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436. INVESTMENT TREATY WITH TURKEY Senate Consideration of Treaty Document 99-19 </t>
    </r>
    <r>
      <rPr>
        <b/>
        <sz val="12"/>
        <color theme="1"/>
        <rFont val="Calibri"/>
        <family val="2"/>
        <scheme val="minor"/>
      </rPr>
      <t>Date Received from President:</t>
    </r>
    <r>
      <rPr>
        <sz val="12"/>
        <color theme="1"/>
        <rFont val="Calibri"/>
        <family val="2"/>
        <scheme val="minor"/>
      </rPr>
      <t xml:space="preserve"> 03/25/1986 - 99th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</si>
  <si>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437. INVESTMENT TREATY WITH CAMEROON Senate Consideration of Treaty Document 99-22 </t>
    </r>
    <r>
      <rPr>
        <b/>
        <sz val="12"/>
        <color theme="1"/>
        <rFont val="Calibri"/>
        <family val="2"/>
        <scheme val="minor"/>
      </rPr>
      <t>Date Received from President:</t>
    </r>
    <r>
      <rPr>
        <sz val="12"/>
        <color theme="1"/>
        <rFont val="Calibri"/>
        <family val="2"/>
        <scheme val="minor"/>
      </rPr>
      <t xml:space="preserve"> 05/28/1986 - 99th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</si>
  <si>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438. INVESTMENT TREATY WITH BANGLADESH Senate Consideration of Treaty Document 99-23 </t>
    </r>
    <r>
      <rPr>
        <b/>
        <sz val="12"/>
        <color theme="1"/>
        <rFont val="Calibri"/>
        <family val="2"/>
        <scheme val="minor"/>
      </rPr>
      <t>Date Received from President:</t>
    </r>
    <r>
      <rPr>
        <sz val="12"/>
        <color theme="1"/>
        <rFont val="Calibri"/>
        <family val="2"/>
        <scheme val="minor"/>
      </rPr>
      <t xml:space="preserve"> 05/30/1986 - 99th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</si>
  <si>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439. INVESTMENT TREATY WITH EGYPT Senate Consideration of Treaty Document 99-24 </t>
    </r>
    <r>
      <rPr>
        <b/>
        <sz val="12"/>
        <color theme="1"/>
        <rFont val="Calibri"/>
        <family val="2"/>
        <scheme val="minor"/>
      </rPr>
      <t>Date Received from President:</t>
    </r>
    <r>
      <rPr>
        <sz val="12"/>
        <color theme="1"/>
        <rFont val="Calibri"/>
        <family val="2"/>
        <scheme val="minor"/>
      </rPr>
      <t xml:space="preserve"> 06/02/1986 - 99th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</si>
  <si>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440. INVESTMENT TREATY WITH GRENADA Senate Consideration of Treaty Document 99-25 </t>
    </r>
    <r>
      <rPr>
        <b/>
        <sz val="12"/>
        <color theme="1"/>
        <rFont val="Calibri"/>
        <family val="2"/>
        <scheme val="minor"/>
      </rPr>
      <t>Date Received from President:</t>
    </r>
    <r>
      <rPr>
        <sz val="12"/>
        <color theme="1"/>
        <rFont val="Calibri"/>
        <family val="2"/>
        <scheme val="minor"/>
      </rPr>
      <t xml:space="preserve"> 06/03/1986 - 99th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</si>
  <si>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441. BERNE CONVENTION FOR THE PROTECTION OF LITERARY AND ARTISTIC WORKS Senate Consideration of Treaty Document 99-27 </t>
    </r>
    <r>
      <rPr>
        <b/>
        <sz val="12"/>
        <color theme="1"/>
        <rFont val="Calibri"/>
        <family val="2"/>
        <scheme val="minor"/>
      </rPr>
      <t>Date Received from President:</t>
    </r>
    <r>
      <rPr>
        <sz val="12"/>
        <color theme="1"/>
        <rFont val="Calibri"/>
        <family val="2"/>
        <scheme val="minor"/>
      </rPr>
      <t xml:space="preserve"> 06/18/1986 - 99th Congress (1985-1986)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10/20/1988 - 100th Congress (1987-1988) - Resolution of advice and consent to ratification agreed to in Senate by Division Vote. (All Actions) </t>
    </r>
  </si>
  <si>
    <r>
      <t xml:space="preserve">442. CONVENTION ON EARLY NOTIFICATION OF A NUCLEAR ACCIDENT Senate Consideration of Treaty Document 100-4(A) </t>
    </r>
    <r>
      <rPr>
        <b/>
        <sz val="12"/>
        <color theme="1"/>
        <rFont val="Calibri"/>
        <family val="2"/>
        <scheme val="minor"/>
      </rPr>
      <t>Date Received from President:</t>
    </r>
    <r>
      <rPr>
        <sz val="12"/>
        <color theme="1"/>
        <rFont val="Calibri"/>
        <family val="2"/>
        <scheme val="minor"/>
      </rPr>
      <t xml:space="preserve"> 03/23/1987 - 100th Congress (1987-1988)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09/07/1988 - 100th Congress (1987-1988) - Resolution of advice and consent to ratification agreed to in Senate by Yea-Nay Vote. 97 - 0. Record Vote Number: 311. (All Actions) </t>
    </r>
  </si>
  <si>
    <r>
      <t xml:space="preserve">443. CONVENTION ON ASSISTANCE IN THE CASE OF A NUCLEAR ACCIDENT OR RADIOLOGICAL EMERGENCY Senate Consideration of Treaty Document 100-4(B) </t>
    </r>
    <r>
      <rPr>
        <b/>
        <sz val="12"/>
        <color theme="1"/>
        <rFont val="Calibri"/>
        <family val="2"/>
        <scheme val="minor"/>
      </rPr>
      <t>Date Received from President:</t>
    </r>
    <r>
      <rPr>
        <sz val="12"/>
        <color theme="1"/>
        <rFont val="Calibri"/>
        <family val="2"/>
        <scheme val="minor"/>
      </rPr>
      <t xml:space="preserve"> 03/23/1987 - 100th Congress (1987-1988)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09/07/1988 - 100th Congress (1987-1988) - Resolution of advice and consent to ratification agreed to in Senate by Yea-Nay Vote. 97 - 0. Record Vote Number: 311. (All Actions) </t>
    </r>
  </si>
  <si>
    <r>
      <t xml:space="preserve">444. AMENDMENT TO THE STATUTE OF THE INTERNATIONAL ATOMIC ENERGY AGENCY Senate Consideration of Treaty Document 99-7 </t>
    </r>
    <r>
      <rPr>
        <b/>
        <sz val="12"/>
        <color theme="1"/>
        <rFont val="Calibri"/>
        <family val="2"/>
        <scheme val="minor"/>
      </rPr>
      <t>Date Received from President:</t>
    </r>
    <r>
      <rPr>
        <sz val="12"/>
        <color theme="1"/>
        <rFont val="Calibri"/>
        <family val="2"/>
        <scheme val="minor"/>
      </rPr>
      <t xml:space="preserve"> 06/26/1985 - 99th Congress (1985-1986)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09/07/1988 - 100th Congress (1987-1988) - Resolution of advice and consent to ratification agreed to in Senate by Yea-Nay Vote. 97 - 0. Record Vote Number: 312. (All Actions) </t>
    </r>
  </si>
  <si>
    <r>
      <t xml:space="preserve">445. INTERNATIONAL NATURAL RUBBER AGREEMENT, 1987 Senate Consideration of Treaty Document 100-9 </t>
    </r>
    <r>
      <rPr>
        <b/>
        <sz val="12"/>
        <color theme="1"/>
        <rFont val="Calibri"/>
        <family val="2"/>
        <scheme val="minor"/>
      </rPr>
      <t>Date Received from President:</t>
    </r>
    <r>
      <rPr>
        <sz val="12"/>
        <color theme="1"/>
        <rFont val="Calibri"/>
        <family val="2"/>
        <scheme val="minor"/>
      </rPr>
      <t xml:space="preserve"> 10/20/1987 - 100th Congress (1987-1988)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09/07/1988 - 100th Congress (1987-1988) - Resolution of advice and consent to ratification agreed to in Senate by Yea-Nay Vote. 97 - 0. Record Vote Number: 313. (All Actions) </t>
    </r>
  </si>
  <si>
    <r>
      <t xml:space="preserve">446. TREATY BETWEEN THE UNITED STATES OF AMERICA AND THE UNION OF SOVIET SOCIALIST REPUBLICS ON THE ELIMINATION OF THEIR INTERMEDIATE-RANGE AND SHORTER-RANGE MISSILES Senate Consideration of Treaty Document 100-11 </t>
    </r>
    <r>
      <rPr>
        <b/>
        <sz val="12"/>
        <color theme="1"/>
        <rFont val="Calibri"/>
        <family val="2"/>
        <scheme val="minor"/>
      </rPr>
      <t>Date Received from President:</t>
    </r>
    <r>
      <rPr>
        <sz val="12"/>
        <color theme="1"/>
        <rFont val="Calibri"/>
        <family val="2"/>
        <scheme val="minor"/>
      </rPr>
      <t xml:space="preserve"> 01/25/1988 - 100th Congress (1987-1988)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05/27/1988 - 100th Congress (1987-1988) - Resolution of advice and consent to ratification agreed to in Senate with amendments by Yea-Nay Vote. 93 - 5. Record Vote Number: 166. (All Actions) </t>
    </r>
  </si>
  <si>
    <r>
      <t xml:space="preserve">447. MONTREAL PROTOCOL ON SUBSTANCES THAT DEPLETE THE OZONE LAYER Senate Consideration of Treaty Document 100-10 </t>
    </r>
    <r>
      <rPr>
        <b/>
        <sz val="12"/>
        <color theme="1"/>
        <rFont val="Calibri"/>
        <family val="2"/>
        <scheme val="minor"/>
      </rPr>
      <t>Date Received from President:</t>
    </r>
    <r>
      <rPr>
        <sz val="12"/>
        <color theme="1"/>
        <rFont val="Calibri"/>
        <family val="2"/>
        <scheme val="minor"/>
      </rPr>
      <t xml:space="preserve"> 12/21/1987 - 100th Congress (1987-1988)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03/14/1988 - 100th Congress (1987-1988) - Resolution of advice and consent to ratification agreed to in Senate by Yea-Nay Vote. 83 - 0. Record Vote Number: 47. (All Actions) </t>
    </r>
  </si>
  <si>
    <r>
      <t xml:space="preserve">448. ILO CONVENTION (NO. 144) CONCERNING TRIPARTITE CONSULTATIONS TO PROMOTE THE IMPLEMENTATION OF INTERNATIONAL LABOR STANDARDS Senate Consideration of Treaty Document 99-20 </t>
    </r>
    <r>
      <rPr>
        <b/>
        <sz val="12"/>
        <color theme="1"/>
        <rFont val="Calibri"/>
        <family val="2"/>
        <scheme val="minor"/>
      </rPr>
      <t>Date Received from President:</t>
    </r>
    <r>
      <rPr>
        <sz val="12"/>
        <color theme="1"/>
        <rFont val="Calibri"/>
        <family val="2"/>
        <scheme val="minor"/>
      </rPr>
      <t xml:space="preserve"> 04/10/1986 - 99th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02/01/1988 - 100th Congress (1987-1988) - Resolution of advice and consent to ratification agreed to in Senate by Yea-Nay Vote. 81 - 2. Record Vote Number: 13. (All Actions) </t>
    </r>
  </si>
  <si>
    <r>
      <t xml:space="preserve">449. ILO CONVENTION (NO. 147) CONCERNING MINIMUM STANDARDS IN MERCHANT SHIPS Senate Consideration of Treaty Document 99-21 </t>
    </r>
    <r>
      <rPr>
        <b/>
        <sz val="12"/>
        <color theme="1"/>
        <rFont val="Calibri"/>
        <family val="2"/>
        <scheme val="minor"/>
      </rPr>
      <t>Date Received from President:</t>
    </r>
    <r>
      <rPr>
        <sz val="12"/>
        <color theme="1"/>
        <rFont val="Calibri"/>
        <family val="2"/>
        <scheme val="minor"/>
      </rPr>
      <t xml:space="preserve"> 04/10/1986 - 99th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02/01/1988 - 100th Congress (1987-1988) - Resolution of advice and consent to ratification agreed to in Senate by Yea-Nay Vote. 84 - 0. Record Vote Number: 14. (All Actions) </t>
    </r>
  </si>
  <si>
    <r>
      <t xml:space="preserve">450. INTERNATIONAL WHEAT AGREEMENT, 1986 Senate Consideration of Treaty Document 100-1 </t>
    </r>
    <r>
      <rPr>
        <b/>
        <sz val="12"/>
        <color theme="1"/>
        <rFont val="Calibri"/>
        <family val="2"/>
        <scheme val="minor"/>
      </rPr>
      <t>Date Received from President:</t>
    </r>
    <r>
      <rPr>
        <sz val="12"/>
        <color theme="1"/>
        <rFont val="Calibri"/>
        <family val="2"/>
        <scheme val="minor"/>
      </rPr>
      <t xml:space="preserve"> 01/20/1987 - 100th Congress (1987-1988)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11/17/1987 - 100th Congress (1987-1988) - Resolution of advice and consent to ratification agreed to in Senate by Yea-Nay Vote. 94 - 0. Record Vote Number: 378. (All Actions) </t>
    </r>
  </si>
  <si>
    <r>
      <t xml:space="preserve">451. FISHERIES TREATY WITH CERTAIN PACIFIC ISLAND STATES Senate Consideration of Treaty Document 100-5 </t>
    </r>
    <r>
      <rPr>
        <b/>
        <sz val="12"/>
        <color theme="1"/>
        <rFont val="Calibri"/>
        <family val="2"/>
        <scheme val="minor"/>
      </rPr>
      <t>Date Received from President:</t>
    </r>
    <r>
      <rPr>
        <sz val="12"/>
        <color theme="1"/>
        <rFont val="Calibri"/>
        <family val="2"/>
        <scheme val="minor"/>
      </rPr>
      <t xml:space="preserve"> 06/18/1987 - 100th Congress (1987-1988)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11/06/1987 - 100th Congress (1987-1988) - Resolution of advice and consent to ratification agreed to in Senate by Yea-Nay Vote. 89 - 0. Record Vote Number: 371. (All Actions) </t>
    </r>
  </si>
  <si>
    <r>
      <t xml:space="preserve">452. REGULATIONS FOR THE PREVENTION OF POLLUTION BY GARBAGE FROM SHIPS (ANNEX V OF MARPOL 73/78) Senate Consideration of Treaty Document 100-3 </t>
    </r>
    <r>
      <rPr>
        <b/>
        <sz val="12"/>
        <color theme="1"/>
        <rFont val="Calibri"/>
        <family val="2"/>
        <scheme val="minor"/>
      </rPr>
      <t>Date Received from President:</t>
    </r>
    <r>
      <rPr>
        <sz val="12"/>
        <color theme="1"/>
        <rFont val="Calibri"/>
        <family val="2"/>
        <scheme val="minor"/>
      </rPr>
      <t xml:space="preserve"> 02/09/1987 - 100th Congress (1987-1988)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11/05/1987 - 100th Congress (1987-1988) - Resolution of advice and consent to ratification agreed to in Senate with an amendment by Yea-Nay Vote. 93 - 0. Record Vote Number: 368. (All Actions) </t>
    </r>
  </si>
  <si>
    <r>
      <t xml:space="preserve">453. PROTOCOL II ADDITIONAL TO THE 1949 GENEVA CONVENTIONS, AND RELATING TO THE PROTECTION OF VICTIMS OF NON-INTERNATIONAL ARMED CONFLICTS Senate Consideration of Treaty Document 100-2 </t>
    </r>
    <r>
      <rPr>
        <b/>
        <sz val="12"/>
        <color theme="1"/>
        <rFont val="Calibri"/>
        <family val="2"/>
        <scheme val="minor"/>
      </rPr>
      <t>Date Received from President:</t>
    </r>
    <r>
      <rPr>
        <sz val="12"/>
        <color theme="1"/>
        <rFont val="Calibri"/>
        <family val="2"/>
        <scheme val="minor"/>
      </rPr>
      <t xml:space="preserve"> 01/29/1987 - 100th Congress (1987-1988)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01/29/1987 - 100th Congress (1987-1988) - Received in the Senate and referred to the Committee on Foreign Relations. (All Actions) </t>
    </r>
  </si>
  <si>
    <r>
      <t xml:space="preserve">454. UNITED NATIONS CONVENTION ON CONTRACTS FOR THE INTERNATIONAL SALE OF GOODS Senate Consideration of Treaty Document 98-9 </t>
    </r>
    <r>
      <rPr>
        <b/>
        <sz val="12"/>
        <color theme="1"/>
        <rFont val="Calibri"/>
        <family val="2"/>
        <scheme val="minor"/>
      </rPr>
      <t>Date Received from President:</t>
    </r>
    <r>
      <rPr>
        <sz val="12"/>
        <color theme="1"/>
        <rFont val="Calibri"/>
        <family val="2"/>
        <scheme val="minor"/>
      </rPr>
      <t xml:space="preserve"> 09/21/1983 - 98th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10/09/1986 - 99th Congress (1985-1986) - Approved 98-0 by a roll call vote (Record Vote No. 339). Calendar No. 14. (All Actions) </t>
    </r>
  </si>
  <si>
    <r>
      <t xml:space="preserve">455. HAGUE CONVENTION ON THE CIVIL ASPECTS OF INTERNATIONAL CHILD ABDUCTION Senate Consideration of Treaty Document 99-11 </t>
    </r>
    <r>
      <rPr>
        <b/>
        <sz val="12"/>
        <color theme="1"/>
        <rFont val="Calibri"/>
        <family val="2"/>
        <scheme val="minor"/>
      </rPr>
      <t>Date Received from President:</t>
    </r>
    <r>
      <rPr>
        <sz val="12"/>
        <color theme="1"/>
        <rFont val="Calibri"/>
        <family val="2"/>
        <scheme val="minor"/>
      </rPr>
      <t xml:space="preserve"> 10/30/1985 - 99th Congress (1985-1986)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10/09/1986 - 99th Congress (1985-1986) - Approved 98-0 by roll call vote (Record Vote No. 344). Calendar No. 19. (All Actions) </t>
    </r>
  </si>
  <si>
    <r>
      <t xml:space="preserve">456. INTER-AMERICAN CONVENTION ON INTERNATIONAL COMMERCIAL ARBITRATION Senate Consideration of Treaty Document 97-12 </t>
    </r>
    <r>
      <rPr>
        <b/>
        <sz val="12"/>
        <color theme="1"/>
        <rFont val="Calibri"/>
        <family val="2"/>
        <scheme val="minor"/>
      </rPr>
      <t>Date Received from President:</t>
    </r>
    <r>
      <rPr>
        <sz val="12"/>
        <color theme="1"/>
        <rFont val="Calibri"/>
        <family val="2"/>
        <scheme val="minor"/>
      </rPr>
      <t xml:space="preserve"> 06/15/1981 - 97th Congress (1981-1982)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10/09/1986 - 99th Congress (1985-1986) - Approved 98-0 by roll call vote (Record Vote No. 343). Calendar No. 18. (All Actions) </t>
    </r>
  </si>
  <si>
    <r>
      <t xml:space="preserve">457. INTER-AMERICAN CONVENTION ON LETTERS ROGATORY Senate Consideration of Treaty Document 98-27 </t>
    </r>
    <r>
      <rPr>
        <b/>
        <sz val="12"/>
        <color theme="1"/>
        <rFont val="Calibri"/>
        <family val="2"/>
        <scheme val="minor"/>
      </rPr>
      <t>Date Received from President:</t>
    </r>
    <r>
      <rPr>
        <sz val="12"/>
        <color theme="1"/>
        <rFont val="Calibri"/>
        <family val="2"/>
        <scheme val="minor"/>
      </rPr>
      <t xml:space="preserve"> 06/25/1984 - 98th Congress (1983-1984)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10/09/1986 - 99th Congress (1985-1986) - Approved 98-0 by a roll call vote (Record Vote No. 340). Calendar No. 15. (All Actions) </t>
    </r>
  </si>
  <si>
    <r>
      <t xml:space="preserve">458. CONVENTION ON WETLANDS OF INTERNATIONAL IMPORTANCE Senate Consideration of Treaty Document 99-28 </t>
    </r>
    <r>
      <rPr>
        <b/>
        <sz val="12"/>
        <color theme="1"/>
        <rFont val="Calibri"/>
        <family val="2"/>
        <scheme val="minor"/>
      </rPr>
      <t>Date Received from President:</t>
    </r>
    <r>
      <rPr>
        <sz val="12"/>
        <color theme="1"/>
        <rFont val="Calibri"/>
        <family val="2"/>
        <scheme val="minor"/>
      </rPr>
      <t xml:space="preserve"> 06/23/1986 - 99th Congress (1985-1986)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10/09/1986 - 99th Congress (1985-1986) - Approved 98-0 by roll call vote (Record Vote No. 341). Calendar No. 16. (All Actions) </t>
    </r>
  </si>
  <si>
    <r>
      <t xml:space="preserve">459. Request for Advice and Consent to Withdraw a Reservation Made to the 1975 Patent Cooperation Treaty. Senate Consideration of Treaty Document 98-29 </t>
    </r>
    <r>
      <rPr>
        <b/>
        <sz val="12"/>
        <color theme="1"/>
        <rFont val="Calibri"/>
        <family val="2"/>
        <scheme val="minor"/>
      </rPr>
      <t>Date Received from President:</t>
    </r>
    <r>
      <rPr>
        <sz val="12"/>
        <color theme="1"/>
        <rFont val="Calibri"/>
        <family val="2"/>
        <scheme val="minor"/>
      </rPr>
      <t xml:space="preserve"> 07/27/1984 - 98th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10/09/1986 - 99th Congress (1985-1986) - Approved 98-0 by roll call vote (Record Vote No. 342). Calendar No. 17. (All Actions) </t>
    </r>
  </si>
  <si>
    <r>
      <t xml:space="preserve">460. TREATY BETWEEN THE UNITED STATES AND ICELAND TO FACILITATE THEIR DEFENSE RELATIONSHIP Senate Consideration of Treaty Document 99-31 </t>
    </r>
    <r>
      <rPr>
        <b/>
        <sz val="12"/>
        <color theme="1"/>
        <rFont val="Calibri"/>
        <family val="2"/>
        <scheme val="minor"/>
      </rPr>
      <t>Date Received from President:</t>
    </r>
    <r>
      <rPr>
        <sz val="12"/>
        <color theme="1"/>
        <rFont val="Calibri"/>
        <family val="2"/>
        <scheme val="minor"/>
      </rPr>
      <t xml:space="preserve"> 09/30/1986 - 99th Congress (1985-1986)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10/08/1986 - 99th Congress (1985-1986) - Treaty moved through its parliamentary stages, and the resolution of ratification considered without amendment. Approved by division vote. (All Actions) </t>
    </r>
  </si>
  <si>
    <r>
      <t xml:space="preserve">461. PROTOCOL TO THE CONVENTION FOR THE CONSERVATION OF ATLANTIC TUNAS Senate Consideration of Treaty Document 99-4 </t>
    </r>
    <r>
      <rPr>
        <b/>
        <sz val="12"/>
        <color theme="1"/>
        <rFont val="Calibri"/>
        <family val="2"/>
        <scheme val="minor"/>
      </rPr>
      <t>Date Received from President:</t>
    </r>
    <r>
      <rPr>
        <sz val="12"/>
        <color theme="1"/>
        <rFont val="Calibri"/>
        <family val="2"/>
        <scheme val="minor"/>
      </rPr>
      <t xml:space="preserve"> 03/14/1985 - 99th Congress (1985-1986)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07/24/1986 - 99th Congress (1985-1986) - Treaty moved through its various parliamentary stages, and resolution of ratification considered without amendment. Approved by division vote. (All Actions) </t>
    </r>
  </si>
  <si>
    <r>
      <t xml:space="preserve">462. VIENNA CONVENTION FOR THE PROTECTION OF THE OZONE LAYER Senate Consideration of Treaty Document 99-9 </t>
    </r>
    <r>
      <rPr>
        <b/>
        <sz val="12"/>
        <color theme="1"/>
        <rFont val="Calibri"/>
        <family val="2"/>
        <scheme val="minor"/>
      </rPr>
      <t>Date Received from President:</t>
    </r>
    <r>
      <rPr>
        <sz val="12"/>
        <color theme="1"/>
        <rFont val="Calibri"/>
        <family val="2"/>
        <scheme val="minor"/>
      </rPr>
      <t xml:space="preserve"> 09/04/1985 - 99th Congress (1985-1986)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07/24/1986 - 99th Congress (1985-1986) - Treaty moved through its various parliamentary stages, and resolution of ratification considered without amendment. Approved by division vote. (All Actions) </t>
    </r>
  </si>
  <si>
    <r>
      <t xml:space="preserve">463. PROTOCOL CONCERNING THE INTERPRETATION OF PARAGRAPH 7 OF THE PROTOCOL TO THE 1984 TAX AGREEMENT WITH THE PEOPLE'S REPUBLIC OF CHINA Senate Consideration of Treaty Document 99-26 </t>
    </r>
    <r>
      <rPr>
        <b/>
        <sz val="12"/>
        <color theme="1"/>
        <rFont val="Calibri"/>
        <family val="2"/>
        <scheme val="minor"/>
      </rPr>
      <t>Date Received from President:</t>
    </r>
    <r>
      <rPr>
        <sz val="12"/>
        <color theme="1"/>
        <rFont val="Calibri"/>
        <family val="2"/>
        <scheme val="minor"/>
      </rPr>
      <t xml:space="preserve"> 06/05/1986 - 99th Congress (1985-1986)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07/24/1986 - 99th Congress (1985-1986) - Approved 96-1. See action on parent treaty - Treaty Doc. 98-30. Record Vote Number: 163. (All Actions) </t>
    </r>
  </si>
  <si>
    <r>
      <t xml:space="preserve">464. TAX AGREEMENT WITH THE PEOPLE'S REPUBLIC OF CHINA Senate Consideration of Treaty Document 98-30 </t>
    </r>
    <r>
      <rPr>
        <b/>
        <sz val="12"/>
        <color theme="1"/>
        <rFont val="Calibri"/>
        <family val="2"/>
        <scheme val="minor"/>
      </rPr>
      <t>Date Received from President:</t>
    </r>
    <r>
      <rPr>
        <sz val="12"/>
        <color theme="1"/>
        <rFont val="Calibri"/>
        <family val="2"/>
        <scheme val="minor"/>
      </rPr>
      <t xml:space="preserve"> 08/10/1984 - 98th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07/24/1986 - 99th Congress (1985-1986) - Treaty and Protocol of May 10, 1986, moved through various parliamentary stages, and resolution of ratification considered without amendment. Approved 96-1 by roll call vote (Record Vote No. 163 Ex.) Calendar No. 8. (All Actions) </t>
    </r>
  </si>
  <si>
    <r>
      <t xml:space="preserve">465. SUPPLEMENTARY EXTRADITION TREATY WITH THE UNITED KINGDOM Senate Consideration of Treaty Document 99-8 </t>
    </r>
    <r>
      <rPr>
        <b/>
        <sz val="12"/>
        <color theme="1"/>
        <rFont val="Calibri"/>
        <family val="2"/>
        <scheme val="minor"/>
      </rPr>
      <t>Date Received from President:</t>
    </r>
    <r>
      <rPr>
        <sz val="12"/>
        <color theme="1"/>
        <rFont val="Calibri"/>
        <family val="2"/>
        <scheme val="minor"/>
      </rPr>
      <t xml:space="preserve"> 07/17/1985 - 99th Congress (1985-1986)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07/17/1986 - 99th Congress (1985-1986) - Resolution of advice and consent to ratification considered. Approved 87-10 by a roll call vote (No. 160 Ex.). Cal. No. 13. (All Actions) </t>
    </r>
  </si>
  <si>
    <r>
      <t xml:space="preserve">466. AMENDMENT TO THE 1978 CONVENTION ON INTERNATIONAL TRADE IN ENDANGERED SPECIES OF WILD FAUNA AND FLORA Senate Consideration of Treaty Document 98-10 </t>
    </r>
    <r>
      <rPr>
        <b/>
        <sz val="12"/>
        <color theme="1"/>
        <rFont val="Calibri"/>
        <family val="2"/>
        <scheme val="minor"/>
      </rPr>
      <t>Date Received from President:</t>
    </r>
    <r>
      <rPr>
        <sz val="12"/>
        <color theme="1"/>
        <rFont val="Calibri"/>
        <family val="2"/>
        <scheme val="minor"/>
      </rPr>
      <t xml:space="preserve"> 10/04/1983 - 98th Congress (1983-1984)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03/18/1986 - 99th Congress (1985-1986) - Committee on Foreign Relations. Hearings held. (All Actions) </t>
    </r>
  </si>
  <si>
    <r>
      <t xml:space="preserve">467. International Convention on the Prevention and Punishment of the Crime of Genocide Senate Consideration of Treaty Document 81-15 </t>
    </r>
    <r>
      <rPr>
        <b/>
        <sz val="12"/>
        <color theme="1"/>
        <rFont val="Calibri"/>
        <family val="2"/>
        <scheme val="minor"/>
      </rPr>
      <t>Date Received from President:</t>
    </r>
    <r>
      <rPr>
        <sz val="12"/>
        <color theme="1"/>
        <rFont val="Calibri"/>
        <family val="2"/>
        <scheme val="minor"/>
      </rPr>
      <t xml:space="preserve"> 06/16/1949 - 81st Congress (1949-1950)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02/19/1986 - 99th Congress (1985-1986) - Treaty moved through its parliamentary stages, and resolution of ratification considered; with eight committee-reported provisos agreed to. Approved 83-11 by a roll call vote (No. 15 Ex.). Calendar No. 2. (All Actions) </t>
    </r>
  </si>
  <si>
    <r>
      <t xml:space="preserve">468. TAX CONVENTION WITH BARBADOS Senate Consideration of Treaty Document 99-3 </t>
    </r>
    <r>
      <rPr>
        <b/>
        <sz val="12"/>
        <color theme="1"/>
        <rFont val="Calibri"/>
        <family val="2"/>
        <scheme val="minor"/>
      </rPr>
      <t>Date Received from President:</t>
    </r>
    <r>
      <rPr>
        <sz val="12"/>
        <color theme="1"/>
        <rFont val="Calibri"/>
        <family val="2"/>
        <scheme val="minor"/>
      </rPr>
      <t xml:space="preserve"> 02/25/1985 - 99th Congress (1985-1986)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12/16/1985 - 99th Congress (1985-1986) - Resolution of advice and consent to ratification agreed to in Senate with a reservation by Division Vote. (All Actions) </t>
    </r>
  </si>
  <si>
    <r>
      <t xml:space="preserve">469. INTERNATIONAL TELECOMMUNICATION CONVENTION (NAIROBI, 1982) Senate Consideration of Treaty Document 99-6 </t>
    </r>
    <r>
      <rPr>
        <b/>
        <sz val="12"/>
        <color theme="1"/>
        <rFont val="Calibri"/>
        <family val="2"/>
        <scheme val="minor"/>
      </rPr>
      <t>Date Received from President:</t>
    </r>
    <r>
      <rPr>
        <sz val="12"/>
        <color theme="1"/>
        <rFont val="Calibri"/>
        <family val="2"/>
        <scheme val="minor"/>
      </rPr>
      <t xml:space="preserve"> 05/15/1985 - 99th Congress (1985-1986)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12/16/1985 - 99th Congress (1985-1986) - Resolution of advice and consent to ratification agreed to in Senate by Division Vote. (All Actions) </t>
    </r>
  </si>
  <si>
    <r>
      <t xml:space="preserve">470. TAX CONVENTION WITH ITALY Senate Consideration of Treaty Document 98-28 </t>
    </r>
    <r>
      <rPr>
        <b/>
        <sz val="12"/>
        <color theme="1"/>
        <rFont val="Calibri"/>
        <family val="2"/>
        <scheme val="minor"/>
      </rPr>
      <t>Date Received from President:</t>
    </r>
    <r>
      <rPr>
        <sz val="12"/>
        <color theme="1"/>
        <rFont val="Calibri"/>
        <family val="2"/>
        <scheme val="minor"/>
      </rPr>
      <t xml:space="preserve"> 07/03/1984 - 98th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12/16/1985 - 99th Congress (1985-1986) - Resolution of advice and consent to ratification agreed to in Senate with an understanding by Division Vote. (All Actions) </t>
    </r>
  </si>
  <si>
    <r>
      <t xml:space="preserve">471. TAX CONVENTION WITH THE REPUBLIC OF CYPRUS Senate Consideration of Treaty Document 98-32 </t>
    </r>
    <r>
      <rPr>
        <b/>
        <sz val="12"/>
        <color theme="1"/>
        <rFont val="Calibri"/>
        <family val="2"/>
        <scheme val="minor"/>
      </rPr>
      <t>Date Received from President:</t>
    </r>
    <r>
      <rPr>
        <sz val="12"/>
        <color theme="1"/>
        <rFont val="Calibri"/>
        <family val="2"/>
        <scheme val="minor"/>
      </rPr>
      <t xml:space="preserve"> 08/21/1984 - 98th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12/16/1985 - 99th Congress (1985-1986) - Resolution of advice and consent to ratification agreed to in Senate by Division Vote. (All Actions) </t>
    </r>
  </si>
  <si>
    <r>
      <t xml:space="preserve">472. 1983 PROTOCOLS FOR THE FURTHER EXTENSION OF THE 1971 INTERNATIONAL WHEAT AGREEMENT Senate Consideration of Treaty Document 98-5 </t>
    </r>
    <r>
      <rPr>
        <b/>
        <sz val="12"/>
        <color theme="1"/>
        <rFont val="Calibri"/>
        <family val="2"/>
        <scheme val="minor"/>
      </rPr>
      <t>Date Received from President:</t>
    </r>
    <r>
      <rPr>
        <sz val="12"/>
        <color theme="1"/>
        <rFont val="Calibri"/>
        <family val="2"/>
        <scheme val="minor"/>
      </rPr>
      <t xml:space="preserve"> 07/11/1983 - 98th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10/22/1985 - 99th Congress (1985-1986) - Considered by Senate; treaty and resolution thereto considered without amendment; approved 98-0 (Vote #239 Ex.) Calendar No. 3. (All Actions) </t>
    </r>
  </si>
  <si>
    <r>
      <t xml:space="preserve">473. TREATY WITH CANADA CONCERNING PACIFIC SALMON Senate Consideration of Treaty Document 99-2 </t>
    </r>
    <r>
      <rPr>
        <b/>
        <sz val="12"/>
        <color theme="1"/>
        <rFont val="Calibri"/>
        <family val="2"/>
        <scheme val="minor"/>
      </rPr>
      <t>Date Received from President:</t>
    </r>
    <r>
      <rPr>
        <sz val="12"/>
        <color theme="1"/>
        <rFont val="Calibri"/>
        <family val="2"/>
        <scheme val="minor"/>
      </rPr>
      <t xml:space="preserve"> 02/12/1985 - 99th Congress (1985-1986)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03/07/1985 - 99th Congress (1985-1986) - Treaty considered by the Senate, moved through its parliamentary stages, and resolution of ratification considered without amendment. Approved 96-0 by a roll call vote (No. 18 Ex.). Calendar No. 1. (All Actions) </t>
    </r>
  </si>
  <si>
    <r>
      <t xml:space="preserve">474. CONVENTION ON PROGRAMME-CARRYING SATELLITES Senate Consideration of Treaty Document 98-31 </t>
    </r>
    <r>
      <rPr>
        <b/>
        <sz val="12"/>
        <color theme="1"/>
        <rFont val="Calibri"/>
        <family val="2"/>
        <scheme val="minor"/>
      </rPr>
      <t>Date Received from President:</t>
    </r>
    <r>
      <rPr>
        <sz val="12"/>
        <color theme="1"/>
        <rFont val="Calibri"/>
        <family val="2"/>
        <scheme val="minor"/>
      </rPr>
      <t xml:space="preserve"> 08/16/1984 - 98th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10/12/1984 - 98th Congress (1983-1984) - Resolution of advice and consent to ratification agreed to in Senate by Voice Vote. (All Actions) </t>
    </r>
  </si>
  <si>
    <r>
      <t xml:space="preserve">475. 1983 TAX CONVENTION WITH DENMARK Senate Consideration of Treaty Document 98-6 </t>
    </r>
    <r>
      <rPr>
        <b/>
        <sz val="12"/>
        <color theme="1"/>
        <rFont val="Calibri"/>
        <family val="2"/>
        <scheme val="minor"/>
      </rPr>
      <t>Date Received from President:</t>
    </r>
    <r>
      <rPr>
        <sz val="12"/>
        <color theme="1"/>
        <rFont val="Calibri"/>
        <family val="2"/>
        <scheme val="minor"/>
      </rPr>
      <t xml:space="preserve"> 09/08/1983 - 98th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08/09/1984 - 98th Congress (1983-1984) - Treaty (with reservation) approved by Senate 97-0 (#222 Ex.). (All Actions) </t>
    </r>
  </si>
  <si>
    <r>
      <t xml:space="preserve">476. TREATY WITH THAILAND ON COOPERATION IN THE EXECUTION OF PENAL SENTENCES Senate Consideration of Treaty Document 98-8 </t>
    </r>
    <r>
      <rPr>
        <b/>
        <sz val="12"/>
        <color theme="1"/>
        <rFont val="Calibri"/>
        <family val="2"/>
        <scheme val="minor"/>
      </rPr>
      <t>Date Received from President:</t>
    </r>
    <r>
      <rPr>
        <sz val="12"/>
        <color theme="1"/>
        <rFont val="Calibri"/>
        <family val="2"/>
        <scheme val="minor"/>
      </rPr>
      <t xml:space="preserve"> 09/21/1983 - 98th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08/09/1984 - 98th Congress (1983-1984) - Treaty approved by Senate 97-0 (#223 Ex.). (All Actions) </t>
    </r>
  </si>
  <si>
    <r>
      <t xml:space="preserve">477. CONVENTION FOR THE PROTECTION AND DEVELOPMENT OF THE MARINE ENVIRONMENT OF THE WIDER CARIBBEAN REGION Senate Consideration of Treaty Document 98-13 </t>
    </r>
    <r>
      <rPr>
        <b/>
        <sz val="12"/>
        <color theme="1"/>
        <rFont val="Calibri"/>
        <family val="2"/>
        <scheme val="minor"/>
      </rPr>
      <t>Date Received from President:</t>
    </r>
    <r>
      <rPr>
        <sz val="12"/>
        <color theme="1"/>
        <rFont val="Calibri"/>
        <family val="2"/>
        <scheme val="minor"/>
      </rPr>
      <t xml:space="preserve"> 01/27/1984 - 98th Congress (1983-1984)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08/09/1984 - 98th Congress (1983-1984) - Treaty approved by Senate 97-0 (#224 Ex.). (All Actions) </t>
    </r>
  </si>
  <si>
    <r>
      <t xml:space="preserve">478. SUPPLEMENTARY EXTRADITION CONVENTION WITH THE KINGDOM OF SWEDEN Senate Consideration of Treaty Document 98-4 </t>
    </r>
    <r>
      <rPr>
        <b/>
        <sz val="12"/>
        <color theme="1"/>
        <rFont val="Calibri"/>
        <family val="2"/>
        <scheme val="minor"/>
      </rPr>
      <t>Date Received from President:</t>
    </r>
    <r>
      <rPr>
        <sz val="12"/>
        <color theme="1"/>
        <rFont val="Calibri"/>
        <family val="2"/>
        <scheme val="minor"/>
      </rPr>
      <t xml:space="preserve"> 05/24/1983 - 98th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vote (#168 Ex.). (All Actions) </t>
    </r>
  </si>
  <si>
    <r>
      <t xml:space="preserve">479. PROTOCOL AMENDING THE 1980 TAX CONVENTION WITH CANADA Senate Consideration of Treaty Document 98-7 </t>
    </r>
    <r>
      <rPr>
        <b/>
        <sz val="12"/>
        <color theme="1"/>
        <rFont val="Calibri"/>
        <family val="2"/>
        <scheme val="minor"/>
      </rPr>
      <t>Date Received from President:</t>
    </r>
    <r>
      <rPr>
        <sz val="12"/>
        <color theme="1"/>
        <rFont val="Calibri"/>
        <family val="2"/>
        <scheme val="minor"/>
      </rPr>
      <t xml:space="preserve"> 09/21/1983 - 98th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06/28/1984 - 98th Congress (1983-1984) - Treaty approved by Senate 100-0 (#164 Ex.). (All Actions) </t>
    </r>
  </si>
  <si>
    <r>
      <t xml:space="preserve">480. 1983 ESTATE AND GIFT TAX CONVENTION WITH SWEDEN Senate Consideration of Treaty Document 98-11 </t>
    </r>
    <r>
      <rPr>
        <b/>
        <sz val="12"/>
        <color theme="1"/>
        <rFont val="Calibri"/>
        <family val="2"/>
        <scheme val="minor"/>
      </rPr>
      <t>Date Received from President:</t>
    </r>
    <r>
      <rPr>
        <sz val="12"/>
        <color theme="1"/>
        <rFont val="Calibri"/>
        <family val="2"/>
        <scheme val="minor"/>
      </rPr>
      <t xml:space="preserve"> 11/07/1983 - 98th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06/28/1984 - 98th Congress (1983-1984) - Treaty approved by Senate 100-0 (#167 Ex.). (All Actions) </t>
    </r>
  </si>
  <si>
    <r>
      <t xml:space="preserve">481. CONVENTION WITH FRANCE ON THE TRANSFER OF SENTENCED PERSONS Senate Consideration of Treaty Document 98-15 </t>
    </r>
    <r>
      <rPr>
        <b/>
        <sz val="12"/>
        <color theme="1"/>
        <rFont val="Calibri"/>
        <family val="2"/>
        <scheme val="minor"/>
      </rPr>
      <t>Date Received from President:</t>
    </r>
    <r>
      <rPr>
        <sz val="12"/>
        <color theme="1"/>
        <rFont val="Calibri"/>
        <family val="2"/>
        <scheme val="minor"/>
      </rPr>
      <t xml:space="preserve"> 03/01/1984 - 98th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 169 Ex.). (All Actions) </t>
    </r>
  </si>
  <si>
    <r>
      <t xml:space="preserve">482. EXTRADITION TREATY WITH THAILAND Senate Consideration of Treaty Document 98-16 </t>
    </r>
    <r>
      <rPr>
        <b/>
        <sz val="12"/>
        <color theme="1"/>
        <rFont val="Calibri"/>
        <family val="2"/>
        <scheme val="minor"/>
      </rPr>
      <t>Date Received from President:</t>
    </r>
    <r>
      <rPr>
        <sz val="12"/>
        <color theme="1"/>
        <rFont val="Calibri"/>
        <family val="2"/>
        <scheme val="minor"/>
      </rPr>
      <t xml:space="preserve"> 04/13/1984 - 98th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(#170 Ex.). (All Actions) </t>
    </r>
  </si>
  <si>
    <r>
      <t xml:space="preserve">483. EXTRADITION TREATY WITH COSTA RICA Senate Consideration of Treaty Document 98-17 </t>
    </r>
    <r>
      <rPr>
        <b/>
        <sz val="12"/>
        <color theme="1"/>
        <rFont val="Calibri"/>
        <family val="2"/>
        <scheme val="minor"/>
      </rPr>
      <t>Date Received from President:</t>
    </r>
    <r>
      <rPr>
        <sz val="12"/>
        <color theme="1"/>
        <rFont val="Calibri"/>
        <family val="2"/>
        <scheme val="minor"/>
      </rPr>
      <t xml:space="preserve"> 04/17/1984 - 98th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(#171 Ex.). (All Actions) </t>
    </r>
  </si>
  <si>
    <r>
      <t xml:space="preserve">484. EXTRADITION TREATY WITH JAMAICA Senate Consideration of Treaty Document 98-18 </t>
    </r>
    <r>
      <rPr>
        <b/>
        <sz val="12"/>
        <color theme="1"/>
        <rFont val="Calibri"/>
        <family val="2"/>
        <scheme val="minor"/>
      </rPr>
      <t>Date Received from President:</t>
    </r>
    <r>
      <rPr>
        <sz val="12"/>
        <color theme="1"/>
        <rFont val="Calibri"/>
        <family val="2"/>
        <scheme val="minor"/>
      </rPr>
      <t xml:space="preserve"> 04/17/1984 - 98th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(#172 Ex.). (All Actions) </t>
    </r>
  </si>
  <si>
    <r>
      <t xml:space="preserve">485. EXTRADITION TREATY WITH IRELAND Senate Consideration of Treaty Document 98-19 </t>
    </r>
    <r>
      <rPr>
        <b/>
        <sz val="12"/>
        <color theme="1"/>
        <rFont val="Calibri"/>
        <family val="2"/>
        <scheme val="minor"/>
      </rPr>
      <t>Date Received from President:</t>
    </r>
    <r>
      <rPr>
        <sz val="12"/>
        <color theme="1"/>
        <rFont val="Calibri"/>
        <family val="2"/>
        <scheme val="minor"/>
      </rPr>
      <t xml:space="preserve"> 04/18/1984 - 98th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(#173 Ex.). (All Actions) </t>
    </r>
  </si>
  <si>
    <r>
      <t xml:space="preserve">486. EXTRADITION TREATY WITH ITALY Senate Consideration of Treaty Document 98-20 </t>
    </r>
    <r>
      <rPr>
        <b/>
        <sz val="12"/>
        <color theme="1"/>
        <rFont val="Calibri"/>
        <family val="2"/>
        <scheme val="minor"/>
      </rPr>
      <t>Date Received from President:</t>
    </r>
    <r>
      <rPr>
        <sz val="12"/>
        <color theme="1"/>
        <rFont val="Calibri"/>
        <family val="2"/>
        <scheme val="minor"/>
      </rPr>
      <t xml:space="preserve"> 04/18/1984 - 98th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(#174 Ex.). (All Actions) </t>
    </r>
  </si>
  <si>
    <r>
      <t xml:space="preserve">487. PROTOCOL TO THE 1967 TAX CONVENTION WITH FRANCE Senate Consideration of Treaty Document 98-21 </t>
    </r>
    <r>
      <rPr>
        <b/>
        <sz val="12"/>
        <color theme="1"/>
        <rFont val="Calibri"/>
        <family val="2"/>
        <scheme val="minor"/>
      </rPr>
      <t>Date Received from President:</t>
    </r>
    <r>
      <rPr>
        <sz val="12"/>
        <color theme="1"/>
        <rFont val="Calibri"/>
        <family val="2"/>
        <scheme val="minor"/>
      </rPr>
      <t xml:space="preserve"> 04/18/1984 - 98th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06/28/1984 - 98th Congress (1983-1984) - Treaty approved by Senate 100-0 (#166 Ex.). (All Actions) </t>
    </r>
  </si>
  <si>
    <r>
      <t xml:space="preserve">488. SECOND PROTOCOL AMENDING THE 1980 TAX CONVENTION WITH CANADA Senate Consideration of Treaty Document 98-22 </t>
    </r>
    <r>
      <rPr>
        <b/>
        <sz val="12"/>
        <color theme="1"/>
        <rFont val="Calibri"/>
        <family val="2"/>
        <scheme val="minor"/>
      </rPr>
      <t>Date Received from President:</t>
    </r>
    <r>
      <rPr>
        <sz val="12"/>
        <color theme="1"/>
        <rFont val="Calibri"/>
        <family val="2"/>
        <scheme val="minor"/>
      </rPr>
      <t xml:space="preserve"> 04/19/1984 - 98th Congress (1983-1984)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06/28/1984 - 98th Congress (1983-1984) - Treaty approved by Senate 100-0 (No. 165 Ex.). (All Actions) </t>
    </r>
  </si>
  <si>
    <r>
      <t xml:space="preserve">489. CONVENTION ON THE TRANSFER OF SENTENCED PERSONS Senate Consideration of Treaty Document 98-23 </t>
    </r>
    <r>
      <rPr>
        <b/>
        <sz val="12"/>
        <color theme="1"/>
        <rFont val="Calibri"/>
        <family val="2"/>
        <scheme val="minor"/>
      </rPr>
      <t>Date Received from President:</t>
    </r>
    <r>
      <rPr>
        <sz val="12"/>
        <color theme="1"/>
        <rFont val="Calibri"/>
        <family val="2"/>
        <scheme val="minor"/>
      </rPr>
      <t xml:space="preserve"> 05/07/1984 - 98th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vote (#175 Ex.). (All Actions) </t>
    </r>
  </si>
  <si>
    <r>
      <t xml:space="preserve">490. CONVENTION WITH MOROCCO ON MUTUAL ASSISTANCE IN CRIMINAL MATTERS Senate Consideration of Treaty Document 98-24 </t>
    </r>
    <r>
      <rPr>
        <b/>
        <sz val="12"/>
        <color theme="1"/>
        <rFont val="Calibri"/>
        <family val="2"/>
        <scheme val="minor"/>
      </rPr>
      <t>Date Received from President:</t>
    </r>
    <r>
      <rPr>
        <sz val="12"/>
        <color theme="1"/>
        <rFont val="Calibri"/>
        <family val="2"/>
        <scheme val="minor"/>
      </rPr>
      <t xml:space="preserve"> 05/10/1984 - 98th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the Senate 100-0 vote (#176 Ex.). (All Actions) </t>
    </r>
  </si>
  <si>
    <r>
      <t xml:space="preserve">491. TREATY WITH THE ITALIAN REPUBLIC ON MUTUAL ASSISTANCE IN CRIMINAL MATTERS Senate Consideration of Treaty Document 98-25 </t>
    </r>
    <r>
      <rPr>
        <b/>
        <sz val="12"/>
        <color theme="1"/>
        <rFont val="Calibri"/>
        <family val="2"/>
        <scheme val="minor"/>
      </rPr>
      <t>Date Received from President:</t>
    </r>
    <r>
      <rPr>
        <sz val="12"/>
        <color theme="1"/>
        <rFont val="Calibri"/>
        <family val="2"/>
        <scheme val="minor"/>
      </rPr>
      <t xml:space="preserve"> 06/11/1984 - 98th Congress (1983-1984)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06/28/1984 - 98th Congress (1983-1984) - Treaty approved by Senate 100-0 vote (#177 Ex.). (All Actions) </t>
    </r>
  </si>
  <si>
    <r>
      <t xml:space="preserve">492. TREATY WITH CANADA RELATING TO THE SKAGIT RIVER AND ROSS LAKE IN THE STATE OF WASHINGTON, AND THE SEVEN MILE RESERVOIR ON THE PEND D'OREILLE RIVER IN THE PROVINCE OF BRITISH COLUMBIA Senate Consideration of Treaty Document 98-26 </t>
    </r>
    <r>
      <rPr>
        <b/>
        <sz val="12"/>
        <color theme="1"/>
        <rFont val="Calibri"/>
        <family val="2"/>
        <scheme val="minor"/>
      </rPr>
      <t>Date Received from President:</t>
    </r>
    <r>
      <rPr>
        <sz val="12"/>
        <color theme="1"/>
        <rFont val="Calibri"/>
        <family val="2"/>
        <scheme val="minor"/>
      </rPr>
      <t xml:space="preserve"> 06/11/1984 - 98th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06/28/1984 - 98th Congress (1983-1984) - Approved by the Senate 100-0 vote (#178 Ex.). (All Actions) </t>
    </r>
  </si>
  <si>
    <r>
      <t xml:space="preserve">493. TAX CONVENTION WITH CANADA Senate Consideration of Treaty Document 96-55 </t>
    </r>
    <r>
      <rPr>
        <b/>
        <sz val="12"/>
        <color theme="1"/>
        <rFont val="Calibri"/>
        <family val="2"/>
        <scheme val="minor"/>
      </rPr>
      <t>Date Received from President:</t>
    </r>
    <r>
      <rPr>
        <sz val="12"/>
        <color theme="1"/>
        <rFont val="Calibri"/>
        <family val="2"/>
        <scheme val="minor"/>
      </rPr>
      <t xml:space="preserve"> 11/12/1980 - 96th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06/28/1984 - 98th Congress (1983-1984) - Approved by 100-0 vote. Record Vote Number 163. (All Actions) </t>
    </r>
  </si>
  <si>
    <r>
      <t xml:space="preserve">494. INTERNATIONAL COFFEE AGREEMENT, 1983 Senate Consideration of Treaty Document 98-2 </t>
    </r>
    <r>
      <rPr>
        <b/>
        <sz val="12"/>
        <color theme="1"/>
        <rFont val="Calibri"/>
        <family val="2"/>
        <scheme val="minor"/>
      </rPr>
      <t>Date Received from President:</t>
    </r>
    <r>
      <rPr>
        <sz val="12"/>
        <color theme="1"/>
        <rFont val="Calibri"/>
        <family val="2"/>
        <scheme val="minor"/>
      </rPr>
      <t xml:space="preserve"> 05/04/1983 - 98th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07/27/1983 - 98th Congress (1983-1984) - Treaty approved by Senate 100-0 vote (#224 Ex.). (All Actions) </t>
    </r>
  </si>
  <si>
    <r>
      <t xml:space="preserve">495. EASTERN PACIFIC OCEAN TUNA FISHING AGREEMENT Senate Consideration of Treaty Document 98-3 </t>
    </r>
    <r>
      <rPr>
        <b/>
        <sz val="12"/>
        <color theme="1"/>
        <rFont val="Calibri"/>
        <family val="2"/>
        <scheme val="minor"/>
      </rPr>
      <t>Date Received from President:</t>
    </r>
    <r>
      <rPr>
        <sz val="12"/>
        <color theme="1"/>
        <rFont val="Calibri"/>
        <family val="2"/>
        <scheme val="minor"/>
      </rPr>
      <t xml:space="preserve"> 05/11/1983 - 98th Congress (1983-1984)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07/27/1983 - 98th Congress (1983-1984) - Treaty approved by Senate 100-0 vote (#226 Ex.). (All Actions) </t>
    </r>
  </si>
  <si>
    <r>
      <t xml:space="preserve">496. REVISED NICE AGREEMENT CONCERNING THE INTERNATIONAL CLASSIFICATION OF GOODS AND SERVICES FOR THE PURPOSE OF THE REGISTRATION OF MARKS Senate Consideration of Treaty Document 96-5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07/27/1983 - 98th Congress (1983-1984) - Approved by 100-0 vote. Record Vote Number 223. (All Actions) </t>
    </r>
  </si>
  <si>
    <r>
      <t xml:space="preserve">497. CONVENTION ON FUTURE MULTILATERAL COOPERATION ON THE NORTHWEST ATLANTIC FISHERIES Senate Consideration of Treaty Document 96-20 </t>
    </r>
    <r>
      <rPr>
        <b/>
        <sz val="12"/>
        <color theme="1"/>
        <rFont val="Calibri"/>
        <family val="2"/>
        <scheme val="minor"/>
      </rPr>
      <t>Date Received from President:</t>
    </r>
    <r>
      <rPr>
        <sz val="12"/>
        <color theme="1"/>
        <rFont val="Calibri"/>
        <family val="2"/>
        <scheme val="minor"/>
      </rPr>
      <t xml:space="preserve"> 05/03/1979 - 96th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07/27/1983 - 98th Congress (1983-1984) - Approved by 100-0 vote. Record Vote Number 225. (All Actions) </t>
    </r>
  </si>
  <si>
    <r>
      <t xml:space="preserve">498. AGREEMENT WITH THE PEOPLE'S REPUBLIC OF CHINA WITH RESPECT TO MUTUAL EXEMPTION FROM TAXATION OF TRANSPORTATION INCOME OF SHIPPING AND AIR TRANSPORT ENTERPRISES Senate Consideration of Treaty Document 97-24 </t>
    </r>
    <r>
      <rPr>
        <b/>
        <sz val="12"/>
        <color theme="1"/>
        <rFont val="Calibri"/>
        <family val="2"/>
        <scheme val="minor"/>
      </rPr>
      <t>Date Received from President:</t>
    </r>
    <r>
      <rPr>
        <sz val="12"/>
        <color theme="1"/>
        <rFont val="Calibri"/>
        <family val="2"/>
        <scheme val="minor"/>
      </rPr>
      <t xml:space="preserve"> 06/16/1982 - 97th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07/27/1983 - 98th Congress (1983-1984) - Treaty approved by Senate 100-0 vote (#227 Ex.). (All Actions) </t>
    </r>
  </si>
  <si>
    <r>
      <t xml:space="preserve">499. TAX CONVENTION WITH NEW ZEALAND Senate Consideration of Treaty Document 97-27 </t>
    </r>
    <r>
      <rPr>
        <b/>
        <sz val="12"/>
        <color theme="1"/>
        <rFont val="Calibri"/>
        <family val="2"/>
        <scheme val="minor"/>
      </rPr>
      <t>Date Received from President:</t>
    </r>
    <r>
      <rPr>
        <sz val="12"/>
        <color theme="1"/>
        <rFont val="Calibri"/>
        <family val="2"/>
        <scheme val="minor"/>
      </rPr>
      <t xml:space="preserve"> 08/13/1982 - 97th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07/27/1983 - 98th Congress (1983-1984) - Treaty approved by Senate 100-0 vote (#228 Ex.). (All Actions) </t>
    </r>
  </si>
  <si>
    <r>
      <t xml:space="preserve">500. TAX CONVENTIION WITH AUSTRALIA Senate Consideration of Treaty Document 97-28 </t>
    </r>
    <r>
      <rPr>
        <b/>
        <sz val="12"/>
        <color theme="1"/>
        <rFont val="Calibri"/>
        <family val="2"/>
        <scheme val="minor"/>
      </rPr>
      <t>Date Received from President:</t>
    </r>
    <r>
      <rPr>
        <sz val="12"/>
        <color theme="1"/>
        <rFont val="Calibri"/>
        <family val="2"/>
        <scheme val="minor"/>
      </rPr>
      <t xml:space="preserve"> 09/14/1982 - 97th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07/27/1983 - 98th Congress (1983-1984) - Treaty approved by Senate 100-0 vote (#229 Ex.). (All Actions) </t>
    </r>
  </si>
  <si>
    <r>
      <t xml:space="preserve">501. TREATY WITH NEW ZEALAND ON DELIMITATION OF U.S.-TOKELAU MARITIME BOUNDARY Senate Consideration of Treaty Document 97-5 </t>
    </r>
    <r>
      <rPr>
        <b/>
        <sz val="12"/>
        <color theme="1"/>
        <rFont val="Calibri"/>
        <family val="2"/>
        <scheme val="minor"/>
      </rPr>
      <t>Date Received from President:</t>
    </r>
    <r>
      <rPr>
        <sz val="12"/>
        <color theme="1"/>
        <rFont val="Calibri"/>
        <family val="2"/>
        <scheme val="minor"/>
      </rPr>
      <t xml:space="preserve"> 03/25/1981 - 97th Congress (1981-1982)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06/21/1983 - 98th Congress (1983-1984) - Treaty moved through its parliamentary stages; treaty approved by the Senate 94-4 vote (#162 Ex.). (All Actions) </t>
    </r>
  </si>
  <si>
    <r>
      <t xml:space="preserve">502. CONSTITUTION OF THE UNITED NATIONS INDUSTRIAL DEVELOPMENT ORGANIZATION Senate Consideration of Treaty Document 97-19 </t>
    </r>
    <r>
      <rPr>
        <b/>
        <sz val="12"/>
        <color theme="1"/>
        <rFont val="Calibri"/>
        <family val="2"/>
        <scheme val="minor"/>
      </rPr>
      <t>Date Received from President:</t>
    </r>
    <r>
      <rPr>
        <sz val="12"/>
        <color theme="1"/>
        <rFont val="Calibri"/>
        <family val="2"/>
        <scheme val="minor"/>
      </rPr>
      <t xml:space="preserve"> 10/05/1981 - 97th Congress (1981-1982)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06/21/1983 - 98th Congress (1983-1984) - Treaty moved through its parliamentary stages; treaty approved by the Senate, with understandings, 94-4 vote (#163 Ex.). (All Actions) </t>
    </r>
  </si>
  <si>
    <r>
      <t xml:space="preserve">503. TREATY OF FRIENDSHIP WITH TUVALU Senate Consideration of Treaty Document 96-23 </t>
    </r>
    <r>
      <rPr>
        <b/>
        <sz val="12"/>
        <color theme="1"/>
        <rFont val="Calibri"/>
        <family val="2"/>
        <scheme val="minor"/>
      </rPr>
      <t>Date Received from President:</t>
    </r>
    <r>
      <rPr>
        <sz val="12"/>
        <color theme="1"/>
        <rFont val="Calibri"/>
        <family val="2"/>
        <scheme val="minor"/>
      </rPr>
      <t xml:space="preserve"> 05/09/1979 - 96th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06/21/1983 - 98th Congress (1983-1984) - General debate; approved by 94-4 vote. Record Vote Number: 159. (All Actions) </t>
    </r>
  </si>
  <si>
    <r>
      <t xml:space="preserve">504. INTERNATIONAL CONVENTION ON THE SIMPLIFICATION AND HARMONIZATION OF CUSTOMS PROCEDURES Senate Consideration of Treaty Document 97-23 </t>
    </r>
    <r>
      <rPr>
        <b/>
        <sz val="12"/>
        <color theme="1"/>
        <rFont val="Calibri"/>
        <family val="2"/>
        <scheme val="minor"/>
      </rPr>
      <t>Date Received from President:</t>
    </r>
    <r>
      <rPr>
        <sz val="12"/>
        <color theme="1"/>
        <rFont val="Calibri"/>
        <family val="2"/>
        <scheme val="minor"/>
      </rPr>
      <t xml:space="preserve"> 02/22/1982 - 97th Congress (1981-1982)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06/21/1983 - 98th Congress (1983-1984) - Treaty moved through its parliamentary stages; debate; treaty approved by Senate 94-4 vote (#164 Ex.). (All Actions) </t>
    </r>
  </si>
  <si>
    <r>
      <t xml:space="preserve">505. TREATY OF FRIENDSHIP WITH KIRIBATI Senate Consideration of Treaty Document 96-36 </t>
    </r>
    <r>
      <rPr>
        <b/>
        <sz val="12"/>
        <color theme="1"/>
        <rFont val="Calibri"/>
        <family val="2"/>
        <scheme val="minor"/>
      </rPr>
      <t>Date Received from President:</t>
    </r>
    <r>
      <rPr>
        <sz val="12"/>
        <color theme="1"/>
        <rFont val="Calibri"/>
        <family val="2"/>
        <scheme val="minor"/>
      </rPr>
      <t xml:space="preserve"> 01/24/1980 - 96th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06/21/1983 - 98th Congress (1983-1984) - General debate; approved by 94-4 vote. Record Vote Number: 160. (All Actions) </t>
    </r>
  </si>
  <si>
    <r>
      <t xml:space="preserve">506. FRIENDSHIP AND MARITIME BOUNDARY DELIMITATION TREATY WITH THE COOK ISLANDS Senate Consideration of Treaty Document 96-51 </t>
    </r>
    <r>
      <rPr>
        <b/>
        <sz val="12"/>
        <color theme="1"/>
        <rFont val="Calibri"/>
        <family val="2"/>
        <scheme val="minor"/>
      </rPr>
      <t>Date Received from President:</t>
    </r>
    <r>
      <rPr>
        <sz val="12"/>
        <color theme="1"/>
        <rFont val="Calibri"/>
        <family val="2"/>
        <scheme val="minor"/>
      </rPr>
      <t xml:space="preserve"> 09/03/1980 - 96th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06/21/1983 - 98th Congress (1983-1984) - General debate; approved by 94-4 vote. Record Vote Number: 161. (All Actions) </t>
    </r>
  </si>
  <si>
    <r>
      <t xml:space="preserve">507. AMENDMENT TO THE 1972 PROTOCOL TO THE 1928 CONVENTION CONCERNING INTERNATIONAL EXPOSITIONS Senate Consideration of Treaty Document 98-1 </t>
    </r>
    <r>
      <rPr>
        <b/>
        <sz val="12"/>
        <color theme="1"/>
        <rFont val="Calibri"/>
        <family val="2"/>
        <scheme val="minor"/>
      </rPr>
      <t>Date Received from President:</t>
    </r>
    <r>
      <rPr>
        <sz val="12"/>
        <color theme="1"/>
        <rFont val="Calibri"/>
        <family val="2"/>
        <scheme val="minor"/>
      </rPr>
      <t xml:space="preserve"> 01/27/1983 - 98th Congress (1983-1984)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03/03/1983 - 98th Congress (1983-1984) - Treaty approved by Senate 84-0 vote (#7 Ex.). (All Actions) </t>
    </r>
  </si>
  <si>
    <r>
      <t xml:space="preserve">508. RADIO REGULATIONS (GENEVA, 1979) Senate Consideration of Treaty Document 97-21 </t>
    </r>
    <r>
      <rPr>
        <b/>
        <sz val="12"/>
        <color theme="1"/>
        <rFont val="Calibri"/>
        <family val="2"/>
        <scheme val="minor"/>
      </rPr>
      <t>Date Received from President:</t>
    </r>
    <r>
      <rPr>
        <sz val="12"/>
        <color theme="1"/>
        <rFont val="Calibri"/>
        <family val="2"/>
        <scheme val="minor"/>
      </rPr>
      <t xml:space="preserve"> 11/24/1981 - 97th Congress (1981-1982)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12/21/1982 - 97th Congress (1981-1982) - Treaty moved through its parliamentary stages; reported condition to resolution agreed to; Schmitt proviso agreed to; resolution of advice and consent to ratification, as amended, approved by division vote. (All Actions) </t>
    </r>
  </si>
  <si>
    <r>
      <t xml:space="preserve">509. PROTOCOL TO THE AGREEMENT ON THE IMPORTATION OF EDUCATIONAL, SCIENTIFIC, AND CULTURAL MATERIALS Senate Consideration of Treaty Document 97-2 </t>
    </r>
    <r>
      <rPr>
        <b/>
        <sz val="12"/>
        <color theme="1"/>
        <rFont val="Calibri"/>
        <family val="2"/>
        <scheme val="minor"/>
      </rPr>
      <t>Date Received from President:</t>
    </r>
    <r>
      <rPr>
        <sz val="12"/>
        <color theme="1"/>
        <rFont val="Calibri"/>
        <family val="2"/>
        <scheme val="minor"/>
      </rPr>
      <t xml:space="preserve"> 01/19/1981 - 97th Congress (1981-1982)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10/25/1982 - 97th Congress (1981-1982) - Entered into force. (All Actions) </t>
    </r>
  </si>
  <si>
    <r>
      <t xml:space="preserve">510. CONVENTION WITH MEXICO FOR THE RECOVERY AND RETURN OF STOLEN OR EMBEZZLED VEHICLES AND AIRCRAFT Senate Consideration of Treaty Document 97-18 </t>
    </r>
    <r>
      <rPr>
        <b/>
        <sz val="12"/>
        <color theme="1"/>
        <rFont val="Calibri"/>
        <family val="2"/>
        <scheme val="minor"/>
      </rPr>
      <t>Date Received from President:</t>
    </r>
    <r>
      <rPr>
        <sz val="12"/>
        <color theme="1"/>
        <rFont val="Calibri"/>
        <family val="2"/>
        <scheme val="minor"/>
      </rPr>
      <t xml:space="preserve"> 09/29/1981 - 97th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09/30/1982 - 97th Congress (1981-1982) - Treaty approved by Senate 97-0 vote (#375 Ex.). (All Actions) </t>
    </r>
  </si>
  <si>
    <r>
      <t xml:space="preserve">511. CONVENTION FOR THE CONSERVATION OF SALMON IN THE NORTH ATLANTIC OCEAN Senate Consideration of Treaty Document 97-25 </t>
    </r>
    <r>
      <rPr>
        <b/>
        <sz val="12"/>
        <color theme="1"/>
        <rFont val="Calibri"/>
        <family val="2"/>
        <scheme val="minor"/>
      </rPr>
      <t>Date Received from President:</t>
    </r>
    <r>
      <rPr>
        <sz val="12"/>
        <color theme="1"/>
        <rFont val="Calibri"/>
        <family val="2"/>
        <scheme val="minor"/>
      </rPr>
      <t xml:space="preserve"> 06/22/1982 - 97th Congress (1981-1982)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09/30/1982 - 97th Congress (1981-1982) - Treaty approved by Senate 97-0 vote (#377 Ex.). (All Actions) </t>
    </r>
  </si>
  <si>
    <r>
      <t xml:space="preserve">512. CONVENTION ON TONNAGE MEASUREMENTS OF SHIPS, 1969 Senate Consideration of Treaty Document 92-26 </t>
    </r>
    <r>
      <rPr>
        <b/>
        <sz val="12"/>
        <color theme="1"/>
        <rFont val="Calibri"/>
        <family val="2"/>
        <scheme val="minor"/>
      </rPr>
      <t>Date Received from President:</t>
    </r>
    <r>
      <rPr>
        <sz val="12"/>
        <color theme="1"/>
        <rFont val="Calibri"/>
        <family val="2"/>
        <scheme val="minor"/>
      </rPr>
      <t xml:space="preserve"> 06/15/1972 - 92nd Congress (1971-1972)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09/30/1982 - 97th Congress (1981-1982) - Resolution of advice and consent to ratification agreed to in Senate by Yea-Nay vote. 97-0. Record Vote No: 376 EX. (All Actions) </t>
    </r>
  </si>
  <si>
    <r>
      <t xml:space="preserve">513. TAX CONVENTION WITH AUSTRIA Senate Consideration of Treaty Document 97-26 </t>
    </r>
    <r>
      <rPr>
        <b/>
        <sz val="12"/>
        <color theme="1"/>
        <rFont val="Calibri"/>
        <family val="2"/>
        <scheme val="minor"/>
      </rPr>
      <t>Date Received from President:</t>
    </r>
    <r>
      <rPr>
        <sz val="12"/>
        <color theme="1"/>
        <rFont val="Calibri"/>
        <family val="2"/>
        <scheme val="minor"/>
      </rPr>
      <t xml:space="preserve"> 08/10/1982 - 97th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09/30/1982 - 97th Congress (1981-1982) - Treaty approved by Senate 97-0 vote (#378 Ex.). (All Actions) </t>
    </r>
  </si>
  <si>
    <r>
      <t xml:space="preserve">514. PROTOCOL TO THE NORTH ATLANTIC TREATY ON THE ACCESSION OF SPAIN Senate Consideration of Treaty Document 97-22 </t>
    </r>
    <r>
      <rPr>
        <b/>
        <sz val="12"/>
        <color theme="1"/>
        <rFont val="Calibri"/>
        <family val="2"/>
        <scheme val="minor"/>
      </rPr>
      <t>Date Received from President:</t>
    </r>
    <r>
      <rPr>
        <sz val="12"/>
        <color theme="1"/>
        <rFont val="Calibri"/>
        <family val="2"/>
        <scheme val="minor"/>
      </rPr>
      <t xml:space="preserve"> 01/26/1982 - 97th Congress (1981-1982)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05/29/1982 - 97th Congress (1981-1982) - Entered into force. (All Actions) </t>
    </r>
  </si>
  <si>
    <r>
      <t xml:space="preserve">515. INCOME TAX TREATY WITH MALTA Senate Consideration of Treaty Document 96-40 </t>
    </r>
    <r>
      <rPr>
        <b/>
        <sz val="12"/>
        <color theme="1"/>
        <rFont val="Calibri"/>
        <family val="2"/>
        <scheme val="minor"/>
      </rPr>
      <t>Date Received from President:</t>
    </r>
    <r>
      <rPr>
        <sz val="12"/>
        <color theme="1"/>
        <rFont val="Calibri"/>
        <family val="2"/>
        <scheme val="minor"/>
      </rPr>
      <t xml:space="preserve"> 04/21/1980 - 96th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05/18/1982 - 97th Congress (1981-1982) - Entered into force. (All Actions) </t>
    </r>
  </si>
  <si>
    <r>
      <t xml:space="preserve">516. CONVENTION ON THE CONSERVATION OF ANTARCTIC MARINE LIVING RESOURCES Senate Consideration of Treaty Document 96-59 </t>
    </r>
    <r>
      <rPr>
        <b/>
        <sz val="12"/>
        <color theme="1"/>
        <rFont val="Calibri"/>
        <family val="2"/>
        <scheme val="minor"/>
      </rPr>
      <t>Date Received from President:</t>
    </r>
    <r>
      <rPr>
        <sz val="12"/>
        <color theme="1"/>
        <rFont val="Calibri"/>
        <family val="2"/>
        <scheme val="minor"/>
      </rPr>
      <t xml:space="preserve"> 12/02/1980 - 96th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04/07/1982 - 97th Congress (1981-1982) - Entered into force. (All Actions) </t>
    </r>
  </si>
  <si>
    <r>
      <t xml:space="preserve">517. EXTRADITION TREATY WITH COLOMBIA Senate Consideration of Treaty Document 97-8 </t>
    </r>
    <r>
      <rPr>
        <b/>
        <sz val="12"/>
        <color theme="1"/>
        <rFont val="Calibri"/>
        <family val="2"/>
        <scheme val="minor"/>
      </rPr>
      <t>Date Received from President:</t>
    </r>
    <r>
      <rPr>
        <sz val="12"/>
        <color theme="1"/>
        <rFont val="Calibri"/>
        <family val="2"/>
        <scheme val="minor"/>
      </rPr>
      <t xml:space="preserve"> 06/01/1981 - 97th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03/02/1982 - 97th Congress (1981-1982) - Entered into force. (All Actions) </t>
    </r>
  </si>
  <si>
    <r>
      <t xml:space="preserve">518. CONSULAR CONVENTION WITH THE PEOPLE'S REPUBLIC OF CHINA Senate Consideration of Treaty Document 97-3 </t>
    </r>
    <r>
      <rPr>
        <b/>
        <sz val="12"/>
        <color theme="1"/>
        <rFont val="Calibri"/>
        <family val="2"/>
        <scheme val="minor"/>
      </rPr>
      <t>Date Received from President:</t>
    </r>
    <r>
      <rPr>
        <sz val="12"/>
        <color theme="1"/>
        <rFont val="Calibri"/>
        <family val="2"/>
        <scheme val="minor"/>
      </rPr>
      <t xml:space="preserve"> 01/19/1981 - 97th Congress (1981-1982)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02/19/1982 - 97th Congress (1981-1982) - Entered into force. (All Actions) </t>
    </r>
  </si>
  <si>
    <r>
      <t xml:space="preserve">519. 1981 PROTOCOLS FOR THE EXTENSION OF THE INTERNATIONAL WHEAT AGREEMENT, 1971 Senate Consideration of Treaty Document 97-9 </t>
    </r>
    <r>
      <rPr>
        <b/>
        <sz val="12"/>
        <color theme="1"/>
        <rFont val="Calibri"/>
        <family val="2"/>
        <scheme val="minor"/>
      </rPr>
      <t>Date Received from President:</t>
    </r>
    <r>
      <rPr>
        <sz val="12"/>
        <color theme="1"/>
        <rFont val="Calibri"/>
        <family val="2"/>
        <scheme val="minor"/>
      </rPr>
      <t xml:space="preserve"> 06/11/1981 - 97th Congress (1981-1982)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01/12/1982 - 97th Congress (1981-1982) - Entered into force. (All Actions) </t>
    </r>
  </si>
  <si>
    <r>
      <t xml:space="preserve">520. TAX CONVENTION WITH EGYPT Senate Consideration of Treaty Document 96-56 </t>
    </r>
    <r>
      <rPr>
        <b/>
        <sz val="12"/>
        <color theme="1"/>
        <rFont val="Calibri"/>
        <family val="2"/>
        <scheme val="minor"/>
      </rPr>
      <t>Date Received from President:</t>
    </r>
    <r>
      <rPr>
        <sz val="12"/>
        <color theme="1"/>
        <rFont val="Calibri"/>
        <family val="2"/>
        <scheme val="minor"/>
      </rPr>
      <t xml:space="preserve"> 11/12/1980 - 96th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12/31/1981 - 97th Congress (1981-1982) - Entered into force. (All Actions) </t>
    </r>
  </si>
  <si>
    <r>
      <t xml:space="preserve">521. TAX CONVENTION WITH JAMAICA Senate Consideration of Treaty Document 96-50 </t>
    </r>
    <r>
      <rPr>
        <b/>
        <sz val="12"/>
        <color theme="1"/>
        <rFont val="Calibri"/>
        <family val="2"/>
        <scheme val="minor"/>
      </rPr>
      <t>Date Received from President:</t>
    </r>
    <r>
      <rPr>
        <sz val="12"/>
        <color theme="1"/>
        <rFont val="Calibri"/>
        <family val="2"/>
        <scheme val="minor"/>
      </rPr>
      <t xml:space="preserve"> 08/04/1980 - 96th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12/29/1981 - 97th Congress (1981-1982) - Entered into force. (All Actions) </t>
    </r>
  </si>
  <si>
    <r>
      <t xml:space="preserve">522. INCOME TAX CONVENTION WITH THE REPUBLIC OF THE PHILIPPINES Senate Consideration of Treaty Document 95-3 </t>
    </r>
    <r>
      <rPr>
        <b/>
        <sz val="12"/>
        <color theme="1"/>
        <rFont val="Calibri"/>
        <family val="2"/>
        <scheme val="minor"/>
      </rPr>
      <t>Date Received from President:</t>
    </r>
    <r>
      <rPr>
        <sz val="12"/>
        <color theme="1"/>
        <rFont val="Calibri"/>
        <family val="2"/>
        <scheme val="minor"/>
      </rPr>
      <t xml:space="preserve"> 01/19/1977 - 95th Congress (1977-1978)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12/16/1981 - 97th Congress (1981-1982) - General debate; reservations and understandings agreed to; approved by division vote. (All Actions) </t>
    </r>
  </si>
  <si>
    <r>
      <t xml:space="preserve">523. PROTOCOL RELATING TO AN AMENDMENT TO THE INTERNATIONAL CIVIL AVIATION CONVENTION Senate Consideration of Treaty Document 97-4 </t>
    </r>
    <r>
      <rPr>
        <b/>
        <sz val="12"/>
        <color theme="1"/>
        <rFont val="Calibri"/>
        <family val="2"/>
        <scheme val="minor"/>
      </rPr>
      <t>Date Received from President:</t>
    </r>
    <r>
      <rPr>
        <sz val="12"/>
        <color theme="1"/>
        <rFont val="Calibri"/>
        <family val="2"/>
        <scheme val="minor"/>
      </rPr>
      <t xml:space="preserve"> 01/19/1981 - 97th Congress (1981-1982)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12/16/1981 - 97th Congress (1981-1982) - Treaty moved through its parliamentary stages; approved by the Senate by division vote. (All Actions) </t>
    </r>
  </si>
  <si>
    <r>
      <t xml:space="preserve">524. TAX CONVENTION WITH THE BRITISH VIRGIN ISLANDS Senate Consideration of Treaty Document 97-6 </t>
    </r>
    <r>
      <rPr>
        <b/>
        <sz val="12"/>
        <color theme="1"/>
        <rFont val="Calibri"/>
        <family val="2"/>
        <scheme val="minor"/>
      </rPr>
      <t>Date Received from President:</t>
    </r>
    <r>
      <rPr>
        <sz val="12"/>
        <color theme="1"/>
        <rFont val="Calibri"/>
        <family val="2"/>
        <scheme val="minor"/>
      </rPr>
      <t xml:space="preserve"> 04/29/1982 - 97th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12/16/1981 - 97th Congress (1981-1982) - S. Ex. Res. 4 agreed to; treaty returned to President. (All Actions) </t>
    </r>
  </si>
  <si>
    <r>
      <t xml:space="preserve">525. TAX CONVENTION WITH ARGENTINA Senate Consideration of Treaty Document 97-10 </t>
    </r>
    <r>
      <rPr>
        <b/>
        <sz val="12"/>
        <color theme="1"/>
        <rFont val="Calibri"/>
        <family val="2"/>
        <scheme val="minor"/>
      </rPr>
      <t>Date Received from President:</t>
    </r>
    <r>
      <rPr>
        <sz val="12"/>
        <color theme="1"/>
        <rFont val="Calibri"/>
        <family val="2"/>
        <scheme val="minor"/>
      </rPr>
      <t xml:space="preserve"> 06/11/1981 - 97th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12/16/1981 - 97th Congress (1981-1982) - Treaty moved through its parliamentary stages; treaty approved, with two reservations and an understanding, by division vote. (All Actions) </t>
    </r>
  </si>
  <si>
    <r>
      <t xml:space="preserve">526. PROTOCOL RELATING TO AN AMENDMENT TO THE INTERNATIONAL CIVIL AVIATION CONVENTION OF 1944 Senate Consideration of Treaty Document 96-14 </t>
    </r>
    <r>
      <rPr>
        <b/>
        <sz val="12"/>
        <color theme="1"/>
        <rFont val="Calibri"/>
        <family val="2"/>
        <scheme val="minor"/>
      </rPr>
      <t>Date Received from President:</t>
    </r>
    <r>
      <rPr>
        <sz val="12"/>
        <color theme="1"/>
        <rFont val="Calibri"/>
        <family val="2"/>
        <scheme val="minor"/>
      </rPr>
      <t xml:space="preserve"> 03/22/1979 - 96th Congress (1979-1980)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12/16/1981 - 97th Congress (1981-1982) - Approved by division vote. (All Actions) </t>
    </r>
  </si>
  <si>
    <r>
      <t xml:space="preserve">527. PROTOCOL ON THE TEXT OF THE INTERNATIONAL CIVIL AVIATION CONVENYTION OF 1944 Senate Consideration of Treaty Document 96-15 </t>
    </r>
    <r>
      <rPr>
        <b/>
        <sz val="12"/>
        <color theme="1"/>
        <rFont val="Calibri"/>
        <family val="2"/>
        <scheme val="minor"/>
      </rPr>
      <t>Date Received from President:</t>
    </r>
    <r>
      <rPr>
        <sz val="12"/>
        <color theme="1"/>
        <rFont val="Calibri"/>
        <family val="2"/>
        <scheme val="minor"/>
      </rPr>
      <t xml:space="preserve"> 03/22/1979 - 96th Congress (1979-1980)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12/16/1981 - 97th Congress (1981-1982) - Approved by division vote. (All Actions) </t>
    </r>
  </si>
  <si>
    <r>
      <t xml:space="preserve">528. PROTOCOL AMENDING THE 1980 TAX CONVENTION WITH JAMAICA Senate Consideration of Treaty Document 97-17 </t>
    </r>
    <r>
      <rPr>
        <b/>
        <sz val="12"/>
        <color theme="1"/>
        <rFont val="Calibri"/>
        <family val="2"/>
        <scheme val="minor"/>
      </rPr>
      <t>Date Received from President:</t>
    </r>
    <r>
      <rPr>
        <sz val="12"/>
        <color theme="1"/>
        <rFont val="Calibri"/>
        <family val="2"/>
        <scheme val="minor"/>
      </rPr>
      <t xml:space="preserve"> 09/09/1981 - 97th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12/16/1981 - 97th Congress (1981-1982) - Treaty moved through its parliamentary stages; approved by the Senate, with reservation and understanding to the treaty, by division vote. (All Actions) </t>
    </r>
  </si>
  <si>
    <r>
      <t xml:space="preserve">529. TAX CONVENTION WITH CYPRUS Senate Consideration of Treaty Document 96-44 </t>
    </r>
    <r>
      <rPr>
        <b/>
        <sz val="12"/>
        <color theme="1"/>
        <rFont val="Calibri"/>
        <family val="2"/>
        <scheme val="minor"/>
      </rPr>
      <t>Date Received from President:</t>
    </r>
    <r>
      <rPr>
        <sz val="12"/>
        <color theme="1"/>
        <rFont val="Calibri"/>
        <family val="2"/>
        <scheme val="minor"/>
      </rPr>
      <t xml:space="preserve"> 05/16/1980 - 96th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12/16/1981 - 97th Congress (1981-1982) - Returned to the President under agreement of S. Ex. Res. 4. (All Actions) </t>
    </r>
  </si>
  <si>
    <r>
      <t xml:space="preserve">530. RECIPROCAL FISHERIES AGREEMENT OF 1979 WITH THE UNITED KINGDOM Senate Consideration of Treaty Document 96-47 </t>
    </r>
    <r>
      <rPr>
        <b/>
        <sz val="12"/>
        <color theme="1"/>
        <rFont val="Calibri"/>
        <family val="2"/>
        <scheme val="minor"/>
      </rPr>
      <t>Date Received from President:</t>
    </r>
    <r>
      <rPr>
        <sz val="12"/>
        <color theme="1"/>
        <rFont val="Calibri"/>
        <family val="2"/>
        <scheme val="minor"/>
      </rPr>
      <t xml:space="preserve"> 06/02/1980 - 96th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12/16/1981 - 97th Congress (1981-1982) - Approved by division vote. (All Actions) </t>
    </r>
  </si>
  <si>
    <r>
      <t xml:space="preserve">531. PROTOCOL AMENDING 1971 TAX CONVENTION WITH NORWAY Senate Consideration of Treaty Document 96-61 </t>
    </r>
    <r>
      <rPr>
        <b/>
        <sz val="12"/>
        <color theme="1"/>
        <rFont val="Calibri"/>
        <family val="2"/>
        <scheme val="minor"/>
      </rPr>
      <t>Date Received from President:</t>
    </r>
    <r>
      <rPr>
        <sz val="12"/>
        <color theme="1"/>
        <rFont val="Calibri"/>
        <family val="2"/>
        <scheme val="minor"/>
      </rPr>
      <t xml:space="preserve"> 12/02/1980 - 96th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12/15/1981 - 97th Congress (1981-1982) - Entered into force. (All Actions) </t>
    </r>
  </si>
  <si>
    <r>
      <t xml:space="preserve">532. EXTRADITION TREATY WITH THE NETHERLANDS Senate Consideration of Treaty Document 97-7 </t>
    </r>
    <r>
      <rPr>
        <b/>
        <sz val="12"/>
        <color theme="1"/>
        <rFont val="Calibri"/>
        <family val="2"/>
        <scheme val="minor"/>
      </rPr>
      <t>Date Received from President:</t>
    </r>
    <r>
      <rPr>
        <sz val="12"/>
        <color theme="1"/>
        <rFont val="Calibri"/>
        <family val="2"/>
        <scheme val="minor"/>
      </rPr>
      <t xml:space="preserve"> 06/01/1981 - 97th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12/02/1981 - 97th Congress (1981-1982) - Treaty approved by the Senate 96-0 vote (#438 Ex.). (All Actions) </t>
    </r>
  </si>
  <si>
    <r>
      <t xml:space="preserve">533. MUTUAL LEGAL ASSISTANCE TREATY WITH COLOMBIA Senate Consideration of Treaty Document 97-11 </t>
    </r>
    <r>
      <rPr>
        <b/>
        <sz val="12"/>
        <color theme="1"/>
        <rFont val="Calibri"/>
        <family val="2"/>
        <scheme val="minor"/>
      </rPr>
      <t>Date Received from President:</t>
    </r>
    <r>
      <rPr>
        <sz val="12"/>
        <color theme="1"/>
        <rFont val="Calibri"/>
        <family val="2"/>
        <scheme val="minor"/>
      </rPr>
      <t xml:space="preserve"> 06/11/1981 - 97th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12/02/1981 - 97th Congress (1981-1982) - Treaty approved by Senate 96-0 vote (#440 Ex.). (All Actions) </t>
    </r>
  </si>
  <si>
    <r>
      <t xml:space="preserve">534. TREATY OF MUTUAL LEGAL ASSISTANCE WITH THE NETHERLANDS Senate Consideration of Treaty Document 97-16 </t>
    </r>
    <r>
      <rPr>
        <b/>
        <sz val="12"/>
        <color theme="1"/>
        <rFont val="Calibri"/>
        <family val="2"/>
        <scheme val="minor"/>
      </rPr>
      <t>Date Received from President:</t>
    </r>
    <r>
      <rPr>
        <sz val="12"/>
        <color theme="1"/>
        <rFont val="Calibri"/>
        <family val="2"/>
        <scheme val="minor"/>
      </rPr>
      <t xml:space="preserve"> 08/06/1981 - 97th Congress (1981-1982)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12/02/1981 - 97th Congress (1981-1982) - Treaty approved by Senate 96-0 (#441 Ex.). (All Actions) </t>
    </r>
  </si>
  <si>
    <r>
      <t xml:space="preserve">535. INCOME TAX CONVENTION WITH THAILAND Senate Consideration of Treaty Document 89-5 </t>
    </r>
    <r>
      <rPr>
        <b/>
        <sz val="12"/>
        <color theme="1"/>
        <rFont val="Calibri"/>
        <family val="2"/>
        <scheme val="minor"/>
      </rPr>
      <t>Date Received from President:</t>
    </r>
    <r>
      <rPr>
        <sz val="12"/>
        <color theme="1"/>
        <rFont val="Calibri"/>
        <family val="2"/>
        <scheme val="minor"/>
      </rPr>
      <t xml:space="preserve"> 07/29/1965 - 89th Congress (1965-1966)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12/01/1981 - 97th Congress (1981-1982) - Returned to the President pursuant to S. Exec. Res. 2 agreed to on December 1, 1981. (All Actions) </t>
    </r>
  </si>
  <si>
    <r>
      <t xml:space="preserve">536. TAX CONVENTION WITH ISRAEL Senate Consideration of Treaty Document 89-6 </t>
    </r>
    <r>
      <rPr>
        <b/>
        <sz val="12"/>
        <color theme="1"/>
        <rFont val="Calibri"/>
        <family val="2"/>
        <scheme val="minor"/>
      </rPr>
      <t>Date Received from President:</t>
    </r>
    <r>
      <rPr>
        <sz val="12"/>
        <color theme="1"/>
        <rFont val="Calibri"/>
        <family val="2"/>
        <scheme val="minor"/>
      </rPr>
      <t xml:space="preserve"> 07/29/1965 - 89th Congress (1965-1966)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12/01/1981 - 97th Congress (1981-1982) - Returned to the President pursuant to S. Exec. Res. 97-2 agreed to on December 1, 1981. (All Actions) </t>
    </r>
  </si>
  <si>
    <r>
      <t xml:space="preserve">537. TAX CONVENTION WITH EGYPT Senate Consideration of Treaty Document 94-15 </t>
    </r>
    <r>
      <rPr>
        <b/>
        <sz val="12"/>
        <color theme="1"/>
        <rFont val="Calibri"/>
        <family val="2"/>
        <scheme val="minor"/>
      </rPr>
      <t>Date Received from President:</t>
    </r>
    <r>
      <rPr>
        <sz val="12"/>
        <color theme="1"/>
        <rFont val="Calibri"/>
        <family val="2"/>
        <scheme val="minor"/>
      </rPr>
      <t xml:space="preserve"> 02/11/1976 - 94th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12/01/1981 - 97th Congress (1981-1982) - Ex. Res. No. 97 -2 agreed to; treaty returned to President. (All Actions) </t>
    </r>
  </si>
  <si>
    <r>
      <t xml:space="preserve">538. TAX CONVENTION WITH THE FEDERAL REPUBLIC OF GERMANY Senate Consideration of Treaty Document 97-1 </t>
    </r>
    <r>
      <rPr>
        <b/>
        <sz val="12"/>
        <color theme="1"/>
        <rFont val="Calibri"/>
        <family val="2"/>
        <scheme val="minor"/>
      </rPr>
      <t>Date Received from President:</t>
    </r>
    <r>
      <rPr>
        <sz val="12"/>
        <color theme="1"/>
        <rFont val="Calibri"/>
        <family val="2"/>
        <scheme val="minor"/>
      </rPr>
      <t xml:space="preserve"> 01/15/1981 - 97th Congress (1981-1982)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11/18/1981 - 97th Congress (1981-1982) - Treaty approved, with understanding, by the Senate 97-0 vote (#387 Ex.). (All Actions) </t>
    </r>
  </si>
  <si>
    <r>
      <t xml:space="preserve">539. TAX CONVENTION WITH ISRAEL Senate Consideration of Treaty Document 94-14 </t>
    </r>
    <r>
      <rPr>
        <b/>
        <sz val="12"/>
        <color theme="1"/>
        <rFont val="Calibri"/>
        <family val="2"/>
        <scheme val="minor"/>
      </rPr>
      <t>Date Received from President:</t>
    </r>
    <r>
      <rPr>
        <sz val="12"/>
        <color theme="1"/>
        <rFont val="Calibri"/>
        <family val="2"/>
        <scheme val="minor"/>
      </rPr>
      <t xml:space="preserve"> 02/11/1976 - 94th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11/18/1981 - 97th Congress (1981-1982) - General debate; approved by 97-0 vote. Record Vote Number 388. (All Actions) </t>
    </r>
  </si>
  <si>
    <r>
      <t xml:space="preserve">540. AGREEMENT EXTENDING FOR EIGHT MONTHS PROVISIONS OF THE TREATY OF FRIENDSHIP AND COOPERATION WITH SPAIN Senate Consideration of Treaty Document 97-20 </t>
    </r>
    <r>
      <rPr>
        <b/>
        <sz val="12"/>
        <color theme="1"/>
        <rFont val="Calibri"/>
        <family val="2"/>
        <scheme val="minor"/>
      </rPr>
      <t>Date Received from President:</t>
    </r>
    <r>
      <rPr>
        <sz val="12"/>
        <color theme="1"/>
        <rFont val="Calibri"/>
        <family val="2"/>
        <scheme val="minor"/>
      </rPr>
      <t xml:space="preserve"> 10/09/1981 - 97th Congress (1981-1982)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11/18/1981 - 97th Congress (1981-1982) - Treaty approved by Senate 97-0 vote (#384 Ex.). (All Actions) </t>
    </r>
  </si>
  <si>
    <r>
      <t xml:space="preserve">541. TAX CONVENTION WITH MOROCCO Senate Consideration of Treaty Document 95-23 </t>
    </r>
    <r>
      <rPr>
        <b/>
        <sz val="12"/>
        <color theme="1"/>
        <rFont val="Calibri"/>
        <family val="2"/>
        <scheme val="minor"/>
      </rPr>
      <t>Date Received from President:</t>
    </r>
    <r>
      <rPr>
        <sz val="12"/>
        <color theme="1"/>
        <rFont val="Calibri"/>
        <family val="2"/>
        <scheme val="minor"/>
      </rPr>
      <t xml:space="preserve"> 05/02/1978 - 95th Congress (1977-1978)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11/18/1981 - 97th Congress (1981-1982) - General debate; reservation and understanding agreed to; approved by 97-0 vote. Record Vote Number 391. (All Actions) </t>
    </r>
  </si>
  <si>
    <r>
      <t xml:space="preserve">542. PROTOCOL AMENDING THE 1976 INCOME TAX CONVENTION WITH ISRAEL Senate Consideration of Treaty Document 96-48 </t>
    </r>
    <r>
      <rPr>
        <b/>
        <sz val="12"/>
        <color theme="1"/>
        <rFont val="Calibri"/>
        <family val="2"/>
        <scheme val="minor"/>
      </rPr>
      <t>Date Received from President:</t>
    </r>
    <r>
      <rPr>
        <sz val="12"/>
        <color theme="1"/>
        <rFont val="Calibri"/>
        <family val="2"/>
        <scheme val="minor"/>
      </rPr>
      <t xml:space="preserve"> 07/03/1980 - 96th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11/18/1981 - 97th Congress (1981-1982) - Approved by 97-0 vote. Record Vote Number 389. (All Actions) </t>
    </r>
  </si>
  <si>
    <r>
      <t xml:space="preserve">543. TAX CONVENTION WITH BANGLADESH Senate Consideration of Treaty Document 96-60 </t>
    </r>
    <r>
      <rPr>
        <b/>
        <sz val="12"/>
        <color theme="1"/>
        <rFont val="Calibri"/>
        <family val="2"/>
        <scheme val="minor"/>
      </rPr>
      <t>Date Received from President:</t>
    </r>
    <r>
      <rPr>
        <sz val="12"/>
        <color theme="1"/>
        <rFont val="Calibri"/>
        <family val="2"/>
        <scheme val="minor"/>
      </rPr>
      <t xml:space="preserve"> 12/02/1980 - 96th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11/18/1981 - 97th Congress (1981-1982) - Approved with 2 understandings by 97-0 vote. Record Vote Number 385. (All Actions) </t>
    </r>
  </si>
  <si>
    <r>
      <t xml:space="preserve">544. ADDITIONAL PROTOCOL I TO THE TREATY FOR THE PROHIBITION OF NUCLEAR WEAPONS IN LATIN AMERICA Senate Consideration of Treaty Document 95-24 </t>
    </r>
    <r>
      <rPr>
        <b/>
        <sz val="12"/>
        <color theme="1"/>
        <rFont val="Calibri"/>
        <family val="2"/>
        <scheme val="minor"/>
      </rPr>
      <t>Date Received from President:</t>
    </r>
    <r>
      <rPr>
        <sz val="12"/>
        <color theme="1"/>
        <rFont val="Calibri"/>
        <family val="2"/>
        <scheme val="minor"/>
      </rPr>
      <t xml:space="preserve"> 05/24/1978 - 95th Congress (1977-1978)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11/13/1981 - 97th Congress (1981-1982) - General debate; 3 understandings agreed to; approved by 79-0 vote. Record Vote Number 374. (All Actions) </t>
    </r>
  </si>
  <si>
    <r>
      <t xml:space="preserve">545. TREATY WITH COLOMBIA CONCERNING THE STATUS OF QUITA SUENO, RONCADOR, AND SERRANA Senate Consideration of Treaty Document 93-1 </t>
    </r>
    <r>
      <rPr>
        <b/>
        <sz val="12"/>
        <color theme="1"/>
        <rFont val="Calibri"/>
        <family val="2"/>
        <scheme val="minor"/>
      </rPr>
      <t>Date Received from President:</t>
    </r>
    <r>
      <rPr>
        <sz val="12"/>
        <color theme="1"/>
        <rFont val="Calibri"/>
        <family val="2"/>
        <scheme val="minor"/>
      </rPr>
      <t xml:space="preserve"> 01/09/1973 - 93rd Congress (1973-1974)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07/31/1981 - 97th Congress (1981-1982) - Consideration and general debate; understanding to resolution agreed to; treaty approved by division vote. (All Actions) </t>
    </r>
  </si>
  <si>
    <r>
      <t xml:space="preserve">546. REVISED CUSTOMS CONVENTION ON THE INTERNATIONAL TRANSPORT OF GOODS UNDER COVER OF TIR CARNETS Senate Consideration of Treaty Document 95-13 </t>
    </r>
    <r>
      <rPr>
        <b/>
        <sz val="12"/>
        <color theme="1"/>
        <rFont val="Calibri"/>
        <family val="2"/>
        <scheme val="minor"/>
      </rPr>
      <t>Date Received from President:</t>
    </r>
    <r>
      <rPr>
        <sz val="12"/>
        <color theme="1"/>
        <rFont val="Calibri"/>
        <family val="2"/>
        <scheme val="minor"/>
      </rPr>
      <t xml:space="preserve"> 07/26/1977 - 95th Congress (1977-1978)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07/30/1981 - 97th Congress (1981-1982) - General debate; approved by 98-0 vote. Record Vote Number 243. (All Actions) </t>
    </r>
  </si>
  <si>
    <r>
      <t xml:space="preserve">547. CONVENTION ON THE PHYSICAL PROTECTION OF NUCLEAR MATERIAL Senate Consideration of Treaty Document 96-43 </t>
    </r>
    <r>
      <rPr>
        <b/>
        <sz val="12"/>
        <color theme="1"/>
        <rFont val="Calibri"/>
        <family val="2"/>
        <scheme val="minor"/>
      </rPr>
      <t>Date Received from President:</t>
    </r>
    <r>
      <rPr>
        <sz val="12"/>
        <color theme="1"/>
        <rFont val="Calibri"/>
        <family val="2"/>
        <scheme val="minor"/>
      </rPr>
      <t xml:space="preserve"> 05/09/1980 - 96th Congress (1979-1980)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07/30/1981 - 97th Congress (1981-1982) - Approved by vote of 98-0. Record Vote Number 242. (All Actions) </t>
    </r>
  </si>
  <si>
    <r>
      <t xml:space="preserve">548. AMENDMENTS TO THE INTER-GOVERNMENTAL MARITIME CONSULTATIVE ORGANIZATION CONVENTION Senate Consideration of Treaty Document 96-46 </t>
    </r>
    <r>
      <rPr>
        <b/>
        <sz val="12"/>
        <color theme="1"/>
        <rFont val="Calibri"/>
        <family val="2"/>
        <scheme val="minor"/>
      </rPr>
      <t>Date Received from President:</t>
    </r>
    <r>
      <rPr>
        <sz val="12"/>
        <color theme="1"/>
        <rFont val="Calibri"/>
        <family val="2"/>
        <scheme val="minor"/>
      </rPr>
      <t xml:space="preserve"> 05/20/1980 - 96th Congress (1979-1980)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07/30/1981 - 97th Congress (1981-1982) - Approved by 98-0 vote. Record Vote Number: 244. (All Actions) </t>
    </r>
  </si>
  <si>
    <r>
      <t xml:space="preserve">549. INTERNATIONAL CONVENTION AGAINST THE TAKING OF HOSTAGES Senate Consideration of Treaty Document 96-49 </t>
    </r>
    <r>
      <rPr>
        <b/>
        <sz val="12"/>
        <color theme="1"/>
        <rFont val="Calibri"/>
        <family val="2"/>
        <scheme val="minor"/>
      </rPr>
      <t>Date Received from President:</t>
    </r>
    <r>
      <rPr>
        <sz val="12"/>
        <color theme="1"/>
        <rFont val="Calibri"/>
        <family val="2"/>
        <scheme val="minor"/>
      </rPr>
      <t xml:space="preserve"> 08/04/1980 - 96th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07/30/1981 - 97th Congress (1981-1982) - Approved by 98-0 vote. Record Vote Number 241. (All Actions) </t>
    </r>
  </si>
  <si>
    <r>
      <t xml:space="preserve">550. TREATY WITH CANADA ON PACIFIC COAST ALBACORE TUNA VESSELS AND PORT PRIVILEGES Senate Consideration of Treaty Document 97-13 </t>
    </r>
    <r>
      <rPr>
        <b/>
        <sz val="12"/>
        <color theme="1"/>
        <rFont val="Calibri"/>
        <family val="2"/>
        <scheme val="minor"/>
      </rPr>
      <t>Date Received from President:</t>
    </r>
    <r>
      <rPr>
        <sz val="12"/>
        <color theme="1"/>
        <rFont val="Calibri"/>
        <family val="2"/>
        <scheme val="minor"/>
      </rPr>
      <t xml:space="preserve"> 07/01/1981 - 97th Congress (1981-1982)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07/20/1981 - 97th Congress (1981-1982) - Treaty approved by Senate 97-0 vote (#202 Ex.). (All Actions) </t>
    </r>
  </si>
  <si>
    <r>
      <t xml:space="preserve">551. PROTOCOL AMENDING THE INTERIM CONVENTION ON NORTH PACIFIC FUR SEALS Senate Consideration of Treaty Document 96-54 </t>
    </r>
    <r>
      <rPr>
        <b/>
        <sz val="12"/>
        <color theme="1"/>
        <rFont val="Calibri"/>
        <family val="2"/>
        <scheme val="minor"/>
      </rPr>
      <t>Date Received from President:</t>
    </r>
    <r>
      <rPr>
        <sz val="12"/>
        <color theme="1"/>
        <rFont val="Calibri"/>
        <family val="2"/>
        <scheme val="minor"/>
      </rPr>
      <t xml:space="preserve"> 11/12/1980 - 96th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07/02/1981 - 97th Congress (1981-1982) - Entered into force. (All Actions) </t>
    </r>
  </si>
  <si>
    <r>
      <t xml:space="preserve">552. AGREEMENT ON EAST COAST FISHERY RESOURCES WITH CANADA Senate Consideration of Treaty Document 96-22 </t>
    </r>
    <r>
      <rPr>
        <b/>
        <sz val="12"/>
        <color theme="1"/>
        <rFont val="Calibri"/>
        <family val="2"/>
        <scheme val="minor"/>
      </rPr>
      <t>Date Received from President:</t>
    </r>
    <r>
      <rPr>
        <sz val="12"/>
        <color theme="1"/>
        <rFont val="Calibri"/>
        <family val="2"/>
        <scheme val="minor"/>
      </rPr>
      <t xml:space="preserve"> 05/03/1979 - 96th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06/22/1981 - 97th Congress (1981-1982) - Treaty returned to President. (All Actions) </t>
    </r>
  </si>
  <si>
    <r>
      <t xml:space="preserve">553. MARITIME BOUNDARY SETTLEMENT TREATY WITH CANADA Senate Consideration of Treaty Document 96-21 </t>
    </r>
    <r>
      <rPr>
        <b/>
        <sz val="12"/>
        <color theme="1"/>
        <rFont val="Calibri"/>
        <family val="2"/>
        <scheme val="minor"/>
      </rPr>
      <t>Date Received from President:</t>
    </r>
    <r>
      <rPr>
        <sz val="12"/>
        <color theme="1"/>
        <rFont val="Calibri"/>
        <family val="2"/>
        <scheme val="minor"/>
      </rPr>
      <t xml:space="preserve"> 05/03/1979 - 96th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04/29/1981 - 97th Congress (1981-1982) - Approved with amendments by 91-0 vote. Record Vote Number 84. (All Actions) </t>
    </r>
  </si>
  <si>
    <r>
      <t xml:space="preserve">554. MARITIME BOUNDARY TREATY WITH CUBA Senate Consideration of Treaty Document 96-8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12/16/1980 - 96th Congress (1979-1980) - No further action at sine die adjournment of the 96 Congress; automatically rereferred to the Committee on Foreign Relations under the provisions of Rule XXX, section 2, of the Standing Rules of the Senate. (All Actions) </t>
    </r>
  </si>
  <si>
    <r>
      <t xml:space="preserve">555. MARITIME BOUNDARY TREATY WITH VENEZUELA Senate Consideration of Treaty Document 96-7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Maritime Boundaries and Claims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414. (All Actions) </t>
    </r>
  </si>
  <si>
    <r>
      <t xml:space="preserve">556. AMENDMENTS TO THE CONVENTION ON THE PREVENTION OF MARINE POLLUTION BY DUMPING OF WASTES AND OTHER MATTER Senate Consideration of Treaty Document 96-9 </t>
    </r>
    <r>
      <rPr>
        <b/>
        <sz val="12"/>
        <color theme="1"/>
        <rFont val="Calibri"/>
        <family val="2"/>
        <scheme val="minor"/>
      </rPr>
      <t>Date Received from President:</t>
    </r>
    <r>
      <rPr>
        <sz val="12"/>
        <color theme="1"/>
        <rFont val="Calibri"/>
        <family val="2"/>
        <scheme val="minor"/>
      </rPr>
      <t xml:space="preserve"> 02/06/1979 - 96th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412. (All Actions) </t>
    </r>
  </si>
  <si>
    <r>
      <t xml:space="preserve">557. PROTOCOLS FOR THE 5TH EXTENSION OF THE 1971 INTERNATIONAL WHEAT AGREEMENT Senate Consideration of Treaty Document 96-32 </t>
    </r>
    <r>
      <rPr>
        <b/>
        <sz val="12"/>
        <color theme="1"/>
        <rFont val="Calibri"/>
        <family val="2"/>
        <scheme val="minor"/>
      </rPr>
      <t>Date Received from President:</t>
    </r>
    <r>
      <rPr>
        <sz val="12"/>
        <color theme="1"/>
        <rFont val="Calibri"/>
        <family val="2"/>
        <scheme val="minor"/>
      </rPr>
      <t xml:space="preserve"> 09/11/1979 - 96th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409. (All Actions) </t>
    </r>
  </si>
  <si>
    <r>
      <t xml:space="preserve">558. CONVENTION ON THE INTER-AMERICAN INSTITUTE FOR COOPERATION ON AGRICULTURE Senate Consideration of Treaty Document 96-34 </t>
    </r>
    <r>
      <rPr>
        <b/>
        <sz val="12"/>
        <color theme="1"/>
        <rFont val="Calibri"/>
        <family val="2"/>
        <scheme val="minor"/>
      </rPr>
      <t>Date Received from President:</t>
    </r>
    <r>
      <rPr>
        <sz val="12"/>
        <color theme="1"/>
        <rFont val="Calibri"/>
        <family val="2"/>
        <scheme val="minor"/>
      </rPr>
      <t xml:space="preserve"> 11/14/1979 - 96th Congress (1979-1980)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413. (All Actions) </t>
    </r>
  </si>
  <si>
    <r>
      <t xml:space="preserve">559. 1978 PARTIAL REVISION OF THE RADIO REGULATIONS (GENEVA, 1959) Senate Consideration of Treaty Document 96-37 </t>
    </r>
    <r>
      <rPr>
        <b/>
        <sz val="12"/>
        <color theme="1"/>
        <rFont val="Calibri"/>
        <family val="2"/>
        <scheme val="minor"/>
      </rPr>
      <t>Date Received from President:</t>
    </r>
    <r>
      <rPr>
        <sz val="12"/>
        <color theme="1"/>
        <rFont val="Calibri"/>
        <family val="2"/>
        <scheme val="minor"/>
      </rPr>
      <t xml:space="preserve"> 01/24/1980 - 96th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410. (All Actions) </t>
    </r>
  </si>
  <si>
    <r>
      <t xml:space="preserve">560. AMENDMENT TO THE CONVENTION ON INTERNATIONAL TRADE IN ENDANGERED SPECIES OF WILD FAUNA AND FLORA Senate Consideration of Treaty Document 96-38 </t>
    </r>
    <r>
      <rPr>
        <b/>
        <sz val="12"/>
        <color theme="1"/>
        <rFont val="Calibri"/>
        <family val="2"/>
        <scheme val="minor"/>
      </rPr>
      <t>Date Received from President:</t>
    </r>
    <r>
      <rPr>
        <sz val="12"/>
        <color theme="1"/>
        <rFont val="Calibri"/>
        <family val="2"/>
        <scheme val="minor"/>
      </rPr>
      <t xml:space="preserve"> 04/02/1980 - 96th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411. (All Actions) </t>
    </r>
  </si>
  <si>
    <r>
      <t xml:space="preserve">561. FOOD AID CONVENTION, 1980 Senate Consideration of Treaty Document 96-42 </t>
    </r>
    <r>
      <rPr>
        <b/>
        <sz val="12"/>
        <color theme="1"/>
        <rFont val="Calibri"/>
        <family val="2"/>
        <scheme val="minor"/>
      </rPr>
      <t>Date Received from President:</t>
    </r>
    <r>
      <rPr>
        <sz val="12"/>
        <color theme="1"/>
        <rFont val="Calibri"/>
        <family val="2"/>
        <scheme val="minor"/>
      </rPr>
      <t xml:space="preserve"> 05/09/1980 - 96th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09/17/1980 - 96th Congress (1979-1980) - Approved by 94-0 vote. Record Vote Number 408. (All Actions) </t>
    </r>
  </si>
  <si>
    <r>
      <t xml:space="preserve">562. 1978 PROTOCOL RELATING TO THE INTERNATIONAL CONVENTION FOR THE PREVENTION OF POLLUTION FROM SHIPS Senate Consideration of Treaty Document 96-3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296. (All Actions) </t>
    </r>
  </si>
  <si>
    <r>
      <t xml:space="preserve">563. 1978 PROTOCOL RELATING TO THE 1974 INTERNATIONAL CONVENTION FOR THE SAFETY OF LIFE AT SEA Senate Consideration of Treaty Document 96-4 </t>
    </r>
    <r>
      <rPr>
        <b/>
        <sz val="12"/>
        <color theme="1"/>
        <rFont val="Calibri"/>
        <family val="2"/>
        <scheme val="minor"/>
      </rPr>
      <t>Date Received from President:</t>
    </r>
    <r>
      <rPr>
        <sz val="12"/>
        <color theme="1"/>
        <rFont val="Calibri"/>
        <family val="2"/>
        <scheme val="minor"/>
      </rPr>
      <t xml:space="preserve"> 01/23/1979 - 96th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297. (All Actions) </t>
    </r>
  </si>
  <si>
    <r>
      <t xml:space="preserve">564. AGREEMENT WITH THE INTERNATIONAL ATOMIC ENERGY AGENCY FOR THE APPLICATION OF SAFEGUARDS ON THE UNITED STATES OF AMERICA, WITH PROTOCOL Senate Consideration of Treaty Document 95-17 </t>
    </r>
    <r>
      <rPr>
        <b/>
        <sz val="12"/>
        <color theme="1"/>
        <rFont val="Calibri"/>
        <family val="2"/>
        <scheme val="minor"/>
      </rPr>
      <t>Date Received from President:</t>
    </r>
    <r>
      <rPr>
        <sz val="12"/>
        <color theme="1"/>
        <rFont val="Calibri"/>
        <family val="2"/>
        <scheme val="minor"/>
      </rPr>
      <t xml:space="preserve"> 02/09/1978 - 95th Congress (1977-1978)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07/02/1980 - 96th Congress (1979-1980) - General debate; 5 understandings agreed to; approved by 90-0 vote. Record Vote Number 302. (All Actions) </t>
    </r>
  </si>
  <si>
    <r>
      <t xml:space="preserve">565. AMENDMENTS TO THE 1948 INTERGOVERNMENTAL MARITIME CONSULTATIVE ORGANIZATION CONVENTION Senate Consideration of Treaty Document 96-19 </t>
    </r>
    <r>
      <rPr>
        <b/>
        <sz val="12"/>
        <color theme="1"/>
        <rFont val="Calibri"/>
        <family val="2"/>
        <scheme val="minor"/>
      </rPr>
      <t>Date Received from President:</t>
    </r>
    <r>
      <rPr>
        <sz val="12"/>
        <color theme="1"/>
        <rFont val="Calibri"/>
        <family val="2"/>
        <scheme val="minor"/>
      </rPr>
      <t xml:space="preserve"> 05/03/1979 - 96th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298. (All Actions) </t>
    </r>
  </si>
  <si>
    <r>
      <t xml:space="preserve">566. AMENDMENT TO THE 1966 INTERNATIONAL CONVENTION ON LOAD LINES Senate Consideration of Treaty Document 96-33 </t>
    </r>
    <r>
      <rPr>
        <b/>
        <sz val="12"/>
        <color theme="1"/>
        <rFont val="Calibri"/>
        <family val="2"/>
        <scheme val="minor"/>
      </rPr>
      <t>Date Received from President:</t>
    </r>
    <r>
      <rPr>
        <sz val="12"/>
        <color theme="1"/>
        <rFont val="Calibri"/>
        <family val="2"/>
        <scheme val="minor"/>
      </rPr>
      <t xml:space="preserve"> 10/17/1979 - 96th Congress (1979-1980)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299. (All Actions) </t>
    </r>
  </si>
  <si>
    <r>
      <t xml:space="preserve">567. CONSULAR CONVENTION WITH THE GERMAN DEMOCRATIC REPUBLIC Senate Consideration of Treaty Document 96-41 </t>
    </r>
    <r>
      <rPr>
        <b/>
        <sz val="12"/>
        <color theme="1"/>
        <rFont val="Calibri"/>
        <family val="2"/>
        <scheme val="minor"/>
      </rPr>
      <t>Date Received from President:</t>
    </r>
    <r>
      <rPr>
        <sz val="12"/>
        <color theme="1"/>
        <rFont val="Calibri"/>
        <family val="2"/>
        <scheme val="minor"/>
      </rPr>
      <t xml:space="preserve"> 04/28/1980 - 96th Congress (1979-1980)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301. (All Actions) </t>
    </r>
  </si>
  <si>
    <r>
      <t xml:space="preserve">568. INTERNATION CONVENTION ON MARITIME SEARCH AND RESCUE, 1979 Senate Consideration of Treaty Document 96-45 </t>
    </r>
    <r>
      <rPr>
        <b/>
        <sz val="12"/>
        <color theme="1"/>
        <rFont val="Calibri"/>
        <family val="2"/>
        <scheme val="minor"/>
      </rPr>
      <t>Date Received from President:</t>
    </r>
    <r>
      <rPr>
        <sz val="12"/>
        <color theme="1"/>
        <rFont val="Calibri"/>
        <family val="2"/>
        <scheme val="minor"/>
      </rPr>
      <t xml:space="preserve"> 06/20/1980 - 96th Congress (1979-1980)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07/02/1980 - 96th Congress (1979-1980) - General debate; approved by 90-0 vote. Record Vote Number 300. (All Actions) </t>
    </r>
  </si>
  <si>
    <r>
      <t xml:space="preserve">569. INTERNATIONAL NATURAL RUBBER AGREEMENT, 1979 Senate Consideration of Treaty Document 96-39 </t>
    </r>
    <r>
      <rPr>
        <b/>
        <sz val="12"/>
        <color theme="1"/>
        <rFont val="Calibri"/>
        <family val="2"/>
        <scheme val="minor"/>
      </rPr>
      <t>Date Received from President:</t>
    </r>
    <r>
      <rPr>
        <sz val="12"/>
        <color theme="1"/>
        <rFont val="Calibri"/>
        <family val="2"/>
        <scheme val="minor"/>
      </rPr>
      <t xml:space="preserve"> 04/02/1980 - 96th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05/22/1980 - 96th Congress (1979-1980) - Approved by 90-1 vote. Record Vote Number 156. (All Actions) </t>
    </r>
  </si>
  <si>
    <r>
      <t xml:space="preserve">570. TREATY WITH PERU ON THE EXECUTION OF PENAL SENTENCES Senate Consideration of Treaty Document 96-35 </t>
    </r>
    <r>
      <rPr>
        <b/>
        <sz val="12"/>
        <color theme="1"/>
        <rFont val="Calibri"/>
        <family val="2"/>
        <scheme val="minor"/>
      </rPr>
      <t>Date Received from President:</t>
    </r>
    <r>
      <rPr>
        <sz val="12"/>
        <color theme="1"/>
        <rFont val="Calibri"/>
        <family val="2"/>
        <scheme val="minor"/>
      </rPr>
      <t xml:space="preserve"> 12/20/1979 - 96th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03/25/1980 - 96th Congress (1979-1980) - Resolution of advice and consent to ratification agreed to in Senate by Yea-Nay Vote. 96 - 0. Record Vote Number: 61. (All Actions) </t>
    </r>
  </si>
  <si>
    <r>
      <t xml:space="preserve">571. AGREEMENT ON THE INTERNATIONAL CARRIAGE OF PERISHABLE FOODSTUFFS Senate Consideration of Treaty Document 96-2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03/20/1980 - 96th Congress (1979-1980) - Approved by 92-0 vote. Record Vote Number 60. (All Actions) </t>
    </r>
  </si>
  <si>
    <r>
      <t xml:space="preserve">572. PROTOCOL WITH CANADA TO AMEND THE CONVENTION FOR THE PROTECTION, PRESERVATION, AND EXTENSION OF THE SOCKEYE SALMON FISHERIES IN THE FRASER RIVER SYSTEM, AS AMENDED Senate Consideration of Treaty Document 95-7 </t>
    </r>
    <r>
      <rPr>
        <b/>
        <sz val="12"/>
        <color theme="1"/>
        <rFont val="Calibri"/>
        <family val="2"/>
        <scheme val="minor"/>
      </rPr>
      <t>Date Received from President:</t>
    </r>
    <r>
      <rPr>
        <sz val="12"/>
        <color theme="1"/>
        <rFont val="Calibri"/>
        <family val="2"/>
        <scheme val="minor"/>
      </rPr>
      <t xml:space="preserve"> 03/31/1977 - 95th Congress (1977-1978)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03/20/1980 - 96th Congress (1979-1980) - General debate; approved by 92-0 vote. Record Vote Number 58. (All Actions) </t>
    </r>
  </si>
  <si>
    <r>
      <t xml:space="preserve">573. CONVENTION ON PSYCHOTROPIC SUBSTANCES Senate Consideration of Treaty Document 92-7 </t>
    </r>
    <r>
      <rPr>
        <b/>
        <sz val="12"/>
        <color theme="1"/>
        <rFont val="Calibri"/>
        <family val="2"/>
        <scheme val="minor"/>
      </rPr>
      <t>Date Received from President:</t>
    </r>
    <r>
      <rPr>
        <sz val="12"/>
        <color theme="1"/>
        <rFont val="Calibri"/>
        <family val="2"/>
        <scheme val="minor"/>
      </rPr>
      <t xml:space="preserve"> 06/29/1971 - 92nd Congress (1971-1972) </t>
    </r>
    <r>
      <rPr>
        <b/>
        <sz val="12"/>
        <color theme="1"/>
        <rFont val="Calibri"/>
        <family val="2"/>
        <scheme val="minor"/>
      </rPr>
      <t>Latest Senate Action:</t>
    </r>
    <r>
      <rPr>
        <sz val="12"/>
        <color theme="1"/>
        <rFont val="Calibri"/>
        <family val="2"/>
        <scheme val="minor"/>
      </rPr>
      <t xml:space="preserve"> 03/20/1980 - 96th Congress (1979-1980) - Resolution of advice and consent to ratification agreed to in Senate by Yea-Nay vote. 92-0. Record Vote No: 58 EX. (All Actions) </t>
    </r>
  </si>
  <si>
    <r>
      <t xml:space="preserve">574. PROTOCOL AMENDING THE 1953 HALIBUT FISHERY CONVENTION WITH CANADA Senate Consideration of Treaty Document 96-30 </t>
    </r>
    <r>
      <rPr>
        <b/>
        <sz val="12"/>
        <color theme="1"/>
        <rFont val="Calibri"/>
        <family val="2"/>
        <scheme val="minor"/>
      </rPr>
      <t>Date Received from President:</t>
    </r>
    <r>
      <rPr>
        <sz val="12"/>
        <color theme="1"/>
        <rFont val="Calibri"/>
        <family val="2"/>
        <scheme val="minor"/>
      </rPr>
      <t xml:space="preserve"> 08/10/1979 - 96th Congress (1979-1980)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03/20/1980 - 96th Congress (1979-1980) - Approved by 92-0 vote. Record Vote Number: 57. (All Actions) </t>
    </r>
  </si>
  <si>
    <r>
      <t xml:space="preserve">575. EXTRADITION TREATY WITH MEXICO Senate Consideration of Treaty Document 96-13 </t>
    </r>
    <r>
      <rPr>
        <b/>
        <sz val="12"/>
        <color theme="1"/>
        <rFont val="Calibri"/>
        <family val="2"/>
        <scheme val="minor"/>
      </rPr>
      <t>Date Received from President:</t>
    </r>
    <r>
      <rPr>
        <sz val="12"/>
        <color theme="1"/>
        <rFont val="Calibri"/>
        <family val="2"/>
        <scheme val="minor"/>
      </rPr>
      <t xml:space="preserve"> 03/22/1979 - 96th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11/30/1979 - 96th Congress (1979-1980) - General debate; approved by 91-0 vote. Record Vote Number 442. (All Actions) </t>
    </r>
  </si>
  <si>
    <r>
      <t xml:space="preserve">576. EXTRADITION TREATY WITH JAPAN Senate Consideration of Treaty Document 96-16 </t>
    </r>
    <r>
      <rPr>
        <b/>
        <sz val="12"/>
        <color theme="1"/>
        <rFont val="Calibri"/>
        <family val="2"/>
        <scheme val="minor"/>
      </rPr>
      <t>Date Received from President:</t>
    </r>
    <r>
      <rPr>
        <sz val="12"/>
        <color theme="1"/>
        <rFont val="Calibri"/>
        <family val="2"/>
        <scheme val="minor"/>
      </rPr>
      <t xml:space="preserve"> 04/04/1979 - 96th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11/30/1979 - 96th Congress (1979-1980) - Approved by 91-0 vote. Record Vote Number 443. (All Actions) </t>
    </r>
  </si>
  <si>
    <r>
      <t xml:space="preserve">577. 1977 INTERNATIONAL SUGAR AGREEMENT Senate Consideration of Treaty Document 95-16 </t>
    </r>
    <r>
      <rPr>
        <b/>
        <sz val="12"/>
        <color theme="1"/>
        <rFont val="Calibri"/>
        <family val="2"/>
        <scheme val="minor"/>
      </rPr>
      <t>Date Received from President:</t>
    </r>
    <r>
      <rPr>
        <sz val="12"/>
        <color theme="1"/>
        <rFont val="Calibri"/>
        <family val="2"/>
        <scheme val="minor"/>
      </rPr>
      <t xml:space="preserve"> 01/25/1978 - 95th Congress (1977-1978)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11/30/1979 - 96th Congress (1979-1980) - General debate; approved by 80-11 vote. Record Vote Number 447. (All Actions) </t>
    </r>
  </si>
  <si>
    <r>
      <t xml:space="preserve">578. TREATY WITH PANAMA ON THE EXECUTION OF PENAL SENTENCES Senate Consideration of Treaty Document 96-26 </t>
    </r>
    <r>
      <rPr>
        <b/>
        <sz val="12"/>
        <color theme="1"/>
        <rFont val="Calibri"/>
        <family val="2"/>
        <scheme val="minor"/>
      </rPr>
      <t>Date Received from President:</t>
    </r>
    <r>
      <rPr>
        <sz val="12"/>
        <color theme="1"/>
        <rFont val="Calibri"/>
        <family val="2"/>
        <scheme val="minor"/>
      </rPr>
      <t xml:space="preserve"> 07/30/1979 - 96th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11/30/1979 - 96th Congress (1979-1980) - Approved by 91-0 vote. Record Vote Number 446. (All Actions) </t>
    </r>
  </si>
  <si>
    <r>
      <t xml:space="preserve">579. TREATY WITH TURKEY ON THE ENFORCEMENT OF PENAL JUDGEMENTS Senate Consideration of Treaty Document 96-28 </t>
    </r>
    <r>
      <rPr>
        <b/>
        <sz val="12"/>
        <color theme="1"/>
        <rFont val="Calibri"/>
        <family val="2"/>
        <scheme val="minor"/>
      </rPr>
      <t>Date Received from President:</t>
    </r>
    <r>
      <rPr>
        <sz val="12"/>
        <color theme="1"/>
        <rFont val="Calibri"/>
        <family val="2"/>
        <scheme val="minor"/>
      </rPr>
      <t xml:space="preserve"> 08/02/1979 - 96th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11/30/1979 - 96th Congress (1979-1980) - Approved by 91-0 vote. Record Vote Number 445. (All Actions) </t>
    </r>
  </si>
  <si>
    <r>
      <t xml:space="preserve">580. EXTRADITION TREATY WITH NORWAY Senate Consideration of Treaty Document 96-29 </t>
    </r>
    <r>
      <rPr>
        <b/>
        <sz val="12"/>
        <color theme="1"/>
        <rFont val="Calibri"/>
        <family val="2"/>
        <scheme val="minor"/>
      </rPr>
      <t>Date Received from President:</t>
    </r>
    <r>
      <rPr>
        <sz val="12"/>
        <color theme="1"/>
        <rFont val="Calibri"/>
        <family val="2"/>
        <scheme val="minor"/>
      </rPr>
      <t xml:space="preserve"> 08/10/1979 - 96th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11/30/1979 - 96th Congress (1979-1980) - Approved by 91-0 vote. Record Vote Number 444. (All Actions) </t>
    </r>
  </si>
  <si>
    <r>
      <t xml:space="preserve">581. EXTRADITION TREATY WITH THE FEDERAL REPUBLIC OF GERMANY Senate Consideration of Treaty Document 96-1 </t>
    </r>
    <r>
      <rPr>
        <b/>
        <sz val="12"/>
        <color theme="1"/>
        <rFont val="Calibri"/>
        <family val="2"/>
        <scheme val="minor"/>
      </rPr>
      <t>Date Received from President:</t>
    </r>
    <r>
      <rPr>
        <sz val="12"/>
        <color theme="1"/>
        <rFont val="Calibri"/>
        <family val="2"/>
        <scheme val="minor"/>
      </rPr>
      <t xml:space="preserve"> 01/19/1979 - 96th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11/29/1979 - 96th Congress (1979-1980) - Approved by 93-0 vote. Record Vote Number 441. (All Actions) </t>
    </r>
  </si>
  <si>
    <r>
      <t xml:space="preserve">582. EXTRADITION TREATY WITH FINLAND Senate Consideration of Treaty Document 95-9 </t>
    </r>
    <r>
      <rPr>
        <b/>
        <sz val="12"/>
        <color theme="1"/>
        <rFont val="Calibri"/>
        <family val="2"/>
        <scheme val="minor"/>
      </rPr>
      <t>Date Received from President:</t>
    </r>
    <r>
      <rPr>
        <sz val="12"/>
        <color theme="1"/>
        <rFont val="Calibri"/>
        <family val="2"/>
        <scheme val="minor"/>
      </rPr>
      <t xml:space="preserve"> 04/18/1977 - 95th Congress (1977-1978)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11/29/1979 - 96th Congress (1979-1980) - General debate; approved by 93-0 vote. Record Vote Number 440. (All Actions) </t>
    </r>
  </si>
  <si>
    <r>
      <t xml:space="preserve">583. CONVENTION ABOLISHING THE REQUIREMENT OF LEGALISATION FOR FOREIGN PUBLIC DOCUMENTS Senate Consideration of Treaty Document 94-23 </t>
    </r>
    <r>
      <rPr>
        <b/>
        <sz val="12"/>
        <color theme="1"/>
        <rFont val="Calibri"/>
        <family val="2"/>
        <scheme val="minor"/>
      </rPr>
      <t>Date Received from President:</t>
    </r>
    <r>
      <rPr>
        <sz val="12"/>
        <color theme="1"/>
        <rFont val="Calibri"/>
        <family val="2"/>
        <scheme val="minor"/>
      </rPr>
      <t xml:space="preserve"> 07/19/1976 - 94th Congress (1975-1976)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11/28/1979 - 96th Congress (1979-1980) - General debate; approved by 98-0 vote. Record Vote Number 435. (All Actions) </t>
    </r>
  </si>
  <si>
    <r>
      <t xml:space="preserve">584. CONVENTION ON THE PROHIBITION OF MILITARY OR ANY OTHER HOSTILE USE OF ENVIRONMENTAL MODIFICATION TECHNIQUES Senate Consideration of Treaty Document 95-26 </t>
    </r>
    <r>
      <rPr>
        <b/>
        <sz val="12"/>
        <color theme="1"/>
        <rFont val="Calibri"/>
        <family val="2"/>
        <scheme val="minor"/>
      </rPr>
      <t>Date Received from President:</t>
    </r>
    <r>
      <rPr>
        <sz val="12"/>
        <color theme="1"/>
        <rFont val="Calibri"/>
        <family val="2"/>
        <scheme val="minor"/>
      </rPr>
      <t xml:space="preserve"> 09/22/1978 - 95th Congress (1977-1978)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11/28/1979 - 96th Congress (1979-1980) - General debate; approved by 98-0 vote. Record Vote Number 434. (All Actions) </t>
    </r>
  </si>
  <si>
    <r>
      <t xml:space="preserve">585. TREATY WITH TURKEY ON EXTRADITION AND MUTUAL ASSISTANCE IN CRIMINAL MATTERS Senate Consideration of Treaty Document 96-27 </t>
    </r>
    <r>
      <rPr>
        <b/>
        <sz val="12"/>
        <color theme="1"/>
        <rFont val="Calibri"/>
        <family val="2"/>
        <scheme val="minor"/>
      </rPr>
      <t>Date Received from President:</t>
    </r>
    <r>
      <rPr>
        <sz val="12"/>
        <color theme="1"/>
        <rFont val="Calibri"/>
        <family val="2"/>
        <scheme val="minor"/>
      </rPr>
      <t xml:space="preserve"> 08/02/1979 - 96th Congress (1979-1980)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11/28/1979 - 96th Congress (1979-1980) - Approved by 98-0 vote. Record Vote Number 436. (All Actions) </t>
    </r>
  </si>
  <si>
    <r>
      <t xml:space="preserve">586. INTERNATIONAL COVENANT ON ECONOMIC, SOCIAL AND CULTURAL RIGHTS Senate Consideration of Treaty Document 95-19 </t>
    </r>
    <r>
      <rPr>
        <b/>
        <sz val="12"/>
        <color theme="1"/>
        <rFont val="Calibri"/>
        <family val="2"/>
        <scheme val="minor"/>
      </rPr>
      <t>Date Received from President:</t>
    </r>
    <r>
      <rPr>
        <sz val="12"/>
        <color theme="1"/>
        <rFont val="Calibri"/>
        <family val="2"/>
        <scheme val="minor"/>
      </rPr>
      <t xml:space="preserve"> 02/23/1978 - 95th Congress (1977-1978)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11/19/1979 - 96th Congress (1979-1980) - Hearings held. (All Actions) </t>
    </r>
  </si>
  <si>
    <r>
      <t xml:space="preserve">587. AMERICAN CONVENTION ON HUMAN RIGHTS Senate Consideration of Treaty Document 95-21 </t>
    </r>
    <r>
      <rPr>
        <b/>
        <sz val="12"/>
        <color theme="1"/>
        <rFont val="Calibri"/>
        <family val="2"/>
        <scheme val="minor"/>
      </rPr>
      <t>Date Received from President:</t>
    </r>
    <r>
      <rPr>
        <sz val="12"/>
        <color theme="1"/>
        <rFont val="Calibri"/>
        <family val="2"/>
        <scheme val="minor"/>
      </rPr>
      <t xml:space="preserve"> 02/23/1978 - 95th Congress (1977-1978) </t>
    </r>
    <r>
      <rPr>
        <b/>
        <sz val="12"/>
        <color theme="1"/>
        <rFont val="Calibri"/>
        <family val="2"/>
        <scheme val="minor"/>
      </rPr>
      <t>Treaty Topic:</t>
    </r>
    <r>
      <rPr>
        <sz val="12"/>
        <color theme="1"/>
        <rFont val="Calibri"/>
        <family val="2"/>
        <scheme val="minor"/>
      </rPr>
      <t xml:space="preserve"> Human Rights </t>
    </r>
    <r>
      <rPr>
        <b/>
        <sz val="12"/>
        <color theme="1"/>
        <rFont val="Calibri"/>
        <family val="2"/>
        <scheme val="minor"/>
      </rPr>
      <t>Latest Senate Action:</t>
    </r>
    <r>
      <rPr>
        <sz val="12"/>
        <color theme="1"/>
        <rFont val="Calibri"/>
        <family val="2"/>
        <scheme val="minor"/>
      </rPr>
      <t xml:space="preserve"> 11/19/1979 - 96th Congress (1979-1980) - Hearings held. (All Actions) </t>
    </r>
  </si>
  <si>
    <r>
      <t xml:space="preserve">588. ESTATE AND GIFT TAX CONVENTION WITH FRANCE Senate Consideration of Treaty Document 96-10 </t>
    </r>
    <r>
      <rPr>
        <b/>
        <sz val="12"/>
        <color theme="1"/>
        <rFont val="Calibri"/>
        <family val="2"/>
        <scheme val="minor"/>
      </rPr>
      <t>Date Received from President:</t>
    </r>
    <r>
      <rPr>
        <sz val="12"/>
        <color theme="1"/>
        <rFont val="Calibri"/>
        <family val="2"/>
        <scheme val="minor"/>
      </rPr>
      <t xml:space="preserve"> 02/09/1979 - 96th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Approved by 98-0 vote. Record Vote Number 154. (All Actions) </t>
    </r>
  </si>
  <si>
    <r>
      <t xml:space="preserve">589. PROTOCOL TO THE 1967 INCOME TAX CONVENTION WITH FRANCEAS AMENDED IN 1970 Senate Consideration of Treaty Document 96-11 </t>
    </r>
    <r>
      <rPr>
        <b/>
        <sz val="12"/>
        <color theme="1"/>
        <rFont val="Calibri"/>
        <family val="2"/>
        <scheme val="minor"/>
      </rPr>
      <t>Date Received from President:</t>
    </r>
    <r>
      <rPr>
        <sz val="12"/>
        <color theme="1"/>
        <rFont val="Calibri"/>
        <family val="2"/>
        <scheme val="minor"/>
      </rPr>
      <t xml:space="preserve"> 02/09/1979 - 96th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Approved by 98-0 vote. Record Vote Number 155. (All Actions) </t>
    </r>
  </si>
  <si>
    <r>
      <t xml:space="preserve">590. THIRD PROTOCOL TO THE 1975 TAX CONVENTION WITH THE UNITED KINGDOM Senate Consideration of Treaty Document 96-17 </t>
    </r>
    <r>
      <rPr>
        <b/>
        <sz val="12"/>
        <color theme="1"/>
        <rFont val="Calibri"/>
        <family val="2"/>
        <scheme val="minor"/>
      </rPr>
      <t>Date Received from President:</t>
    </r>
    <r>
      <rPr>
        <sz val="12"/>
        <color theme="1"/>
        <rFont val="Calibri"/>
        <family val="2"/>
        <scheme val="minor"/>
      </rPr>
      <t xml:space="preserve"> 04/12/1979 - 96th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Approved by 98-0 vote. Record Vote Number 156. (All Actions) </t>
    </r>
  </si>
  <si>
    <r>
      <t xml:space="preserve">591. ESTATE AND GIFT TAX CONVENTION WITH THE UNITED KINGDOM Senate Consideration of Treaty Document 96-18 </t>
    </r>
    <r>
      <rPr>
        <b/>
        <sz val="12"/>
        <color theme="1"/>
        <rFont val="Calibri"/>
        <family val="2"/>
        <scheme val="minor"/>
      </rPr>
      <t>Date Received from President:</t>
    </r>
    <r>
      <rPr>
        <sz val="12"/>
        <color theme="1"/>
        <rFont val="Calibri"/>
        <family val="2"/>
        <scheme val="minor"/>
      </rPr>
      <t xml:space="preserve"> 05/03/1979 - 96th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Approved by 98-0 vote. Record Vote Number 157. (All Actions) </t>
    </r>
  </si>
  <si>
    <r>
      <t xml:space="preserve">592. TAX CONVENTION WITH HUNGARY Senate Consideration of Treaty Document 96-24 </t>
    </r>
    <r>
      <rPr>
        <b/>
        <sz val="12"/>
        <color theme="1"/>
        <rFont val="Calibri"/>
        <family val="2"/>
        <scheme val="minor"/>
      </rPr>
      <t>Date Received from President:</t>
    </r>
    <r>
      <rPr>
        <sz val="12"/>
        <color theme="1"/>
        <rFont val="Calibri"/>
        <family val="2"/>
        <scheme val="minor"/>
      </rPr>
      <t xml:space="preserve"> 05/09/1979 - 96th Congress (1979-1980)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Approved by 98-0 vote. Record Vote Number 159. (All Actions) </t>
    </r>
  </si>
  <si>
    <r>
      <t xml:space="preserve">593. TAX CONVENTION WITH THE REPUBLIC OF KOREA Senate Consideration of Treaty Document 94-27 </t>
    </r>
    <r>
      <rPr>
        <b/>
        <sz val="12"/>
        <color theme="1"/>
        <rFont val="Calibri"/>
        <family val="2"/>
        <scheme val="minor"/>
      </rPr>
      <t>Date Received from President:</t>
    </r>
    <r>
      <rPr>
        <sz val="12"/>
        <color theme="1"/>
        <rFont val="Calibri"/>
        <family val="2"/>
        <scheme val="minor"/>
      </rPr>
      <t xml:space="preserve"> 09/03/1976 - 94th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07/09/1979 - 96th Congress (1979-1980) - General debate; approved by 98-0 vote. Record Vote Number 158. (All Actions) </t>
    </r>
  </si>
  <si>
    <r>
      <t xml:space="preserve">594. PROTOCOLS FOR THE 4TH EXTENSION OF THE 1971 INTERNATIONAL WHEAT AGREEMENT Senate Consideration of Treaty Document 96-12 </t>
    </r>
    <r>
      <rPr>
        <b/>
        <sz val="12"/>
        <color theme="1"/>
        <rFont val="Calibri"/>
        <family val="2"/>
        <scheme val="minor"/>
      </rPr>
      <t>Date Received from President:</t>
    </r>
    <r>
      <rPr>
        <sz val="12"/>
        <color theme="1"/>
        <rFont val="Calibri"/>
        <family val="2"/>
        <scheme val="minor"/>
      </rPr>
      <t xml:space="preserve"> 03/15/1979 - 96th Congress (1979-1980)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06/26/1979 - 96th Congress (1979-1980) - General debate; approved by 89-6 vote. Record Vote Number 153. (All Actions) </t>
    </r>
  </si>
  <si>
    <r>
      <t xml:space="preserve">595. INTERNATIONAL CONVENTION FOR THE PREVENTION OF POLLUTION FROM SHIPS, WITH ANNEXES AND PROTOCOLS Senate Consideration of Treaty Document 95-5 </t>
    </r>
    <r>
      <rPr>
        <b/>
        <sz val="12"/>
        <color theme="1"/>
        <rFont val="Calibri"/>
        <family val="2"/>
        <scheme val="minor"/>
      </rPr>
      <t>Date Received from President:</t>
    </r>
    <r>
      <rPr>
        <sz val="12"/>
        <color theme="1"/>
        <rFont val="Calibri"/>
        <family val="2"/>
        <scheme val="minor"/>
      </rPr>
      <t xml:space="preserve"> 03/22/1977 - 95th Congress (1977-1978)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01/23/1979 - 96th Congress (1979-1980) - Treaty incorporated into Treaty Doc. 96-3 per transmittal letter from the President dated January 19, 1979. (All Actions) </t>
    </r>
  </si>
  <si>
    <r>
      <t xml:space="preserve">596. PROTOCOL AMENDING THE INTERNATIONAL CONVENTION FOR THE HIGH SEAS FISHERIES ON THE NORTH PACIFIC OCEAN Senate Consideration of Treaty Document 95-25 </t>
    </r>
    <r>
      <rPr>
        <b/>
        <sz val="12"/>
        <color theme="1"/>
        <rFont val="Calibri"/>
        <family val="2"/>
        <scheme val="minor"/>
      </rPr>
      <t>Date Received from President:</t>
    </r>
    <r>
      <rPr>
        <sz val="12"/>
        <color theme="1"/>
        <rFont val="Calibri"/>
        <family val="2"/>
        <scheme val="minor"/>
      </rPr>
      <t xml:space="preserve"> 06/05/1978 - 95th Congress (1977-1978)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10/11/1978 - 95th Congress (1977-1978) - General debate; approved by 86-0 vote. Record Vote Number: 480. (All Actions) </t>
    </r>
  </si>
  <si>
    <r>
      <t xml:space="preserve">597. CONVENTION WITH THE UNION OF SOVIET SOCIALIST REPUBLICS ON THE CONSERVATION OF MIGRATORY BIRDS AND THEIR ENVIRONMENT Senate Consideration of Treaty Document 95-11 </t>
    </r>
    <r>
      <rPr>
        <b/>
        <sz val="12"/>
        <color theme="1"/>
        <rFont val="Calibri"/>
        <family val="2"/>
        <scheme val="minor"/>
      </rPr>
      <t>Date Received from President:</t>
    </r>
    <r>
      <rPr>
        <sz val="12"/>
        <color theme="1"/>
        <rFont val="Calibri"/>
        <family val="2"/>
        <scheme val="minor"/>
      </rPr>
      <t xml:space="preserve"> 07/18/1977 - 95th Congress (1977-1978)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07/12/1978 - 95th Congress (1977-1978) - General debate; approved by 95-0 vote. Record Vote Number 208. (All Actions) </t>
    </r>
  </si>
  <si>
    <r>
      <t xml:space="preserve">598. 1973 PROTOCOL RELATING TO INTERVENTION ON THE HIGH SEAS IN CASES OF MARINE POLLUTION BY SUBSTANCES OTHER THAN OIL Senate Consideration of Treaty Document 95-12 </t>
    </r>
    <r>
      <rPr>
        <b/>
        <sz val="12"/>
        <color theme="1"/>
        <rFont val="Calibri"/>
        <family val="2"/>
        <scheme val="minor"/>
      </rPr>
      <t>Date Received from President:</t>
    </r>
    <r>
      <rPr>
        <sz val="12"/>
        <color theme="1"/>
        <rFont val="Calibri"/>
        <family val="2"/>
        <scheme val="minor"/>
      </rPr>
      <t xml:space="preserve"> 07/25/1977 - 95th Congress (1977-1978)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07/12/1978 - 95th Congress (1977-1978) - General debate; approved by 95-0 vote. Record Vote Number 206. (All Actions) </t>
    </r>
  </si>
  <si>
    <r>
      <t xml:space="preserve">599. RECIPROCAL FISHERIES AGREEMENT WITH THE UNITED KINGDOM Senate Consideration of Treaty Document 95-15 </t>
    </r>
    <r>
      <rPr>
        <b/>
        <sz val="12"/>
        <color theme="1"/>
        <rFont val="Calibri"/>
        <family val="2"/>
        <scheme val="minor"/>
      </rPr>
      <t>Date Received from President:</t>
    </r>
    <r>
      <rPr>
        <sz val="12"/>
        <color theme="1"/>
        <rFont val="Calibri"/>
        <family val="2"/>
        <scheme val="minor"/>
      </rPr>
      <t xml:space="preserve"> 10/07/1977 - 95th Congress (1977-1978)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07/12/1978 - 95th Congress (1977-1978) - General debate; approved by 95-0 vote. Record Vote Number 207. (All Actions) </t>
    </r>
  </si>
  <si>
    <r>
      <t xml:space="preserve">600. TREATY WITH BOLIVIA ON THE EXECUTION OF PENAL SENTENCES Senate Consideration of Treaty Document 95-22 </t>
    </r>
    <r>
      <rPr>
        <b/>
        <sz val="12"/>
        <color theme="1"/>
        <rFont val="Calibri"/>
        <family val="2"/>
        <scheme val="minor"/>
      </rPr>
      <t>Date Received from President:</t>
    </r>
    <r>
      <rPr>
        <sz val="12"/>
        <color theme="1"/>
        <rFont val="Calibri"/>
        <family val="2"/>
        <scheme val="minor"/>
      </rPr>
      <t xml:space="preserve"> 04/14/1978 - 95th Congress (1977-1978)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07/12/1978 - 95th Congress (1977-1978) - General debate; approved by 95-0 vote. Record Vote Number 204. (All Actions) </t>
    </r>
  </si>
  <si>
    <r>
      <t xml:space="preserve">601. 1974 INTERNATIONAL CONVENTION FOR THE SAFETY OF LIFE AT SEA Senate Consideration of Treaty Document 94-26 </t>
    </r>
    <r>
      <rPr>
        <b/>
        <sz val="12"/>
        <color theme="1"/>
        <rFont val="Calibri"/>
        <family val="2"/>
        <scheme val="minor"/>
      </rPr>
      <t>Date Received from President:</t>
    </r>
    <r>
      <rPr>
        <sz val="12"/>
        <color theme="1"/>
        <rFont val="Calibri"/>
        <family val="2"/>
        <scheme val="minor"/>
      </rPr>
      <t xml:space="preserve"> 08/09/1976 - 94th Congress (1975-1976)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07/12/1978 - 95th Congress (1977-1978) - General debate; approved by 95-0 vote. Record Vote Number 205. (All Actions) </t>
    </r>
  </si>
  <si>
    <r>
      <t xml:space="preserve">602. SECOND PROTOCOL TO THE 1975 TAX CONVENTION WITH THE UNITED KINGDOM Senate Consideration of Treaty Document 95-10 </t>
    </r>
    <r>
      <rPr>
        <b/>
        <sz val="12"/>
        <color theme="1"/>
        <rFont val="Calibri"/>
        <family val="2"/>
        <scheme val="minor"/>
      </rPr>
      <t>Date Received from President:</t>
    </r>
    <r>
      <rPr>
        <sz val="12"/>
        <color theme="1"/>
        <rFont val="Calibri"/>
        <family val="2"/>
        <scheme val="minor"/>
      </rPr>
      <t xml:space="preserve"> 06/06/1977 - 95th Congress (1977-1978)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06/27/1978 - 95th Congress (1977-1978) - General debate; approved by 82-5 vote. Record Vote Number: 178. (All Actions) </t>
    </r>
  </si>
  <si>
    <r>
      <t xml:space="preserve">603. TAX CONVENTION WITH THE UNITED KINGDOM Senate Consideration of Treaty Document 94-22 </t>
    </r>
    <r>
      <rPr>
        <b/>
        <sz val="12"/>
        <color theme="1"/>
        <rFont val="Calibri"/>
        <family val="2"/>
        <scheme val="minor"/>
      </rPr>
      <t>Date Received from President:</t>
    </r>
    <r>
      <rPr>
        <sz val="12"/>
        <color theme="1"/>
        <rFont val="Calibri"/>
        <family val="2"/>
        <scheme val="minor"/>
      </rPr>
      <t xml:space="preserve"> 06/24/1976 - 94th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06/27/1978 - 95th Congress (1977-1978) - General debate; approved by 82-5 vote. Record Vote Number: 178. (All Actions) </t>
    </r>
  </si>
  <si>
    <r>
      <t xml:space="preserve">604. PROTOCOL TO THE 1975 TAX CONVENTION WITH THE UNITED KINGDOM Senate Consideration of Treaty Document 94-28 </t>
    </r>
    <r>
      <rPr>
        <b/>
        <sz val="12"/>
        <color theme="1"/>
        <rFont val="Calibri"/>
        <family val="2"/>
        <scheme val="minor"/>
      </rPr>
      <t>Date Received from President:</t>
    </r>
    <r>
      <rPr>
        <sz val="12"/>
        <color theme="1"/>
        <rFont val="Calibri"/>
        <family val="2"/>
        <scheme val="minor"/>
      </rPr>
      <t xml:space="preserve"> 09/22/1976 - 94th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06/27/1978 - 95th Congress (1977-1978) - General debate; approved by 82-5 vote. Record Vote Number: 178. (All Actions) </t>
    </r>
  </si>
  <si>
    <r>
      <t xml:space="preserve">605. PANAMA CANAL TREATY Senate Consideration of Treaty Document 95-14(A) </t>
    </r>
    <r>
      <rPr>
        <b/>
        <sz val="12"/>
        <color theme="1"/>
        <rFont val="Calibri"/>
        <family val="2"/>
        <scheme val="minor"/>
      </rPr>
      <t>Date Received from President:</t>
    </r>
    <r>
      <rPr>
        <sz val="12"/>
        <color theme="1"/>
        <rFont val="Calibri"/>
        <family val="2"/>
        <scheme val="minor"/>
      </rPr>
      <t xml:space="preserve"> 09/16/1977 - 95th Congress (1977-1978)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04/18/1978 - 95th Congress (1977-1978) - Resolution of ratification agreed to with reservations and understandings by 68-32 vote. Record Vote Number: 119. (All Actions) </t>
    </r>
  </si>
  <si>
    <r>
      <t xml:space="preserve">606. TREATY CONCERNING THE PERMANENT NEUTRALITY AND OPERATION OF THE PANAMA CANAL Senate Consideration of Treaty Document 95-14(B) </t>
    </r>
    <r>
      <rPr>
        <b/>
        <sz val="12"/>
        <color theme="1"/>
        <rFont val="Calibri"/>
        <family val="2"/>
        <scheme val="minor"/>
      </rPr>
      <t>Date Received from President:</t>
    </r>
    <r>
      <rPr>
        <sz val="12"/>
        <color theme="1"/>
        <rFont val="Calibri"/>
        <family val="2"/>
        <scheme val="minor"/>
      </rPr>
      <t xml:space="preserve"> 09/16/1977 - 95th Congress (1977-1978)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03/16/1978 - 95th Congress (1977-1978) - Resolution of ratification with amendments, conditions, reservations and understandings agreed to by 68-32 vote. Record Vote Number: 66. (All Actions) </t>
    </r>
  </si>
  <si>
    <r>
      <t xml:space="preserve">607. PROTOCOL TO THE CONVENTION ON INTERNATIONAL CIVIL AVIATION Senate Consideration of Treaty Document 95-1 </t>
    </r>
    <r>
      <rPr>
        <b/>
        <sz val="12"/>
        <color theme="1"/>
        <rFont val="Calibri"/>
        <family val="2"/>
        <scheme val="minor"/>
      </rPr>
      <t>Date Received from President:</t>
    </r>
    <r>
      <rPr>
        <sz val="12"/>
        <color theme="1"/>
        <rFont val="Calibri"/>
        <family val="2"/>
        <scheme val="minor"/>
      </rPr>
      <t xml:space="preserve"> 01/11/1977 - 95th Congress (1977-1978)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09/26/1977 - 95th Congress (1977-1978) - General debate; approved by 90-0 vote. Record Vote Number 407. (All Actions) </t>
    </r>
  </si>
  <si>
    <r>
      <t xml:space="preserve">608. AGREEMENT WITH CANADA CONCERNING TRANSIT PIPELINES Senate Consideration of Treaty Document 95-6 </t>
    </r>
    <r>
      <rPr>
        <b/>
        <sz val="12"/>
        <color theme="1"/>
        <rFont val="Calibri"/>
        <family val="2"/>
        <scheme val="minor"/>
      </rPr>
      <t>Date Received from President:</t>
    </r>
    <r>
      <rPr>
        <sz val="12"/>
        <color theme="1"/>
        <rFont val="Calibri"/>
        <family val="2"/>
        <scheme val="minor"/>
      </rPr>
      <t xml:space="preserve"> 03/30/1977 - 95th Congress (1977-1978)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08/03/1977 - 95th Congress (1977-1978) - General debate; approved by voice vote; vote vitiated; approved by 92-1 vote. Record Vote Number 324. (All Actions) </t>
    </r>
  </si>
  <si>
    <r>
      <t xml:space="preserve">609. TREATY WITH MEXICO ON THE EXECUTION OF PENAL SENTENCES Senate Consideration of Treaty Document 95-4 </t>
    </r>
    <r>
      <rPr>
        <b/>
        <sz val="12"/>
        <color theme="1"/>
        <rFont val="Calibri"/>
        <family val="2"/>
        <scheme val="minor"/>
      </rPr>
      <t>Date Received from President:</t>
    </r>
    <r>
      <rPr>
        <sz val="12"/>
        <color theme="1"/>
        <rFont val="Calibri"/>
        <family val="2"/>
        <scheme val="minor"/>
      </rPr>
      <t xml:space="preserve"> 02/15/1977 - 95th Congress (1977-1978)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07/21/1977 - 95th Congress (1977-1978) - General debate; declaration agreed to; approved by 90-0 vote. Record Vote Number: 316. (All Actions) </t>
    </r>
  </si>
  <si>
    <r>
      <t xml:space="preserve">610. TREATY WITH CANADA ON THE EXECUTION OF PENAL SENTENCES Senate Consideration of Treaty Document 95-8 </t>
    </r>
    <r>
      <rPr>
        <b/>
        <sz val="12"/>
        <color theme="1"/>
        <rFont val="Calibri"/>
        <family val="2"/>
        <scheme val="minor"/>
      </rPr>
      <t>Date Received from President:</t>
    </r>
    <r>
      <rPr>
        <sz val="12"/>
        <color theme="1"/>
        <rFont val="Calibri"/>
        <family val="2"/>
        <scheme val="minor"/>
      </rPr>
      <t xml:space="preserve"> 04/18/1977 - 95th Congress (1977-1978)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07/19/1977 - 95th Congress (1977-1978) - General debate; declaration agreed to; approved by 95-0 vote. Record Vote Number: 301. (All Actions) </t>
    </r>
  </si>
  <si>
    <r>
      <t xml:space="preserve">611. PROTOCOL OF AMENDMENT TO THE INTER-AMERICAN TREATY OF RECIPROCAL ASSISTANCE (RIO TREATY) Senate Consideration of Treaty Document 94-10 </t>
    </r>
    <r>
      <rPr>
        <b/>
        <sz val="12"/>
        <color theme="1"/>
        <rFont val="Calibri"/>
        <family val="2"/>
        <scheme val="minor"/>
      </rPr>
      <t>Date Received from President:</t>
    </r>
    <r>
      <rPr>
        <sz val="12"/>
        <color theme="1"/>
        <rFont val="Calibri"/>
        <family val="2"/>
        <scheme val="minor"/>
      </rPr>
      <t xml:space="preserve"> 11/29/1975 - 94th Congress (1975-1976)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07/19/1977 - 95th Congress (1977-1978) - General debate; reservation agreed to; approved by 95-0 vote. Record Vote Number 300. (All Actions) </t>
    </r>
  </si>
  <si>
    <r>
      <t xml:space="preserve">612. AGREEMENT ON THE CONSERVATION OF POLAR BEARS Senate Consideration of Treaty Document 94-9 </t>
    </r>
    <r>
      <rPr>
        <b/>
        <sz val="12"/>
        <color theme="1"/>
        <rFont val="Calibri"/>
        <family val="2"/>
        <scheme val="minor"/>
      </rPr>
      <t>Date Received from President:</t>
    </r>
    <r>
      <rPr>
        <sz val="12"/>
        <color theme="1"/>
        <rFont val="Calibri"/>
        <family val="2"/>
        <scheme val="minor"/>
      </rPr>
      <t xml:space="preserve"> 11/28/1975 - 94th Congress (1975-1976)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09/15/1976 - 94th Congress (1975-1976) - General debate; approved by 88-0 vote. Record Vote Number: 595. (All Actions) </t>
    </r>
  </si>
  <si>
    <r>
      <t xml:space="preserve">613. CONVENTION FOR THE CONSERVATION OF ANTARCTIC SEALS Senate Consideration of Treaty Document 94-11 </t>
    </r>
    <r>
      <rPr>
        <b/>
        <sz val="12"/>
        <color theme="1"/>
        <rFont val="Calibri"/>
        <family val="2"/>
        <scheme val="minor"/>
      </rPr>
      <t>Date Received from President:</t>
    </r>
    <r>
      <rPr>
        <sz val="12"/>
        <color theme="1"/>
        <rFont val="Calibri"/>
        <family val="2"/>
        <scheme val="minor"/>
      </rPr>
      <t xml:space="preserve"> 12/17/1975 - 94th Congress (1975-1976)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09/15/1976 - 94th Congress (1975-1976) - General debate; approved by 88-0 vote. Record Vote Number: 596. (All Actions) </t>
    </r>
  </si>
  <si>
    <r>
      <t xml:space="preserve">614. FIFTH INTERNATIONAL TIN AGREEMENT Senate Consideration of Treaty Document 94-21 </t>
    </r>
    <r>
      <rPr>
        <b/>
        <sz val="12"/>
        <color theme="1"/>
        <rFont val="Calibri"/>
        <family val="2"/>
        <scheme val="minor"/>
      </rPr>
      <t>Date Received from President:</t>
    </r>
    <r>
      <rPr>
        <sz val="12"/>
        <color theme="1"/>
        <rFont val="Calibri"/>
        <family val="2"/>
        <scheme val="minor"/>
      </rPr>
      <t xml:space="preserve"> 06/23/1976 - 94th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09/15/1976 - 94th Congress (1975-1976) - General debate; approved by 71-17 vote. Record Vote Number: 598. (All Actions) </t>
    </r>
  </si>
  <si>
    <r>
      <t xml:space="preserve">615. CUSTOMS CONVENTION ON CONTAINERS, 1972, AND INTERNATIONAL CONVENTION FOR SAFE CONTAINERS Senate Consideration of Treaty Document 93-24 </t>
    </r>
    <r>
      <rPr>
        <b/>
        <sz val="12"/>
        <color theme="1"/>
        <rFont val="Calibri"/>
        <family val="2"/>
        <scheme val="minor"/>
      </rPr>
      <t>Date Received from President:</t>
    </r>
    <r>
      <rPr>
        <sz val="12"/>
        <color theme="1"/>
        <rFont val="Calibri"/>
        <family val="2"/>
        <scheme val="minor"/>
      </rPr>
      <t xml:space="preserve"> 11/14/1973 - 93rd Congress (1973-1974) </t>
    </r>
    <r>
      <rPr>
        <b/>
        <sz val="12"/>
        <color theme="1"/>
        <rFont val="Calibri"/>
        <family val="2"/>
        <scheme val="minor"/>
      </rPr>
      <t>Latest Senate Action:</t>
    </r>
    <r>
      <rPr>
        <sz val="12"/>
        <color theme="1"/>
        <rFont val="Calibri"/>
        <family val="2"/>
        <scheme val="minor"/>
      </rPr>
      <t xml:space="preserve"> 09/15/1976 - 94th Congress (1975-1976) - Resolution of advice and consent to ratification agreed to in Senate by Yea-Nay vote. 88-0. Record Vote No: 594 EX. (All Actions) </t>
    </r>
  </si>
  <si>
    <r>
      <t xml:space="preserve">616. PROTOCOL AMENDING THE INTERIM CONVENTION ON CONSERVATION OF NORTH PACIFIC FUR SEALS Senate Consideration of Treaty Document 94-24 </t>
    </r>
    <r>
      <rPr>
        <b/>
        <sz val="12"/>
        <color theme="1"/>
        <rFont val="Calibri"/>
        <family val="2"/>
        <scheme val="minor"/>
      </rPr>
      <t>Date Received from President:</t>
    </r>
    <r>
      <rPr>
        <sz val="12"/>
        <color theme="1"/>
        <rFont val="Calibri"/>
        <family val="2"/>
        <scheme val="minor"/>
      </rPr>
      <t xml:space="preserve"> 07/19/1976 - 94th Congress (1975-1976)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09/15/1976 - 94th Congress (1975-1976) - General debate; approved by 88-0 vote. Record Vote Number: 597. (All Actions) </t>
    </r>
  </si>
  <si>
    <r>
      <t xml:space="preserve">617. 1976 INTERNATIONAL COFFEE AGREEMENT Senate Consideration of Treaty Document 94-19 </t>
    </r>
    <r>
      <rPr>
        <b/>
        <sz val="12"/>
        <color theme="1"/>
        <rFont val="Calibri"/>
        <family val="2"/>
        <scheme val="minor"/>
      </rPr>
      <t>Date Received from President:</t>
    </r>
    <r>
      <rPr>
        <sz val="12"/>
        <color theme="1"/>
        <rFont val="Calibri"/>
        <family val="2"/>
        <scheme val="minor"/>
      </rPr>
      <t xml:space="preserve"> 04/05/1976 - 94th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08/23/1976 - 94th Congress (1975-1976) - Reported without reservation (Ex. Rept. 94-30); general debate; approved by 75-0 vote. (All Actions) </t>
    </r>
  </si>
  <si>
    <r>
      <t xml:space="preserve">618. 1976 PROTOCOLS FOR THE THIRD EXTENSION OF THE 1971 INTERNATIONAL WHEAT AGREEMENT Senate Consideration of Treaty Document 94-20 </t>
    </r>
    <r>
      <rPr>
        <b/>
        <sz val="12"/>
        <color theme="1"/>
        <rFont val="Calibri"/>
        <family val="2"/>
        <scheme val="minor"/>
      </rPr>
      <t>Date Received from President:</t>
    </r>
    <r>
      <rPr>
        <sz val="12"/>
        <color theme="1"/>
        <rFont val="Calibri"/>
        <family val="2"/>
        <scheme val="minor"/>
      </rPr>
      <t xml:space="preserve"> 06/18/1976 - 94th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08/23/1976 - 94th Congress (1975-1976) - Reported without reservation (Ex. Rept. 94-31); general debate; approved by 75-0 vote. (All Actions) </t>
    </r>
  </si>
  <si>
    <r>
      <t xml:space="preserve">619. EXTRADITION TREATY WITH THE UNITED KINGDOM Senate Consideration of Treaty Document 94-12 </t>
    </r>
    <r>
      <rPr>
        <b/>
        <sz val="12"/>
        <color theme="1"/>
        <rFont val="Calibri"/>
        <family val="2"/>
        <scheme val="minor"/>
      </rPr>
      <t>Date Received from President:</t>
    </r>
    <r>
      <rPr>
        <sz val="12"/>
        <color theme="1"/>
        <rFont val="Calibri"/>
        <family val="2"/>
        <scheme val="minor"/>
      </rPr>
      <t xml:space="preserve"> 02/03/1976 - 94th Congress (1975-1976)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06/21/1976 - 94th Congress (1975-1976) - General debate; approved by 88-0 vote. Record Vote Number 305. (All Actions) </t>
    </r>
  </si>
  <si>
    <r>
      <t xml:space="preserve">620. SUPPLEMENTARY EXTRADITION TREATY WITH SPAIN Senate Consideration of Treaty Document 94-13 </t>
    </r>
    <r>
      <rPr>
        <b/>
        <sz val="12"/>
        <color theme="1"/>
        <rFont val="Calibri"/>
        <family val="2"/>
        <scheme val="minor"/>
      </rPr>
      <t>Date Received from President:</t>
    </r>
    <r>
      <rPr>
        <sz val="12"/>
        <color theme="1"/>
        <rFont val="Calibri"/>
        <family val="2"/>
        <scheme val="minor"/>
      </rPr>
      <t xml:space="preserve"> 02/03/1976 - 94th Congress (1975-1976)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06/21/1976 - 94th Congress (1975-1976) - General debate; approved by 88-0 vote. Record Vote Number 304. (All Actions) </t>
    </r>
  </si>
  <si>
    <r>
      <t xml:space="preserve">621. TREATY OF FRIENDSHIP AND COOPERATION WITH SPAIN Senate Consideration of Treaty Document 94-16 </t>
    </r>
    <r>
      <rPr>
        <b/>
        <sz val="12"/>
        <color theme="1"/>
        <rFont val="Calibri"/>
        <family val="2"/>
        <scheme val="minor"/>
      </rPr>
      <t>Date Received from President:</t>
    </r>
    <r>
      <rPr>
        <sz val="12"/>
        <color theme="1"/>
        <rFont val="Calibri"/>
        <family val="2"/>
        <scheme val="minor"/>
      </rPr>
      <t xml:space="preserve"> 02/18/1976 - 94th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06/21/1976 - 94th Congress (1975-1976) - General debate; declaration approved by 91-4 vote; treaty approved by 84-11 vote. Record Vote Number 309. (All Actions) </t>
    </r>
  </si>
  <si>
    <r>
      <t xml:space="preserve">622. TREATY WITH SWITZERLAND ON MUTUAL ASSISTANCE IN CRIMINAL MATTERS Senate Consideration of Treaty Document 94-17 </t>
    </r>
    <r>
      <rPr>
        <b/>
        <sz val="12"/>
        <color theme="1"/>
        <rFont val="Calibri"/>
        <family val="2"/>
        <scheme val="minor"/>
      </rPr>
      <t>Date Received from President:</t>
    </r>
    <r>
      <rPr>
        <sz val="12"/>
        <color theme="1"/>
        <rFont val="Calibri"/>
        <family val="2"/>
        <scheme val="minor"/>
      </rPr>
      <t xml:space="preserve"> 02/18/1976 - 94th Congress (1975-1976)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06/21/1976 - 94th Congress (1975-1976) - General debate; approved by 88-0 vote. Record Vote Number 307. (All Actions) </t>
    </r>
  </si>
  <si>
    <r>
      <t xml:space="preserve">623. CONVENTION ON REGISTRATION OF OBJECTS LAUNCHED INTO OUTER SPACE Senate Consideration of Treaty Document 94-18 </t>
    </r>
    <r>
      <rPr>
        <b/>
        <sz val="12"/>
        <color theme="1"/>
        <rFont val="Calibri"/>
        <family val="2"/>
        <scheme val="minor"/>
      </rPr>
      <t>Date Received from President:</t>
    </r>
    <r>
      <rPr>
        <sz val="12"/>
        <color theme="1"/>
        <rFont val="Calibri"/>
        <family val="2"/>
        <scheme val="minor"/>
      </rPr>
      <t xml:space="preserve"> 03/18/1976 - 94th Congress (1975-1976)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06/21/1976 - 94th Congress (1975-1976) - General debate; approved by 88-0 vote. Record Vote Number 306. (All Actions) </t>
    </r>
  </si>
  <si>
    <r>
      <t xml:space="preserve">624. PARTIAL REVISION OF THE RADIO REGULATIONS (GENEVA 1959) Senate Consideration of Treaty Document 94-7 </t>
    </r>
    <r>
      <rPr>
        <b/>
        <sz val="12"/>
        <color theme="1"/>
        <rFont val="Calibri"/>
        <family val="2"/>
        <scheme val="minor"/>
      </rPr>
      <t>Date Received from President:</t>
    </r>
    <r>
      <rPr>
        <sz val="12"/>
        <color theme="1"/>
        <rFont val="Calibri"/>
        <family val="2"/>
        <scheme val="minor"/>
      </rPr>
      <t xml:space="preserve"> 07/16/1975 - 94th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01/22/1976 - 94th Congress (1975-1976) - General debate; approved by 88-0 vote. Record Vote Number 6. (All Actions) </t>
    </r>
  </si>
  <si>
    <r>
      <t xml:space="preserve">625. TELEGRAPH AND TELEPHONE REGULATIONS, 1973 Senate Consideration of Treaty Document 93-29 </t>
    </r>
    <r>
      <rPr>
        <b/>
        <sz val="12"/>
        <color theme="1"/>
        <rFont val="Calibri"/>
        <family val="2"/>
        <scheme val="minor"/>
      </rPr>
      <t>Date Received from President:</t>
    </r>
    <r>
      <rPr>
        <sz val="12"/>
        <color theme="1"/>
        <rFont val="Calibri"/>
        <family val="2"/>
        <scheme val="minor"/>
      </rPr>
      <t xml:space="preserve"> 08/05/1974 - 93rd Congress (1973-1974) </t>
    </r>
    <r>
      <rPr>
        <b/>
        <sz val="12"/>
        <color theme="1"/>
        <rFont val="Calibri"/>
        <family val="2"/>
        <scheme val="minor"/>
      </rPr>
      <t>Latest Senate Action:</t>
    </r>
    <r>
      <rPr>
        <sz val="12"/>
        <color theme="1"/>
        <rFont val="Calibri"/>
        <family val="2"/>
        <scheme val="minor"/>
      </rPr>
      <t xml:space="preserve"> 01/22/1976 - 94th Congress (1975-1976) - Resolution of advice and consent to ratification agreed to in Senate by Yea-Nay vote. 88-0. Record Vote No: 5 EX. (All Actions) </t>
    </r>
  </si>
  <si>
    <r>
      <t xml:space="preserve">626. INTERNATIONAL TELECOMMUNICATIONS CONVENTION, 1973 Senate Consideration of Treaty Document 93-34 </t>
    </r>
    <r>
      <rPr>
        <b/>
        <sz val="12"/>
        <color theme="1"/>
        <rFont val="Calibri"/>
        <family val="2"/>
        <scheme val="minor"/>
      </rPr>
      <t>Date Received from President:</t>
    </r>
    <r>
      <rPr>
        <sz val="12"/>
        <color theme="1"/>
        <rFont val="Calibri"/>
        <family val="2"/>
        <scheme val="minor"/>
      </rPr>
      <t xml:space="preserve"> 10/17/1974 - 93rd Congress (1973-1974) </t>
    </r>
    <r>
      <rPr>
        <b/>
        <sz val="12"/>
        <color theme="1"/>
        <rFont val="Calibri"/>
        <family val="2"/>
        <scheme val="minor"/>
      </rPr>
      <t>Latest Senate Action:</t>
    </r>
    <r>
      <rPr>
        <sz val="12"/>
        <color theme="1"/>
        <rFont val="Calibri"/>
        <family val="2"/>
        <scheme val="minor"/>
      </rPr>
      <t xml:space="preserve"> 01/22/1976 - 94th Congress (1975-1976) - Resolution of advice and consent to ratification agreed to in Senate by Yea-Nay vote. 88-0. Record Vote No: 4 EX. (All Actions) </t>
    </r>
  </si>
  <si>
    <r>
      <t xml:space="preserve">627. CONVENTION WITH THE UNION OF SOVIET SOCIALIST REPUBLICS ON MATTERS OF TAXATION Senate Consideration of Treaty Document 93-20 </t>
    </r>
    <r>
      <rPr>
        <b/>
        <sz val="12"/>
        <color theme="1"/>
        <rFont val="Calibri"/>
        <family val="2"/>
        <scheme val="minor"/>
      </rPr>
      <t>Date Received from President:</t>
    </r>
    <r>
      <rPr>
        <sz val="12"/>
        <color theme="1"/>
        <rFont val="Calibri"/>
        <family val="2"/>
        <scheme val="minor"/>
      </rPr>
      <t xml:space="preserve"> 09/19/1973 - 93rd Congress (1973-1974)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12/15/1975 - 94th Congress (1975-1976) - Resolution of advice and consent to ratification agreed to in Senate by Yea-Nay vote. 82-4. Record Vote No: 590 EX. (All Actions) </t>
    </r>
  </si>
  <si>
    <r>
      <t xml:space="preserve">628. PROTOCOLS FOR THE FURTHER EXTENSION OF THE 1971 INTERNATIONAL WHEAT AGREEMENT Senate Consideration of Treaty Document 94-3 </t>
    </r>
    <r>
      <rPr>
        <b/>
        <sz val="12"/>
        <color theme="1"/>
        <rFont val="Calibri"/>
        <family val="2"/>
        <scheme val="minor"/>
      </rPr>
      <t>Date Received from President:</t>
    </r>
    <r>
      <rPr>
        <sz val="12"/>
        <color theme="1"/>
        <rFont val="Calibri"/>
        <family val="2"/>
        <scheme val="minor"/>
      </rPr>
      <t xml:space="preserve"> 06/11/1975 - 94th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12/01/1975 - 94th Congress (1975-1976) - General debate; approved by 79-0 vote. Record Vote Number 531. (All Actions) </t>
    </r>
  </si>
  <si>
    <r>
      <t xml:space="preserve">629. EXTRADITION TREATY WITH AUSTRALIA Senate Consideration of Treaty Document 93-30 </t>
    </r>
    <r>
      <rPr>
        <b/>
        <sz val="12"/>
        <color theme="1"/>
        <rFont val="Calibri"/>
        <family val="2"/>
        <scheme val="minor"/>
      </rPr>
      <t>Date Received from President:</t>
    </r>
    <r>
      <rPr>
        <sz val="12"/>
        <color theme="1"/>
        <rFont val="Calibri"/>
        <family val="2"/>
        <scheme val="minor"/>
      </rPr>
      <t xml:space="preserve"> 08/22/1974 - 93rd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12/01/1975 - 94th Congress (1975-1976) - Resolution of advice and consent to ratification agreed to in Senate by Yea-Nay vote. 79-0. Record Vote No: 592 EX. (All Actions) </t>
    </r>
  </si>
  <si>
    <r>
      <t xml:space="preserve">630. EXTRADITION TREATY WITH CANADA Senate Consideration of Treaty Document 93-31 </t>
    </r>
    <r>
      <rPr>
        <b/>
        <sz val="12"/>
        <color theme="1"/>
        <rFont val="Calibri"/>
        <family val="2"/>
        <scheme val="minor"/>
      </rPr>
      <t>Date Received from President:</t>
    </r>
    <r>
      <rPr>
        <sz val="12"/>
        <color theme="1"/>
        <rFont val="Calibri"/>
        <family val="2"/>
        <scheme val="minor"/>
      </rPr>
      <t xml:space="preserve"> 09/12/1974 - 93rd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12/01/1975 - 94th Congress (1975-1976) - Resolution of advice and consent to ratification agreed to in Senate by Yea-Nay vote. 79-0. Record Vote No: 530 EX. (All Actions) </t>
    </r>
  </si>
  <si>
    <r>
      <t xml:space="preserve">631. INCOME TAX CONVENTION WITH POLAND Senate Consideration of Treaty Document 94-1 </t>
    </r>
    <r>
      <rPr>
        <b/>
        <sz val="12"/>
        <color theme="1"/>
        <rFont val="Calibri"/>
        <family val="2"/>
        <scheme val="minor"/>
      </rPr>
      <t>Date Received from President:</t>
    </r>
    <r>
      <rPr>
        <sz val="12"/>
        <color theme="1"/>
        <rFont val="Calibri"/>
        <family val="2"/>
        <scheme val="minor"/>
      </rPr>
      <t xml:space="preserve"> 01/23/1975 - 94th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11/18/1975 - 94th Congress (1975-1976) - General debate; approved by 97-0 vote. Record Vote Number 502. (All Actions) </t>
    </r>
  </si>
  <si>
    <r>
      <t xml:space="preserve">632. TAX CONVENTION WITH ICELAND Senate Consideration of Treaty Document 94-5 </t>
    </r>
    <r>
      <rPr>
        <b/>
        <sz val="12"/>
        <color theme="1"/>
        <rFont val="Calibri"/>
        <family val="2"/>
        <scheme val="minor"/>
      </rPr>
      <t>Date Received from President:</t>
    </r>
    <r>
      <rPr>
        <sz val="12"/>
        <color theme="1"/>
        <rFont val="Calibri"/>
        <family val="2"/>
        <scheme val="minor"/>
      </rPr>
      <t xml:space="preserve"> 07/08/1975 - 94th Congress (1975-1976)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11/18/1975 - 94th Congress (1975-1976) - General debate; approved by 97-0 vote. Record Vote Number 501. (All Actions) </t>
    </r>
  </si>
  <si>
    <r>
      <t xml:space="preserve">633. TAX CONVENTION WITH ROMANIA Senate Consideration of Treaty Document 93-26 </t>
    </r>
    <r>
      <rPr>
        <b/>
        <sz val="12"/>
        <color theme="1"/>
        <rFont val="Calibri"/>
        <family val="2"/>
        <scheme val="minor"/>
      </rPr>
      <t>Date Received from President:</t>
    </r>
    <r>
      <rPr>
        <sz val="12"/>
        <color theme="1"/>
        <rFont val="Calibri"/>
        <family val="2"/>
        <scheme val="minor"/>
      </rPr>
      <t xml:space="preserve"> 03/28/1974 - 93rd Congress (1973-1974)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11/18/1975 - 94th Congress (1975-1976) - Resolution of advice and consent to ratification agreed to in Senate by Yea-Nay vote. 97-0. Record Vote No: 503 EX. (All Actions) </t>
    </r>
  </si>
  <si>
    <r>
      <t xml:space="preserve">634. PROTOCOL TO THE TREATY WITH THE UNION OF SOVIET SOCIALIST REPUBLICS ON THE LIMITATION OF ANTIBALLISTIC MISSLE SYSTEMS (SALT I) Senate Consideration of Treaty Document 93-33 </t>
    </r>
    <r>
      <rPr>
        <b/>
        <sz val="12"/>
        <color theme="1"/>
        <rFont val="Calibri"/>
        <family val="2"/>
        <scheme val="minor"/>
      </rPr>
      <t>Date Received from President:</t>
    </r>
    <r>
      <rPr>
        <sz val="12"/>
        <color theme="1"/>
        <rFont val="Calibri"/>
        <family val="2"/>
        <scheme val="minor"/>
      </rPr>
      <t xml:space="preserve"> 09/19/1974 - 93rd Congress (1973-1974)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11/10/1975 - 94th Congress (1975-1976) - Resolution of advice and consent to ratification agreed to in Senate by Yea-Nay vote. 63-15. Record Vote No: 475 EX. (All Actions) </t>
    </r>
  </si>
  <si>
    <r>
      <t xml:space="preserve">635. PROTOCOL FOR THE CONTINUATION IN FORCE OF THE 1968 INTERNATIONAL COFFEE AGREEMENT Senate Consideration of Treaty Document 94-2 </t>
    </r>
    <r>
      <rPr>
        <b/>
        <sz val="12"/>
        <color theme="1"/>
        <rFont val="Calibri"/>
        <family val="2"/>
        <scheme val="minor"/>
      </rPr>
      <t>Date Received from President:</t>
    </r>
    <r>
      <rPr>
        <sz val="12"/>
        <color theme="1"/>
        <rFont val="Calibri"/>
        <family val="2"/>
        <scheme val="minor"/>
      </rPr>
      <t xml:space="preserve"> 04/16/1975 - 94th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10/28/1975 - 94th Congress (1975-1976) - General debate; approved by 94-0 vote. Record Vote Number 456. (All Actions) </t>
    </r>
  </si>
  <si>
    <r>
      <t xml:space="preserve">636. AGREEMENT WITH BRAZIL CONCERNING SHRIMP Senate Consideration of Treaty Document 94-4 </t>
    </r>
    <r>
      <rPr>
        <b/>
        <sz val="12"/>
        <color theme="1"/>
        <rFont val="Calibri"/>
        <family val="2"/>
        <scheme val="minor"/>
      </rPr>
      <t>Date Received from President:</t>
    </r>
    <r>
      <rPr>
        <sz val="12"/>
        <color theme="1"/>
        <rFont val="Calibri"/>
        <family val="2"/>
        <scheme val="minor"/>
      </rPr>
      <t xml:space="preserve"> 06/11/1975 - 94th Congress (1975-1976)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10/28/1975 - 94th Congress (1975-1976) - General debate; approved by 94-0 vote. Record Vote Number: 457. (All Actions) </t>
    </r>
  </si>
  <si>
    <r>
      <t xml:space="preserve">637. AMENDMENTS TO CERTAIN ARTICLES OF THE CONVENTION ON THE INTERGOVERNMENTAL MARITIME CONSULTATIVE ORGANIZATION Senate Consideration of Treaty Document 94-6 </t>
    </r>
    <r>
      <rPr>
        <b/>
        <sz val="12"/>
        <color theme="1"/>
        <rFont val="Calibri"/>
        <family val="2"/>
        <scheme val="minor"/>
      </rPr>
      <t>Date Received from President:</t>
    </r>
    <r>
      <rPr>
        <sz val="12"/>
        <color theme="1"/>
        <rFont val="Calibri"/>
        <family val="2"/>
        <scheme val="minor"/>
      </rPr>
      <t xml:space="preserve"> 07/10/1975 - 94th Congress (1975-1976)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10/28/1975 - 94th Congress (1975-1976) - General debate; approved by 94-0 vote. Record Vote Number 458. (All Actions) </t>
    </r>
  </si>
  <si>
    <r>
      <t xml:space="preserve">638. CONVENTION ON THE INTERNATIONAL REGULATIONS FOR PREVENTING COLLISIONS AT SEA, 1972 Senate Consideration of Treaty Document 93-23 </t>
    </r>
    <r>
      <rPr>
        <b/>
        <sz val="12"/>
        <color theme="1"/>
        <rFont val="Calibri"/>
        <family val="2"/>
        <scheme val="minor"/>
      </rPr>
      <t>Date Received from President:</t>
    </r>
    <r>
      <rPr>
        <sz val="12"/>
        <color theme="1"/>
        <rFont val="Calibri"/>
        <family val="2"/>
        <scheme val="minor"/>
      </rPr>
      <t xml:space="preserve"> 11/09/1973 - 93rd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10/28/1975 - 94th Congress (1975-1976) - Resolution of advice and consent to ratification agreed to in Senate by Yea-Nay vote. 94-0. Record Vote No: 453 EX. (All Actions) </t>
    </r>
  </si>
  <si>
    <r>
      <t xml:space="preserve">639. AMENDMENTS TO THE CONVENTION FOR THE SAFETY OF LIFE AT SEA, 1960 Senate Consideration of Treaty Document 93-35 </t>
    </r>
    <r>
      <rPr>
        <b/>
        <sz val="12"/>
        <color theme="1"/>
        <rFont val="Calibri"/>
        <family val="2"/>
        <scheme val="minor"/>
      </rPr>
      <t>Date Received from President:</t>
    </r>
    <r>
      <rPr>
        <sz val="12"/>
        <color theme="1"/>
        <rFont val="Calibri"/>
        <family val="2"/>
        <scheme val="minor"/>
      </rPr>
      <t xml:space="preserve"> 10/17/1974 - 93rd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10/28/1975 - 94th Congress (1975-1976) - Resolution of advice and consent to ratification agreed to in Senate by Yea-Nay vote. 94-0. Record Vote No: 454 EX. (All Actions) </t>
    </r>
  </si>
  <si>
    <r>
      <t xml:space="preserve">640. CONVENTION ON THE PREVENTION AND PUNISHMENT OF CRIMES AGAINST INTERNATIONALLY PROTECTED PERSONS Senate Consideration of Treaty Document 93-36 </t>
    </r>
    <r>
      <rPr>
        <b/>
        <sz val="12"/>
        <color theme="1"/>
        <rFont val="Calibri"/>
        <family val="2"/>
        <scheme val="minor"/>
      </rPr>
      <t>Date Received from President:</t>
    </r>
    <r>
      <rPr>
        <sz val="12"/>
        <color theme="1"/>
        <rFont val="Calibri"/>
        <family val="2"/>
        <scheme val="minor"/>
      </rPr>
      <t xml:space="preserve"> 11/13/1974 - 93rd Congress (1973-1974) </t>
    </r>
    <r>
      <rPr>
        <b/>
        <sz val="12"/>
        <color theme="1"/>
        <rFont val="Calibri"/>
        <family val="2"/>
        <scheme val="minor"/>
      </rPr>
      <t>Latest Senate Action:</t>
    </r>
    <r>
      <rPr>
        <sz val="12"/>
        <color theme="1"/>
        <rFont val="Calibri"/>
        <family val="2"/>
        <scheme val="minor"/>
      </rPr>
      <t xml:space="preserve"> 10/28/1975 - 94th Congress (1975-1976) - Resolution of advice and consent to ratification agreed to in Senate by Yea-Nay vote. 94-0. Record Vote No: 455 EX. (All Actions) </t>
    </r>
  </si>
  <si>
    <r>
      <t xml:space="preserve">641. AGREEMENT FOR THE CREATION OF AN INTERNATIONAL OFFICE OF EPIZOOTICS Senate Consideration of Treaty Document 93-37 </t>
    </r>
    <r>
      <rPr>
        <b/>
        <sz val="12"/>
        <color theme="1"/>
        <rFont val="Calibri"/>
        <family val="2"/>
        <scheme val="minor"/>
      </rPr>
      <t>Date Received from President:</t>
    </r>
    <r>
      <rPr>
        <sz val="12"/>
        <color theme="1"/>
        <rFont val="Calibri"/>
        <family val="2"/>
        <scheme val="minor"/>
      </rPr>
      <t xml:space="preserve"> 12/02/1974 - 93rd Congress (1973-1974) </t>
    </r>
    <r>
      <rPr>
        <b/>
        <sz val="12"/>
        <color theme="1"/>
        <rFont val="Calibri"/>
        <family val="2"/>
        <scheme val="minor"/>
      </rPr>
      <t>Latest Senate Action:</t>
    </r>
    <r>
      <rPr>
        <sz val="12"/>
        <color theme="1"/>
        <rFont val="Calibri"/>
        <family val="2"/>
        <scheme val="minor"/>
      </rPr>
      <t xml:space="preserve"> 05/06/1975 - 94th Congress (1975-1976) - Resolution of advice and consent to ratification agreed to in Senate by Yea-Nay vote. 82-0. Record Vote No: 162 EX. (All Actions) </t>
    </r>
  </si>
  <si>
    <r>
      <t xml:space="preserve">642. PROTOCOL FOR THE PROHIBITION OF THE USE IN WAR OF ASPHYXIATING, POISONOUS, OR OTHER GASES, AND OF BACTERIOLOGICAL METHODS OF WARFARE Senate Consideration of Treaty Document 91-20 </t>
    </r>
    <r>
      <rPr>
        <b/>
        <sz val="12"/>
        <color theme="1"/>
        <rFont val="Calibri"/>
        <family val="2"/>
        <scheme val="minor"/>
      </rPr>
      <t>Date Received from President:</t>
    </r>
    <r>
      <rPr>
        <sz val="12"/>
        <color theme="1"/>
        <rFont val="Calibri"/>
        <family val="2"/>
        <scheme val="minor"/>
      </rPr>
      <t xml:space="preserve"> 08/19/1970 - 91st Congress (1969-1970)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12/16/1974 - 93rd Congress (1973-1974) - Resolution of advice and consent to ratification agreed to in Senate by Yea-Nay vote. 90-0. Record Vote No: 552 EX. (All Actions) </t>
    </r>
  </si>
  <si>
    <r>
      <t xml:space="preserve">643. AMENDED TEXT TO ARTICLE VII OF THE CONVENTION ON FACILITATION OF INTERNATIONAL MARITIME TRAFFIC, 1965 Senate Consideration of Treaty Document 93-28 </t>
    </r>
    <r>
      <rPr>
        <b/>
        <sz val="12"/>
        <color theme="1"/>
        <rFont val="Calibri"/>
        <family val="2"/>
        <scheme val="minor"/>
      </rPr>
      <t>Date Received from President:</t>
    </r>
    <r>
      <rPr>
        <sz val="12"/>
        <color theme="1"/>
        <rFont val="Calibri"/>
        <family val="2"/>
        <scheme val="minor"/>
      </rPr>
      <t xml:space="preserve"> 07/29/1974 - 93rd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12/16/1974 - 93rd Congress (1973-1974) - Resolution of advice and consent to ratification agreed to in Senate by Yea-Nay vote. 90-0. Record Vote No: 554 EX. (All Actions) </t>
    </r>
  </si>
  <si>
    <r>
      <t xml:space="preserve">644. CONVENTION ON THE PROHIBITION OF BACTERIOLOGICAL AND TOXIN WEAPONS Senate Consideration of Treaty Document 92-29 </t>
    </r>
    <r>
      <rPr>
        <b/>
        <sz val="12"/>
        <color theme="1"/>
        <rFont val="Calibri"/>
        <family val="2"/>
        <scheme val="minor"/>
      </rPr>
      <t>Date Received from President:</t>
    </r>
    <r>
      <rPr>
        <sz val="12"/>
        <color theme="1"/>
        <rFont val="Calibri"/>
        <family val="2"/>
        <scheme val="minor"/>
      </rPr>
      <t xml:space="preserve"> 08/10/1972 - 92nd Congress (1971-1972) </t>
    </r>
    <r>
      <rPr>
        <b/>
        <sz val="12"/>
        <color theme="1"/>
        <rFont val="Calibri"/>
        <family val="2"/>
        <scheme val="minor"/>
      </rPr>
      <t>Latest Senate Action:</t>
    </r>
    <r>
      <rPr>
        <sz val="12"/>
        <color theme="1"/>
        <rFont val="Calibri"/>
        <family val="2"/>
        <scheme val="minor"/>
      </rPr>
      <t xml:space="preserve"> 12/16/1974 - 93rd Congress (1973-1974) - Resolution of advice and consent to ratification agreed to in Senate by Yea-Nay vote. 90-0. Record Vote No: 553 EX. (All Actions) </t>
    </r>
  </si>
  <si>
    <r>
      <t xml:space="preserve">645. CONSULAR CONVENTION WITH BULGARIA Senate Consideration of Treaty Document 93-32 </t>
    </r>
    <r>
      <rPr>
        <b/>
        <sz val="12"/>
        <color theme="1"/>
        <rFont val="Calibri"/>
        <family val="2"/>
        <scheme val="minor"/>
      </rPr>
      <t>Date Received from President:</t>
    </r>
    <r>
      <rPr>
        <sz val="12"/>
        <color theme="1"/>
        <rFont val="Calibri"/>
        <family val="2"/>
        <scheme val="minor"/>
      </rPr>
      <t xml:space="preserve"> 09/12/1974 - 93rd Congress (1973-1974)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12/16/1974 - 93rd Congress (1973-1974) - Resolution of advice and consent to ratification agreed to in Senate by Yea-Nay vote. 90-0. Record Vote No: 555 EX. (All Actions) </t>
    </r>
  </si>
  <si>
    <r>
      <t xml:space="preserve">646. CONSULAR CONVENTION WITH THE CZECHOSLOVAK SOCIALIST REPUBLIC Senate Consideration of Treaty Document 93-25 </t>
    </r>
    <r>
      <rPr>
        <b/>
        <sz val="12"/>
        <color theme="1"/>
        <rFont val="Calibri"/>
        <family val="2"/>
        <scheme val="minor"/>
      </rPr>
      <t>Date Received from President:</t>
    </r>
    <r>
      <rPr>
        <sz val="12"/>
        <color theme="1"/>
        <rFont val="Calibri"/>
        <family val="2"/>
        <scheme val="minor"/>
      </rPr>
      <t xml:space="preserve"> 02/21/1974 - 93rd Congress (1973-1974)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09/30/1974 - 93rd Congress (1973-1974) - Resolution of advice and consent to ratification agreed to in Senate by Yea-Nay vote. 78-0. Record Vote No: 427 EX. (All Actions) </t>
    </r>
  </si>
  <si>
    <r>
      <t xml:space="preserve">647. PROTOCOL TO THE CONVENTION FOR THE INTERNATIONAL COUNCIL FOR THE EXPLORATION OF THE SEA Senate Consideration of Treaty Document 93-22 </t>
    </r>
    <r>
      <rPr>
        <b/>
        <sz val="12"/>
        <color theme="1"/>
        <rFont val="Calibri"/>
        <family val="2"/>
        <scheme val="minor"/>
      </rPr>
      <t>Date Received from President:</t>
    </r>
    <r>
      <rPr>
        <sz val="12"/>
        <color theme="1"/>
        <rFont val="Calibri"/>
        <family val="2"/>
        <scheme val="minor"/>
      </rPr>
      <t xml:space="preserve"> 11/09/1973 - 93rd Congress (1973-1974) </t>
    </r>
    <r>
      <rPr>
        <b/>
        <sz val="12"/>
        <color theme="1"/>
        <rFont val="Calibri"/>
        <family val="2"/>
        <scheme val="minor"/>
      </rPr>
      <t>Latest Senate Action:</t>
    </r>
    <r>
      <rPr>
        <sz val="12"/>
        <color theme="1"/>
        <rFont val="Calibri"/>
        <family val="2"/>
        <scheme val="minor"/>
      </rPr>
      <t xml:space="preserve"> 09/04/1974 - 93rd Congress (1973-1974) - Resolution of advice and consent to ratification agreed to in Senate by Yea-Nay vote. 65-0. Record Vote No: 361 EX. (All Actions) </t>
    </r>
  </si>
  <si>
    <r>
      <t xml:space="preserve">648. PROTOCOLS FOR THE EXTENSION OF THE INTERNATIONAL WHEAT AGREEMENT, 1971 Senate Consideration of Treaty Document 93-27 </t>
    </r>
    <r>
      <rPr>
        <b/>
        <sz val="12"/>
        <color theme="1"/>
        <rFont val="Calibri"/>
        <family val="2"/>
        <scheme val="minor"/>
      </rPr>
      <t>Date Received from President:</t>
    </r>
    <r>
      <rPr>
        <sz val="12"/>
        <color theme="1"/>
        <rFont val="Calibri"/>
        <family val="2"/>
        <scheme val="minor"/>
      </rPr>
      <t xml:space="preserve"> 05/14/1974 - 93rd Congress (1973-1974)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06/21/1974 - 93rd Congress (1973-1974) - Resolution of advice and consent to ratification agreed to in Senate by Yea-Nay vote. 75-0. Record Vote No: 217 EX. (All Actions) </t>
    </r>
  </si>
  <si>
    <r>
      <t xml:space="preserve">649. VIENNA CONVENTION ON THE LAW OF TREATIES Senate Consideration of Treaty Document 92-12 </t>
    </r>
    <r>
      <rPr>
        <b/>
        <sz val="12"/>
        <color theme="1"/>
        <rFont val="Calibri"/>
        <family val="2"/>
        <scheme val="minor"/>
      </rPr>
      <t>Date Received from President:</t>
    </r>
    <r>
      <rPr>
        <sz val="12"/>
        <color theme="1"/>
        <rFont val="Calibri"/>
        <family val="2"/>
        <scheme val="minor"/>
      </rPr>
      <t xml:space="preserve"> 11/22/1971 - 92nd Congress (1971-1972)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04/30/1974 - 93rd Congress (1973-1974) - Committee on Foreign Relations. Committee consideration held. (All Actions) </t>
    </r>
  </si>
  <si>
    <r>
      <t xml:space="preserve">650. TREATY ON EXTRADITION WITH DENMARK Senate Consideration of Treaty Document 93-21 </t>
    </r>
    <r>
      <rPr>
        <b/>
        <sz val="12"/>
        <color theme="1"/>
        <rFont val="Calibri"/>
        <family val="2"/>
        <scheme val="minor"/>
      </rPr>
      <t>Date Received from President:</t>
    </r>
    <r>
      <rPr>
        <sz val="12"/>
        <color theme="1"/>
        <rFont val="Calibri"/>
        <family val="2"/>
        <scheme val="minor"/>
      </rPr>
      <t xml:space="preserve"> 10/30/1973 - 93rd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03/29/1974 - 93rd Congress (1973-1974) - Resolution of advice and consent to ratification agreed to in Senate by Yea-Nay vote. 63-0. Record Vote No: 92 EX. (All Actions) </t>
    </r>
  </si>
  <si>
    <r>
      <t xml:space="preserve">651. CUSTOMS CONVENTION ON THE INTERNATIONAL TRANSIT OF GOODS Senate Consideration of Treaty Document 93-16 </t>
    </r>
    <r>
      <rPr>
        <b/>
        <sz val="12"/>
        <color theme="1"/>
        <rFont val="Calibri"/>
        <family val="2"/>
        <scheme val="minor"/>
      </rPr>
      <t>Date Received from President:</t>
    </r>
    <r>
      <rPr>
        <sz val="12"/>
        <color theme="1"/>
        <rFont val="Calibri"/>
        <family val="2"/>
        <scheme val="minor"/>
      </rPr>
      <t xml:space="preserve"> 07/23/1973 - 93rd Congress (1973-1974) </t>
    </r>
    <r>
      <rPr>
        <b/>
        <sz val="12"/>
        <color theme="1"/>
        <rFont val="Calibri"/>
        <family val="2"/>
        <scheme val="minor"/>
      </rPr>
      <t>Latest Senate Action:</t>
    </r>
    <r>
      <rPr>
        <sz val="12"/>
        <color theme="1"/>
        <rFont val="Calibri"/>
        <family val="2"/>
        <scheme val="minor"/>
      </rPr>
      <t xml:space="preserve"> 01/21/1974 - 93rd Congress (1973-1974) - Resolution of advice and consent to ratification agreed to in Senate by Yea-Nay vote. 82-0. Record Vote No: 2 EX. (All Actions) </t>
    </r>
  </si>
  <si>
    <r>
      <t xml:space="preserve">652. PROTOCOL AMENDING THE 1928 CONVENTION CONCERNING INTERNATIONAL EXPOSITIONS Senate Consideration of Treaty Document 93-14 </t>
    </r>
    <r>
      <rPr>
        <b/>
        <sz val="12"/>
        <color theme="1"/>
        <rFont val="Calibri"/>
        <family val="2"/>
        <scheme val="minor"/>
      </rPr>
      <t>Date Received from President:</t>
    </r>
    <r>
      <rPr>
        <sz val="12"/>
        <color theme="1"/>
        <rFont val="Calibri"/>
        <family val="2"/>
        <scheme val="minor"/>
      </rPr>
      <t xml:space="preserve"> 07/19/1973 - 93rd Congress (1973-1974) </t>
    </r>
    <r>
      <rPr>
        <b/>
        <sz val="12"/>
        <color theme="1"/>
        <rFont val="Calibri"/>
        <family val="2"/>
        <scheme val="minor"/>
      </rPr>
      <t>Latest Senate Action:</t>
    </r>
    <r>
      <rPr>
        <sz val="12"/>
        <color theme="1"/>
        <rFont val="Calibri"/>
        <family val="2"/>
        <scheme val="minor"/>
      </rPr>
      <t xml:space="preserve"> 11/26/1973 - 93rd Congress (1973-1974) - Resolution of advice and consent to ratification agreed to in Senate by Yea-Nay vote. 76-0. Record Vote No: 495 EX. (All Actions) </t>
    </r>
  </si>
  <si>
    <r>
      <t xml:space="preserve">653. PROTOCOL TO THE INTERNATIONAL CIVIL AVIATION CONVENTION Senate Consideration of Treaty Document 93-17 </t>
    </r>
    <r>
      <rPr>
        <b/>
        <sz val="12"/>
        <color theme="1"/>
        <rFont val="Calibri"/>
        <family val="2"/>
        <scheme val="minor"/>
      </rPr>
      <t>Date Received from President:</t>
    </r>
    <r>
      <rPr>
        <sz val="12"/>
        <color theme="1"/>
        <rFont val="Calibri"/>
        <family val="2"/>
        <scheme val="minor"/>
      </rPr>
      <t xml:space="preserve"> 09/12/1973 - 93rd Congress (1973-1974)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11/26/1973 - 93rd Congress (1973-1974) - Resolution of advice and consent to ratification agreed to in Senate by Yea-Nay vote. 76-0. Record Vote No: 496 EX. (All Actions) </t>
    </r>
  </si>
  <si>
    <r>
      <t xml:space="preserve">654. STRASBOURG AGREEMENT CONCERNING THE INTERNATIONAL PATENT CLASSIFICATION Senate Consideration of Treaty Document 93-5 </t>
    </r>
    <r>
      <rPr>
        <b/>
        <sz val="12"/>
        <color theme="1"/>
        <rFont val="Calibri"/>
        <family val="2"/>
        <scheme val="minor"/>
      </rPr>
      <t>Date Received from President:</t>
    </r>
    <r>
      <rPr>
        <sz val="12"/>
        <color theme="1"/>
        <rFont val="Calibri"/>
        <family val="2"/>
        <scheme val="minor"/>
      </rPr>
      <t xml:space="preserve"> 03/22/1973 - 93rd Congress (1973-1974)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10/30/1973 - 93rd Congress (1973-1974) - Approved by 95-0 vote (No. 456 Ex.). (All Actions) </t>
    </r>
  </si>
  <si>
    <r>
      <t xml:space="preserve">655. CONVENTION CONCERNING THE PROTECTION OF THE WORLD CULTURAL AND NATURAL HERITAGE Senate Consideration of Treaty Document 93-6 </t>
    </r>
    <r>
      <rPr>
        <b/>
        <sz val="12"/>
        <color theme="1"/>
        <rFont val="Calibri"/>
        <family val="2"/>
        <scheme val="minor"/>
      </rPr>
      <t>Date Received from President:</t>
    </r>
    <r>
      <rPr>
        <sz val="12"/>
        <color theme="1"/>
        <rFont val="Calibri"/>
        <family val="2"/>
        <scheme val="minor"/>
      </rPr>
      <t xml:space="preserve"> 03/28/1973 - 93rd Congress (1973-1974) </t>
    </r>
    <r>
      <rPr>
        <b/>
        <sz val="12"/>
        <color theme="1"/>
        <rFont val="Calibri"/>
        <family val="2"/>
        <scheme val="minor"/>
      </rPr>
      <t>Latest Senate Action:</t>
    </r>
    <r>
      <rPr>
        <sz val="12"/>
        <color theme="1"/>
        <rFont val="Calibri"/>
        <family val="2"/>
        <scheme val="minor"/>
      </rPr>
      <t xml:space="preserve"> 10/30/1973 - 93rd Congress (1973-1974) - Approved 95-0 vote (No. 458 Ex.). (All Actions) </t>
    </r>
  </si>
  <si>
    <r>
      <t xml:space="preserve">656. STATUTES OF THE WORLD TOURISM ORGANIZATION Senate Consideration of Treaty Document 93-18 </t>
    </r>
    <r>
      <rPr>
        <b/>
        <sz val="12"/>
        <color theme="1"/>
        <rFont val="Calibri"/>
        <family val="2"/>
        <scheme val="minor"/>
      </rPr>
      <t>Date Received from President:</t>
    </r>
    <r>
      <rPr>
        <sz val="12"/>
        <color theme="1"/>
        <rFont val="Calibri"/>
        <family val="2"/>
        <scheme val="minor"/>
      </rPr>
      <t xml:space="preserve"> 09/12/1973 - 93rd Congress (1973-1974) </t>
    </r>
    <r>
      <rPr>
        <b/>
        <sz val="12"/>
        <color theme="1"/>
        <rFont val="Calibri"/>
        <family val="2"/>
        <scheme val="minor"/>
      </rPr>
      <t>Latest Senate Action:</t>
    </r>
    <r>
      <rPr>
        <sz val="12"/>
        <color theme="1"/>
        <rFont val="Calibri"/>
        <family val="2"/>
        <scheme val="minor"/>
      </rPr>
      <t xml:space="preserve"> 10/30/1973 - 93rd Congress (1973-1974) - Approved by 95-0 vote (No. 457 Ex.). (All Actions) </t>
    </r>
  </si>
  <si>
    <r>
      <t xml:space="preserve">657. PATENT COOPERATION TREATY AND ANNEXED REGULATIONS Senate Consideration of Treaty Document 92-31 </t>
    </r>
    <r>
      <rPr>
        <b/>
        <sz val="12"/>
        <color theme="1"/>
        <rFont val="Calibri"/>
        <family val="2"/>
        <scheme val="minor"/>
      </rPr>
      <t>Date Received from President:</t>
    </r>
    <r>
      <rPr>
        <sz val="12"/>
        <color theme="1"/>
        <rFont val="Calibri"/>
        <family val="2"/>
        <scheme val="minor"/>
      </rPr>
      <t xml:space="preserve"> 09/12/1972 - 92nd Congress (1971-1972) </t>
    </r>
    <r>
      <rPr>
        <b/>
        <sz val="12"/>
        <color theme="1"/>
        <rFont val="Calibri"/>
        <family val="2"/>
        <scheme val="minor"/>
      </rPr>
      <t>Latest Senate Action:</t>
    </r>
    <r>
      <rPr>
        <sz val="12"/>
        <color theme="1"/>
        <rFont val="Calibri"/>
        <family val="2"/>
        <scheme val="minor"/>
      </rPr>
      <t xml:space="preserve"> 10/30/1973 - 93rd Congress (1973-1974) - Resolution of advice and consent to ratification agreed to in Senate by Yea-Nay vote. 95-0. Record Vote No: 455 EX. (All Actions) </t>
    </r>
  </si>
  <si>
    <r>
      <t xml:space="preserve">658. CONVENTION FOR THE PROTECTION OF PRODUCERS OF PHONOGRAMS Senate Consideration of Treaty Document 93-7 </t>
    </r>
    <r>
      <rPr>
        <b/>
        <sz val="12"/>
        <color theme="1"/>
        <rFont val="Calibri"/>
        <family val="2"/>
        <scheme val="minor"/>
      </rPr>
      <t>Date Received from President:</t>
    </r>
    <r>
      <rPr>
        <sz val="12"/>
        <color theme="1"/>
        <rFont val="Calibri"/>
        <family val="2"/>
        <scheme val="minor"/>
      </rPr>
      <t xml:space="preserve"> 04/11/1973 - 93rd Congress (1973-1974)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429 EX. (All Actions) </t>
    </r>
  </si>
  <si>
    <r>
      <t xml:space="preserve">659. AGREEMENT WITH CANADA FOR PROMOTION OF SAFETY ON THE GREAT LAKES BY MEANS OF RADIO, 1973 Senate Consideration of Treaty Document 93-10 </t>
    </r>
    <r>
      <rPr>
        <b/>
        <sz val="12"/>
        <color theme="1"/>
        <rFont val="Calibri"/>
        <family val="2"/>
        <scheme val="minor"/>
      </rPr>
      <t>Date Received from President:</t>
    </r>
    <r>
      <rPr>
        <sz val="12"/>
        <color theme="1"/>
        <rFont val="Calibri"/>
        <family val="2"/>
        <scheme val="minor"/>
      </rPr>
      <t xml:space="preserve"> 05/11/1973 - 93rd Congress (1973-1974)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428 EX. (All Actions) </t>
    </r>
  </si>
  <si>
    <r>
      <t xml:space="preserve">660. EXTRADITION TREATY WITH URUGUAY Senate Consideration of Treaty Document 93-11 </t>
    </r>
    <r>
      <rPr>
        <b/>
        <sz val="12"/>
        <color theme="1"/>
        <rFont val="Calibri"/>
        <family val="2"/>
        <scheme val="minor"/>
      </rPr>
      <t>Date Received from President:</t>
    </r>
    <r>
      <rPr>
        <sz val="12"/>
        <color theme="1"/>
        <rFont val="Calibri"/>
        <family val="2"/>
        <scheme val="minor"/>
      </rPr>
      <t xml:space="preserve"> 05/21/1973 - 93rd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432. (All Actions) </t>
    </r>
  </si>
  <si>
    <r>
      <t xml:space="preserve">661. EXTRADITION TREATY WITH ITALY Senate Consideration of Treaty Document 93-13 </t>
    </r>
    <r>
      <rPr>
        <b/>
        <sz val="12"/>
        <color theme="1"/>
        <rFont val="Calibri"/>
        <family val="2"/>
        <scheme val="minor"/>
      </rPr>
      <t>Date Received from President:</t>
    </r>
    <r>
      <rPr>
        <sz val="12"/>
        <color theme="1"/>
        <rFont val="Calibri"/>
        <family val="2"/>
        <scheme val="minor"/>
      </rPr>
      <t xml:space="preserve"> 06/26/1973 - 93rd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430 EX. (All Actions) </t>
    </r>
  </si>
  <si>
    <r>
      <t xml:space="preserve">662. INTERNATIONAL COFFEE AGREEMENT 1968 AS EXTENDED Senate Consideration of Treaty Document 93-15 </t>
    </r>
    <r>
      <rPr>
        <b/>
        <sz val="12"/>
        <color theme="1"/>
        <rFont val="Calibri"/>
        <family val="2"/>
        <scheme val="minor"/>
      </rPr>
      <t>Date Received from President:</t>
    </r>
    <r>
      <rPr>
        <sz val="12"/>
        <color theme="1"/>
        <rFont val="Calibri"/>
        <family val="2"/>
        <scheme val="minor"/>
      </rPr>
      <t xml:space="preserve"> 07/23/1973 - 93rd Congress (1973-1974)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427 EX. (All Actions) </t>
    </r>
  </si>
  <si>
    <r>
      <t xml:space="preserve">663. TREATY OF EXTRADITION WITH PARAGUAY Senate Consideration of Treaty Document 93-19 </t>
    </r>
    <r>
      <rPr>
        <b/>
        <sz val="12"/>
        <color theme="1"/>
        <rFont val="Calibri"/>
        <family val="2"/>
        <scheme val="minor"/>
      </rPr>
      <t>Date Received from President:</t>
    </r>
    <r>
      <rPr>
        <sz val="12"/>
        <color theme="1"/>
        <rFont val="Calibri"/>
        <family val="2"/>
        <scheme val="minor"/>
      </rPr>
      <t xml:space="preserve"> 09/12/1973 - 93rd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10/01/1973 - 93rd Congress (1973-1974) - Resolution of advice and consent to ratification agreed to in Senate by Yea-Nay vote. 95-0. Record Vote No: 431 EX. (All Actions) </t>
    </r>
  </si>
  <si>
    <r>
      <t xml:space="preserve">664. AMENDMENT TO ARTICLE 61 OF THE CHARTER OF THE UNITED NATIONS Senate Consideration of Treaty Document 93-12 </t>
    </r>
    <r>
      <rPr>
        <b/>
        <sz val="12"/>
        <color theme="1"/>
        <rFont val="Calibri"/>
        <family val="2"/>
        <scheme val="minor"/>
      </rPr>
      <t>Date Received from President:</t>
    </r>
    <r>
      <rPr>
        <sz val="12"/>
        <color theme="1"/>
        <rFont val="Calibri"/>
        <family val="2"/>
        <scheme val="minor"/>
      </rPr>
      <t xml:space="preserve"> 05/18/1973 - 93rd Congress (1973-1974)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09/05/1973 - 93rd Congress (1973-1974) - Resolution of advice and consent to ratification agreed to in Senate by Yea-Nay vote. 80-7. Record Vote No: 366. (All Actions) </t>
    </r>
  </si>
  <si>
    <r>
      <t xml:space="preserve">665. CONVENTION ON THE PREVENTION OF MARINE POLLUTION Senate Consideration of Treaty Document 93-3 </t>
    </r>
    <r>
      <rPr>
        <b/>
        <sz val="12"/>
        <color theme="1"/>
        <rFont val="Calibri"/>
        <family val="2"/>
        <scheme val="minor"/>
      </rPr>
      <t>Date Received from President:</t>
    </r>
    <r>
      <rPr>
        <sz val="12"/>
        <color theme="1"/>
        <rFont val="Calibri"/>
        <family val="2"/>
        <scheme val="minor"/>
      </rPr>
      <t xml:space="preserve"> 02/28/1973 - 93rd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08/03/1973 - 93rd Congress (1973-1974) - Approved by 86-0 vote. Record Vote Number 359. (All Actions) </t>
    </r>
  </si>
  <si>
    <r>
      <t xml:space="preserve">666. AMENDMENTS TO THE INTERNATIONAL CONVENTION ON LOAD LINES, 1966 Senate Consideration of Treaty Document 93-4 </t>
    </r>
    <r>
      <rPr>
        <b/>
        <sz val="12"/>
        <color theme="1"/>
        <rFont val="Calibri"/>
        <family val="2"/>
        <scheme val="minor"/>
      </rPr>
      <t>Date Received from President:</t>
    </r>
    <r>
      <rPr>
        <sz val="12"/>
        <color theme="1"/>
        <rFont val="Calibri"/>
        <family val="2"/>
        <scheme val="minor"/>
      </rPr>
      <t xml:space="preserve"> 03/22/1973 - 93rd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08/03/1973 - 93rd Congress (1973-1974) - Approved by 86-0 vote (No. 361 Ex). (All Actions) </t>
    </r>
  </si>
  <si>
    <r>
      <t xml:space="preserve">667. CONVENTION ON INTERNATIONAL TRADE IN ENDANGERED SPECIES OF WILD FAUNA AND FLORA Senate Consideration of Treaty Document 93-8 </t>
    </r>
    <r>
      <rPr>
        <b/>
        <sz val="12"/>
        <color theme="1"/>
        <rFont val="Calibri"/>
        <family val="2"/>
        <scheme val="minor"/>
      </rPr>
      <t>Date Received from President:</t>
    </r>
    <r>
      <rPr>
        <sz val="12"/>
        <color theme="1"/>
        <rFont val="Calibri"/>
        <family val="2"/>
        <scheme val="minor"/>
      </rPr>
      <t xml:space="preserve"> 04/13/1973 - 93rd Congress (1973-1974) </t>
    </r>
    <r>
      <rPr>
        <b/>
        <sz val="12"/>
        <color theme="1"/>
        <rFont val="Calibri"/>
        <family val="2"/>
        <scheme val="minor"/>
      </rPr>
      <t>Latest Senate Action:</t>
    </r>
    <r>
      <rPr>
        <sz val="12"/>
        <color theme="1"/>
        <rFont val="Calibri"/>
        <family val="2"/>
        <scheme val="minor"/>
      </rPr>
      <t xml:space="preserve"> 08/03/1973 - 93rd Congress (1973-1974) - Resolution of advice and consent to ratification agreed to in Senate by Yea-Nay vote. 86-0. Record Vote No: 360 EX. (All Actions) </t>
    </r>
  </si>
  <si>
    <r>
      <t xml:space="preserve">668. SIX AMENDMENTS TO THE CONVENTION FOR THE SAFETY OF LIFE AT SEA, 1960 Senate Consideration of Treaty Document 93-9 </t>
    </r>
    <r>
      <rPr>
        <b/>
        <sz val="12"/>
        <color theme="1"/>
        <rFont val="Calibri"/>
        <family val="2"/>
        <scheme val="minor"/>
      </rPr>
      <t>Date Received from President:</t>
    </r>
    <r>
      <rPr>
        <sz val="12"/>
        <color theme="1"/>
        <rFont val="Calibri"/>
        <family val="2"/>
        <scheme val="minor"/>
      </rPr>
      <t xml:space="preserve"> 05/09/1973 - 93rd Congress (1973-1974)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08/03/1973 - 93rd Congress (1973-1974) - Resolution of advice and consent to ratification agreed to in Senate by Yea-Nay vote. 89-0. Record Vote No: 362 EX. (All Actions) </t>
    </r>
  </si>
  <si>
    <r>
      <t xml:space="preserve">669. EXCHANGE OF NOTES WITH ETHIOPIA CONCERNING THE ADMINISTRATION OF JUSTICE Senate Consideration of Treaty Document 93-2 </t>
    </r>
    <r>
      <rPr>
        <b/>
        <sz val="12"/>
        <color theme="1"/>
        <rFont val="Calibri"/>
        <family val="2"/>
        <scheme val="minor"/>
      </rPr>
      <t>Date Received from President:</t>
    </r>
    <r>
      <rPr>
        <sz val="12"/>
        <color theme="1"/>
        <rFont val="Calibri"/>
        <family val="2"/>
        <scheme val="minor"/>
      </rPr>
      <t xml:space="preserve"> 01/26/1973 - 93rd Congress (1973-1974)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03/27/1973 - 93rd Congress (1973-1974) - Consideration and general debate; approved by 92-0 vote. Record Vote Number 59. (All Actions) </t>
    </r>
  </si>
  <si>
    <r>
      <t xml:space="preserve">670. CONVENTION WITH JAPAN FOR THE PROTECTION OF BIRDS AND THEIR ENVIRONMENT Senate Consideration of Treaty Document 92-30 </t>
    </r>
    <r>
      <rPr>
        <b/>
        <sz val="12"/>
        <color theme="1"/>
        <rFont val="Calibri"/>
        <family val="2"/>
        <scheme val="minor"/>
      </rPr>
      <t>Date Received from President:</t>
    </r>
    <r>
      <rPr>
        <sz val="12"/>
        <color theme="1"/>
        <rFont val="Calibri"/>
        <family val="2"/>
        <scheme val="minor"/>
      </rPr>
      <t xml:space="preserve"> 08/18/1972 - 92nd Congress (1971-1972)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03/27/1973 - 93rd Congress (1973-1974) - Resolution of advice and consent to ratification agreed to in Senate by Yea-Nay vote. 92-0. Record Vote No: 60 EX. (All Actions) </t>
    </r>
  </si>
  <si>
    <r>
      <t xml:space="preserve">671. CONSULAR CONVENTION WITH POLAND Senate Consideration of Treaty Document 92-33 </t>
    </r>
    <r>
      <rPr>
        <b/>
        <sz val="12"/>
        <color theme="1"/>
        <rFont val="Calibri"/>
        <family val="2"/>
        <scheme val="minor"/>
      </rPr>
      <t>Date Received from President:</t>
    </r>
    <r>
      <rPr>
        <sz val="12"/>
        <color theme="1"/>
        <rFont val="Calibri"/>
        <family val="2"/>
        <scheme val="minor"/>
      </rPr>
      <t xml:space="preserve"> 09/19/1972 - 92nd Congress (1971-1972)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03/27/1973 - 93rd Congress (1973-1974) - Resolution of advice and consent to ratification agreed to in Senate by Yea-Nay vote. 90-0. Record Vote No: 56 EX. (All Actions) </t>
    </r>
  </si>
  <si>
    <r>
      <t xml:space="preserve">672. CONSULAR CONVENTION WITH ROMANIA Senate Consideration of Treaty Document 92-34 </t>
    </r>
    <r>
      <rPr>
        <b/>
        <sz val="12"/>
        <color theme="1"/>
        <rFont val="Calibri"/>
        <family val="2"/>
        <scheme val="minor"/>
      </rPr>
      <t>Date Received from President:</t>
    </r>
    <r>
      <rPr>
        <sz val="12"/>
        <color theme="1"/>
        <rFont val="Calibri"/>
        <family val="2"/>
        <scheme val="minor"/>
      </rPr>
      <t xml:space="preserve"> 09/19/1972 - 92nd Congress (1971-1972)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03/27/1973 - 93rd Congress (1973-1974) - Resolution of advice and consent to ratification agreed to in Senate by Yea-Nay vote. 92-0. Record Vote No: 57 EX. (All Actions) </t>
    </r>
  </si>
  <si>
    <r>
      <t xml:space="preserve">673. CONSULAR CONVENTION WITH HUNGARY Senate Consideration of Treaty Document 92-35 </t>
    </r>
    <r>
      <rPr>
        <b/>
        <sz val="12"/>
        <color theme="1"/>
        <rFont val="Calibri"/>
        <family val="2"/>
        <scheme val="minor"/>
      </rPr>
      <t>Date Received from President:</t>
    </r>
    <r>
      <rPr>
        <sz val="12"/>
        <color theme="1"/>
        <rFont val="Calibri"/>
        <family val="2"/>
        <scheme val="minor"/>
      </rPr>
      <t xml:space="preserve"> 09/19/1972 - 92nd Congress (1971-1972)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03/27/1973 - 93rd Congress (1973-1974) - Resolution of advice and consent to ratification agreed to in Senate by Yea-Nay vote. 92-0. Record Vote No: 58 EX. (All Actions) </t>
    </r>
  </si>
  <si>
    <r>
      <t xml:space="preserve">674. CONVENTION ON INTERNATIONAL LIABILITY FOR DAMAGE CAUSED BY SPACE OBJECTS Senate Consideration of Treaty Document 92-25 </t>
    </r>
    <r>
      <rPr>
        <b/>
        <sz val="12"/>
        <color theme="1"/>
        <rFont val="Calibri"/>
        <family val="2"/>
        <scheme val="minor"/>
      </rPr>
      <t>Date Received from President:</t>
    </r>
    <r>
      <rPr>
        <sz val="12"/>
        <color theme="1"/>
        <rFont val="Calibri"/>
        <family val="2"/>
        <scheme val="minor"/>
      </rPr>
      <t xml:space="preserve"> 06/15/1972 - 92nd Congress (1971-1972) </t>
    </r>
    <r>
      <rPr>
        <b/>
        <sz val="12"/>
        <color theme="1"/>
        <rFont val="Calibri"/>
        <family val="2"/>
        <scheme val="minor"/>
      </rPr>
      <t>Latest Senate Action:</t>
    </r>
    <r>
      <rPr>
        <sz val="12"/>
        <color theme="1"/>
        <rFont val="Calibri"/>
        <family val="2"/>
        <scheme val="minor"/>
      </rPr>
      <t xml:space="preserve"> 10/06/1972 - 92nd Congress (1971-1972) - Resolution of advice and consent to ratification agreed to in Senate by Yea-Nay vote. 67-0. Record Vote No: 537 EX. (All Actions) </t>
    </r>
  </si>
  <si>
    <r>
      <t xml:space="preserve">675. PROTOCOL TO THE INTERNATIONAL CONVENTION FOR THE NORTHWEST ATLANTIC FISHERIES RELATING TO AMENDMENTS TO THE CONVENTION Senate Consideration of Treaty Document 92-3 </t>
    </r>
    <r>
      <rPr>
        <b/>
        <sz val="12"/>
        <color theme="1"/>
        <rFont val="Calibri"/>
        <family val="2"/>
        <scheme val="minor"/>
      </rPr>
      <t>Date Received from President:</t>
    </r>
    <r>
      <rPr>
        <sz val="12"/>
        <color theme="1"/>
        <rFont val="Calibri"/>
        <family val="2"/>
        <scheme val="minor"/>
      </rPr>
      <t xml:space="preserve"> 05/11/1971 - 92nd Congress (1971-1972)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10/03/1972 - 92nd Congress (1971-1972) - Resolution of advice and consent to ratification agreed to in Senate by Yea-Nay vote. 89-0. Record Vote No: 499 EX. (All Actions) </t>
    </r>
  </si>
  <si>
    <r>
      <t xml:space="preserve">676. AMENDMENTS TO THE CONVENTION FOR THE SAFETY OF LIFE AT SEA, 1960 Senate Consideration of Treaty Document 92-27 </t>
    </r>
    <r>
      <rPr>
        <b/>
        <sz val="12"/>
        <color theme="1"/>
        <rFont val="Calibri"/>
        <family val="2"/>
        <scheme val="minor"/>
      </rPr>
      <t>Date Received from President:</t>
    </r>
    <r>
      <rPr>
        <sz val="12"/>
        <color theme="1"/>
        <rFont val="Calibri"/>
        <family val="2"/>
        <scheme val="minor"/>
      </rPr>
      <t xml:space="preserve"> 07/24/1972 - 92nd Congress (1971-1972)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10/03/1972 - 92nd Congress (1971-1972) - Resolution of advice and consent to ratification agreed to in Senate by Yea-Nay vote. 89-0. Record Vote No: 500 EX. (All Actions) </t>
    </r>
  </si>
  <si>
    <r>
      <t xml:space="preserve">677. AGREEMENT WITH BRAZIL CONCERNING SHRIMP Senate Consideration of Treaty Document 92-28 </t>
    </r>
    <r>
      <rPr>
        <b/>
        <sz val="12"/>
        <color theme="1"/>
        <rFont val="Calibri"/>
        <family val="2"/>
        <scheme val="minor"/>
      </rPr>
      <t>Date Received from President:</t>
    </r>
    <r>
      <rPr>
        <sz val="12"/>
        <color theme="1"/>
        <rFont val="Calibri"/>
        <family val="2"/>
        <scheme val="minor"/>
      </rPr>
      <t xml:space="preserve"> 07/28/1972 - 92nd Congress (1971-1972) </t>
    </r>
    <r>
      <rPr>
        <b/>
        <sz val="12"/>
        <color theme="1"/>
        <rFont val="Calibri"/>
        <family val="2"/>
        <scheme val="minor"/>
      </rPr>
      <t>Latest Senate Action:</t>
    </r>
    <r>
      <rPr>
        <sz val="12"/>
        <color theme="1"/>
        <rFont val="Calibri"/>
        <family val="2"/>
        <scheme val="minor"/>
      </rPr>
      <t xml:space="preserve"> 10/03/1972 - 92nd Congress (1971-1972) - Resolution of advice and consent to ratification agreed to in Senate by Yea-Nay vote. 89-0. Record Vote No: 501 EX. (All Actions) </t>
    </r>
  </si>
  <si>
    <r>
      <t xml:space="preserve">678. CONVENTION FOR THE SUPPRESSION OF UNLAWFUL ACTS AGAINST THE SAFETY OF CIVIL AVIATION Senate Consideration of Treaty Document 92-32 </t>
    </r>
    <r>
      <rPr>
        <b/>
        <sz val="12"/>
        <color theme="1"/>
        <rFont val="Calibri"/>
        <family val="2"/>
        <scheme val="minor"/>
      </rPr>
      <t>Date Received from President:</t>
    </r>
    <r>
      <rPr>
        <sz val="12"/>
        <color theme="1"/>
        <rFont val="Calibri"/>
        <family val="2"/>
        <scheme val="minor"/>
      </rPr>
      <t xml:space="preserve"> 09/15/1972 - 92nd Congress (1971-1972)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10/03/1972 - 92nd Congress (1971-1972) - Resolution of advice and consent to ratification agreed to in Senate by Yea-Nay vote. 89-0. Record Vote No: 502 EX. (All Actions) </t>
    </r>
  </si>
  <si>
    <r>
      <t xml:space="preserve">679. PROTOCOL AMENDING THE SINGLE CONVENTION ON NARCOTIC DRUGS, 1961 Senate Consideration of Treaty Document 92-22 </t>
    </r>
    <r>
      <rPr>
        <b/>
        <sz val="12"/>
        <color theme="1"/>
        <rFont val="Calibri"/>
        <family val="2"/>
        <scheme val="minor"/>
      </rPr>
      <t>Date Received from President:</t>
    </r>
    <r>
      <rPr>
        <sz val="12"/>
        <color theme="1"/>
        <rFont val="Calibri"/>
        <family val="2"/>
        <scheme val="minor"/>
      </rPr>
      <t xml:space="preserve"> 05/04/1972 - 92nd Congress (1971-1972) </t>
    </r>
    <r>
      <rPr>
        <b/>
        <sz val="12"/>
        <color theme="1"/>
        <rFont val="Calibri"/>
        <family val="2"/>
        <scheme val="minor"/>
      </rPr>
      <t>Latest Senate Action:</t>
    </r>
    <r>
      <rPr>
        <sz val="12"/>
        <color theme="1"/>
        <rFont val="Calibri"/>
        <family val="2"/>
        <scheme val="minor"/>
      </rPr>
      <t xml:space="preserve"> 09/18/1972 - 92nd Congress (1971-1972) - Resolution of advice and consent to ratification agreed to in Senate by Yea-Nay vote. 69-0. Record Vote No: 440 EX. (All Actions) </t>
    </r>
  </si>
  <si>
    <r>
      <t xml:space="preserve">680. UNIVERSAL COPYRIGHT CONVENTION, AS REVISED, WITH PROTOCOLS Senate Consideration of Treaty Document 92-19 </t>
    </r>
    <r>
      <rPr>
        <b/>
        <sz val="12"/>
        <color theme="1"/>
        <rFont val="Calibri"/>
        <family val="2"/>
        <scheme val="minor"/>
      </rPr>
      <t>Date Received from President:</t>
    </r>
    <r>
      <rPr>
        <sz val="12"/>
        <color theme="1"/>
        <rFont val="Calibri"/>
        <family val="2"/>
        <scheme val="minor"/>
      </rPr>
      <t xml:space="preserve"> 03/15/1972 - 92nd Congress (1971-1972) </t>
    </r>
    <r>
      <rPr>
        <b/>
        <sz val="12"/>
        <color theme="1"/>
        <rFont val="Calibri"/>
        <family val="2"/>
        <scheme val="minor"/>
      </rPr>
      <t>Latest Senate Action:</t>
    </r>
    <r>
      <rPr>
        <sz val="12"/>
        <color theme="1"/>
        <rFont val="Calibri"/>
        <family val="2"/>
        <scheme val="minor"/>
      </rPr>
      <t xml:space="preserve"> 08/14/1972 - 92nd Congress (1971-1972) - Approved by 67-0 vote. (All Actions) </t>
    </r>
  </si>
  <si>
    <r>
      <t xml:space="preserve">681. CONVENTION ON OWNERSHIP OF CULTURAL PROPERTY Senate Consideration of Treaty Document 92-14 </t>
    </r>
    <r>
      <rPr>
        <b/>
        <sz val="12"/>
        <color theme="1"/>
        <rFont val="Calibri"/>
        <family val="2"/>
        <scheme val="minor"/>
      </rPr>
      <t>Date Received from President:</t>
    </r>
    <r>
      <rPr>
        <sz val="12"/>
        <color theme="1"/>
        <rFont val="Calibri"/>
        <family val="2"/>
        <scheme val="minor"/>
      </rPr>
      <t xml:space="preserve"> 02/02/1972 - 92nd Congress (1971-1972) </t>
    </r>
    <r>
      <rPr>
        <b/>
        <sz val="12"/>
        <color theme="1"/>
        <rFont val="Calibri"/>
        <family val="2"/>
        <scheme val="minor"/>
      </rPr>
      <t>Latest Senate Action:</t>
    </r>
    <r>
      <rPr>
        <sz val="12"/>
        <color theme="1"/>
        <rFont val="Calibri"/>
        <family val="2"/>
        <scheme val="minor"/>
      </rPr>
      <t xml:space="preserve"> 08/11/1972 - 92nd Congress (1971-1972) - Resolution of advice and consent to ratification agreed to in Senate by Yea-Nay vote. 79-0. Record Vote No: 374 EX. (All Actions) </t>
    </r>
  </si>
  <si>
    <r>
      <t xml:space="preserve">682. TAX CONVENTION WITH NORWAY Senate Consideration of Treaty Document 92-16 </t>
    </r>
    <r>
      <rPr>
        <b/>
        <sz val="12"/>
        <color theme="1"/>
        <rFont val="Calibri"/>
        <family val="2"/>
        <scheme val="minor"/>
      </rPr>
      <t>Date Received from President:</t>
    </r>
    <r>
      <rPr>
        <sz val="12"/>
        <color theme="1"/>
        <rFont val="Calibri"/>
        <family val="2"/>
        <scheme val="minor"/>
      </rPr>
      <t xml:space="preserve"> 02/03/1972 - 92nd Congress (1971-1972)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08/11/1972 - 92nd Congress (1971-1972) - Resolution of advice and consent to ratification agreed to in Senate by Yea-Nay vote. 70-0. Record Vote No: 376 EX. (All Actions) </t>
    </r>
  </si>
  <si>
    <r>
      <t xml:space="preserve">683. CONVENTION ESTABLISHING AN INTERNATIONAL ORGANIZATION OF LEGAL METROLOGY Senate Consideration of Treaty Document 92-21 </t>
    </r>
    <r>
      <rPr>
        <b/>
        <sz val="12"/>
        <color theme="1"/>
        <rFont val="Calibri"/>
        <family val="2"/>
        <scheme val="minor"/>
      </rPr>
      <t>Date Received from President:</t>
    </r>
    <r>
      <rPr>
        <sz val="12"/>
        <color theme="1"/>
        <rFont val="Calibri"/>
        <family val="2"/>
        <scheme val="minor"/>
      </rPr>
      <t xml:space="preserve"> 04/11/1972 - 92nd Congress (1971-1972) </t>
    </r>
    <r>
      <rPr>
        <b/>
        <sz val="12"/>
        <color theme="1"/>
        <rFont val="Calibri"/>
        <family val="2"/>
        <scheme val="minor"/>
      </rPr>
      <t>Latest Senate Action:</t>
    </r>
    <r>
      <rPr>
        <sz val="12"/>
        <color theme="1"/>
        <rFont val="Calibri"/>
        <family val="2"/>
        <scheme val="minor"/>
      </rPr>
      <t xml:space="preserve"> 08/11/1972 - 92nd Congress (1971-1972) - Resolution of advice and consent to ratification agreed to in Senate by Yea-Nay vote. 79-0. Record Vote No: 375 EX. (All Actions) </t>
    </r>
  </si>
  <si>
    <r>
      <t xml:space="preserve">684. ABM TREATY AND INTERIM AGREEMENT AND ASSOCIATED PROTOCOL Senate Consideration of Treaty Document 92-24 </t>
    </r>
    <r>
      <rPr>
        <b/>
        <sz val="12"/>
        <color theme="1"/>
        <rFont val="Calibri"/>
        <family val="2"/>
        <scheme val="minor"/>
      </rPr>
      <t>Date Received from President:</t>
    </r>
    <r>
      <rPr>
        <sz val="12"/>
        <color theme="1"/>
        <rFont val="Calibri"/>
        <family val="2"/>
        <scheme val="minor"/>
      </rPr>
      <t xml:space="preserve"> 06/13/1972 - 92nd Congress (1971-1972)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08/03/1972 - 92nd Congress (1971-1972) - Treaty considered in executive session; amendment to resolution submitted and withdrawn; resolution of advice and consent to ratification approved 88-2 (roll call vote 343 Ex.). (All Actions) </t>
    </r>
  </si>
  <si>
    <r>
      <t xml:space="preserve">685. CONVENTION ON TAKING OF EVIDENCE ABROAD IN CIVIL OR COMMERCIAL MATTERS Senate Consideration of Treaty Document 92-13 </t>
    </r>
    <r>
      <rPr>
        <b/>
        <sz val="12"/>
        <color theme="1"/>
        <rFont val="Calibri"/>
        <family val="2"/>
        <scheme val="minor"/>
      </rPr>
      <t>Date Received from President:</t>
    </r>
    <r>
      <rPr>
        <sz val="12"/>
        <color theme="1"/>
        <rFont val="Calibri"/>
        <family val="2"/>
        <scheme val="minor"/>
      </rPr>
      <t xml:space="preserve"> 02/01/1972 - 92nd Congress (1971-1972) </t>
    </r>
    <r>
      <rPr>
        <b/>
        <sz val="12"/>
        <color theme="1"/>
        <rFont val="Calibri"/>
        <family val="2"/>
        <scheme val="minor"/>
      </rPr>
      <t>Latest Senate Action:</t>
    </r>
    <r>
      <rPr>
        <sz val="12"/>
        <color theme="1"/>
        <rFont val="Calibri"/>
        <family val="2"/>
        <scheme val="minor"/>
      </rPr>
      <t xml:space="preserve"> 06/13/1972 - 92nd Congress (1971-1972) - Resolution of advice and consent to ratification agreed to in Senate by Yea-Nay vote. 84-0. Record Vote No: 205 EX. (All Actions) </t>
    </r>
  </si>
  <si>
    <r>
      <t xml:space="preserve">686. EXTRADITION TREATY WITH ARGENTINA Senate Consideration of Treaty Document 92-18 </t>
    </r>
    <r>
      <rPr>
        <b/>
        <sz val="12"/>
        <color theme="1"/>
        <rFont val="Calibri"/>
        <family val="2"/>
        <scheme val="minor"/>
      </rPr>
      <t>Date Received from President:</t>
    </r>
    <r>
      <rPr>
        <sz val="12"/>
        <color theme="1"/>
        <rFont val="Calibri"/>
        <family val="2"/>
        <scheme val="minor"/>
      </rPr>
      <t xml:space="preserve"> 03/08/1972 - 92nd Congress (1971-1972)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06/13/1972 - 92nd Congress (1971-1972) - Resolution of advice and consent to ratification agreed to in Senate by Yea-Nay vote. 84-0. Record Vote No: 206 EX. (All Actions) </t>
    </r>
  </si>
  <si>
    <r>
      <t xml:space="preserve">687. CONVENTION TO PREVENT AND PUNISH THE ACTS OF TERRORISM TAKING THE FORM OF CRIMES AGAINST PERSONS AND RELATED EXTORTION THAT ARE OF INTERNATIONAL SIGNIFICANCE Senate Consideration of Treaty Document 92-4 </t>
    </r>
    <r>
      <rPr>
        <b/>
        <sz val="12"/>
        <color theme="1"/>
        <rFont val="Calibri"/>
        <family val="2"/>
        <scheme val="minor"/>
      </rPr>
      <t>Date Received from President:</t>
    </r>
    <r>
      <rPr>
        <sz val="12"/>
        <color theme="1"/>
        <rFont val="Calibri"/>
        <family val="2"/>
        <scheme val="minor"/>
      </rPr>
      <t xml:space="preserve"> 05/11/1971 - 92nd Congress (1971-1972) </t>
    </r>
    <r>
      <rPr>
        <b/>
        <sz val="12"/>
        <color theme="1"/>
        <rFont val="Calibri"/>
        <family val="2"/>
        <scheme val="minor"/>
      </rPr>
      <t>Latest Senate Action:</t>
    </r>
    <r>
      <rPr>
        <sz val="12"/>
        <color theme="1"/>
        <rFont val="Calibri"/>
        <family val="2"/>
        <scheme val="minor"/>
      </rPr>
      <t xml:space="preserve"> 06/12/1972 - 92nd Congress (1971-1972) - Resolution of advice and consent to ratification agreed to in Senate by Yea-Nay vote. 74-0. Record Vote No: 202 EX. (All Actions) </t>
    </r>
  </si>
  <si>
    <r>
      <t xml:space="preserve">688. TREATY WITH HONDURAS ON THE SWAN ISLANDS Senate Consideration of Treaty Document 92-20 </t>
    </r>
    <r>
      <rPr>
        <b/>
        <sz val="12"/>
        <color theme="1"/>
        <rFont val="Calibri"/>
        <family val="2"/>
        <scheme val="minor"/>
      </rPr>
      <t>Date Received from President:</t>
    </r>
    <r>
      <rPr>
        <sz val="12"/>
        <color theme="1"/>
        <rFont val="Calibri"/>
        <family val="2"/>
        <scheme val="minor"/>
      </rPr>
      <t xml:space="preserve"> 03/28/1972 - 92nd Congress (1971-1972) </t>
    </r>
    <r>
      <rPr>
        <b/>
        <sz val="12"/>
        <color theme="1"/>
        <rFont val="Calibri"/>
        <family val="2"/>
        <scheme val="minor"/>
      </rPr>
      <t>Latest Senate Action:</t>
    </r>
    <r>
      <rPr>
        <sz val="12"/>
        <color theme="1"/>
        <rFont val="Calibri"/>
        <family val="2"/>
        <scheme val="minor"/>
      </rPr>
      <t xml:space="preserve"> 06/12/1972 - 92nd Congress (1971-1972) - Resolution of advice and consent to ratification agreed to in Senate by Yea-Nay vote. 74-0. Record Vote No: 203 EX. (All Actions) </t>
    </r>
  </si>
  <si>
    <r>
      <t xml:space="preserve">689. PARTIAL REVISION OF THE RADIO REGULATIONS (GENEVA, 1959) Senate Consideration of Treaty Document 92-17 </t>
    </r>
    <r>
      <rPr>
        <b/>
        <sz val="12"/>
        <color theme="1"/>
        <rFont val="Calibri"/>
        <family val="2"/>
        <scheme val="minor"/>
      </rPr>
      <t>Date Received from President:</t>
    </r>
    <r>
      <rPr>
        <sz val="12"/>
        <color theme="1"/>
        <rFont val="Calibri"/>
        <family val="2"/>
        <scheme val="minor"/>
      </rPr>
      <t xml:space="preserve"> 02/16/1972 - 92nd Congress (1971-1972) </t>
    </r>
    <r>
      <rPr>
        <b/>
        <sz val="12"/>
        <color theme="1"/>
        <rFont val="Calibri"/>
        <family val="2"/>
        <scheme val="minor"/>
      </rPr>
      <t>Latest Senate Action:</t>
    </r>
    <r>
      <rPr>
        <sz val="12"/>
        <color theme="1"/>
        <rFont val="Calibri"/>
        <family val="2"/>
        <scheme val="minor"/>
      </rPr>
      <t xml:space="preserve"> 06/06/1972 - 92nd Congress (1971-1972) - Resolution of advice and consent to ratification agreed to in Senate by Yea-Nay vote. 84-0. Record Vote No: 207 EX. (All Actions) </t>
    </r>
  </si>
  <si>
    <r>
      <t xml:space="preserve">690. AMENDMENT TO THE STATUTE OF THE INTERNATIONAL ATOMIC ENERGY AGENCY Senate Consideration of Treaty Document 92-15 </t>
    </r>
    <r>
      <rPr>
        <b/>
        <sz val="12"/>
        <color theme="1"/>
        <rFont val="Calibri"/>
        <family val="2"/>
        <scheme val="minor"/>
      </rPr>
      <t>Date Received from President:</t>
    </r>
    <r>
      <rPr>
        <sz val="12"/>
        <color theme="1"/>
        <rFont val="Calibri"/>
        <family val="2"/>
        <scheme val="minor"/>
      </rPr>
      <t xml:space="preserve"> 02/03/1972 - 92nd Congress (1971-1972) </t>
    </r>
    <r>
      <rPr>
        <b/>
        <sz val="12"/>
        <color theme="1"/>
        <rFont val="Calibri"/>
        <family val="2"/>
        <scheme val="minor"/>
      </rPr>
      <t>Latest Senate Action:</t>
    </r>
    <r>
      <rPr>
        <sz val="12"/>
        <color theme="1"/>
        <rFont val="Calibri"/>
        <family val="2"/>
        <scheme val="minor"/>
      </rPr>
      <t xml:space="preserve"> 03/17/1972 - 92nd Congress (1971-1972) - Resolution of advice and consent to ratification agreed to in Senate by Yea-Nay vote. 66-34. Record Vote No: 111 EX. (All Actions) </t>
    </r>
  </si>
  <si>
    <r>
      <t xml:space="preserve">691. SEABED ARMS CONTROL TREATY Senate Consideration of Treaty Document 92-8 </t>
    </r>
    <r>
      <rPr>
        <b/>
        <sz val="12"/>
        <color theme="1"/>
        <rFont val="Calibri"/>
        <family val="2"/>
        <scheme val="minor"/>
      </rPr>
      <t>Date Received from President:</t>
    </r>
    <r>
      <rPr>
        <sz val="12"/>
        <color theme="1"/>
        <rFont val="Calibri"/>
        <family val="2"/>
        <scheme val="minor"/>
      </rPr>
      <t xml:space="preserve"> 04/21/1971 - 92nd Congress (1971-1972)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02/15/1972 - 92nd Congress (1971-1972) - Resolution of advice and consent to ratification agreed to in Senate by Yea-Nay vote. 83-0. Record Vote No: 43 EX. (All Actions) </t>
    </r>
  </si>
  <si>
    <r>
      <t xml:space="preserve">692. INDUSTRIAL DESIGNS CLASSIFICATION AGREEMENT Senate Consideration of Treaty Document 92-9 </t>
    </r>
    <r>
      <rPr>
        <b/>
        <sz val="12"/>
        <color theme="1"/>
        <rFont val="Calibri"/>
        <family val="2"/>
        <scheme val="minor"/>
      </rPr>
      <t>Date Received from President:</t>
    </r>
    <r>
      <rPr>
        <sz val="12"/>
        <color theme="1"/>
        <rFont val="Calibri"/>
        <family val="2"/>
        <scheme val="minor"/>
      </rPr>
      <t xml:space="preserve"> 08/03/1971 - 92nd Congress (1971-1972) </t>
    </r>
    <r>
      <rPr>
        <b/>
        <sz val="12"/>
        <color theme="1"/>
        <rFont val="Calibri"/>
        <family val="2"/>
        <scheme val="minor"/>
      </rPr>
      <t>Latest Senate Action:</t>
    </r>
    <r>
      <rPr>
        <sz val="12"/>
        <color theme="1"/>
        <rFont val="Calibri"/>
        <family val="2"/>
        <scheme val="minor"/>
      </rPr>
      <t xml:space="preserve"> 12/11/1971 - 92nd Congress (1971-1972) - Resolution of advice and consent to ratification agreed to in Senate by Yea-Nay vote. 75-0. Record Vote No: 453 EX. (All Actions) </t>
    </r>
  </si>
  <si>
    <r>
      <t xml:space="preserve">693. PROTOCOL RELATING TO AN AMENDMENT TO THE INTERNATIONAL CIVIL AVIATION CONVENTION Senate Consideration of Treaty Document 92-11 </t>
    </r>
    <r>
      <rPr>
        <b/>
        <sz val="12"/>
        <color theme="1"/>
        <rFont val="Calibri"/>
        <family val="2"/>
        <scheme val="minor"/>
      </rPr>
      <t>Date Received from President:</t>
    </r>
    <r>
      <rPr>
        <sz val="12"/>
        <color theme="1"/>
        <rFont val="Calibri"/>
        <family val="2"/>
        <scheme val="minor"/>
      </rPr>
      <t xml:space="preserve"> 09/30/1971 - 92nd Congress (1971-1972) </t>
    </r>
    <r>
      <rPr>
        <b/>
        <sz val="12"/>
        <color theme="1"/>
        <rFont val="Calibri"/>
        <family val="2"/>
        <scheme val="minor"/>
      </rPr>
      <t>Treaty Topic:</t>
    </r>
    <r>
      <rPr>
        <sz val="12"/>
        <color theme="1"/>
        <rFont val="Calibri"/>
        <family val="2"/>
        <scheme val="minor"/>
      </rPr>
      <t xml:space="preserve"> Aviation </t>
    </r>
    <r>
      <rPr>
        <b/>
        <sz val="12"/>
        <color theme="1"/>
        <rFont val="Calibri"/>
        <family val="2"/>
        <scheme val="minor"/>
      </rPr>
      <t>Latest Senate Action:</t>
    </r>
    <r>
      <rPr>
        <sz val="12"/>
        <color theme="1"/>
        <rFont val="Calibri"/>
        <family val="2"/>
        <scheme val="minor"/>
      </rPr>
      <t xml:space="preserve"> 12/11/1971 - 92nd Congress (1971-1972) - Resolution of advice and consent to ratification agreed to in Senate by Yea-Nay vote. 75-0. Record Vote No: 454 EX. (All Actions) </t>
    </r>
  </si>
  <si>
    <r>
      <t xml:space="preserve">694. NICE AGREEMENT, AS REVISED, CONCERNING THE INTERNATIONAL CLASSIFICATION OF GOODS AND SERVICES TO WHICH TRADEMARKS ARE APPLIED Senate Consideration of Treaty Document 91-23 </t>
    </r>
    <r>
      <rPr>
        <b/>
        <sz val="12"/>
        <color theme="1"/>
        <rFont val="Calibri"/>
        <family val="2"/>
        <scheme val="minor"/>
      </rPr>
      <t>Date Received from President:</t>
    </r>
    <r>
      <rPr>
        <sz val="12"/>
        <color theme="1"/>
        <rFont val="Calibri"/>
        <family val="2"/>
        <scheme val="minor"/>
      </rPr>
      <t xml:space="preserve"> 09/24/1970 - 91st Congress (1969-1970) </t>
    </r>
    <r>
      <rPr>
        <b/>
        <sz val="12"/>
        <color theme="1"/>
        <rFont val="Calibri"/>
        <family val="2"/>
        <scheme val="minor"/>
      </rPr>
      <t>Latest Senate Action:</t>
    </r>
    <r>
      <rPr>
        <sz val="12"/>
        <color theme="1"/>
        <rFont val="Calibri"/>
        <family val="2"/>
        <scheme val="minor"/>
      </rPr>
      <t xml:space="preserve"> 12/11/1971 - 92nd Congress (1971-1972) - Resolution of advice and consent to ratification agreed to in Senate by Yea-Nay vote. 75-0. Record Vote No: 452 EX. (All Actions) </t>
    </r>
  </si>
  <si>
    <r>
      <t xml:space="preserve">695. TREATY WITH MEXICO RESOLVING BOUNDARY DIFFERENCES Senate Consideration of Treaty Document 92-2 </t>
    </r>
    <r>
      <rPr>
        <b/>
        <sz val="12"/>
        <color theme="1"/>
        <rFont val="Calibri"/>
        <family val="2"/>
        <scheme val="minor"/>
      </rPr>
      <t>Date Received from President:</t>
    </r>
    <r>
      <rPr>
        <sz val="12"/>
        <color theme="1"/>
        <rFont val="Calibri"/>
        <family val="2"/>
        <scheme val="minor"/>
      </rPr>
      <t xml:space="preserve"> 04/21/1971 - 92nd Congress (1971-1972) </t>
    </r>
    <r>
      <rPr>
        <b/>
        <sz val="12"/>
        <color theme="1"/>
        <rFont val="Calibri"/>
        <family val="2"/>
        <scheme val="minor"/>
      </rPr>
      <t>Latest Senate Action:</t>
    </r>
    <r>
      <rPr>
        <sz val="12"/>
        <color theme="1"/>
        <rFont val="Calibri"/>
        <family val="2"/>
        <scheme val="minor"/>
      </rPr>
      <t xml:space="preserve"> 11/29/1971 - 92nd Congress (1971-1972) - Resolution of advice and consent to ratification agreed to in Senate by Yea-Nay vote. 79-0. Record Vote No: 400 EX. (All Actions) </t>
    </r>
  </si>
  <si>
    <r>
      <t xml:space="preserve">696. TAX CONVENTION WITH JAPAN Senate Consideration of Treaty Document 92-5 </t>
    </r>
    <r>
      <rPr>
        <b/>
        <sz val="12"/>
        <color theme="1"/>
        <rFont val="Calibri"/>
        <family val="2"/>
        <scheme val="minor"/>
      </rPr>
      <t>Date Received from President:</t>
    </r>
    <r>
      <rPr>
        <sz val="12"/>
        <color theme="1"/>
        <rFont val="Calibri"/>
        <family val="2"/>
        <scheme val="minor"/>
      </rPr>
      <t xml:space="preserve"> 05/11/1971 - 92nd Congress (1971-1972)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11/29/1971 - 92nd Congress (1971-1972) - Resolution of advice and consent to ratification agreed to in Senate by Yea-Nay vote. 79-0. Record Vote No: 401 EX. (All Actions) </t>
    </r>
  </si>
  <si>
    <r>
      <t xml:space="preserve">697. PROTOCOL TO THE 1967 TAX CONVENTION WITH FRANCE Senate Consideration of Treaty Document 91-25 </t>
    </r>
    <r>
      <rPr>
        <b/>
        <sz val="12"/>
        <color theme="1"/>
        <rFont val="Calibri"/>
        <family val="2"/>
        <scheme val="minor"/>
      </rPr>
      <t>Date Received from President:</t>
    </r>
    <r>
      <rPr>
        <sz val="12"/>
        <color theme="1"/>
        <rFont val="Calibri"/>
        <family val="2"/>
        <scheme val="minor"/>
      </rPr>
      <t xml:space="preserve"> 12/15/1970 - 91st Congress (1969-1970)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11/29/1971 - 92nd Congress (1971-1972) - Resolution of advice and consent to ratification agreed to in Senate by Yea-Nay vote. 79-0. Record Vote No: 402 EX. (All Actions) </t>
    </r>
  </si>
  <si>
    <r>
      <t xml:space="preserve">698. AGREEMENT WITH JAPAN CONCERNING THE RYUKYU ISLANDS AND THE DAITO ISLANDS Senate Consideration of Treaty Document 92-10 </t>
    </r>
    <r>
      <rPr>
        <b/>
        <sz val="12"/>
        <color theme="1"/>
        <rFont val="Calibri"/>
        <family val="2"/>
        <scheme val="minor"/>
      </rPr>
      <t>Date Received from President:</t>
    </r>
    <r>
      <rPr>
        <sz val="12"/>
        <color theme="1"/>
        <rFont val="Calibri"/>
        <family val="2"/>
        <scheme val="minor"/>
      </rPr>
      <t xml:space="preserve"> 09/21/1971 - 92nd Congress (1971-1972) </t>
    </r>
    <r>
      <rPr>
        <b/>
        <sz val="12"/>
        <color theme="1"/>
        <rFont val="Calibri"/>
        <family val="2"/>
        <scheme val="minor"/>
      </rPr>
      <t>Latest Senate Action:</t>
    </r>
    <r>
      <rPr>
        <sz val="12"/>
        <color theme="1"/>
        <rFont val="Calibri"/>
        <family val="2"/>
        <scheme val="minor"/>
      </rPr>
      <t xml:space="preserve"> 11/10/1971 - 92nd Congress (1971-1972) - Resolution of advice and consent to ratification agreed to in Senate by Yea-Nay vote. 84-6. Record Vote No: 299 EX. (All Actions) </t>
    </r>
  </si>
  <si>
    <r>
      <t xml:space="preserve">699. INTERNATIONAL CONVENTION RELATING TO INTERVENTION ON THE HIGH SEAS IN CASES OF OIL POLLUTION CASUALTIES Senate Consideration of Treaty Document 91-17(A) </t>
    </r>
    <r>
      <rPr>
        <b/>
        <sz val="12"/>
        <color theme="1"/>
        <rFont val="Calibri"/>
        <family val="2"/>
        <scheme val="minor"/>
      </rPr>
      <t>Date Received from President:</t>
    </r>
    <r>
      <rPr>
        <sz val="12"/>
        <color theme="1"/>
        <rFont val="Calibri"/>
        <family val="2"/>
        <scheme val="minor"/>
      </rPr>
      <t xml:space="preserve"> 05/20/1970 - 91st Congress (1969-1970)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09/20/1971 - 92nd Congress (1971-1972) - Resolution of advice and consent to ratification agreed to in Senate by Yea-Nay vote. 75-0. Record Vote No: 224 EX. (All Actions) </t>
    </r>
  </si>
  <si>
    <r>
      <t xml:space="preserve">700. AMENDMENTS TO THE 1954 OIL POLLUTION CONVENTION Senate Consideration of Treaty Document 91-17(C) </t>
    </r>
    <r>
      <rPr>
        <b/>
        <sz val="12"/>
        <color theme="1"/>
        <rFont val="Calibri"/>
        <family val="2"/>
        <scheme val="minor"/>
      </rPr>
      <t>Date Received from President:</t>
    </r>
    <r>
      <rPr>
        <sz val="12"/>
        <color theme="1"/>
        <rFont val="Calibri"/>
        <family val="2"/>
        <scheme val="minor"/>
      </rPr>
      <t xml:space="preserve"> 05/20/1970 - 91st Congress (1969-1970)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09/20/1971 - 92nd Congress (1971-1972) - Resolution of advice and consent to ratification agreed to in Senate by Yea-Nay vote. 75-0. Record Vote No: 225 EX. (All Actions) </t>
    </r>
  </si>
  <si>
    <r>
      <t xml:space="preserve">701. CONVENTION FOR THE SUPPRESSION OF UNLAWFUL SEIZURE OF AIRCRAFT Senate Consideration of Treaty Document 92-1 </t>
    </r>
    <r>
      <rPr>
        <b/>
        <sz val="12"/>
        <color theme="1"/>
        <rFont val="Calibri"/>
        <family val="2"/>
        <scheme val="minor"/>
      </rPr>
      <t>Date Received from President:</t>
    </r>
    <r>
      <rPr>
        <sz val="12"/>
        <color theme="1"/>
        <rFont val="Calibri"/>
        <family val="2"/>
        <scheme val="minor"/>
      </rPr>
      <t xml:space="preserve"> 04/15/1971 - 92nd Congress (1971-1972) </t>
    </r>
    <r>
      <rPr>
        <b/>
        <sz val="12"/>
        <color theme="1"/>
        <rFont val="Calibri"/>
        <family val="2"/>
        <scheme val="minor"/>
      </rPr>
      <t>Latest Senate Action:</t>
    </r>
    <r>
      <rPr>
        <sz val="12"/>
        <color theme="1"/>
        <rFont val="Calibri"/>
        <family val="2"/>
        <scheme val="minor"/>
      </rPr>
      <t xml:space="preserve"> 09/08/1971 - 92nd Congress (1971-1972) - Resolution of advice and consent to ratification agreed to in Senate by Yea-Nay vote. 53-0. Record Vote No: 213 EX. (All Actions) </t>
    </r>
  </si>
  <si>
    <r>
      <t xml:space="preserve">702. INTERNATIONAL WHEAT AGREEMENT, 1971 Senate Consideration of Treaty Document 92-6 </t>
    </r>
    <r>
      <rPr>
        <b/>
        <sz val="12"/>
        <color theme="1"/>
        <rFont val="Calibri"/>
        <family val="2"/>
        <scheme val="minor"/>
      </rPr>
      <t>Date Received from President:</t>
    </r>
    <r>
      <rPr>
        <sz val="12"/>
        <color theme="1"/>
        <rFont val="Calibri"/>
        <family val="2"/>
        <scheme val="minor"/>
      </rPr>
      <t xml:space="preserve"> 06/02/1971 - 92nd Congress (1971-1972)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07/21/1971 - 92nd Congress (1971-1972) - Resolution of advice and consent to ratification agreed to in Senate by Yea-Nay vote. 78-0. Record Vote No: 137 EX. (All Actions) </t>
    </r>
  </si>
  <si>
    <r>
      <t xml:space="preserve">703. ADDITIONAL PROTOCOL II TO THE TREATY FOR THE PROHIBITION OF NUCLEAR WEAPONS IN LATIN AMERICA Senate Consideration of Treaty Document 91-18 </t>
    </r>
    <r>
      <rPr>
        <b/>
        <sz val="12"/>
        <color theme="1"/>
        <rFont val="Calibri"/>
        <family val="2"/>
        <scheme val="minor"/>
      </rPr>
      <t>Date Received from President:</t>
    </r>
    <r>
      <rPr>
        <sz val="12"/>
        <color theme="1"/>
        <rFont val="Calibri"/>
        <family val="2"/>
        <scheme val="minor"/>
      </rPr>
      <t xml:space="preserve"> 08/13/1970 - 91st Congress (1969-1970)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04/19/1971 - 92nd Congress (1971-1972) - Resolution of advice and consent to ratification agreed to in Senate by Yea-Nay vote. 70-0. Record Vote No: 41 EX. (All Actions) </t>
    </r>
  </si>
  <si>
    <r>
      <t xml:space="preserve">704. CONVENTION WITH NICARAGUA TERMINATING THE BRYAN-CHAMORRO TREATY OF 1914 Senate Consideration of Treaty Document 91-22 </t>
    </r>
    <r>
      <rPr>
        <b/>
        <sz val="12"/>
        <color theme="1"/>
        <rFont val="Calibri"/>
        <family val="2"/>
        <scheme val="minor"/>
      </rPr>
      <t>Date Received from President:</t>
    </r>
    <r>
      <rPr>
        <sz val="12"/>
        <color theme="1"/>
        <rFont val="Calibri"/>
        <family val="2"/>
        <scheme val="minor"/>
      </rPr>
      <t xml:space="preserve"> 09/23/1970 - 91st Congress (1969-1970) </t>
    </r>
    <r>
      <rPr>
        <b/>
        <sz val="12"/>
        <color theme="1"/>
        <rFont val="Calibri"/>
        <family val="2"/>
        <scheme val="minor"/>
      </rPr>
      <t>Latest Senate Action:</t>
    </r>
    <r>
      <rPr>
        <sz val="12"/>
        <color theme="1"/>
        <rFont val="Calibri"/>
        <family val="2"/>
        <scheme val="minor"/>
      </rPr>
      <t xml:space="preserve"> 02/17/1971 - 92nd Congress (1971-1972) - Resolution of advice and consent to ratification agreed to in Senate by Yea-Nay vote. 66-5. Record Vote No: 3 EX. (All Actions) </t>
    </r>
  </si>
  <si>
    <r>
      <t xml:space="preserve">705. EXTRADITION TREATY WITH SPAIN Senate Consideration of Treaty Document 91-24 </t>
    </r>
    <r>
      <rPr>
        <b/>
        <sz val="12"/>
        <color theme="1"/>
        <rFont val="Calibri"/>
        <family val="2"/>
        <scheme val="minor"/>
      </rPr>
      <t>Date Received from President:</t>
    </r>
    <r>
      <rPr>
        <sz val="12"/>
        <color theme="1"/>
        <rFont val="Calibri"/>
        <family val="2"/>
        <scheme val="minor"/>
      </rPr>
      <t xml:space="preserve"> 11/25/1970 - 91st Congress (1969-1970)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02/17/1971 - 92nd Congress (1971-1972) - Resolution of advice and consent to ratification agreed to in Senate by Yea-Nay vote. 72-0. Record Vote No: 4 EX. (All Actions) </t>
    </r>
  </si>
  <si>
    <r>
      <t xml:space="preserve">706. TREATY WITH MEXICO PROVIDING FOR THE RECOVERY AND RETURN OF STOLEN ARCHAEOLOGICAL, HISTORICAL AND CULTURAL PROPERTIES Senate Consideration of Treaty Document 91-21 </t>
    </r>
    <r>
      <rPr>
        <b/>
        <sz val="12"/>
        <color theme="1"/>
        <rFont val="Calibri"/>
        <family val="2"/>
        <scheme val="minor"/>
      </rPr>
      <t>Date Received from President:</t>
    </r>
    <r>
      <rPr>
        <sz val="12"/>
        <color theme="1"/>
        <rFont val="Calibri"/>
        <family val="2"/>
        <scheme val="minor"/>
      </rPr>
      <t xml:space="preserve"> 09/23/1970 - 91st Congress (1969-1970) </t>
    </r>
    <r>
      <rPr>
        <b/>
        <sz val="12"/>
        <color theme="1"/>
        <rFont val="Calibri"/>
        <family val="2"/>
        <scheme val="minor"/>
      </rPr>
      <t>Latest Senate Action:</t>
    </r>
    <r>
      <rPr>
        <sz val="12"/>
        <color theme="1"/>
        <rFont val="Calibri"/>
        <family val="2"/>
        <scheme val="minor"/>
      </rPr>
      <t xml:space="preserve"> 02/10/1971 - 92nd Congress (1971-1972) - Resolution of advice and consent to ratification agreed to in Senate by Yea-Nay vote. 72-0. Record Vote No: 2 EX. (All Actions) </t>
    </r>
  </si>
  <si>
    <r>
      <t xml:space="preserve">707. TAX CONVENTION WITH THE NETHERLANDS Senate Consideration of Treaty Document 91-7 </t>
    </r>
    <r>
      <rPr>
        <b/>
        <sz val="12"/>
        <color theme="1"/>
        <rFont val="Calibri"/>
        <family val="2"/>
        <scheme val="minor"/>
      </rPr>
      <t>Date Received from President:</t>
    </r>
    <r>
      <rPr>
        <sz val="12"/>
        <color theme="1"/>
        <rFont val="Calibri"/>
        <family val="2"/>
        <scheme val="minor"/>
      </rPr>
      <t xml:space="preserve"> 10/13/1969 - 91st Congress (1969-1970)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11/24/1970 - 91st Congress (1969-1970) - Resolution of advice and consent to ratification agreed to in Senate by Yea-Nay vote. 76-0. Record Vote No: 398 EX. (All Actions) </t>
    </r>
  </si>
  <si>
    <r>
      <t xml:space="preserve">708. TAX CONVENTION WITH TRINIDAD AND TOBAGO Senate Consideration of Treaty Document 91-14 </t>
    </r>
    <r>
      <rPr>
        <b/>
        <sz val="12"/>
        <color theme="1"/>
        <rFont val="Calibri"/>
        <family val="2"/>
        <scheme val="minor"/>
      </rPr>
      <t>Date Received from President:</t>
    </r>
    <r>
      <rPr>
        <sz val="12"/>
        <color theme="1"/>
        <rFont val="Calibri"/>
        <family val="2"/>
        <scheme val="minor"/>
      </rPr>
      <t xml:space="preserve"> 03/05/1970 - 91st Congress (1969-1970)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11/24/1970 - 91st Congress (1969-1970) - Resolution of advice and consent to ratification agreed to in Senate by Yea-Nay vote. 76-0. Record Vote No: 399 EX. (All Actions) </t>
    </r>
  </si>
  <si>
    <r>
      <t xml:space="preserve">709. TAX CONVENTION WITH FINLAND Senate Consideration of Treaty Document 91-15 </t>
    </r>
    <r>
      <rPr>
        <b/>
        <sz val="12"/>
        <color theme="1"/>
        <rFont val="Calibri"/>
        <family val="2"/>
        <scheme val="minor"/>
      </rPr>
      <t>Date Received from President:</t>
    </r>
    <r>
      <rPr>
        <sz val="12"/>
        <color theme="1"/>
        <rFont val="Calibri"/>
        <family val="2"/>
        <scheme val="minor"/>
      </rPr>
      <t xml:space="preserve"> 05/13/1970 - 91st Congress (1969-1970)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11/24/1970 - 91st Congress (1969-1970) - Resolution of advice and consent to ratification agreed to in Senate by Yea-Nay vote. 76-0. Record Vote No: 400 EX. (All Actions) </t>
    </r>
  </si>
  <si>
    <r>
      <t xml:space="preserve">710. TAX CONVENTION WITH BELGIUM Senate Consideration of Treaty Document 91-19 </t>
    </r>
    <r>
      <rPr>
        <b/>
        <sz val="12"/>
        <color theme="1"/>
        <rFont val="Calibri"/>
        <family val="2"/>
        <scheme val="minor"/>
      </rPr>
      <t>Date Received from President:</t>
    </r>
    <r>
      <rPr>
        <sz val="12"/>
        <color theme="1"/>
        <rFont val="Calibri"/>
        <family val="2"/>
        <scheme val="minor"/>
      </rPr>
      <t xml:space="preserve"> 08/13/1970 - 91st Congress (1969-1970)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11/24/1970 - 91st Congress (1969-1970) - Resolution of advice and consent to ratification agreed to in Senate by Yea-Nay vote. 76-0. Record Vote No: 401 EX. (All Actions) </t>
    </r>
  </si>
  <si>
    <r>
      <t xml:space="preserve">711. SUPPLEMENTARY EXTRADITION TREATY WITH FRANCE Senate Consideration of Treaty Document 91-16 </t>
    </r>
    <r>
      <rPr>
        <b/>
        <sz val="12"/>
        <color theme="1"/>
        <rFont val="Calibri"/>
        <family val="2"/>
        <scheme val="minor"/>
      </rPr>
      <t>Date Received from President:</t>
    </r>
    <r>
      <rPr>
        <sz val="12"/>
        <color theme="1"/>
        <rFont val="Calibri"/>
        <family val="2"/>
        <scheme val="minor"/>
      </rPr>
      <t xml:space="preserve"> 05/13/1970 - 91st Congress (1969-1970)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09/21/1970 - 91st Congress (1969-1970) - Resolution of advice and consent to ratification agreed to in Senate by Yea-Nay vote. 66-0. Record Vote No: 320 EX. (All Actions) </t>
    </r>
  </si>
  <si>
    <r>
      <t xml:space="preserve">712. AGREEMENT WITH CANADA ON OPERATION OF RADIOTELEPHONE STATIONS Senate Consideration of Treaty Document 91-11 </t>
    </r>
    <r>
      <rPr>
        <b/>
        <sz val="12"/>
        <color theme="1"/>
        <rFont val="Calibri"/>
        <family val="2"/>
        <scheme val="minor"/>
      </rPr>
      <t>Date Received from President:</t>
    </r>
    <r>
      <rPr>
        <sz val="12"/>
        <color theme="1"/>
        <rFont val="Calibri"/>
        <family val="2"/>
        <scheme val="minor"/>
      </rPr>
      <t xml:space="preserve"> 01/27/1970 - 91st Congress (1969-1970) </t>
    </r>
    <r>
      <rPr>
        <b/>
        <sz val="12"/>
        <color theme="1"/>
        <rFont val="Calibri"/>
        <family val="2"/>
        <scheme val="minor"/>
      </rPr>
      <t>Latest Senate Action:</t>
    </r>
    <r>
      <rPr>
        <sz val="12"/>
        <color theme="1"/>
        <rFont val="Calibri"/>
        <family val="2"/>
        <scheme val="minor"/>
      </rPr>
      <t xml:space="preserve"> 05/27/1970 - 91st Congress (1969-1970) - Resolution of advice and consent to ratification agreed to in Senate by Yea-Nay vote. 79-0. Record Vote No: 150 EX. (All Actions) </t>
    </r>
  </si>
  <si>
    <r>
      <t xml:space="preserve">713. EXTRADITION TREATY WITH NEW ZEALAND Senate Consideration of Treaty Document 91-13 </t>
    </r>
    <r>
      <rPr>
        <b/>
        <sz val="12"/>
        <color theme="1"/>
        <rFont val="Calibri"/>
        <family val="2"/>
        <scheme val="minor"/>
      </rPr>
      <t>Date Received from President:</t>
    </r>
    <r>
      <rPr>
        <sz val="12"/>
        <color theme="1"/>
        <rFont val="Calibri"/>
        <family val="2"/>
        <scheme val="minor"/>
      </rPr>
      <t xml:space="preserve"> 03/05/1970 - 91st Congress (1969-1970) </t>
    </r>
    <r>
      <rPr>
        <b/>
        <sz val="12"/>
        <color theme="1"/>
        <rFont val="Calibri"/>
        <family val="2"/>
        <scheme val="minor"/>
      </rPr>
      <t>Treaty Topic:</t>
    </r>
    <r>
      <rPr>
        <sz val="12"/>
        <color theme="1"/>
        <rFont val="Calibri"/>
        <family val="2"/>
        <scheme val="minor"/>
      </rPr>
      <t xml:space="preserve"> Extradition and Criminal Assistance </t>
    </r>
    <r>
      <rPr>
        <b/>
        <sz val="12"/>
        <color theme="1"/>
        <rFont val="Calibri"/>
        <family val="2"/>
        <scheme val="minor"/>
      </rPr>
      <t>Latest Senate Action:</t>
    </r>
    <r>
      <rPr>
        <sz val="12"/>
        <color theme="1"/>
        <rFont val="Calibri"/>
        <family val="2"/>
        <scheme val="minor"/>
      </rPr>
      <t xml:space="preserve"> 05/27/1970 - 91st Congress (1969-1970) - Resolution of advice and consent to ratification agreed to in Senate by Yea-Nay vote. 79-0. Record Vote No: 151 EX. (All Actions) </t>
    </r>
  </si>
  <si>
    <r>
      <t xml:space="preserve">714. PROTOCOL TO THE INTERNATIONAL CONVENTION FOR THE NORTHWEST ATLANTIC FISHERIES Senate Consideration of Treaty Document 91-9 </t>
    </r>
    <r>
      <rPr>
        <b/>
        <sz val="12"/>
        <color theme="1"/>
        <rFont val="Calibri"/>
        <family val="2"/>
        <scheme val="minor"/>
      </rPr>
      <t>Date Received from President:</t>
    </r>
    <r>
      <rPr>
        <sz val="12"/>
        <color theme="1"/>
        <rFont val="Calibri"/>
        <family val="2"/>
        <scheme val="minor"/>
      </rPr>
      <t xml:space="preserve"> 12/12/1969 - 91st Congress (1969-1970)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03/19/1970 - 91st Congress (1969-1970) - Resolution of advice and consent to ratification agreed to in Senate by Yea-Nay vote. 78-0. Record Vote No: 106 EX. (All Actions) </t>
    </r>
  </si>
  <si>
    <r>
      <t xml:space="preserve">715. CONVENTION ON THE PRIVILEGES AND IMMUNITIES OF THE UNITED NATIONS Senate Consideration of Treaty Document 91-10 </t>
    </r>
    <r>
      <rPr>
        <b/>
        <sz val="12"/>
        <color theme="1"/>
        <rFont val="Calibri"/>
        <family val="2"/>
        <scheme val="minor"/>
      </rPr>
      <t>Date Received from President:</t>
    </r>
    <r>
      <rPr>
        <sz val="12"/>
        <color theme="1"/>
        <rFont val="Calibri"/>
        <family val="2"/>
        <scheme val="minor"/>
      </rPr>
      <t xml:space="preserve"> 12/19/1969 - 91st Congress (1969-1970) </t>
    </r>
    <r>
      <rPr>
        <b/>
        <sz val="12"/>
        <color theme="1"/>
        <rFont val="Calibri"/>
        <family val="2"/>
        <scheme val="minor"/>
      </rPr>
      <t>Latest Senate Action:</t>
    </r>
    <r>
      <rPr>
        <sz val="12"/>
        <color theme="1"/>
        <rFont val="Calibri"/>
        <family val="2"/>
        <scheme val="minor"/>
      </rPr>
      <t xml:space="preserve"> 03/19/1970 - 91st Congress (1969-1970) - Resolution of advice and consent to ratification agreed to in Senate by Yea-Nay vote. 78-0. Record Vote No: 107 EX. (All Actions) </t>
    </r>
  </si>
  <si>
    <r>
      <t xml:space="preserve">716. PROTOCOL FURTHER MODIFYING THE 1957 BROADCASTING AGREEMENT WITH MEXICO Senate Consideration of Treaty Document 90-18 </t>
    </r>
    <r>
      <rPr>
        <b/>
        <sz val="12"/>
        <color theme="1"/>
        <rFont val="Calibri"/>
        <family val="2"/>
        <scheme val="minor"/>
      </rPr>
      <t>Date Received from President:</t>
    </r>
    <r>
      <rPr>
        <sz val="12"/>
        <color theme="1"/>
        <rFont val="Calibri"/>
        <family val="2"/>
        <scheme val="minor"/>
      </rPr>
      <t xml:space="preserve"> 01/31/1968 - 90th Congress (1967-1968) </t>
    </r>
    <r>
      <rPr>
        <b/>
        <sz val="12"/>
        <color theme="1"/>
        <rFont val="Calibri"/>
        <family val="2"/>
        <scheme val="minor"/>
      </rPr>
      <t>Latest Senate Action:</t>
    </r>
    <r>
      <rPr>
        <sz val="12"/>
        <color theme="1"/>
        <rFont val="Calibri"/>
        <family val="2"/>
        <scheme val="minor"/>
      </rPr>
      <t xml:space="preserve"> 03/13/1970 - 91st Congress (1969-1970) - Returned to the President pursuant to S. Exec. Res. 1 agreed to on March 13, 1970. (All Actions) </t>
    </r>
  </si>
  <si>
    <r>
      <t xml:space="preserve">717. CONVENTION ESTABLISHING THE WORLD INTELLECTUAL PROPERTY ORGANIZATION Senate Consideration of Treaty Document 91-1(A) </t>
    </r>
    <r>
      <rPr>
        <b/>
        <sz val="12"/>
        <color theme="1"/>
        <rFont val="Calibri"/>
        <family val="2"/>
        <scheme val="minor"/>
      </rPr>
      <t>Date Received from President:</t>
    </r>
    <r>
      <rPr>
        <sz val="12"/>
        <color theme="1"/>
        <rFont val="Calibri"/>
        <family val="2"/>
        <scheme val="minor"/>
      </rPr>
      <t xml:space="preserve"> 03/12/1969 - 91st Congress (1969-1970) </t>
    </r>
    <r>
      <rPr>
        <b/>
        <sz val="12"/>
        <color theme="1"/>
        <rFont val="Calibri"/>
        <family val="2"/>
        <scheme val="minor"/>
      </rPr>
      <t>Latest Senate Action:</t>
    </r>
    <r>
      <rPr>
        <sz val="12"/>
        <color theme="1"/>
        <rFont val="Calibri"/>
        <family val="2"/>
        <scheme val="minor"/>
      </rPr>
      <t xml:space="preserve"> 02/28/1970 - 91st Congress (1969-1970) - Resolution of advice and consent to ratification agreed to in Senate by Yea-Nay vote. 70-0. Record Vote No: 70 EX. (All Actions) </t>
    </r>
  </si>
  <si>
    <r>
      <t xml:space="preserve">718. REVISION OF THE PARIS CONVENTION FOR THE PROTECTION OF INDUSTRIAL PROPERTY Senate Consideration of Treaty Document 91-1(B) </t>
    </r>
    <r>
      <rPr>
        <b/>
        <sz val="12"/>
        <color theme="1"/>
        <rFont val="Calibri"/>
        <family val="2"/>
        <scheme val="minor"/>
      </rPr>
      <t>Date Received from President:</t>
    </r>
    <r>
      <rPr>
        <sz val="12"/>
        <color theme="1"/>
        <rFont val="Calibri"/>
        <family val="2"/>
        <scheme val="minor"/>
      </rPr>
      <t xml:space="preserve"> 03/12/1969 - 91st Congress (1969-1970) </t>
    </r>
    <r>
      <rPr>
        <b/>
        <sz val="12"/>
        <color theme="1"/>
        <rFont val="Calibri"/>
        <family val="2"/>
        <scheme val="minor"/>
      </rPr>
      <t>Latest Senate Action:</t>
    </r>
    <r>
      <rPr>
        <sz val="12"/>
        <color theme="1"/>
        <rFont val="Calibri"/>
        <family val="2"/>
        <scheme val="minor"/>
      </rPr>
      <t xml:space="preserve"> 02/28/1970 - 91st Congress (1969-1970) - Resolution of advice and consent to ratification agreed to in Senate by Yea-Nay vote. 70-0. Record Vote No: 70 EX. (All Actions) </t>
    </r>
  </si>
  <si>
    <r>
      <t xml:space="preserve">719. RENEWAL OF REQUEST FOR CONSENT TO RATIFICATION OF THE GENOCIDE CONVENTION Senate Consideration of Treaty Document 91-12 </t>
    </r>
    <r>
      <rPr>
        <b/>
        <sz val="12"/>
        <color theme="1"/>
        <rFont val="Calibri"/>
        <family val="2"/>
        <scheme val="minor"/>
      </rPr>
      <t>Date Received from President:</t>
    </r>
    <r>
      <rPr>
        <sz val="12"/>
        <color theme="1"/>
        <rFont val="Calibri"/>
        <family val="2"/>
        <scheme val="minor"/>
      </rPr>
      <t xml:space="preserve"> 02/10/1970 - 91st Congress (1969-1970) </t>
    </r>
    <r>
      <rPr>
        <b/>
        <sz val="12"/>
        <color theme="1"/>
        <rFont val="Calibri"/>
        <family val="2"/>
        <scheme val="minor"/>
      </rPr>
      <t>Latest Senate Action:</t>
    </r>
    <r>
      <rPr>
        <sz val="12"/>
        <color theme="1"/>
        <rFont val="Calibri"/>
        <family val="2"/>
        <scheme val="minor"/>
      </rPr>
      <t xml:space="preserve"> 02/10/1970 - 91st Congress (1969-1970) - Received in the Senate and referred to the Committee on Foreign Relations by unanimous consent. (All Actions) </t>
    </r>
  </si>
  <si>
    <r>
      <t xml:space="preserve">720. CONSULAR CONVENTION WITH BELGIUM Senate Consideration of Treaty Document 91-6 </t>
    </r>
    <r>
      <rPr>
        <b/>
        <sz val="12"/>
        <color theme="1"/>
        <rFont val="Calibri"/>
        <family val="2"/>
        <scheme val="minor"/>
      </rPr>
      <t>Date Received from President:</t>
    </r>
    <r>
      <rPr>
        <sz val="12"/>
        <color theme="1"/>
        <rFont val="Calibri"/>
        <family val="2"/>
        <scheme val="minor"/>
      </rPr>
      <t xml:space="preserve"> 10/08/1969 - 91st Congress (1969-1970)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11/10/1969 - 91st Congress (1969-1970) - Resolution of advice and consent to ratification agreed to in Senate by Yea-Nay vote. 71-0. Record Vote No: 142 EX. (All Actions) </t>
    </r>
  </si>
  <si>
    <r>
      <t xml:space="preserve">721. AGREEMENT WITH CANADA ON ADJUSTMENTS IN FLOOD CONTROL PAYMENTS Senate Consideration of Treaty Document 91-8 </t>
    </r>
    <r>
      <rPr>
        <b/>
        <sz val="12"/>
        <color theme="1"/>
        <rFont val="Calibri"/>
        <family val="2"/>
        <scheme val="minor"/>
      </rPr>
      <t>Date Received from President:</t>
    </r>
    <r>
      <rPr>
        <sz val="12"/>
        <color theme="1"/>
        <rFont val="Calibri"/>
        <family val="2"/>
        <scheme val="minor"/>
      </rPr>
      <t xml:space="preserve"> 10/14/1969 - 91st Congress (1969-1970) </t>
    </r>
    <r>
      <rPr>
        <b/>
        <sz val="12"/>
        <color theme="1"/>
        <rFont val="Calibri"/>
        <family val="2"/>
        <scheme val="minor"/>
      </rPr>
      <t>Latest Senate Action:</t>
    </r>
    <r>
      <rPr>
        <sz val="12"/>
        <color theme="1"/>
        <rFont val="Calibri"/>
        <family val="2"/>
        <scheme val="minor"/>
      </rPr>
      <t xml:space="preserve"> 11/10/1969 - 91st Congress (1969-1970) - Resolution of advice and consent to ratification agreed to in Senate by Yea-Nay vote. 67-3. Record Vote No: 143 EX. (All Actions) </t>
    </r>
  </si>
  <si>
    <r>
      <t xml:space="preserve">722. CONVENTION ON CONDUCT OF FISHING OPERATIONS IN THE NORTH ATLANTIC Senate Consideration of Treaty Document 91-4 </t>
    </r>
    <r>
      <rPr>
        <b/>
        <sz val="12"/>
        <color theme="1"/>
        <rFont val="Calibri"/>
        <family val="2"/>
        <scheme val="minor"/>
      </rPr>
      <t>Date Received from President:</t>
    </r>
    <r>
      <rPr>
        <sz val="12"/>
        <color theme="1"/>
        <rFont val="Calibri"/>
        <family val="2"/>
        <scheme val="minor"/>
      </rPr>
      <t xml:space="preserve"> 04/16/1969 - 91st Congress (1969-1970) </t>
    </r>
    <r>
      <rPr>
        <b/>
        <sz val="12"/>
        <color theme="1"/>
        <rFont val="Calibri"/>
        <family val="2"/>
        <scheme val="minor"/>
      </rPr>
      <t>Treaty Topic:</t>
    </r>
    <r>
      <rPr>
        <sz val="12"/>
        <color theme="1"/>
        <rFont val="Calibri"/>
        <family val="2"/>
        <scheme val="minor"/>
      </rPr>
      <t xml:space="preserve"> Fisheries and Wildlife </t>
    </r>
    <r>
      <rPr>
        <b/>
        <sz val="12"/>
        <color theme="1"/>
        <rFont val="Calibri"/>
        <family val="2"/>
        <scheme val="minor"/>
      </rPr>
      <t>Latest Senate Action:</t>
    </r>
    <r>
      <rPr>
        <sz val="12"/>
        <color theme="1"/>
        <rFont val="Calibri"/>
        <family val="2"/>
        <scheme val="minor"/>
      </rPr>
      <t xml:space="preserve"> 10/22/1969 - 91st Congress (1969-1970) - Resolution of advice and consent to ratification agreed to in Senate by Yea-Nay vote. 80-0. Record Vote No: 129 EX. (All Actions) </t>
    </r>
  </si>
  <si>
    <r>
      <t xml:space="preserve">723. VIENNA CONVENTION ON CONSULAR RELATIONS WITH OPTIONAL PROTOCOL Senate Consideration of Treaty Document 91-5 </t>
    </r>
    <r>
      <rPr>
        <b/>
        <sz val="12"/>
        <color theme="1"/>
        <rFont val="Calibri"/>
        <family val="2"/>
        <scheme val="minor"/>
      </rPr>
      <t>Date Received from President:</t>
    </r>
    <r>
      <rPr>
        <sz val="12"/>
        <color theme="1"/>
        <rFont val="Calibri"/>
        <family val="2"/>
        <scheme val="minor"/>
      </rPr>
      <t xml:space="preserve"> 05/05/1969 - 91st Congress (1969-1970)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10/22/1969 - 91st Congress (1969-1970) - Resolution of advice and consent to ratification agreed to in Senate by Yea-Nay vote. 81-0. Record Vote No: 130 EX. (All Actions) </t>
    </r>
  </si>
  <si>
    <r>
      <t xml:space="preserve">724. BROADCASTING AGREEMENTS WITH MEXICO Senate Consideration of Treaty Document 91-2 </t>
    </r>
    <r>
      <rPr>
        <b/>
        <sz val="12"/>
        <color theme="1"/>
        <rFont val="Calibri"/>
        <family val="2"/>
        <scheme val="minor"/>
      </rPr>
      <t>Date Received from President:</t>
    </r>
    <r>
      <rPr>
        <sz val="12"/>
        <color theme="1"/>
        <rFont val="Calibri"/>
        <family val="2"/>
        <scheme val="minor"/>
      </rPr>
      <t xml:space="preserve"> 03/25/1969 - 91st Congress (1969-1970) </t>
    </r>
    <r>
      <rPr>
        <b/>
        <sz val="12"/>
        <color theme="1"/>
        <rFont val="Calibri"/>
        <family val="2"/>
        <scheme val="minor"/>
      </rPr>
      <t>Latest Senate Action:</t>
    </r>
    <r>
      <rPr>
        <sz val="12"/>
        <color theme="1"/>
        <rFont val="Calibri"/>
        <family val="2"/>
        <scheme val="minor"/>
      </rPr>
      <t xml:space="preserve"> 06/19/1969 - 91st Congress (1969-1970) - Resolution of advice and consent to ratification agreed to in Senate by Yea-Nay vote. 89-0. Record Vote No: 46 EX. (All Actions) </t>
    </r>
  </si>
  <si>
    <r>
      <t xml:space="preserve">725. AGREEMENT WITH CANADA PROVIDING FOR ADDITIONAL TEMPORARY DIVERSIONS FROM THE NIAGARA RIVER FOR POWER PRODUTION PURPOSES Senate Consideration of Treaty Document 91-3 </t>
    </r>
    <r>
      <rPr>
        <b/>
        <sz val="12"/>
        <color theme="1"/>
        <rFont val="Calibri"/>
        <family val="2"/>
        <scheme val="minor"/>
      </rPr>
      <t>Date Received from President:</t>
    </r>
    <r>
      <rPr>
        <sz val="12"/>
        <color theme="1"/>
        <rFont val="Calibri"/>
        <family val="2"/>
        <scheme val="minor"/>
      </rPr>
      <t xml:space="preserve"> 04/14/1969 - 91st Congress (1969-1970) </t>
    </r>
    <r>
      <rPr>
        <b/>
        <sz val="12"/>
        <color theme="1"/>
        <rFont val="Calibri"/>
        <family val="2"/>
        <scheme val="minor"/>
      </rPr>
      <t>Latest Senate Action:</t>
    </r>
    <r>
      <rPr>
        <sz val="12"/>
        <color theme="1"/>
        <rFont val="Calibri"/>
        <family val="2"/>
        <scheme val="minor"/>
      </rPr>
      <t xml:space="preserve"> 05/13/1969 - 91st Congress (1969-1970) - Resolution of advice and consent to ratification agreed to in Senate by Yea-Nay vote. 94-0. Record Vote No: 30 EX. (All Actions) </t>
    </r>
  </si>
  <si>
    <r>
      <t xml:space="preserve">726. CONVENTION ON OFFENSES AND CERTAIN OTHER ACTS COMMITTED ON BOARD AIRCRAFT Senate Consideration of Treaty Document 90-28 </t>
    </r>
    <r>
      <rPr>
        <b/>
        <sz val="12"/>
        <color theme="1"/>
        <rFont val="Calibri"/>
        <family val="2"/>
        <scheme val="minor"/>
      </rPr>
      <t>Date Received from President:</t>
    </r>
    <r>
      <rPr>
        <sz val="12"/>
        <color theme="1"/>
        <rFont val="Calibri"/>
        <family val="2"/>
        <scheme val="minor"/>
      </rPr>
      <t xml:space="preserve"> 09/25/1968 - 90th Congress (1967-1968) </t>
    </r>
    <r>
      <rPr>
        <b/>
        <sz val="12"/>
        <color theme="1"/>
        <rFont val="Calibri"/>
        <family val="2"/>
        <scheme val="minor"/>
      </rPr>
      <t>Latest Senate Action:</t>
    </r>
    <r>
      <rPr>
        <sz val="12"/>
        <color theme="1"/>
        <rFont val="Calibri"/>
        <family val="2"/>
        <scheme val="minor"/>
      </rPr>
      <t xml:space="preserve"> 05/13/1969 - 91st Congress (1969-1970) - Resolution of advice and consent to ratification agreed to in Senate by Yea-Nay vote. 93-1. Record Vote No: 29 EX. (All Actions) </t>
    </r>
  </si>
  <si>
    <r>
      <t xml:space="preserve">727. TREATY ON THE NON-PROLIFERATION OF NUCLEAR WEAPONS Senate Consideration of Treaty Document 90-24 </t>
    </r>
    <r>
      <rPr>
        <b/>
        <sz val="12"/>
        <color theme="1"/>
        <rFont val="Calibri"/>
        <family val="2"/>
        <scheme val="minor"/>
      </rPr>
      <t>Date Received from President:</t>
    </r>
    <r>
      <rPr>
        <sz val="12"/>
        <color theme="1"/>
        <rFont val="Calibri"/>
        <family val="2"/>
        <scheme val="minor"/>
      </rPr>
      <t xml:space="preserve"> 07/09/1968 - 90th Congress (1967-1968) </t>
    </r>
    <r>
      <rPr>
        <b/>
        <sz val="12"/>
        <color theme="1"/>
        <rFont val="Calibri"/>
        <family val="2"/>
        <scheme val="minor"/>
      </rPr>
      <t>Treaty Topic:</t>
    </r>
    <r>
      <rPr>
        <sz val="12"/>
        <color theme="1"/>
        <rFont val="Calibri"/>
        <family val="2"/>
        <scheme val="minor"/>
      </rPr>
      <t xml:space="preserve"> Arms Control </t>
    </r>
    <r>
      <rPr>
        <b/>
        <sz val="12"/>
        <color theme="1"/>
        <rFont val="Calibri"/>
        <family val="2"/>
        <scheme val="minor"/>
      </rPr>
      <t>Latest Senate Action:</t>
    </r>
    <r>
      <rPr>
        <sz val="12"/>
        <color theme="1"/>
        <rFont val="Calibri"/>
        <family val="2"/>
        <scheme val="minor"/>
      </rPr>
      <t xml:space="preserve"> 03/13/1969 - 91st Congress (1969-1970) - Resolution of advice and consent to ratification agreed to in Senate by Yea-Nay vote. 83-15. Record Vote No: 23 EX. (All Actions) </t>
    </r>
  </si>
  <si>
    <r>
      <t xml:space="preserve">728. AGREEMENT ON THE RESCUE OF ASTRONAUTS, THE RETURN OF ASTRONAUTS, AND THE RETURN OF OBJECTS LAUNCHED INTO OUTER SPACE Senate Consideration of Treaty Document 90-26 </t>
    </r>
    <r>
      <rPr>
        <b/>
        <sz val="12"/>
        <color theme="1"/>
        <rFont val="Calibri"/>
        <family val="2"/>
        <scheme val="minor"/>
      </rPr>
      <t>Date Received from President:</t>
    </r>
    <r>
      <rPr>
        <sz val="12"/>
        <color theme="1"/>
        <rFont val="Calibri"/>
        <family val="2"/>
        <scheme val="minor"/>
      </rPr>
      <t xml:space="preserve"> 07/15/1968 - 90th Congress (1967-1968) </t>
    </r>
    <r>
      <rPr>
        <b/>
        <sz val="12"/>
        <color theme="1"/>
        <rFont val="Calibri"/>
        <family val="2"/>
        <scheme val="minor"/>
      </rPr>
      <t>Latest Senate Action:</t>
    </r>
    <r>
      <rPr>
        <sz val="12"/>
        <color theme="1"/>
        <rFont val="Calibri"/>
        <family val="2"/>
        <scheme val="minor"/>
      </rPr>
      <t xml:space="preserve"> 10/08/1968 - 90th Congress (1967-1968) - Resolution of advice and consent to ratification agreed to in Senate by Yea-Nay vote. 66-0. Record Vote No: 322 EX. (All Actions) </t>
    </r>
  </si>
  <si>
    <r>
      <t xml:space="preserve">729. CONVENTION ON THE RECOGNITION AND ENFORCEMENT OF FOREIGN ARBITRAL AWARDS Senate Consideration of Treaty Document 90-21 </t>
    </r>
    <r>
      <rPr>
        <b/>
        <sz val="12"/>
        <color theme="1"/>
        <rFont val="Calibri"/>
        <family val="2"/>
        <scheme val="minor"/>
      </rPr>
      <t>Date Received from President:</t>
    </r>
    <r>
      <rPr>
        <sz val="12"/>
        <color theme="1"/>
        <rFont val="Calibri"/>
        <family val="2"/>
        <scheme val="minor"/>
      </rPr>
      <t xml:space="preserve"> 04/24/1968 - 90th Congress (1967-1968) </t>
    </r>
    <r>
      <rPr>
        <b/>
        <sz val="12"/>
        <color theme="1"/>
        <rFont val="Calibri"/>
        <family val="2"/>
        <scheme val="minor"/>
      </rPr>
      <t>Treaty Topic:</t>
    </r>
    <r>
      <rPr>
        <sz val="12"/>
        <color theme="1"/>
        <rFont val="Calibri"/>
        <family val="2"/>
        <scheme val="minor"/>
      </rPr>
      <t xml:space="preserve"> International Law </t>
    </r>
    <r>
      <rPr>
        <b/>
        <sz val="12"/>
        <color theme="1"/>
        <rFont val="Calibri"/>
        <family val="2"/>
        <scheme val="minor"/>
      </rPr>
      <t>Latest Senate Action:</t>
    </r>
    <r>
      <rPr>
        <sz val="12"/>
        <color theme="1"/>
        <rFont val="Calibri"/>
        <family val="2"/>
        <scheme val="minor"/>
      </rPr>
      <t xml:space="preserve"> 10/04/1968 - 90th Congress (1967-1968) - Resolution of advice and consent to ratification agreed to in Senate by Yea-Nay vote. 57-0. Record Vote No: 313 EX. (All Actions) </t>
    </r>
  </si>
  <si>
    <r>
      <t xml:space="preserve">730. PARTIAL REVISION OF THE RADIO REGULATIONS (GENEVA, 1959) Senate Consideration of Treaty Document 90-22 </t>
    </r>
    <r>
      <rPr>
        <b/>
        <sz val="12"/>
        <color theme="1"/>
        <rFont val="Calibri"/>
        <family val="2"/>
        <scheme val="minor"/>
      </rPr>
      <t>Date Received from President:</t>
    </r>
    <r>
      <rPr>
        <sz val="12"/>
        <color theme="1"/>
        <rFont val="Calibri"/>
        <family val="2"/>
        <scheme val="minor"/>
      </rPr>
      <t xml:space="preserve"> 05/17/1968 - 90th Congress (1967-1968) </t>
    </r>
    <r>
      <rPr>
        <b/>
        <sz val="12"/>
        <color theme="1"/>
        <rFont val="Calibri"/>
        <family val="2"/>
        <scheme val="minor"/>
      </rPr>
      <t>Latest Senate Action:</t>
    </r>
    <r>
      <rPr>
        <sz val="12"/>
        <color theme="1"/>
        <rFont val="Calibri"/>
        <family val="2"/>
        <scheme val="minor"/>
      </rPr>
      <t xml:space="preserve"> 10/04/1968 - 90th Congress (1967-1968) - Resolution of advice and consent to ratification agreed to in Senate by Yea-Nay vote. 59-0. Record Vote No: 316 EX. (All Actions) </t>
    </r>
  </si>
  <si>
    <r>
      <t xml:space="preserve">731. CONVENTION ESTABLISHING A CUSTOMS COOPERATION COUNCIL Senate Consideration of Treaty Document 90-23 </t>
    </r>
    <r>
      <rPr>
        <b/>
        <sz val="12"/>
        <color theme="1"/>
        <rFont val="Calibri"/>
        <family val="2"/>
        <scheme val="minor"/>
      </rPr>
      <t>Date Received from President:</t>
    </r>
    <r>
      <rPr>
        <sz val="12"/>
        <color theme="1"/>
        <rFont val="Calibri"/>
        <family val="2"/>
        <scheme val="minor"/>
      </rPr>
      <t xml:space="preserve"> 05/20/1968 - 90th Congress (1967-1968) </t>
    </r>
    <r>
      <rPr>
        <b/>
        <sz val="12"/>
        <color theme="1"/>
        <rFont val="Calibri"/>
        <family val="2"/>
        <scheme val="minor"/>
      </rPr>
      <t>Latest Senate Action:</t>
    </r>
    <r>
      <rPr>
        <sz val="12"/>
        <color theme="1"/>
        <rFont val="Calibri"/>
        <family val="2"/>
        <scheme val="minor"/>
      </rPr>
      <t xml:space="preserve"> 10/04/1968 - 90th Congress (1967-1968) - Resolution of advice and consent to ratification agreed to in Senate by Yea-Nay vote. 59-0. Record Vote No: 315 EX. (All Actions) </t>
    </r>
  </si>
  <si>
    <r>
      <t xml:space="preserve">732. CONVENTION ON TRANSIT TRADE OF LAND-LOCKED STATES Senate Consideration of Treaty Document 90-25 </t>
    </r>
    <r>
      <rPr>
        <b/>
        <sz val="12"/>
        <color theme="1"/>
        <rFont val="Calibri"/>
        <family val="2"/>
        <scheme val="minor"/>
      </rPr>
      <t>Date Received from President:</t>
    </r>
    <r>
      <rPr>
        <sz val="12"/>
        <color theme="1"/>
        <rFont val="Calibri"/>
        <family val="2"/>
        <scheme val="minor"/>
      </rPr>
      <t xml:space="preserve"> 07/12/1968 - 90th Congress (1967-1968)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10/04/1968 - 90th Congress (1967-1968) - Resolution of advice and consent to ratification agreed to in Senate by Yea-Nay vote. 59-0. Record Vote No: 314 EX. (All Actions) </t>
    </r>
  </si>
  <si>
    <r>
      <t xml:space="preserve">733. PROTOCOL RELATING TO THE STATUS OF REFUGEES Senate Consideration of Treaty Document 90-27 </t>
    </r>
    <r>
      <rPr>
        <b/>
        <sz val="12"/>
        <color theme="1"/>
        <rFont val="Calibri"/>
        <family val="2"/>
        <scheme val="minor"/>
      </rPr>
      <t>Date Received from President:</t>
    </r>
    <r>
      <rPr>
        <sz val="12"/>
        <color theme="1"/>
        <rFont val="Calibri"/>
        <family val="2"/>
        <scheme val="minor"/>
      </rPr>
      <t xml:space="preserve"> 08/01/1968 - 90th Congress (1967-1968) </t>
    </r>
    <r>
      <rPr>
        <b/>
        <sz val="12"/>
        <color theme="1"/>
        <rFont val="Calibri"/>
        <family val="2"/>
        <scheme val="minor"/>
      </rPr>
      <t>Latest Senate Action:</t>
    </r>
    <r>
      <rPr>
        <sz val="12"/>
        <color theme="1"/>
        <rFont val="Calibri"/>
        <family val="2"/>
        <scheme val="minor"/>
      </rPr>
      <t xml:space="preserve"> 10/04/1968 - 90th Congress (1967-1968) - Resolution of advice and consent to ratification agreed to in Senate by Yea-Nay vote. 59-0. Record Vote No: 317 EX. (All Actions) </t>
    </r>
  </si>
  <si>
    <r>
      <t xml:space="preserve">734. 1968 INTERNATIONAL COFFEE AGREEMENT Senate Consideration of Treaty Document 90-20 </t>
    </r>
    <r>
      <rPr>
        <b/>
        <sz val="12"/>
        <color theme="1"/>
        <rFont val="Calibri"/>
        <family val="2"/>
        <scheme val="minor"/>
      </rPr>
      <t>Date Received from President:</t>
    </r>
    <r>
      <rPr>
        <sz val="12"/>
        <color theme="1"/>
        <rFont val="Calibri"/>
        <family val="2"/>
        <scheme val="minor"/>
      </rPr>
      <t xml:space="preserve"> 02/23/1968 - 90th Congress (1967-1968)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06/28/1968 - 90th Congress (1967-1968) - Resolution of advice and consent to ratification agreed to in Senate by Yea-Nay vote. 51-8. Record Vote No: 202 EX. (All Actions) </t>
    </r>
  </si>
  <si>
    <r>
      <t xml:space="preserve">735. INTERNATIONAL GRAINS ARRANGEMENT OF 1967 Senate Consideration of Treaty Document 90-17 </t>
    </r>
    <r>
      <rPr>
        <b/>
        <sz val="12"/>
        <color theme="1"/>
        <rFont val="Calibri"/>
        <family val="2"/>
        <scheme val="minor"/>
      </rPr>
      <t>Date Received from President:</t>
    </r>
    <r>
      <rPr>
        <sz val="12"/>
        <color theme="1"/>
        <rFont val="Calibri"/>
        <family val="2"/>
        <scheme val="minor"/>
      </rPr>
      <t xml:space="preserve"> 01/25/1968 - 90th Congress (1967-1968)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06/13/1968 - 90th Congress (1967-1968) - Resolution of advice and consent to ratification agreed to in Senate by Yea-Nay vote. 62-21. Record Vote No: 185 EX. (All Actions) </t>
    </r>
  </si>
  <si>
    <r>
      <t xml:space="preserve">736. INCOME TAX CONVENTION WITH THE PHILIPPINES Senate Consideration of Treaty Document 89-4 </t>
    </r>
    <r>
      <rPr>
        <b/>
        <sz val="12"/>
        <color theme="1"/>
        <rFont val="Calibri"/>
        <family val="2"/>
        <scheme val="minor"/>
      </rPr>
      <t>Date Received from President:</t>
    </r>
    <r>
      <rPr>
        <sz val="12"/>
        <color theme="1"/>
        <rFont val="Calibri"/>
        <family val="2"/>
        <scheme val="minor"/>
      </rPr>
      <t xml:space="preserve"> 07/29/1965 - 89th Congress (1965-1966)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06/06/1968 - 90th Congress (1967-1968) - Approved, with reservation, by 79-0 vote (No.177 Ex.). (All Actions) </t>
    </r>
  </si>
  <si>
    <r>
      <t xml:space="preserve">737. TAX CONVENTION WITH BRAZIL Senate Consideration of Treaty Document 90-10 </t>
    </r>
    <r>
      <rPr>
        <b/>
        <sz val="12"/>
        <color theme="1"/>
        <rFont val="Calibri"/>
        <family val="2"/>
        <scheme val="minor"/>
      </rPr>
      <t>Date Received from President:</t>
    </r>
    <r>
      <rPr>
        <sz val="12"/>
        <color theme="1"/>
        <rFont val="Calibri"/>
        <family val="2"/>
        <scheme val="minor"/>
      </rPr>
      <t xml:space="preserve"> 04/21/1967 - 90th Congress (1967-1968)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06/06/1968 - 90th Congress (1967-1968) - Resolution of advice and consent to ratification agreed to in Senate by Yea-Nay vote. 78-0. Record Vote No: 175 EX. (All Actions) </t>
    </r>
  </si>
  <si>
    <r>
      <t xml:space="preserve">738. TAX CONVENTION WITH FRANCE Senate Consideration of Treaty Document 90-14 </t>
    </r>
    <r>
      <rPr>
        <b/>
        <sz val="12"/>
        <color theme="1"/>
        <rFont val="Calibri"/>
        <family val="2"/>
        <scheme val="minor"/>
      </rPr>
      <t>Date Received from President:</t>
    </r>
    <r>
      <rPr>
        <sz val="12"/>
        <color theme="1"/>
        <rFont val="Calibri"/>
        <family val="2"/>
        <scheme val="minor"/>
      </rPr>
      <t xml:space="preserve"> 10/03/1967 - 90th Congress (1967-1968)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06/06/1968 - 90th Congress (1967-1968) - Resolution of advice and consent to ratification agreed to in Senate by Yea-Nay vote. 78-0. Record Vote No: 176 EX. (All Actions) </t>
    </r>
  </si>
  <si>
    <r>
      <t xml:space="preserve">739. CONVENTION ON THE INTERNATIONAL HYDROGRAPHIC ORGANIZATION Senate Consideration of Treaty Document 90-15 </t>
    </r>
    <r>
      <rPr>
        <b/>
        <sz val="12"/>
        <color theme="1"/>
        <rFont val="Calibri"/>
        <family val="2"/>
        <scheme val="minor"/>
      </rPr>
      <t>Date Received from President:</t>
    </r>
    <r>
      <rPr>
        <sz val="12"/>
        <color theme="1"/>
        <rFont val="Calibri"/>
        <family val="2"/>
        <scheme val="minor"/>
      </rPr>
      <t xml:space="preserve"> 10/24/1967 - 90th Congress (1967-1968)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05/13/1968 - 90th Congress (1967-1968) - Resolution of advice and consent to ratification agreed to in Senate by Yea-Nay vote. 73-0. Record Vote No: 127 EX. (All Actions) </t>
    </r>
  </si>
  <si>
    <r>
      <t xml:space="preserve">740. SIX AMENDMENTS TO THE 1960 INTERNATIONAL CONVENTION FOR THE SAFETY OF LIFE AT SEA Senate Consideration of Treaty Document 90-19 </t>
    </r>
    <r>
      <rPr>
        <b/>
        <sz val="12"/>
        <color theme="1"/>
        <rFont val="Calibri"/>
        <family val="2"/>
        <scheme val="minor"/>
      </rPr>
      <t>Date Received from President:</t>
    </r>
    <r>
      <rPr>
        <sz val="12"/>
        <color theme="1"/>
        <rFont val="Calibri"/>
        <family val="2"/>
        <scheme val="minor"/>
      </rPr>
      <t xml:space="preserve"> 02/28/1968 - 90th Congress (1967-1968)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05/13/1968 - 90th Congress (1967-1968) - Resolution of advice and consent to ratification agreed to in Senate by Yea-Nay vote. 74-0. Record Vote No: 128 EX. (All Actions) </t>
    </r>
  </si>
  <si>
    <r>
      <t xml:space="preserve">741. CONVENTION RELATING TO INTERNATIONAL EXHIBITIONS Senate Consideration of Treaty Document 90-16 </t>
    </r>
    <r>
      <rPr>
        <b/>
        <sz val="12"/>
        <color theme="1"/>
        <rFont val="Calibri"/>
        <family val="2"/>
        <scheme val="minor"/>
      </rPr>
      <t>Date Received from President:</t>
    </r>
    <r>
      <rPr>
        <sz val="12"/>
        <color theme="1"/>
        <rFont val="Calibri"/>
        <family val="2"/>
        <scheme val="minor"/>
      </rPr>
      <t xml:space="preserve"> 11/28/1967 - 90th Congress (1967-1968)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04/30/1968 - 90th Congress (1967-1968) - Resolution of advice and consent to ratification agreed to in Senate by Yea-Nay vote. 74-0. Record Vote No: 124 EX. (All Actions) </t>
    </r>
  </si>
  <si>
    <r>
      <t xml:space="preserve">742. PROTOCOL AMENDING THE CHARTER OF THE ORGANIZATION OF AMERICAN STATES Senate Consideration of Treaty Document 90-12 </t>
    </r>
    <r>
      <rPr>
        <b/>
        <sz val="12"/>
        <color theme="1"/>
        <rFont val="Calibri"/>
        <family val="2"/>
        <scheme val="minor"/>
      </rPr>
      <t>Date Received from President:</t>
    </r>
    <r>
      <rPr>
        <sz val="12"/>
        <color theme="1"/>
        <rFont val="Calibri"/>
        <family val="2"/>
        <scheme val="minor"/>
      </rPr>
      <t xml:space="preserve"> 06/12/1967 - 90th Congress (1967-1968) </t>
    </r>
    <r>
      <rPr>
        <b/>
        <sz val="12"/>
        <color theme="1"/>
        <rFont val="Calibri"/>
        <family val="2"/>
        <scheme val="minor"/>
      </rPr>
      <t>Latest Senate Action:</t>
    </r>
    <r>
      <rPr>
        <sz val="12"/>
        <color theme="1"/>
        <rFont val="Calibri"/>
        <family val="2"/>
        <scheme val="minor"/>
      </rPr>
      <t xml:space="preserve"> 04/10/1968 - 90th Congress (1967-1968) - Resolution of advice and consent to ratification agreed to in Senate by Yea-Nay vote. 75-0. Record Vote No: 101 EX. (All Actions) </t>
    </r>
  </si>
  <si>
    <r>
      <t xml:space="preserve">743. AMENDMENT TO THE INTERGOVERNMENTAL MARITIME CONSULTATIVE ORGANIZATION CONVENTION Senate Consideration of Treaty Document 90-13 </t>
    </r>
    <r>
      <rPr>
        <b/>
        <sz val="12"/>
        <color theme="1"/>
        <rFont val="Calibri"/>
        <family val="2"/>
        <scheme val="minor"/>
      </rPr>
      <t>Date Received from President:</t>
    </r>
    <r>
      <rPr>
        <sz val="12"/>
        <color theme="1"/>
        <rFont val="Calibri"/>
        <family val="2"/>
        <scheme val="minor"/>
      </rPr>
      <t xml:space="preserve"> 07/13/1967 - 90th Congress (1967-1968)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12/11/1967 - 90th Congress (1967-1968) - Resolution of advice and consent to ratification agreed to in Senate by Yea-Nay vote. 75-0. Record Vote No: 382 EX. (All Actions) </t>
    </r>
  </si>
  <si>
    <r>
      <t xml:space="preserve">744. PROTOCOL FOR THE FURTHER PROLONGATION OF THE INTERNATIONAL SUGAR AGREEMENT OF 1958 Senate Consideration of Treaty Document 90-11 </t>
    </r>
    <r>
      <rPr>
        <b/>
        <sz val="12"/>
        <color theme="1"/>
        <rFont val="Calibri"/>
        <family val="2"/>
        <scheme val="minor"/>
      </rPr>
      <t>Date Received from President:</t>
    </r>
    <r>
      <rPr>
        <sz val="12"/>
        <color theme="1"/>
        <rFont val="Calibri"/>
        <family val="2"/>
        <scheme val="minor"/>
      </rPr>
      <t xml:space="preserve"> 05/09/1967 - 90th Congress (1967-1968)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12/06/1967 - 90th Congress (1967-1968) - Resolution of advice and consent to ratification agreed to in Senate by Yea-Nay vote. 84-0. Record Vote No: 374EX. (All Actions) </t>
    </r>
  </si>
  <si>
    <r>
      <t xml:space="preserve">745. SUPPLEMENTARY TAX CONVENTION WITH CANADA Senate Consideration of Treaty Document 90-2 </t>
    </r>
    <r>
      <rPr>
        <b/>
        <sz val="12"/>
        <color theme="1"/>
        <rFont val="Calibri"/>
        <family val="2"/>
        <scheme val="minor"/>
      </rPr>
      <t>Date Received from President:</t>
    </r>
    <r>
      <rPr>
        <sz val="12"/>
        <color theme="1"/>
        <rFont val="Calibri"/>
        <family val="2"/>
        <scheme val="minor"/>
      </rPr>
      <t xml:space="preserve"> 01/25/1967 - 90th Congress (1967-1968)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11/02/1967 - 90th Congress (1967-1968) - Resolution of advice and consent to ratification agreed to in Senate by Yea-Nay vote. 77-0. Record Vote No: 307 EX. (All Actions) </t>
    </r>
  </si>
  <si>
    <r>
      <t xml:space="preserve">746. TAX CONVENTION WITH TRINIDAD AND TOBAGO Senate Consideration of Treaty Document 90-6 </t>
    </r>
    <r>
      <rPr>
        <b/>
        <sz val="12"/>
        <color theme="1"/>
        <rFont val="Calibri"/>
        <family val="2"/>
        <scheme val="minor"/>
      </rPr>
      <t>Date Received from President:</t>
    </r>
    <r>
      <rPr>
        <sz val="12"/>
        <color theme="1"/>
        <rFont val="Calibri"/>
        <family val="2"/>
        <scheme val="minor"/>
      </rPr>
      <t xml:space="preserve"> 02/23/1967 - 90th Congress (1967-1968)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11/02/1967 - 90th Congress (1967-1968) - Resolution of advice and consent to ratification agreed to in Senate by Yea-Nay vote. 77-0. Record Vote No: 308 EX. (All Actions) </t>
    </r>
  </si>
  <si>
    <r>
      <t xml:space="preserve">747. CONSULAR CONVENTION WITH FRANCE Senate Consideration of Treaty Document 90-9 </t>
    </r>
    <r>
      <rPr>
        <b/>
        <sz val="12"/>
        <color theme="1"/>
        <rFont val="Calibri"/>
        <family val="2"/>
        <scheme val="minor"/>
      </rPr>
      <t>Date Received from President:</t>
    </r>
    <r>
      <rPr>
        <sz val="12"/>
        <color theme="1"/>
        <rFont val="Calibri"/>
        <family val="2"/>
        <scheme val="minor"/>
      </rPr>
      <t xml:space="preserve"> 04/19/1967 - 90th Congress (1967-1968) </t>
    </r>
    <r>
      <rPr>
        <b/>
        <sz val="12"/>
        <color theme="1"/>
        <rFont val="Calibri"/>
        <family val="2"/>
        <scheme val="minor"/>
      </rPr>
      <t>Treaty Topic:</t>
    </r>
    <r>
      <rPr>
        <sz val="12"/>
        <color theme="1"/>
        <rFont val="Calibri"/>
        <family val="2"/>
        <scheme val="minor"/>
      </rPr>
      <t xml:space="preserve"> Consular </t>
    </r>
    <r>
      <rPr>
        <b/>
        <sz val="12"/>
        <color theme="1"/>
        <rFont val="Calibri"/>
        <family val="2"/>
        <scheme val="minor"/>
      </rPr>
      <t>Latest Senate Action:</t>
    </r>
    <r>
      <rPr>
        <sz val="12"/>
        <color theme="1"/>
        <rFont val="Calibri"/>
        <family val="2"/>
        <scheme val="minor"/>
      </rPr>
      <t xml:space="preserve"> 09/18/1967 - 90th Congress (1967-1968) - Resolution of advice and consent to ratification agreed to in Senate by Yea-Nay vote. 80-0. Record Vote No: 251 EX. (All Actions) </t>
    </r>
  </si>
  <si>
    <r>
      <t xml:space="preserve">748. PARTIAL REVISION OF THE RADIO REGULATIONS (GENEVA, 1959), WITH PROTOCOL Senate Consideration of Treaty Document 90-8 </t>
    </r>
    <r>
      <rPr>
        <b/>
        <sz val="12"/>
        <color theme="1"/>
        <rFont val="Calibri"/>
        <family val="2"/>
        <scheme val="minor"/>
      </rPr>
      <t>Date Received from President:</t>
    </r>
    <r>
      <rPr>
        <sz val="12"/>
        <color theme="1"/>
        <rFont val="Calibri"/>
        <family val="2"/>
        <scheme val="minor"/>
      </rPr>
      <t xml:space="preserve"> 03/23/1967 - 90th Congress (1967-1968) </t>
    </r>
    <r>
      <rPr>
        <b/>
        <sz val="12"/>
        <color theme="1"/>
        <rFont val="Calibri"/>
        <family val="2"/>
        <scheme val="minor"/>
      </rPr>
      <t>Latest Senate Action:</t>
    </r>
    <r>
      <rPr>
        <sz val="12"/>
        <color theme="1"/>
        <rFont val="Calibri"/>
        <family val="2"/>
        <scheme val="minor"/>
      </rPr>
      <t xml:space="preserve"> 08/02/1967 - 90th Congress (1967-1968) - Resolution of advice and consent to ratification agreed to in Senate by Yea-Nay vote. 86-0. Record Vote No: 198 EX. (All Actions) </t>
    </r>
  </si>
  <si>
    <r>
      <t xml:space="preserve">749. AMENDMENT TO ARTICLE 109 OF THE CHARTER OF THE UNITED NATIONS Senate Consideration of Treaty Document 90-1 </t>
    </r>
    <r>
      <rPr>
        <b/>
        <sz val="12"/>
        <color theme="1"/>
        <rFont val="Calibri"/>
        <family val="2"/>
        <scheme val="minor"/>
      </rPr>
      <t>Date Received from President:</t>
    </r>
    <r>
      <rPr>
        <sz val="12"/>
        <color theme="1"/>
        <rFont val="Calibri"/>
        <family val="2"/>
        <scheme val="minor"/>
      </rPr>
      <t xml:space="preserve"> 01/23/1967 - 90th Congress (1967-1968) </t>
    </r>
    <r>
      <rPr>
        <b/>
        <sz val="12"/>
        <color theme="1"/>
        <rFont val="Calibri"/>
        <family val="2"/>
        <scheme val="minor"/>
      </rPr>
      <t>Latest Senate Action:</t>
    </r>
    <r>
      <rPr>
        <sz val="12"/>
        <color theme="1"/>
        <rFont val="Calibri"/>
        <family val="2"/>
        <scheme val="minor"/>
      </rPr>
      <t xml:space="preserve"> 05/08/1967 - 90th Congress (1967-1968) - Resolution of advice and consent to ratification agreed to in Senate by Yea-Nay vote. 84-0. Record Vote No: 105 EX. (All Actions) </t>
    </r>
  </si>
  <si>
    <r>
      <t xml:space="preserve">750. SINGLE CONVENTION ON NARCOTIC DRUGS, 1961 Senate Consideration of Treaty Document 90-7 </t>
    </r>
    <r>
      <rPr>
        <b/>
        <sz val="12"/>
        <color theme="1"/>
        <rFont val="Calibri"/>
        <family val="2"/>
        <scheme val="minor"/>
      </rPr>
      <t>Date Received from President:</t>
    </r>
    <r>
      <rPr>
        <sz val="12"/>
        <color theme="1"/>
        <rFont val="Calibri"/>
        <family val="2"/>
        <scheme val="minor"/>
      </rPr>
      <t xml:space="preserve"> 03/08/1967 - 90th Congress (1967-1968) </t>
    </r>
    <r>
      <rPr>
        <b/>
        <sz val="12"/>
        <color theme="1"/>
        <rFont val="Calibri"/>
        <family val="2"/>
        <scheme val="minor"/>
      </rPr>
      <t>Latest Senate Action:</t>
    </r>
    <r>
      <rPr>
        <sz val="12"/>
        <color theme="1"/>
        <rFont val="Calibri"/>
        <family val="2"/>
        <scheme val="minor"/>
      </rPr>
      <t xml:space="preserve"> 05/08/1967 - 90th Congress (1967-1968) - Resolution of advice and consent to ratification agreed to in Senate by Yea-Nay vote. 84-0. Record Vote No: 106 EX. (All Actions) </t>
    </r>
  </si>
  <si>
    <r>
      <t xml:space="preserve">751. TREATY ON PRINCIPLES GOVERNING THE ACTIVITIES OF STATES IN THE EXPLORATION AND USE OF OUTER SPACE, INCLUDING THE MOON AND OTHER CELESTIAL BODIES Senate Consideration of Treaty Document 90-4 </t>
    </r>
    <r>
      <rPr>
        <b/>
        <sz val="12"/>
        <color theme="1"/>
        <rFont val="Calibri"/>
        <family val="2"/>
        <scheme val="minor"/>
      </rPr>
      <t>Date Received from President:</t>
    </r>
    <r>
      <rPr>
        <sz val="12"/>
        <color theme="1"/>
        <rFont val="Calibri"/>
        <family val="2"/>
        <scheme val="minor"/>
      </rPr>
      <t xml:space="preserve"> 02/07/1967 - 90th Congress (1967-1968) </t>
    </r>
    <r>
      <rPr>
        <b/>
        <sz val="12"/>
        <color theme="1"/>
        <rFont val="Calibri"/>
        <family val="2"/>
        <scheme val="minor"/>
      </rPr>
      <t>Latest Senate Action:</t>
    </r>
    <r>
      <rPr>
        <sz val="12"/>
        <color theme="1"/>
        <rFont val="Calibri"/>
        <family val="2"/>
        <scheme val="minor"/>
      </rPr>
      <t xml:space="preserve"> 04/25/1967 - 90th Congress (1967-1968) - Resolution of advice and consent to ratification agreed to in Senate by Yea-Nay vote. 88-0. Record Vote No: 92 EX. (All Actions) </t>
    </r>
  </si>
  <si>
    <r>
      <t xml:space="preserve">752. CONVENTION ON THE SERVICE ABROAD OF JUDICIAL AND EXTRAJUDICIAL DOCUMENTS IN CIVIL OR COMMERCIAL MATTERS Senate Consideration of Treaty Document 90-3 </t>
    </r>
    <r>
      <rPr>
        <b/>
        <sz val="12"/>
        <color theme="1"/>
        <rFont val="Calibri"/>
        <family val="2"/>
        <scheme val="minor"/>
      </rPr>
      <t>Date Received from President:</t>
    </r>
    <r>
      <rPr>
        <sz val="12"/>
        <color theme="1"/>
        <rFont val="Calibri"/>
        <family val="2"/>
        <scheme val="minor"/>
      </rPr>
      <t xml:space="preserve"> 01/31/1967 - 90th Congress (1967-1968) </t>
    </r>
    <r>
      <rPr>
        <b/>
        <sz val="12"/>
        <color theme="1"/>
        <rFont val="Calibri"/>
        <family val="2"/>
        <scheme val="minor"/>
      </rPr>
      <t>Latest Senate Action:</t>
    </r>
    <r>
      <rPr>
        <sz val="12"/>
        <color theme="1"/>
        <rFont val="Calibri"/>
        <family val="2"/>
        <scheme val="minor"/>
      </rPr>
      <t xml:space="preserve"> 04/13/1967 - 90th Congress (1967-1968) - Resolution of advice and consent to ratification agreed to in Senate by Yea-Nay vote. 82-0. Record Vote No: 75 EX. (All Actions) </t>
    </r>
  </si>
  <si>
    <r>
      <t xml:space="preserve">753. AMENDMENTS TO THE INTERNATIONAL CONVENTION FOR THE SAFETY OF LIFE AT SEA, 1960 Senate Consideration of Treaty Document 90-5 </t>
    </r>
    <r>
      <rPr>
        <b/>
        <sz val="12"/>
        <color theme="1"/>
        <rFont val="Calibri"/>
        <family val="2"/>
        <scheme val="minor"/>
      </rPr>
      <t>Date Received from President:</t>
    </r>
    <r>
      <rPr>
        <sz val="12"/>
        <color theme="1"/>
        <rFont val="Calibri"/>
        <family val="2"/>
        <scheme val="minor"/>
      </rPr>
      <t xml:space="preserve"> 02/15/1967 - 90th Congress (1967-1968)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03/21/1967 - 90th Congress (1967-1968) - Resolution of advice and consent to ratification agreed to in Senate by Yea-Nay vote. 88-0. Record Vote No: 67 EX. (All Actions) </t>
    </r>
  </si>
  <si>
    <r>
      <t xml:space="preserve">754. AMENDMENTS OF CONVENTION ON INTERGOVERNMENTAL MARITIME CONSULTATIVE ORGANIZATION Senate Consideration of Treaty Document 89-8 </t>
    </r>
    <r>
      <rPr>
        <b/>
        <sz val="12"/>
        <color theme="1"/>
        <rFont val="Calibri"/>
        <family val="2"/>
        <scheme val="minor"/>
      </rPr>
      <t>Date Received from President:</t>
    </r>
    <r>
      <rPr>
        <sz val="12"/>
        <color theme="1"/>
        <rFont val="Calibri"/>
        <family val="2"/>
        <scheme val="minor"/>
      </rPr>
      <t xml:space="preserve"> 09/13/1965 - 89th Congress (1965-1966) </t>
    </r>
    <r>
      <rPr>
        <b/>
        <sz val="12"/>
        <color theme="1"/>
        <rFont val="Calibri"/>
        <family val="2"/>
        <scheme val="minor"/>
      </rPr>
      <t>Treaty Topic:</t>
    </r>
    <r>
      <rPr>
        <sz val="12"/>
        <color theme="1"/>
        <rFont val="Calibri"/>
        <family val="2"/>
        <scheme val="minor"/>
      </rPr>
      <t xml:space="preserve"> Shipping and Marine Pollution </t>
    </r>
    <r>
      <rPr>
        <b/>
        <sz val="12"/>
        <color theme="1"/>
        <rFont val="Calibri"/>
        <family val="2"/>
        <scheme val="minor"/>
      </rPr>
      <t>Latest Senate Action:</t>
    </r>
    <r>
      <rPr>
        <sz val="12"/>
        <color theme="1"/>
        <rFont val="Calibri"/>
        <family val="2"/>
        <scheme val="minor"/>
      </rPr>
      <t xml:space="preserve"> 06/21/1966 - 89th Congress (1965-1966) - Resolution of advice and consent to ratification agreed to in Senate by Yea-Nay vote. 83-0. Record Vote No: 102 EX. (All Actions) </t>
    </r>
  </si>
  <si>
    <r>
      <t xml:space="preserve">755. Convention (No. 122) Concerning Employment Policy Senate Consideration of Treaty Document 89-16 </t>
    </r>
    <r>
      <rPr>
        <b/>
        <sz val="12"/>
        <color theme="1"/>
        <rFont val="Calibri"/>
        <family val="2"/>
        <scheme val="minor"/>
      </rPr>
      <t>Date Received from President:</t>
    </r>
    <r>
      <rPr>
        <sz val="12"/>
        <color theme="1"/>
        <rFont val="Calibri"/>
        <family val="2"/>
        <scheme val="minor"/>
      </rPr>
      <t xml:space="preserve"> 06/02/1966 - 89th Congress (1965-1966)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06/02/1966 - 89th Congress (1965-1966) - Received in the Senate and referred to the Committee on Foreign Relations by unanimous consent. (All Actions) </t>
    </r>
  </si>
  <si>
    <r>
      <t xml:space="preserve">756. PROTOCOL MODIFYING CONVENTION WITH BELGIUM FOR THE AVOIDANCE OF DOUBLE TAXATION Senate Consideration of Treaty Document 89-7 </t>
    </r>
    <r>
      <rPr>
        <b/>
        <sz val="12"/>
        <color theme="1"/>
        <rFont val="Calibri"/>
        <family val="2"/>
        <scheme val="minor"/>
      </rPr>
      <t>Date Received from President:</t>
    </r>
    <r>
      <rPr>
        <sz val="12"/>
        <color theme="1"/>
        <rFont val="Calibri"/>
        <family val="2"/>
        <scheme val="minor"/>
      </rPr>
      <t xml:space="preserve"> 08/05/1965 - 89th Congress (1965-1966)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10/22/1965 - 89th Congress (1965-1966) - General debate; approved by 66-0 vote (No. 301 Ex.). (All Actions) </t>
    </r>
  </si>
  <si>
    <r>
      <t xml:space="preserve">757. TAX PROTOCOL WITH THE FEDERAL REPUBLIC OF GERMANY Senate Consideration of Treaty Document 89-9 </t>
    </r>
    <r>
      <rPr>
        <b/>
        <sz val="12"/>
        <color theme="1"/>
        <rFont val="Calibri"/>
        <family val="2"/>
        <scheme val="minor"/>
      </rPr>
      <t>Date Received from President:</t>
    </r>
    <r>
      <rPr>
        <sz val="12"/>
        <color theme="1"/>
        <rFont val="Calibri"/>
        <family val="2"/>
        <scheme val="minor"/>
      </rPr>
      <t xml:space="preserve"> 09/29/1965 - 89th Congress (1965-1966) </t>
    </r>
    <r>
      <rPr>
        <b/>
        <sz val="12"/>
        <color theme="1"/>
        <rFont val="Calibri"/>
        <family val="2"/>
        <scheme val="minor"/>
      </rPr>
      <t>Treaty Topic:</t>
    </r>
    <r>
      <rPr>
        <sz val="12"/>
        <color theme="1"/>
        <rFont val="Calibri"/>
        <family val="2"/>
        <scheme val="minor"/>
      </rPr>
      <t xml:space="preserve"> Taxation </t>
    </r>
    <r>
      <rPr>
        <b/>
        <sz val="12"/>
        <color theme="1"/>
        <rFont val="Calibri"/>
        <family val="2"/>
        <scheme val="minor"/>
      </rPr>
      <t>Latest Senate Action:</t>
    </r>
    <r>
      <rPr>
        <sz val="12"/>
        <color theme="1"/>
        <rFont val="Calibri"/>
        <family val="2"/>
        <scheme val="minor"/>
      </rPr>
      <t xml:space="preserve"> 10/22/1965 - 89th Congress (1965-1966) - General debate; approved by 66-0 vote (No. 301 Ex.). (All Actions) </t>
    </r>
  </si>
  <si>
    <r>
      <t xml:space="preserve">758. AGREEMENT WITH CANADA ON ESTABLISHMENT OF AN INTERNATIONAL ARBITRAL TRIBUNAL TO DISPOSE OF U. S. CLAIMS RELATING TO GUT DAM Senate Consideration of Treaty Document 89-3 </t>
    </r>
    <r>
      <rPr>
        <b/>
        <sz val="12"/>
        <color theme="1"/>
        <rFont val="Calibri"/>
        <family val="2"/>
        <scheme val="minor"/>
      </rPr>
      <t>Date Received from President:</t>
    </r>
    <r>
      <rPr>
        <sz val="12"/>
        <color theme="1"/>
        <rFont val="Calibri"/>
        <family val="2"/>
        <scheme val="minor"/>
      </rPr>
      <t xml:space="preserve"> 05/17/1987 - 89th Congress (1965-1966) </t>
    </r>
    <r>
      <rPr>
        <b/>
        <sz val="12"/>
        <color theme="1"/>
        <rFont val="Calibri"/>
        <family val="2"/>
        <scheme val="minor"/>
      </rPr>
      <t>Treaty Topic:</t>
    </r>
    <r>
      <rPr>
        <sz val="12"/>
        <color theme="1"/>
        <rFont val="Calibri"/>
        <family val="2"/>
        <scheme val="minor"/>
      </rPr>
      <t xml:space="preserve"> Dispute Settlement and Arbitration </t>
    </r>
    <r>
      <rPr>
        <b/>
        <sz val="12"/>
        <color theme="1"/>
        <rFont val="Calibri"/>
        <family val="2"/>
        <scheme val="minor"/>
      </rPr>
      <t>Latest Senate Action:</t>
    </r>
    <r>
      <rPr>
        <sz val="12"/>
        <color theme="1"/>
        <rFont val="Calibri"/>
        <family val="2"/>
        <scheme val="minor"/>
      </rPr>
      <t xml:space="preserve"> 08/30/1965 - 89th Congress (1965-1966) - Approved by vote of 74-0 (No. 240 Ex.). (All Actions) </t>
    </r>
  </si>
  <si>
    <r>
      <t xml:space="preserve">759. PROTOCOL FOR THE EXTENSION OF THE INTERNATIONAL WHEAT AGREEMENT, 1962 Senate Consideration of Treaty Document 89-2 </t>
    </r>
    <r>
      <rPr>
        <b/>
        <sz val="12"/>
        <color theme="1"/>
        <rFont val="Calibri"/>
        <family val="2"/>
        <scheme val="minor"/>
      </rPr>
      <t>Date Received from President:</t>
    </r>
    <r>
      <rPr>
        <sz val="12"/>
        <color theme="1"/>
        <rFont val="Calibri"/>
        <family val="2"/>
        <scheme val="minor"/>
      </rPr>
      <t xml:space="preserve"> 04/23/1965 - 89th Congress (1965-1966) </t>
    </r>
    <r>
      <rPr>
        <b/>
        <sz val="12"/>
        <color theme="1"/>
        <rFont val="Calibri"/>
        <family val="2"/>
        <scheme val="minor"/>
      </rPr>
      <t>Treaty Topic:</t>
    </r>
    <r>
      <rPr>
        <sz val="12"/>
        <color theme="1"/>
        <rFont val="Calibri"/>
        <family val="2"/>
        <scheme val="minor"/>
      </rPr>
      <t xml:space="preserve"> Commercial </t>
    </r>
    <r>
      <rPr>
        <b/>
        <sz val="12"/>
        <color theme="1"/>
        <rFont val="Calibri"/>
        <family val="2"/>
        <scheme val="minor"/>
      </rPr>
      <t>Latest Senate Action:</t>
    </r>
    <r>
      <rPr>
        <sz val="12"/>
        <color theme="1"/>
        <rFont val="Calibri"/>
        <family val="2"/>
        <scheme val="minor"/>
      </rPr>
      <t xml:space="preserve"> 06/15/1965 - 89th Congress (1965-1966) - Approved by 88-0 vote (No. 132 Ex.). (All Actions) </t>
    </r>
  </si>
  <si>
    <r>
      <t xml:space="preserve">760. TWO AMENDMENTS TO THE CHARTER OF THE UNITED NATIONS Senate Consideration of Treaty Document 89-1 </t>
    </r>
    <r>
      <rPr>
        <b/>
        <sz val="12"/>
        <color theme="1"/>
        <rFont val="Calibri"/>
        <family val="2"/>
        <scheme val="minor"/>
      </rPr>
      <t>Date Received from President:</t>
    </r>
    <r>
      <rPr>
        <sz val="12"/>
        <color theme="1"/>
        <rFont val="Calibri"/>
        <family val="2"/>
        <scheme val="minor"/>
      </rPr>
      <t xml:space="preserve"> 04/06/1965 - 89th Congress (1965-1966) </t>
    </r>
    <r>
      <rPr>
        <b/>
        <sz val="12"/>
        <color theme="1"/>
        <rFont val="Calibri"/>
        <family val="2"/>
        <scheme val="minor"/>
      </rPr>
      <t>Treaty Topic:</t>
    </r>
    <r>
      <rPr>
        <sz val="12"/>
        <color theme="1"/>
        <rFont val="Calibri"/>
        <family val="2"/>
        <scheme val="minor"/>
      </rPr>
      <t xml:space="preserve"> International Law and Organization </t>
    </r>
    <r>
      <rPr>
        <b/>
        <sz val="12"/>
        <color theme="1"/>
        <rFont val="Calibri"/>
        <family val="2"/>
        <scheme val="minor"/>
      </rPr>
      <t>Latest Senate Action:</t>
    </r>
    <r>
      <rPr>
        <sz val="12"/>
        <color theme="1"/>
        <rFont val="Calibri"/>
        <family val="2"/>
        <scheme val="minor"/>
      </rPr>
      <t xml:space="preserve"> 06/03/1965 - 89th Congress (1965-1966) - General debate; approved by 70-1 vote (No. 106 Ex.). (All Actions) </t>
    </r>
  </si>
  <si>
    <r>
      <t xml:space="preserve">761. Labor Convention (No. 116) Senate Consideration of Treaty Document 87-17 </t>
    </r>
    <r>
      <rPr>
        <b/>
        <sz val="12"/>
        <color theme="1"/>
        <rFont val="Calibri"/>
        <family val="2"/>
        <scheme val="minor"/>
      </rPr>
      <t>Date Received from President:</t>
    </r>
    <r>
      <rPr>
        <sz val="12"/>
        <color theme="1"/>
        <rFont val="Calibri"/>
        <family val="2"/>
        <scheme val="minor"/>
      </rPr>
      <t xml:space="preserve"> 06/21/1962 - 87th Congress (1961-1962)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06/21/1962 - 87th Congress (1961-1962) - Received in the Senate and referred to the Committee on Foreign Relations by unanimous consent. (All Actions) </t>
    </r>
  </si>
  <si>
    <r>
      <t xml:space="preserve">762. Convention Concerning Freedom of Association and Protection of the Right to Organize Senate Consideration of Treaty Document 81-19 </t>
    </r>
    <r>
      <rPr>
        <b/>
        <sz val="12"/>
        <color theme="1"/>
        <rFont val="Calibri"/>
        <family val="2"/>
        <scheme val="minor"/>
      </rPr>
      <t>Date Received from President:</t>
    </r>
    <r>
      <rPr>
        <sz val="12"/>
        <color theme="1"/>
        <rFont val="Calibri"/>
        <family val="2"/>
        <scheme val="minor"/>
      </rPr>
      <t xml:space="preserve"> 08/27/1949 - 81st Congress (1949-1950) </t>
    </r>
    <r>
      <rPr>
        <b/>
        <sz val="12"/>
        <color theme="1"/>
        <rFont val="Calibri"/>
        <family val="2"/>
        <scheme val="minor"/>
      </rPr>
      <t>Treaty Topic:</t>
    </r>
    <r>
      <rPr>
        <sz val="12"/>
        <color theme="1"/>
        <rFont val="Calibri"/>
        <family val="2"/>
        <scheme val="minor"/>
      </rPr>
      <t xml:space="preserve"> Labor </t>
    </r>
    <r>
      <rPr>
        <b/>
        <sz val="12"/>
        <color theme="1"/>
        <rFont val="Calibri"/>
        <family val="2"/>
        <scheme val="minor"/>
      </rPr>
      <t>Latest Senate Action:</t>
    </r>
    <r>
      <rPr>
        <sz val="12"/>
        <color theme="1"/>
        <rFont val="Calibri"/>
        <family val="2"/>
        <scheme val="minor"/>
      </rPr>
      <t xml:space="preserve"> 08/27/1949 - 81st Congress (1949-1950) - Received in the Senate and referred to the Committee on Foreign Relations by unanimous consent. (All Actions) </t>
    </r>
  </si>
  <si>
    <t>Treaty Documents</t>
  </si>
  <si>
    <t>Congress.gov</t>
  </si>
  <si>
    <t>Number</t>
  </si>
  <si>
    <t>Title</t>
  </si>
  <si>
    <t>Date Received from President</t>
  </si>
  <si>
    <t>Treaty Topic</t>
  </si>
  <si>
    <t>Latest Senate Action</t>
  </si>
  <si>
    <t>Original Text</t>
  </si>
  <si>
    <t>Investment</t>
  </si>
  <si>
    <t>Senate Consideration of Treaty Document</t>
  </si>
  <si>
    <t>The Convention on the Law Applicable to Certain Rights in Respect of Securities Held with an Intermediary.</t>
  </si>
  <si>
    <t>112-6</t>
  </si>
  <si>
    <t>1</t>
  </si>
  <si>
    <t>05/17/2012 - 112th Congress (2011-2012)</t>
  </si>
  <si>
    <t xml:space="preserve">09/28/2016 - 114th Congress (2015-2016) - Resolution of advice and consent to ratification agreed to in Senate by Division Vote. (All Actions) </t>
  </si>
  <si>
    <t>2</t>
  </si>
  <si>
    <t>Treaty on Plant Genetic Resources for Food and Agriculture</t>
  </si>
  <si>
    <t>110-19</t>
  </si>
  <si>
    <t>07/07/2008 - 110th Congress (2007-2008)</t>
  </si>
  <si>
    <t>Agriculture</t>
  </si>
  <si>
    <t>3</t>
  </si>
  <si>
    <t>Treaty with Algeria on Mutual Legal Assistance in Criminal Matters.</t>
  </si>
  <si>
    <t>114-3</t>
  </si>
  <si>
    <t>10/05/2015 - 114th Congress (2015-2016)</t>
  </si>
  <si>
    <t>Extradition and Criminal Assistance</t>
  </si>
  <si>
    <t xml:space="preserve">09/15/2016 - 114th Congress (2015-2016) - Resolution of advice and consent to ratification agreed to in Senate by Division Vote. (All Actions) </t>
  </si>
  <si>
    <t>4</t>
  </si>
  <si>
    <t>Treaty with Jordan on Mutual Legal Assistance in Criminal Matters.</t>
  </si>
  <si>
    <t>114-4</t>
  </si>
  <si>
    <t>12/08/2015 - 114th Congress (2015-2016)</t>
  </si>
  <si>
    <t>Mutual Legal Assistance</t>
  </si>
  <si>
    <t>5</t>
  </si>
  <si>
    <t>Treaty with Kazakhstan on Mutual Legal Assistance in Criminal Matters</t>
  </si>
  <si>
    <t>114-11</t>
  </si>
  <si>
    <t>03/17/2016 - 114th Congress (2015-2016)</t>
  </si>
  <si>
    <t>6</t>
  </si>
  <si>
    <t>Extradition Treaty with the Republic of Chile</t>
  </si>
  <si>
    <t>113-6</t>
  </si>
  <si>
    <t>09/17/2014 - 113th Congress (2013-2014)</t>
  </si>
  <si>
    <t>Extradition</t>
  </si>
  <si>
    <t xml:space="preserve">07/14/2016 - 114th Congress (2015-2016) - Resolution of advice and consent to ratification agreed to in Senate by Division Vote. (All Actions) </t>
  </si>
  <si>
    <t>7</t>
  </si>
  <si>
    <t>Extradition Treaty with the Dominican Republic.</t>
  </si>
  <si>
    <t>114-10</t>
  </si>
  <si>
    <t>02/10/2016 - 114th Congress (2015-2016)</t>
  </si>
  <si>
    <t>8</t>
  </si>
  <si>
    <t>Protocol to the North Atlantic Treaty of 1949 on the Accession of Montenegro</t>
  </si>
  <si>
    <t>114-12</t>
  </si>
  <si>
    <t>06/28/2016 - 114th Congress (2015-2016)</t>
  </si>
  <si>
    <t>International Law and Organization</t>
  </si>
  <si>
    <t xml:space="preserve">06/28/2016 - 114th Congress (2015-2016) - Received in the Senate and referred to the Committee on Foreign Relations by unanimous consent removing the injunction of secrecy. (All Actions) </t>
  </si>
  <si>
    <t>9</t>
  </si>
  <si>
    <t>U.N. Convention on the Use of Electronic Communications in International Contracts</t>
  </si>
  <si>
    <t>114-5</t>
  </si>
  <si>
    <t>Telecommunications</t>
  </si>
  <si>
    <t xml:space="preserve">02/10/2016 - 114th Congress (2015-2016) - Received in the Senate and referred to the Committee on Foreign Relations by unanimous consent removing the injunction of secrecy. (All Actions) </t>
  </si>
  <si>
    <t>10</t>
  </si>
  <si>
    <t>Marrakesh Treaty to Facilitate Access to Published Works for Persons Who Are Blind, Visually Impaired, or Otherwise Print Disabled</t>
  </si>
  <si>
    <t>114-6</t>
  </si>
  <si>
    <t>Intellectual Property/Copyrights</t>
  </si>
  <si>
    <t>11</t>
  </si>
  <si>
    <t>U.N. Convention on the Assignment of Receivables in International Trade</t>
  </si>
  <si>
    <t>114-7</t>
  </si>
  <si>
    <t>Commercial</t>
  </si>
  <si>
    <t>12</t>
  </si>
  <si>
    <t>Beijing Treaty on Audiovisual Performances.</t>
  </si>
  <si>
    <t>114-8</t>
  </si>
  <si>
    <t>13</t>
  </si>
  <si>
    <t>U.N. Convention on Independent Guarantees and Stand-By Letters of Credit.</t>
  </si>
  <si>
    <t>114-9</t>
  </si>
  <si>
    <t>14</t>
  </si>
  <si>
    <t>Protocol Amending Tax Convention with Swiss Confederation</t>
  </si>
  <si>
    <t>112-1</t>
  </si>
  <si>
    <t>01/26/2011 - 112th Congress (2011-2012)</t>
  </si>
  <si>
    <t>Taxation</t>
  </si>
  <si>
    <t xml:space="preserve">02/09/2016 - 114th Congress (2015-2016) - Reported favorably by Senator Corker, Committee on Foreign Relations with printed Ex. Rept. 114-1 and a resolution of advice and consent to ratification with 4 conditions and 1 declaration. Executive Calendar No. 1. (All Actions) </t>
  </si>
  <si>
    <t>15</t>
  </si>
  <si>
    <t>Protocol Amending the Tax Convention with Japan</t>
  </si>
  <si>
    <t>114-1</t>
  </si>
  <si>
    <t>04/13/2015 - 114th Congress (2015-2016)</t>
  </si>
  <si>
    <t xml:space="preserve">02/09/2016 - 114th Congress (2015-2016) - Reported favorably by Senator Corker, Committee on Foreign Relations with printed Ex. Rept. 114-5 and a resolution of advice and consent to ratification with 4 conditions and 1 declaration. Executive Calendar No. 5. (All Actions) </t>
  </si>
  <si>
    <t>16</t>
  </si>
  <si>
    <t>The Protocol Amending the Tax Convention with Spain</t>
  </si>
  <si>
    <t>113-4</t>
  </si>
  <si>
    <t>05/07/2014 - 113th Congress (2013-2014)</t>
  </si>
  <si>
    <t xml:space="preserve">02/09/2016 - 114th Congress (2015-2016) - Reported favorably by Senator Corker, Committee on Foreign Relations with printed Ex. Rept. 114-2 and a resolution of advice and consent to ratification with 4 conditions and 1 declaration. Executive Calendar No. 2. (All Actions) </t>
  </si>
  <si>
    <t>17</t>
  </si>
  <si>
    <t>Protocol Amending the Convention on Mutual Administrative Assistance in Tax Matters.</t>
  </si>
  <si>
    <t>112-5</t>
  </si>
  <si>
    <t xml:space="preserve">02/09/2016 - 114th Congress (2015-2016) - Reported favorably by Senator Corker, Committee on Foreign Relations with printed Ex. Rept. 114-8 and a resolution of advice and consent to ratification with 1 declaration. Executive Calendar No. 8. (All Actions) </t>
  </si>
  <si>
    <t>18</t>
  </si>
  <si>
    <t>Convention on Taxes with the Republic of Poland</t>
  </si>
  <si>
    <t>113-5</t>
  </si>
  <si>
    <t>05/20/2014 - 113th Congress (2013-2014)</t>
  </si>
  <si>
    <t xml:space="preserve">02/09/2016 - 114th Congress (2015-2016) - Reported favorably by Senator Corker, Committee on Foreign Relations with printed Ex. Rept. 114-3 and a resolution of advice and consent to ratification with 1 declaration. Executive Calendar No. 3. (All Actions) </t>
  </si>
  <si>
    <t>19</t>
  </si>
  <si>
    <t>Tax Convention with Hungary</t>
  </si>
  <si>
    <t>111-7</t>
  </si>
  <si>
    <t>11/15/2010 - 111th Congress (2009-2010)</t>
  </si>
  <si>
    <t xml:space="preserve">02/09/2016 - 114th Congress (2015-2016) - Reported favorably by Senator Corker, Committee on Foreign Relations with printed Ex. Rept. 114-7 and a resolution of advice and consent to ratification with 1 declaration. Executive Calendar No. 7. (All Actions) </t>
  </si>
  <si>
    <t>20</t>
  </si>
  <si>
    <t>Protocol Amending Tax Convention with Luxembourg</t>
  </si>
  <si>
    <t>111-8</t>
  </si>
  <si>
    <t xml:space="preserve">02/09/2016 - 114th Congress (2015-2016) - Reported favorably by Senator Corker, Committee on Foreign Relations with printed Ex. Rept. 114-6 and a resolution of advice and consent to ratification with 1 declaration. Executive Calendar No. 6. (All Actions) </t>
  </si>
  <si>
    <t>21</t>
  </si>
  <si>
    <t>Tax Convention with Chile.</t>
  </si>
  <si>
    <t>112-8</t>
  </si>
  <si>
    <t xml:space="preserve">02/09/2016 - 114th Congress (2015-2016) - Reported favorably by Senator Corker, Committee on Foreign Relations with printed Ex. Rept. 114-4 and a resolution of advice and consent to ratification with 1 declaration. Executive Calendar No. 4. (All Actions) </t>
  </si>
  <si>
    <t>22</t>
  </si>
  <si>
    <t>Protocol to the Treaty on a Nuclear-Weapon-Free Zone in Central Asia</t>
  </si>
  <si>
    <t>114-2</t>
  </si>
  <si>
    <t>04/27/2015 - 114th Congress (2015-2016)</t>
  </si>
  <si>
    <t>Arms Control</t>
  </si>
  <si>
    <t xml:space="preserve">04/27/2015 - 114th Congress (2015-2016) - Received in the Senate and referred to the Committee on Foreign Relations by unanimous consent removing the injunction of secrecy. (All Actions) </t>
  </si>
  <si>
    <t>23</t>
  </si>
  <si>
    <t>Convention on the Rights of Persons with Disabilities</t>
  </si>
  <si>
    <t>112-7</t>
  </si>
  <si>
    <t>Human Rights</t>
  </si>
  <si>
    <t xml:space="preserve">12/17/2014 - 113th Congress (2013-2014) - No further action at sine die adjournment of the 113 Congress; automatically rereferred to the Committee on Foreign Relations under the provisions of Rule XXX, section 2, of the Standing Rules of the Senate. (All Actions) </t>
  </si>
  <si>
    <t>24</t>
  </si>
  <si>
    <t>Convention on the Conservation and Management of High Seas Fishery Resources in the South Pacific Ocean.</t>
  </si>
  <si>
    <t>113-1</t>
  </si>
  <si>
    <t>04/22/2013 - 113th Congress (2013-2014)</t>
  </si>
  <si>
    <t>Fisheries and Wildlife</t>
  </si>
  <si>
    <t xml:space="preserve">04/03/2014 - 113th Congress (2013-2014) - Resolution of advice and consent to ratification agreed to in Senate by Division Vote. (All Actions) </t>
  </si>
  <si>
    <t>25</t>
  </si>
  <si>
    <t>Convention on the Conservation and Management of High Seas Fisheries Resources in the North Pacific Ocean.</t>
  </si>
  <si>
    <t>113-2</t>
  </si>
  <si>
    <t>26</t>
  </si>
  <si>
    <t>Amendment to the Convention on Future Multilateral Cooperation in the Northwest Atlantic Fisheries.</t>
  </si>
  <si>
    <t>113-3</t>
  </si>
  <si>
    <t>27</t>
  </si>
  <si>
    <t>Agreement on Port State Measures to Prevent, Deter, and Eliminate Illegal, Unreported, and Unregulated Fishing</t>
  </si>
  <si>
    <t>112-4</t>
  </si>
  <si>
    <t>11/14/2011 - 112th Congress (2011-2012)</t>
  </si>
  <si>
    <t>28</t>
  </si>
  <si>
    <t>United Nations Convention on the Law of the Sea</t>
  </si>
  <si>
    <t>10/06/1994 - 103rd Congress (1993-1994)</t>
  </si>
  <si>
    <t xml:space="preserve">06/28/2012 - 112th Congress (2011-2012) - Committee on Foreign Relations. Hearings held. Hearings printed: S.Hrg. 112-654. (All Actions) </t>
  </si>
  <si>
    <t>29</t>
  </si>
  <si>
    <t>Mutual Legal Assistance Treaty with Bermuda</t>
  </si>
  <si>
    <t>111-6</t>
  </si>
  <si>
    <t>06/29/2010 - 111th Congress (2009-2010)</t>
  </si>
  <si>
    <t xml:space="preserve">09/26/2011 - 112th Congress (2011-2012) - Resolution of advice and consent to ratification agreed to in Senate by Division Vote. (All Actions) </t>
  </si>
  <si>
    <t>30</t>
  </si>
  <si>
    <t>Investment Treaty with Rwanda</t>
  </si>
  <si>
    <t>110-23</t>
  </si>
  <si>
    <t>11/20/2008 - 110th Congress (2007-2008)</t>
  </si>
  <si>
    <t>31</t>
  </si>
  <si>
    <t>Protocols 1, 2, and 3 to the South Pacific Nuclear Free Zone Treaty</t>
  </si>
  <si>
    <t>112-2</t>
  </si>
  <si>
    <t>05/02/2011 - 112th Congress (2011-2012)</t>
  </si>
  <si>
    <t xml:space="preserve">05/02/2011 - 112th Congress (2011-2012) - Received in the Senate and referred to the Committee on Foreign Relations pursuant to the removal of the injunction of secrecy. (All Actions) </t>
  </si>
  <si>
    <t>32</t>
  </si>
  <si>
    <t>Protocols I and II to the African Nuclear-Weapon-Free Zone Treaty</t>
  </si>
  <si>
    <t>112-3</t>
  </si>
  <si>
    <t xml:space="preserve">05/02/2011 - 112th Congress (2011-2012) - Received in the Senate and referred to the Committee on Foreign Relations pursuant to removal of the injunction of secrecy. (All Actions) </t>
  </si>
  <si>
    <t>33</t>
  </si>
  <si>
    <t>Treaty with Russia on Measures for Further Reduction and Limitation of Strategic Offensive Arms</t>
  </si>
  <si>
    <t>111-5</t>
  </si>
  <si>
    <t>05/13/2010 - 111th Congress (2009-2010)</t>
  </si>
  <si>
    <t xml:space="preserve">12/22/2010 - 111th Congress (2009-2010) - Resolution of advice and consent to ratification agreed to as amended in Senate by Yea-Nay Vote. 71 - 26. Record Vote Number: 298. (All Actions) </t>
  </si>
  <si>
    <t>34</t>
  </si>
  <si>
    <t>Treaty with United Kingdom Concerning Defense Trade Cooperation</t>
  </si>
  <si>
    <t>110-7</t>
  </si>
  <si>
    <t>09/20/2007 - 110th Congress (2007-2008)</t>
  </si>
  <si>
    <t xml:space="preserve">09/29/2010 - 111th Congress (2009-2010) - Resolution of advice and consent to ratification agreed to in Senate by Division Vote. (All Actions) </t>
  </si>
  <si>
    <t>35</t>
  </si>
  <si>
    <t>Treaty with Australia Concerning Defense Trade Cooperation</t>
  </si>
  <si>
    <t>110-10</t>
  </si>
  <si>
    <t>12/03/2007 - 110th Congress (2007-2008)</t>
  </si>
  <si>
    <t>36</t>
  </si>
  <si>
    <t>Hague Convention on International Recovery of Child Support and Family Maintenance</t>
  </si>
  <si>
    <t>110-21</t>
  </si>
  <si>
    <t>09/08/2008 - 110th Congress (2007-2008)</t>
  </si>
  <si>
    <t>International Law</t>
  </si>
  <si>
    <t xml:space="preserve">09/29/2010 - 111th Congress (2009-2010) - Resolution of advice and consent to ratification agreed to as amended in Senate by Division Vote. (All Actions) </t>
  </si>
  <si>
    <t>37</t>
  </si>
  <si>
    <t>Tax Convention with Malta</t>
  </si>
  <si>
    <t>111-1</t>
  </si>
  <si>
    <t>01/15/2009 - 111th Congress (2009-2010)</t>
  </si>
  <si>
    <t xml:space="preserve">07/15/2010 - 111th Congress (2009-2010) - Resolution of advice and consent to ratification agreed to in Senate by Division Vote. (All Actions) </t>
  </si>
  <si>
    <t>38</t>
  </si>
  <si>
    <t>Protocol Amending Tax Convention with New Zealand</t>
  </si>
  <si>
    <t>111-3</t>
  </si>
  <si>
    <t>06/16/2009 - 111th Congress (2009-2010)</t>
  </si>
  <si>
    <t>39</t>
  </si>
  <si>
    <t>Protocol Amending Tax Convention with France</t>
  </si>
  <si>
    <t>111-4</t>
  </si>
  <si>
    <t>09/09/2009 - 111th Congress (2009-2010)</t>
  </si>
  <si>
    <t xml:space="preserve">12/03/2009 - 111th Congress (2009-2010) - Resolution of advice and consent to ratification agreed to in Senate by Division Vote. (All Actions) </t>
  </si>
  <si>
    <t>40</t>
  </si>
  <si>
    <t>Annex VI to the Protocol on Environmental Protection to the Antarctic Treaty</t>
  </si>
  <si>
    <t>111-2</t>
  </si>
  <si>
    <t>04/02/2009 - 111th Congress (2009-2010)</t>
  </si>
  <si>
    <t>Environment</t>
  </si>
  <si>
    <t xml:space="preserve">04/02/2009 - 111th Congress (2009-2010) - Received in the Senate and referred to the Committee on Foreign Relations by unanimous consent removing the injunction of secrecy. (All Actions) </t>
  </si>
  <si>
    <t>41</t>
  </si>
  <si>
    <t>1996 Protocol to Convention on Prevention of Marine Pollution by Dumping of Wastes</t>
  </si>
  <si>
    <t>110-5</t>
  </si>
  <si>
    <t>09/04/2007 - 110th Congress (2007-2008)</t>
  </si>
  <si>
    <t xml:space="preserve">01/02/2009 - 111th Congress (2009-2010) - No further action at sine die adjournment of the 110th Congress; automatically rereferred to the Committee on Foreign Relations under the provisions of Rule XXX, section 2, of the Standing Rules of the Senate. (All Actions) </t>
  </si>
  <si>
    <t>42</t>
  </si>
  <si>
    <t>CCW Protocol on Explosive Remnants of War</t>
  </si>
  <si>
    <t>109-10(C)</t>
  </si>
  <si>
    <t>06/20/2006 - 109th Congress (2005-2006)</t>
  </si>
  <si>
    <t xml:space="preserve">09/26/2008 - 110th Congress (2007-2008) - Resolution of advice and consent to ratification agreed to in Senate by Division Vote. (All Actions) </t>
  </si>
  <si>
    <t>43</t>
  </si>
  <si>
    <t>International Convention on Control of Harmful Anti-Fouling Systems on Ships, 2001</t>
  </si>
  <si>
    <t>110-13</t>
  </si>
  <si>
    <t>01/22/2008 - 110th Congress (2007-2008)</t>
  </si>
  <si>
    <t>Shipping and Marine Pollution</t>
  </si>
  <si>
    <t>44</t>
  </si>
  <si>
    <t>Agreement on Conservation of Albatrosses and Petrels</t>
  </si>
  <si>
    <t>110-22</t>
  </si>
  <si>
    <t>09/26/2008 - 110th Congress (2007-2008)</t>
  </si>
  <si>
    <t xml:space="preserve">09/26/2008 - 110th Congress (2007-2008) - Received in the Senate and referred to the Committee on Foreign Relations by unanimous consent removing the injunction of secrecy. (All Actions) </t>
  </si>
  <si>
    <t>45</t>
  </si>
  <si>
    <t>Land-Based Sources Protocol to Cartagena Convention</t>
  </si>
  <si>
    <t>110-1</t>
  </si>
  <si>
    <t>02/16/2007 - 110th Congress (2007-2008)</t>
  </si>
  <si>
    <t xml:space="preserve">09/25/2008 - 110th Congress (2007-2008) - Resolution of advice and consent to ratification agreed to in Senate by Division Vote. (All Actions) </t>
  </si>
  <si>
    <t>46</t>
  </si>
  <si>
    <t>The Hague Convention</t>
  </si>
  <si>
    <t>106-1(A)</t>
  </si>
  <si>
    <t>01/06/1999 - 106th Congress (1999-2000)</t>
  </si>
  <si>
    <t>47</t>
  </si>
  <si>
    <t>International Convention for Suppression of Acts of Nuclear Terrorism</t>
  </si>
  <si>
    <t>110-4</t>
  </si>
  <si>
    <t>07/12/2007 - 110th Congress (2007-2008)</t>
  </si>
  <si>
    <t>Terrorism</t>
  </si>
  <si>
    <t>48</t>
  </si>
  <si>
    <t>Amendments to Constitution and Convention of International Telecommunication Union (ITU) (Geneva 1992)</t>
  </si>
  <si>
    <t>108-5</t>
  </si>
  <si>
    <t>04/30/2003 - 108th Congress (2003-2004)</t>
  </si>
  <si>
    <t>49</t>
  </si>
  <si>
    <t>Amendment to Convention on Physical Protection of Nuclear Material</t>
  </si>
  <si>
    <t>110-6</t>
  </si>
  <si>
    <t>50</t>
  </si>
  <si>
    <t>Protocols of 2005 to the Convention concerning Safety of Maritime Navigation and to the Protocol concerning Safety of Fixed Platforms on the Continental Shelf</t>
  </si>
  <si>
    <t>110-8</t>
  </si>
  <si>
    <t>10/01/2007 - 110th Congress (2007-2008)</t>
  </si>
  <si>
    <t>51</t>
  </si>
  <si>
    <t>2002 Amendments to the ITU Constitution and Convention</t>
  </si>
  <si>
    <t>109-11</t>
  </si>
  <si>
    <t>07/10/2006 - 109th Congress (2005-2006)</t>
  </si>
  <si>
    <t>52</t>
  </si>
  <si>
    <t>Amendments to the Constitution and Convention of the International Telecommunication Union (Geneva, 1992)</t>
  </si>
  <si>
    <t>110-16</t>
  </si>
  <si>
    <t>04/08/2008 - 110th Congress (2007-2008)</t>
  </si>
  <si>
    <t>53</t>
  </si>
  <si>
    <t>Protocols to the North Atlantic Treaty of 1949 on Accession of Albania and Croatia</t>
  </si>
  <si>
    <t>110-20</t>
  </si>
  <si>
    <t>07/23/2008 - 110th Congress (2007-2008)</t>
  </si>
  <si>
    <t>54</t>
  </si>
  <si>
    <t>Incendiary Weapons Protocol</t>
  </si>
  <si>
    <t>105-1(B)</t>
  </si>
  <si>
    <t>01/07/1997 - 105th Congress (1997-1998)</t>
  </si>
  <si>
    <t xml:space="preserve">09/23/2008 - 110th Congress (2007-2008) - Resolution of advice and consent to ratification agreed to in Senate by Division Vote. (All Actions) </t>
  </si>
  <si>
    <t>55</t>
  </si>
  <si>
    <t>PROTOCOL ON BLINDING LASER WEAPONS</t>
  </si>
  <si>
    <t>105-1(C)</t>
  </si>
  <si>
    <t>56</t>
  </si>
  <si>
    <t>Amendment to Article 1 of the Convention on Prohibitions or Restrictions on Use of Certain Conventional Weapons Which May be Deemed to be Excessively Injurious or to have Indiscriminate Effects</t>
  </si>
  <si>
    <t>109-10(B)</t>
  </si>
  <si>
    <t>57</t>
  </si>
  <si>
    <t>Extradition Treaty with Romania and Protocol to the Treaty on Mutual Legal Assistance in Criminal Matters with Romania</t>
  </si>
  <si>
    <t>110-11</t>
  </si>
  <si>
    <t>58</t>
  </si>
  <si>
    <t>Treaty with Sweden on Mutual Legal Assistance in Criminal Matters</t>
  </si>
  <si>
    <t>107-12</t>
  </si>
  <si>
    <t>07/15/2002 - 107th Congress (2001-2002)</t>
  </si>
  <si>
    <t>59</t>
  </si>
  <si>
    <t>Extradition Treaty with Bulgaria and an Agreement on Certain Aspects of Mutual Legal Assistance in Criminal Matters with Bulgaria</t>
  </si>
  <si>
    <t>110-12</t>
  </si>
  <si>
    <t>60</t>
  </si>
  <si>
    <t>Mutual Legal Assistance Agreement with the European Union</t>
  </si>
  <si>
    <t>109-13</t>
  </si>
  <si>
    <t>09/28/2006 - 109th Congress (2005-2006)</t>
  </si>
  <si>
    <t>61</t>
  </si>
  <si>
    <t>Extradition Agreement with the European Union</t>
  </si>
  <si>
    <t>109-14</t>
  </si>
  <si>
    <t>62</t>
  </si>
  <si>
    <t>Extradition Treaty with Latvia</t>
  </si>
  <si>
    <t>109-15</t>
  </si>
  <si>
    <t>09/29/2006 - 109th Congress (2005-2006)</t>
  </si>
  <si>
    <t>63</t>
  </si>
  <si>
    <t>Protocol Amending 1980 Tax Convention with Canada</t>
  </si>
  <si>
    <t>110-15</t>
  </si>
  <si>
    <t>03/13/2008 - 110th Congress (2007-2008)</t>
  </si>
  <si>
    <t>64</t>
  </si>
  <si>
    <t>Extradition Treaty with Estonia</t>
  </si>
  <si>
    <t>109-16</t>
  </si>
  <si>
    <t>65</t>
  </si>
  <si>
    <t>Extradition Treaty with Malta</t>
  </si>
  <si>
    <t>109-17</t>
  </si>
  <si>
    <t>66</t>
  </si>
  <si>
    <t>Partial Revision (1992) of Radio Regulations (Geneva 1979)</t>
  </si>
  <si>
    <t>107-17</t>
  </si>
  <si>
    <t>09/30/2002 - 107th Congress (2001-2002)</t>
  </si>
  <si>
    <t>67</t>
  </si>
  <si>
    <t>Tax Convention with Iceland</t>
  </si>
  <si>
    <t>110-17</t>
  </si>
  <si>
    <t>05/06/2008 - 110th Congress (2007-2008)</t>
  </si>
  <si>
    <t>68</t>
  </si>
  <si>
    <t>Tax Convention with Bulgaria with Proposed Protocol of Amendment</t>
  </si>
  <si>
    <t>110-18</t>
  </si>
  <si>
    <t>06/04/2008 - 110th Congress (2007-2008)</t>
  </si>
  <si>
    <t>69</t>
  </si>
  <si>
    <t>Treaty with Malaysia on Mutual Legal Assistance</t>
  </si>
  <si>
    <t>109-22</t>
  </si>
  <si>
    <t>70</t>
  </si>
  <si>
    <t>1995 Revision of Radio Regulations</t>
  </si>
  <si>
    <t>108-28</t>
  </si>
  <si>
    <t>12/07/2004 - 108th Congress (2003-2004)</t>
  </si>
  <si>
    <t>71</t>
  </si>
  <si>
    <t>Protocol of Amendments to Convention on International Hydrographic Organization</t>
  </si>
  <si>
    <t>110-9</t>
  </si>
  <si>
    <t>10/23/2007 - 110th Congress (2007-2008)</t>
  </si>
  <si>
    <t xml:space="preserve">07/21/2008 - 110th Congress (2007-2008) - Resolution of advice and consent to ratification agreed to in Senate by Division Vote. (All Actions) </t>
  </si>
  <si>
    <t>72</t>
  </si>
  <si>
    <t>International Convention Against Doping in Sport</t>
  </si>
  <si>
    <t>110-14</t>
  </si>
  <si>
    <t>02/06/2008 - 110th Congress (2007-2008)</t>
  </si>
  <si>
    <t>Drugs/Illegal Substances</t>
  </si>
  <si>
    <t>73</t>
  </si>
  <si>
    <t>The Hague Convention and the Hague Protocol</t>
  </si>
  <si>
    <t>106-1</t>
  </si>
  <si>
    <t xml:space="preserve">04/15/2008 - 110th Congress (2007-2008) - Committee on Foreign Relations. Treaty divided into 2 treaties. 106-1A - the Hague Covention and 106-1B the Hague Protocol. (All Actions) </t>
  </si>
  <si>
    <t>74</t>
  </si>
  <si>
    <t>Tax Convention with Belgium</t>
  </si>
  <si>
    <t>110-3</t>
  </si>
  <si>
    <t>06/21/2007 - 110th Congress (2007-2008)</t>
  </si>
  <si>
    <t xml:space="preserve">12/14/2007 - 110th Congress (2007-2008) - Resolution of advice and consent to ratification agreed to in Senate by Division Vote. (All Actions) </t>
  </si>
  <si>
    <t>75</t>
  </si>
  <si>
    <t>Protocol Amending Tax Convention with Germany</t>
  </si>
  <si>
    <t>109-20</t>
  </si>
  <si>
    <t>76</t>
  </si>
  <si>
    <t>Singapore Treaty on the Law of Trademarks</t>
  </si>
  <si>
    <t>110-2</t>
  </si>
  <si>
    <t>05/03/2007 - 110th Congress (2007-2008)</t>
  </si>
  <si>
    <t>Trademarks/Patents</t>
  </si>
  <si>
    <t xml:space="preserve">12/07/2007 - 110th Congress (2007-2008) - Resolution of advice and consent to ratification agreed to in Senate by Division Vote. (All Actions) </t>
  </si>
  <si>
    <t>77</t>
  </si>
  <si>
    <t>Patent Law Treaty and Regulations Under Patent Law Treaty</t>
  </si>
  <si>
    <t>109-12</t>
  </si>
  <si>
    <t>09/05/2006 - 109th Congress (2005-2006)</t>
  </si>
  <si>
    <t>78</t>
  </si>
  <si>
    <t>Geneva Act of the Hague Agreement Concerning the International Registration of Industrial Designs</t>
  </si>
  <si>
    <t>109-21</t>
  </si>
  <si>
    <t>11/13/2006 - 109th Congress (2005-2006)</t>
  </si>
  <si>
    <t>79</t>
  </si>
  <si>
    <t>Protocol Amending Tax Convention with Finland</t>
  </si>
  <si>
    <t>109-18</t>
  </si>
  <si>
    <t xml:space="preserve">11/16/2007 - 110th Congress (2007-2008) - Resolution of advice and consent to ratification agreed to in Senate by Division Vote. (All Actions) </t>
  </si>
  <si>
    <t>80</t>
  </si>
  <si>
    <t>Protocol Amending Tax Convention with Denmark</t>
  </si>
  <si>
    <t>109-19</t>
  </si>
  <si>
    <t>81</t>
  </si>
  <si>
    <t>Protocol to Treaty of Friendship, Commerce, and Navigation with Denmark</t>
  </si>
  <si>
    <t>108-8</t>
  </si>
  <si>
    <t>09/02/2003 - 108th Congress (2003-2004)</t>
  </si>
  <si>
    <t xml:space="preserve">10/19/2007 - 110th Congress (2007-2008) - Resolution of advice and consent to ratification agreed to in Senate by Division Vote. (All Actions) </t>
  </si>
  <si>
    <t>82</t>
  </si>
  <si>
    <t>Protocol Additional to the Geneva Conventions of 12 August 1949, and relating to the Adoption of an Additional Distinctive Emblem</t>
  </si>
  <si>
    <t>109-10(A)</t>
  </si>
  <si>
    <t xml:space="preserve">09/29/2006 - 109th Congress (2005-2006) - Resolution of advice and consent to ratification agreed to in Senate by Division Vote. (All Actions) </t>
  </si>
  <si>
    <t>83</t>
  </si>
  <si>
    <t>Extradition Treaty with United Kingdom</t>
  </si>
  <si>
    <t>108-23</t>
  </si>
  <si>
    <t>04/19/2004 - 108th Congress (2003-2004)</t>
  </si>
  <si>
    <t>84</t>
  </si>
  <si>
    <t>Protocol III to 1949 Geneva Conventions and an Amendment and Protocol to 1980 Conventional Weapons Convention</t>
  </si>
  <si>
    <t>109-10</t>
  </si>
  <si>
    <t xml:space="preserve">09/26/2006 - 109th Congress (2005-2006) - By unanimous consent agreement, treaty divided into 3 separate treaties: A, B, and C. (All Actions) </t>
  </si>
  <si>
    <t>85</t>
  </si>
  <si>
    <t>Protocol Amending 1962 Extradition Convention with Israel</t>
  </si>
  <si>
    <t>109-3</t>
  </si>
  <si>
    <t>09/13/2005 - 109th Congress (2005-2006)</t>
  </si>
  <si>
    <t xml:space="preserve">09/15/2006 - 109th Congress (2005-2006) - Resolution of advice and consent to ratification agreed to in Senate by Division Vote. (All Actions) </t>
  </si>
  <si>
    <t>86</t>
  </si>
  <si>
    <t>U. N. Convention Against Corruption</t>
  </si>
  <si>
    <t>109-6</t>
  </si>
  <si>
    <t>10/27/2005 - 109th Congress (2005-2006)</t>
  </si>
  <si>
    <t>87</t>
  </si>
  <si>
    <t>Investment Treaty with Uruguay</t>
  </si>
  <si>
    <t>109-9</t>
  </si>
  <si>
    <t>04/04/2006 - 109th Congress (2005-2006)</t>
  </si>
  <si>
    <t xml:space="preserve">09/12/2006 - 109th Congress (2005-2006) - Resolution of advice and consent to ratification agreed to in Senate by Division Vote. (All Actions) </t>
  </si>
  <si>
    <t>88</t>
  </si>
  <si>
    <t>Council of Europe Convention on Cybercrime</t>
  </si>
  <si>
    <t>108-11</t>
  </si>
  <si>
    <t>11/17/2003 - 108th Congress (2003-2004)</t>
  </si>
  <si>
    <t xml:space="preserve">08/03/2006 - 109th Congress (2005-2006) - Resolution of advice and consent to ratification agreed to in Senate by Division Vote. (All Actions) </t>
  </si>
  <si>
    <t>89</t>
  </si>
  <si>
    <t>Convention on Supplementary Compensation on Nuclear Damage</t>
  </si>
  <si>
    <t>107-21</t>
  </si>
  <si>
    <t>11/15/2002 - 107th Congress (2001-2002)</t>
  </si>
  <si>
    <t>90</t>
  </si>
  <si>
    <t>Mutual Legal Assistance Treaty with Germany</t>
  </si>
  <si>
    <t>108-27</t>
  </si>
  <si>
    <t>11/16/2004 - 108th Congress (2003-2004)</t>
  </si>
  <si>
    <t xml:space="preserve">07/27/2006 - 109th Congress (2005-2006) - Resolution of advice and consent to ratification agreed to in Senate by Division Vote. (All Actions) </t>
  </si>
  <si>
    <t>91</t>
  </si>
  <si>
    <t>Protocol of 1997 Amending MARPOL Convention</t>
  </si>
  <si>
    <t>108-7</t>
  </si>
  <si>
    <t>05/15/2003 - 108th Congress (2003-2004)</t>
  </si>
  <si>
    <t xml:space="preserve">04/07/2006 - 109th Congress (2005-2006) - Resolution of advice and consent to ratification agreed to in Senate by Division Vote. (All Actions) </t>
  </si>
  <si>
    <t>92</t>
  </si>
  <si>
    <t>Mutual Legal Assistance Treaty with Japan</t>
  </si>
  <si>
    <t>108-12</t>
  </si>
  <si>
    <t>11/24/2003 - 108th Congress (2003-2004)</t>
  </si>
  <si>
    <t>93</t>
  </si>
  <si>
    <t>Protocol Amending the Tax Convention with France</t>
  </si>
  <si>
    <t>109-4</t>
  </si>
  <si>
    <t>09/28/2005 - 109th Congress (2005-2006)</t>
  </si>
  <si>
    <t xml:space="preserve">03/31/2006 - 109th Congress (2005-2006) - Resolution of advice and consent to ratification agreed to in Senate by Division Vote. (All Actions) </t>
  </si>
  <si>
    <t>94</t>
  </si>
  <si>
    <t>Tax Convention with Bangladesh</t>
  </si>
  <si>
    <t>109-5</t>
  </si>
  <si>
    <t>95</t>
  </si>
  <si>
    <t>Protocol Amending Tax Convention on Inheritances with France</t>
  </si>
  <si>
    <t>109-7</t>
  </si>
  <si>
    <t>11/04/2005 - 109th Congress (2005-2006)</t>
  </si>
  <si>
    <t>96</t>
  </si>
  <si>
    <t>Protocol Amending the Convention with Sweden on Taxes on Income</t>
  </si>
  <si>
    <t>109-8</t>
  </si>
  <si>
    <t>11/10/2005 - 109th Congress (2005-2006)</t>
  </si>
  <si>
    <t>97</t>
  </si>
  <si>
    <t>Convention Concerning Migratory Fish Stock in the Pacific Ocean</t>
  </si>
  <si>
    <t>109-1</t>
  </si>
  <si>
    <t>05/16/2005 - 109th Congress (2005-2006)</t>
  </si>
  <si>
    <t xml:space="preserve">11/18/2005 - 109th Congress (2005-2006) - Resolution of advice and consent to ratification agreed to in Senate by Division Vote. (All Actions) </t>
  </si>
  <si>
    <t>98</t>
  </si>
  <si>
    <t>Convention Strengthening Inter-American Tuna Commission</t>
  </si>
  <si>
    <t>109-2</t>
  </si>
  <si>
    <t>99</t>
  </si>
  <si>
    <t>Agreement with Canada on Pacific Hake/Whiting</t>
  </si>
  <si>
    <t>108-24</t>
  </si>
  <si>
    <t>06/16/2004 - 108th Congress (2003-2004)</t>
  </si>
  <si>
    <t>100</t>
  </si>
  <si>
    <t>U.N. Convention Against Transnational Organized Crime</t>
  </si>
  <si>
    <t>108-16</t>
  </si>
  <si>
    <t>02/23/2004 - 108th Congress (2003-2004)</t>
  </si>
  <si>
    <t xml:space="preserve">10/07/2005 - 109th Congress (2005-2006) - Resolution of advice and consent to ratification agreed to in Senate by Division Vote. (All Actions) </t>
  </si>
  <si>
    <t>101</t>
  </si>
  <si>
    <t>Inter-American Convention Against Terrorism</t>
  </si>
  <si>
    <t>107-18</t>
  </si>
  <si>
    <t>11/12/2002 - 107th Congress (2001-2002)</t>
  </si>
  <si>
    <t>102</t>
  </si>
  <si>
    <t>Protocol of Amendment to International Convention on Simplification and Harmonization of Customs Procedures</t>
  </si>
  <si>
    <t>108-6</t>
  </si>
  <si>
    <t xml:space="preserve">09/26/2005 - 109th Congress (2005-2006) - Resolution of advice and consent to ratification agreed to in Senate by Yea-Nay Vote. 87 - 0. Record Vote Number: 244. (All Actions) </t>
  </si>
  <si>
    <t>103</t>
  </si>
  <si>
    <t>Protocol Amending Tax Convention with the Netherlands</t>
  </si>
  <si>
    <t>108-25</t>
  </si>
  <si>
    <t>07/16/2004 - 108th Congress (2003-2004)</t>
  </si>
  <si>
    <t xml:space="preserve">11/17/2004 - 108th Congress (2003-2004) - Resolution of advice and consent to ratification agreed to in Senate by Division Vote. (All Actions) </t>
  </si>
  <si>
    <t>104</t>
  </si>
  <si>
    <t>2nd Protocol Amending Tax Convention with Barbados</t>
  </si>
  <si>
    <t>108-26</t>
  </si>
  <si>
    <t>09/13/2004 - 108th Congress (2003-2004)</t>
  </si>
  <si>
    <t xml:space="preserve">10/10/2004 - 108th Congress (2003-2004) - Resolution of advice and consent to ratification agreed to in Senate by Division Vote. (All Actions) </t>
  </si>
  <si>
    <t>105</t>
  </si>
  <si>
    <t>Convention on International Interests in Mobile Equipment and Protocol to Convention on International Interests in Mobile Equipment</t>
  </si>
  <si>
    <t>108-10</t>
  </si>
  <si>
    <t>11/05/2003 - 108th Congress (2003-2004)</t>
  </si>
  <si>
    <t>Aviation</t>
  </si>
  <si>
    <t xml:space="preserve">07/21/2004 - 108th Congress (2003-2004) - Resolution of advice and consent to ratification agreed to in Senate by Division Vote. (All Actions) </t>
  </si>
  <si>
    <t>106</t>
  </si>
  <si>
    <t>Additional Protocol to Investment Treaty with Romania</t>
  </si>
  <si>
    <t>108-13</t>
  </si>
  <si>
    <t>12/09/2003 - 108th Congress (2003-2004)</t>
  </si>
  <si>
    <t xml:space="preserve">05/06/2004 - 108th Congress (2003-2004) - Resolution of advice and consent to ratification agreed to in Senate by Division Vote. (All Actions) </t>
  </si>
  <si>
    <t>107</t>
  </si>
  <si>
    <t>Additional Protocol Amending Investment Treaty with Bulgaria</t>
  </si>
  <si>
    <t>108-15</t>
  </si>
  <si>
    <t>01/21/2004 - 108th Congress (2003-2004)</t>
  </si>
  <si>
    <t>108</t>
  </si>
  <si>
    <t>Investment Protocol with Estonia</t>
  </si>
  <si>
    <t>108-17</t>
  </si>
  <si>
    <t>03/12/2004 - 108th Congress (2003-2004)</t>
  </si>
  <si>
    <t>109</t>
  </si>
  <si>
    <t>Additional Investment Protocol with the Czech Republic</t>
  </si>
  <si>
    <t>108-18</t>
  </si>
  <si>
    <t>110</t>
  </si>
  <si>
    <t>Additional Investment Protocol with the Slovak Republic</t>
  </si>
  <si>
    <t>108-19</t>
  </si>
  <si>
    <t>111</t>
  </si>
  <si>
    <t>Additional Investment Protocol with the Latvia</t>
  </si>
  <si>
    <t>108-20</t>
  </si>
  <si>
    <t>112</t>
  </si>
  <si>
    <t>Additional Investment Protocol with Lithuania</t>
  </si>
  <si>
    <t>108-21</t>
  </si>
  <si>
    <t>113</t>
  </si>
  <si>
    <t>Additional Protocol Concerning Business and Economic Relations with Poland</t>
  </si>
  <si>
    <t>108-22</t>
  </si>
  <si>
    <t>114</t>
  </si>
  <si>
    <t>The Protocol to the Agreement of the International Atomic Energy Agency Regarding Safeguards in the United States</t>
  </si>
  <si>
    <t>107-7</t>
  </si>
  <si>
    <t>05/09/2002 - 107th Congress (2001-2002)</t>
  </si>
  <si>
    <t xml:space="preserve">03/31/2004 - 108th Congress (2003-2004) - Resolution of advice and consent to ratification agreed to in Senate by Division Vote. (All Actions) </t>
  </si>
  <si>
    <t>115</t>
  </si>
  <si>
    <t>Protocol Amending Tax Convention with Sri Lanka</t>
  </si>
  <si>
    <t>108-9</t>
  </si>
  <si>
    <t>10/28/2003 - 108th Congress (2003-2004)</t>
  </si>
  <si>
    <t xml:space="preserve">03/25/2004 - 108th Congress (2003-2004) - Resolution of advice and consent to ratification agreed to in Senate by Division Vote. (All Actions) </t>
  </si>
  <si>
    <t>116</t>
  </si>
  <si>
    <t>INCOME TAX CONVENTION WITH SRI LANKA</t>
  </si>
  <si>
    <t>10/02/1985 - 99th Congress (1985-1986)</t>
  </si>
  <si>
    <t>117</t>
  </si>
  <si>
    <t>Taxation Convention with Japan</t>
  </si>
  <si>
    <t>108-14</t>
  </si>
  <si>
    <t xml:space="preserve">03/09/2004 - 108th Congress (2003-2004) - Resolution of advice and consent to ratification agreed to in Senate by Division Vote. (All Actions) </t>
  </si>
  <si>
    <t>118</t>
  </si>
  <si>
    <t>Agreement Amending Treaty with Canada Concerning Pacific Coast Albacore Tuna Vessels and Port Privileges</t>
  </si>
  <si>
    <t>108-1</t>
  </si>
  <si>
    <t>01/09/2003 - 108th Congress (2003-2004)</t>
  </si>
  <si>
    <t xml:space="preserve">07/31/2003 - 108th Congress (2003-2004) - Resolution of advice and consent to ratification agreed to in Senate by Division Vote. (All Actions) </t>
  </si>
  <si>
    <t>119</t>
  </si>
  <si>
    <t>Amendments to the 1987 Treaty on Fisheries with Pacific Island States</t>
  </si>
  <si>
    <t>108-2</t>
  </si>
  <si>
    <t>02/11/2003 - 108th Congress (2003-2004)</t>
  </si>
  <si>
    <t>120</t>
  </si>
  <si>
    <t>Agreement with Russian Federation concerning Polar Bear Population</t>
  </si>
  <si>
    <t>107-10</t>
  </si>
  <si>
    <t>07/11/2002 - 107th Congress (2001-2002)</t>
  </si>
  <si>
    <t>121</t>
  </si>
  <si>
    <t>Protocol to Amend the Convention for Unification of Certain Rules Relating to International Carriage by Air</t>
  </si>
  <si>
    <t>107-14</t>
  </si>
  <si>
    <t>07/31/2002 - 107th Congress (2001-2002)</t>
  </si>
  <si>
    <t>122</t>
  </si>
  <si>
    <t>CONVENTION FOR INTERNATIONAL CARRIAGE BY AIR</t>
  </si>
  <si>
    <t>106-45</t>
  </si>
  <si>
    <t>09/06/2000 - 106th Congress (1999-2000)</t>
  </si>
  <si>
    <t>123</t>
  </si>
  <si>
    <t>Stockholm Convention on Organic Pollutants</t>
  </si>
  <si>
    <t>107-5</t>
  </si>
  <si>
    <t>05/06/2002 - 107th Congress (2001-2002)</t>
  </si>
  <si>
    <t xml:space="preserve">06/17/2003 - 108th Congress (2003-2004) - Committee on Foreign Relations. Hearings held. Hearings printed: S.Hrg. in Ex. Rept. 108-8. (All Actions) </t>
  </si>
  <si>
    <t>124</t>
  </si>
  <si>
    <t>Rotterdam Convention concerning Hazardous Chemicals and Pesticides in International Trade</t>
  </si>
  <si>
    <t>106-21</t>
  </si>
  <si>
    <t>02/09/2000 - 106th Congress (1999-2000)</t>
  </si>
  <si>
    <t>125</t>
  </si>
  <si>
    <t>Protocols to North Atlantic Treaty of 1949 on Accession of Bulgaria, Estonia, Latvia, Lithuania, Romania, Slovakia, and Slovenia</t>
  </si>
  <si>
    <t>108-4</t>
  </si>
  <si>
    <t>04/10/2003 - 108th Congress (2003-2004)</t>
  </si>
  <si>
    <t xml:space="preserve">05/08/2003 - 108th Congress (2003-2004) - Resolution of advice and consent to ratification agreed to in Senate by Yea-Nay Vote. 96 - 0. Record Vote Number: 142. (All Actions) </t>
  </si>
  <si>
    <t>126</t>
  </si>
  <si>
    <t>Joint Convention on Safety of Spent Fuel and Radioactive Waste Management</t>
  </si>
  <si>
    <t>106-48</t>
  </si>
  <si>
    <t>09/13/2000 - 106th Congress (1999-2000)</t>
  </si>
  <si>
    <t xml:space="preserve">04/02/2003 - 108th Congress (2003-2004) - Resolution of advice and consent to ratification agreed to in Senate by Division Vote. (All Actions) </t>
  </si>
  <si>
    <t>127</t>
  </si>
  <si>
    <t>Second Additional Protocol Modifying Convention with Mexico Regarding Double Taxation and Prevention of Fiscal Evasion</t>
  </si>
  <si>
    <t>108-3</t>
  </si>
  <si>
    <t>02/25/2003 - 108th Congress (2003-2004)</t>
  </si>
  <si>
    <t xml:space="preserve">03/13/2003 - 108th Congress (2003-2004) - Resolution of advice and consent to ratification agreed to in Senate by Division Vote. (All Actions) </t>
  </si>
  <si>
    <t>128</t>
  </si>
  <si>
    <t>Convention with Great Britain and Northern Ireland regarding Double Taxation and Prevention of Fiscal Evasion</t>
  </si>
  <si>
    <t>107-19</t>
  </si>
  <si>
    <t>11/14/2002 - 107th Congress (2001-2002)</t>
  </si>
  <si>
    <t>129</t>
  </si>
  <si>
    <t>Protocol Amending Convention with Australia Regarding Double Taxation and Prevention of Fiscal Evasion</t>
  </si>
  <si>
    <t>107-20</t>
  </si>
  <si>
    <t>130</t>
  </si>
  <si>
    <t>The Moscow Treaty</t>
  </si>
  <si>
    <t>107-8</t>
  </si>
  <si>
    <t>06/20/2002 - 107th Congress (2001-2002)</t>
  </si>
  <si>
    <t xml:space="preserve">03/06/2003 - 108th Congress (2003-2004) - Resolution of advice and consent to ratification agreed to in Senate by Yea-Nay Vote. 95 - 0. Record Vote Number: 43. (All Actions) </t>
  </si>
  <si>
    <t>131</t>
  </si>
  <si>
    <t>Convention on the Elimination of All Forms of Discrimination Against Women</t>
  </si>
  <si>
    <t>11/12/1980 - 96th Congress (1979-1980)</t>
  </si>
  <si>
    <t xml:space="preserve">11/20/2002 - 107th Congress (2001-2002) - No further action at sine die adjournment of the 107 Congress; automatically rereferred to the Committee on Foreign Relations under the provisions of Rule XXX, section 2, of the Standing Rules of the Senate. (All Actions) </t>
  </si>
  <si>
    <t>132</t>
  </si>
  <si>
    <t>Treaty with India on Mutual Legal Assistance In Criminal Matters</t>
  </si>
  <si>
    <t>107-3</t>
  </si>
  <si>
    <t>04/08/2002 - 107th Congress (2001-2002)</t>
  </si>
  <si>
    <t xml:space="preserve">11/14/2002 - 107th Congress (2001-2002) - Resolution of advice and consent to ratification agreed to in Senate by Division Vote. (All Actions) </t>
  </si>
  <si>
    <t>133</t>
  </si>
  <si>
    <t>Extradition Treaty with Lithuania</t>
  </si>
  <si>
    <t>107-4</t>
  </si>
  <si>
    <t>134</t>
  </si>
  <si>
    <t>Extradition Treaty with Peru</t>
  </si>
  <si>
    <t>107-6</t>
  </si>
  <si>
    <t>05/08/2002 - 107th Congress (2001-2002)</t>
  </si>
  <si>
    <t>135</t>
  </si>
  <si>
    <t>Treaty with Ireland on Mutual Legal Assistance in Criminal Matters</t>
  </si>
  <si>
    <t>107-9</t>
  </si>
  <si>
    <t>136</t>
  </si>
  <si>
    <t>Second Protocol Amending Extradition Treaty with Canada</t>
  </si>
  <si>
    <t>107-11</t>
  </si>
  <si>
    <t>137</t>
  </si>
  <si>
    <t>Treaty with Belize on Mutual Legal Assistance in Criminal Matters</t>
  </si>
  <si>
    <t>107-13</t>
  </si>
  <si>
    <t>138</t>
  </si>
  <si>
    <t>Treaty with Honduras for Return of Stolen, Robbed, and Embezzled Vehicles and Aircraft, with Annexes and Exchange of Notes</t>
  </si>
  <si>
    <t>107-15</t>
  </si>
  <si>
    <t>09/03/2002 - 107th Congress (2001-2002)</t>
  </si>
  <si>
    <t>139</t>
  </si>
  <si>
    <t>Treaty with Liechtenstein on Mutual Legal Assistance in Criminal Matters</t>
  </si>
  <si>
    <t>107-16</t>
  </si>
  <si>
    <t>09/05/2002 - 107th Congress (2001-2002)</t>
  </si>
  <si>
    <t>140</t>
  </si>
  <si>
    <t>Protocol Relating to the Madrid Agreement</t>
  </si>
  <si>
    <t>106-41</t>
  </si>
  <si>
    <t>09/05/2000 - 106th Congress (1999-2000)</t>
  </si>
  <si>
    <t xml:space="preserve">10/17/2002 - 107th Congress (2001-2002) - Resolution of advice and consent to ratification agreed to in Senate by Division Vote. (All Actions) </t>
  </si>
  <si>
    <t>141</t>
  </si>
  <si>
    <t>1997 AMENDMENT TO MONTREAL PROTOCOL</t>
  </si>
  <si>
    <t>106-10</t>
  </si>
  <si>
    <t>09/16/1999 - 106th Congress (1999-2000)</t>
  </si>
  <si>
    <t xml:space="preserve">10/09/2002 - 107th Congress (2001-2002) - Resolution of advice and consent to ratification agreed to in Senate by Voice Vote. (All Actions) </t>
  </si>
  <si>
    <t>142</t>
  </si>
  <si>
    <t>Amendment to Montreal Protocol ("Beijing Amendment")</t>
  </si>
  <si>
    <t>106-32</t>
  </si>
  <si>
    <t>06/22/2000 - 106th Congress (1999-2000)</t>
  </si>
  <si>
    <t>143</t>
  </si>
  <si>
    <t>Protocol Amending 1949 Convention of Inter-American Tropical Tuna Commission</t>
  </si>
  <si>
    <t>107-2</t>
  </si>
  <si>
    <t>01/08/2001 - 107th Congress (2001-2002)</t>
  </si>
  <si>
    <t xml:space="preserve">09/05/2002 - 107th Congress (2001-2002) - Resolution of advice and consent to ratification agreed to in Senate by Division Vote. (All Actions) </t>
  </si>
  <si>
    <t>144</t>
  </si>
  <si>
    <t>1990 PROTOCOL TO THE 1983 MARITIME ENVIRONMENT OF THE WIDER CARIBBEAN REGION CONVENTION</t>
  </si>
  <si>
    <t>04/20/1993 - 103rd Congress (1993-1994)</t>
  </si>
  <si>
    <t>145</t>
  </si>
  <si>
    <t>SOUTH PACIFIC ENVIRONMENT PROGRAMME AGREEMENT</t>
  </si>
  <si>
    <t>105-32</t>
  </si>
  <si>
    <t>11/07/1997 - 105th Congress (1997-1998)</t>
  </si>
  <si>
    <t>146</t>
  </si>
  <si>
    <t>Treaty with Niue on Delimitation of a Maritime Boundary</t>
  </si>
  <si>
    <t>105-53</t>
  </si>
  <si>
    <t>06/23/1998 - 105th Congress (1997-1998)</t>
  </si>
  <si>
    <t>Maritime Boundaries and Claims</t>
  </si>
  <si>
    <t xml:space="preserve">08/01/2002 - 107th Congress (2001-2002) - Resolution of advice and consent to ratification agreed to in Senate by Division Vote. (All Actions) </t>
  </si>
  <si>
    <t>147</t>
  </si>
  <si>
    <t>Optional Protocol No. 1 to Convention on Rights of the Child on Involvement of Children in Armed Conflict</t>
  </si>
  <si>
    <t>106-37(A)</t>
  </si>
  <si>
    <t>07/25/2000 - 106th Congress (1999-2000)</t>
  </si>
  <si>
    <t xml:space="preserve">06/18/2002 - 107th Congress (2001-2002) - Resolution of advice and consent to ratification agreed to in Senate by Division Vote. (All Actions) </t>
  </si>
  <si>
    <t>148</t>
  </si>
  <si>
    <t>Optional Protocol No. 2 to Convention on the Rights of the Child on the Sale of Children, Child Prostitution and Child Pornography</t>
  </si>
  <si>
    <t>106-37(B)</t>
  </si>
  <si>
    <t>149</t>
  </si>
  <si>
    <t>Protocols to the Convention on the Rights of the Child</t>
  </si>
  <si>
    <t>106-37</t>
  </si>
  <si>
    <t xml:space="preserve">06/12/2002 - 107th Congress (2001-2002) - Treaty divided and reported under Ex. Rept. 107-4 with Protocol 's No. 1 and No. 2 each having separate resolutions of ratification thus creating Treaty Docs. 106-37A and 106-37B. See those documents for further action. (All Actions) </t>
  </si>
  <si>
    <t>150</t>
  </si>
  <si>
    <t>Treaty with Russia on Mutual Legal Assistance in Criminal Matters</t>
  </si>
  <si>
    <t>106-22</t>
  </si>
  <si>
    <t>02/10/2000 - 106th Congress (1999-2000)</t>
  </si>
  <si>
    <t xml:space="preserve">12/19/2001 - 107th Congress (2001-2002) - Resolution of advice and consent to ratification agreed to in Senate by Division Vote. (All Actions) </t>
  </si>
  <si>
    <t>151</t>
  </si>
  <si>
    <t>International Convention for the Suppression of Terrorist Bombings</t>
  </si>
  <si>
    <t>106-6</t>
  </si>
  <si>
    <t>09/08/1999 - 106th Congress (1999-2000)</t>
  </si>
  <si>
    <t xml:space="preserve">12/05/2001 - 107th Congress (2001-2002) - Resolution of advice and consent to ratification agreed to in Senate by Division Vote. (All Actions) </t>
  </si>
  <si>
    <t>152</t>
  </si>
  <si>
    <t>International Convention for Suppression of Financing Terrorism</t>
  </si>
  <si>
    <t>106-49</t>
  </si>
  <si>
    <t>10/12/2000 - 106th Congress (1999-2000)</t>
  </si>
  <si>
    <t>153</t>
  </si>
  <si>
    <t>Convention on Safety of UN and Associated Personnel</t>
  </si>
  <si>
    <t>107-1</t>
  </si>
  <si>
    <t>01/03/2001 - 107th Congress (2001-2002)</t>
  </si>
  <si>
    <t>United Nations</t>
  </si>
  <si>
    <t xml:space="preserve">01/03/2001 - 107th Congress (2001-2002) - Received in the Senate and referred to the Committee on Foreign Relations by unanimous consent. (All Actions) </t>
  </si>
  <si>
    <t>154</t>
  </si>
  <si>
    <t>COMPREHENSIVE NUCLEAR TEST-BAN TREATY</t>
  </si>
  <si>
    <t>105-28</t>
  </si>
  <si>
    <t>09/23/1997 - 105th Congress (1997-1998)</t>
  </si>
  <si>
    <t xml:space="preserve">12/15/2000 - 106th Congress (1999-2000) - No further action at sine die adjournment of the 106th Congress; automatically rereferred to the Committee on Foreign Relations under the provisions of Rule XXX, section 2, of the Standing Rules of the Senate. (All Actions) </t>
  </si>
  <si>
    <t>155</t>
  </si>
  <si>
    <t>EXTRADITION TREATY WITH PARAGUAY</t>
  </si>
  <si>
    <t>106-4</t>
  </si>
  <si>
    <t>07/13/1999 - 106th Congress (1999-2000)</t>
  </si>
  <si>
    <t xml:space="preserve">10/18/2000 - 106th Congress (1999-2000) - Resolution of advice and consent to ratification agreed to in Senate by Division Vote. (All Actions) </t>
  </si>
  <si>
    <t>156</t>
  </si>
  <si>
    <t>TREATY WITH DOMINICAN REPUBLIC FOR THE RETURN OF STOLEN OR EMBEZZLED VEHICLES</t>
  </si>
  <si>
    <t>106-7</t>
  </si>
  <si>
    <t>157</t>
  </si>
  <si>
    <t>Treaty with Ukraine on Mutual Legal Assistance in Criminal Matters</t>
  </si>
  <si>
    <t>106-16</t>
  </si>
  <si>
    <t>11/10/1999 - 106th Congress (1999-2000)</t>
  </si>
  <si>
    <t>158</t>
  </si>
  <si>
    <t>Treaty with France on Mutual Legal Assistance in Criminal Matters</t>
  </si>
  <si>
    <t>106-17</t>
  </si>
  <si>
    <t>01/31/2000 - 106th Congress (1999-2000)</t>
  </si>
  <si>
    <t>159</t>
  </si>
  <si>
    <t>Treaty with Greece on Mutual Legal Assistance in Criminal Matters</t>
  </si>
  <si>
    <t>106-18</t>
  </si>
  <si>
    <t>02/01/2000 - 106th Congress (1999-2000)</t>
  </si>
  <si>
    <t>160</t>
  </si>
  <si>
    <t>Treaty With Egypt on Mutual Legal Assistance in Criminal Matters</t>
  </si>
  <si>
    <t>106-19</t>
  </si>
  <si>
    <t>02/02/2000 - 106th Congress (1999-2000)</t>
  </si>
  <si>
    <t>161</t>
  </si>
  <si>
    <t>Treaty with Romania on Mutual Legal Assistance in Criminal Matters</t>
  </si>
  <si>
    <t>106-20</t>
  </si>
  <si>
    <t>02/03/2000 - 106th Congress (1999-2000)</t>
  </si>
  <si>
    <t>162</t>
  </si>
  <si>
    <t>International Plant Protection Convention (IPPC)</t>
  </si>
  <si>
    <t>106-23</t>
  </si>
  <si>
    <t>03/23/2000 - 106th Congress (1999-2000)</t>
  </si>
  <si>
    <t>163</t>
  </si>
  <si>
    <t>Extradition Treaty With South Africa</t>
  </si>
  <si>
    <t>106-24</t>
  </si>
  <si>
    <t>05/18/2000 - 106th Congress (1999-2000)</t>
  </si>
  <si>
    <t>164</t>
  </si>
  <si>
    <t>INVESTMENT TREATY WITH UZBEKISTAN</t>
  </si>
  <si>
    <t>104-25</t>
  </si>
  <si>
    <t>02/28/1996 - 104th Congress (1995-1996)</t>
  </si>
  <si>
    <t>165</t>
  </si>
  <si>
    <t>INTER-AMERICAN CONVENTION ON MUTUAL ASSISTANCE IN CRIMINAL MATTERS WITH RELATED OPTIONAL PROTOCOL</t>
  </si>
  <si>
    <t>105-25</t>
  </si>
  <si>
    <t>09/03/1997 - 105th Congress (1997-1998)</t>
  </si>
  <si>
    <t>166</t>
  </si>
  <si>
    <t>Investment Treaty with Bahrain</t>
  </si>
  <si>
    <t>106-25</t>
  </si>
  <si>
    <t>05/23/2000 - 106th Congress (1999-2000)</t>
  </si>
  <si>
    <t>167</t>
  </si>
  <si>
    <t>Investment Treaty with Bolivia</t>
  </si>
  <si>
    <t>106-26</t>
  </si>
  <si>
    <t>168</t>
  </si>
  <si>
    <t>TREATY WITH NIGERIA ON MUTUAL LEGAL ASSISTANCE IN CRIMINAL MATTERS</t>
  </si>
  <si>
    <t>04/01/1992 - 102nd Congress (1991-1992)</t>
  </si>
  <si>
    <t>169</t>
  </si>
  <si>
    <t>Investment Treaty with Honduras</t>
  </si>
  <si>
    <t>106-27</t>
  </si>
  <si>
    <t>170</t>
  </si>
  <si>
    <t>Investment Treaty with El Salvador</t>
  </si>
  <si>
    <t>106-28</t>
  </si>
  <si>
    <t>171</t>
  </si>
  <si>
    <t>UNITED NATIONS CONVENTION TO COMBAT DESERTIFICATION IN COUNTRIES EXPERIENCING DROUGHT, PARTICULARLY IN AFRICA, WITH ANNEXES</t>
  </si>
  <si>
    <t>104-29</t>
  </si>
  <si>
    <t>08/02/1996 - 104th Congress (1995-1996)</t>
  </si>
  <si>
    <t>172</t>
  </si>
  <si>
    <t>Investment Treaty with Croatia</t>
  </si>
  <si>
    <t>106-29</t>
  </si>
  <si>
    <t>173</t>
  </si>
  <si>
    <t>Investment Treaty with Jordan</t>
  </si>
  <si>
    <t>106-30</t>
  </si>
  <si>
    <t>174</t>
  </si>
  <si>
    <t>Investment Treaty with Mozambique</t>
  </si>
  <si>
    <t>106-31</t>
  </si>
  <si>
    <t>175</t>
  </si>
  <si>
    <t>Extradition Treaty with Sri Lanka</t>
  </si>
  <si>
    <t>106-34</t>
  </si>
  <si>
    <t>06/27/2000 - 106th Congress (1999-2000)</t>
  </si>
  <si>
    <t>176</t>
  </si>
  <si>
    <t>INTER-AMERICAN CONVENTION ON SERVING CRIMINAL SENTENCES ABROAD</t>
  </si>
  <si>
    <t>104-35</t>
  </si>
  <si>
    <t>09/30/1996 - 104th Congress (1995-1996)</t>
  </si>
  <si>
    <t>177</t>
  </si>
  <si>
    <t>Treaty with Cyprus on Mutual Legal Assistance in Criminal Matters</t>
  </si>
  <si>
    <t>106-35</t>
  </si>
  <si>
    <t>07/13/2000 - 106th Congress (1999-2000)</t>
  </si>
  <si>
    <t>178</t>
  </si>
  <si>
    <t>Treaty with South Africa on Mutual Legal Assistance in Criminal Matters</t>
  </si>
  <si>
    <t>106-36</t>
  </si>
  <si>
    <t>179</t>
  </si>
  <si>
    <t>Extradition Treaty with Belize</t>
  </si>
  <si>
    <t>106-38</t>
  </si>
  <si>
    <t>07/27/2000 - 106th Congress (1999-2000)</t>
  </si>
  <si>
    <t>180</t>
  </si>
  <si>
    <t>Treaty with Mexico on Delimitation of Continental Shelf</t>
  </si>
  <si>
    <t>106-39</t>
  </si>
  <si>
    <t>181</t>
  </si>
  <si>
    <t>Treaty with Costa Rica on Return of Vehicles and Aircraft</t>
  </si>
  <si>
    <t>106-40</t>
  </si>
  <si>
    <t>182</t>
  </si>
  <si>
    <t>Investment Treaty with Lithuania</t>
  </si>
  <si>
    <t>106-42</t>
  </si>
  <si>
    <t>183</t>
  </si>
  <si>
    <t>Protocol Amending the 1950 Consular Convention with Ireland</t>
  </si>
  <si>
    <t>106-43</t>
  </si>
  <si>
    <t>Consular</t>
  </si>
  <si>
    <t>184</t>
  </si>
  <si>
    <t>Treaty with Panama on Return of Vehicles and Aircraft</t>
  </si>
  <si>
    <t>106-44</t>
  </si>
  <si>
    <t>185</t>
  </si>
  <si>
    <t>Protocol Amending Investment Treaty with Panama</t>
  </si>
  <si>
    <t>106-46</t>
  </si>
  <si>
    <t>09/12/2000 - 106th Congress (1999-2000)</t>
  </si>
  <si>
    <t>186</t>
  </si>
  <si>
    <t>Investment Treaty with Azerbaijan</t>
  </si>
  <si>
    <t>106-47</t>
  </si>
  <si>
    <t>187</t>
  </si>
  <si>
    <t>TREATY WITH BELIZE FOR RETURN OF STOLEN VEHICLES</t>
  </si>
  <si>
    <t>105-54</t>
  </si>
  <si>
    <t>188</t>
  </si>
  <si>
    <t>TREATY WITH GUATEMALA FOR RETURN OF STOLEN, ROBBED, EMBEZZLED OR APPROPRIATED VEHICLES AND AIRCRAFT</t>
  </si>
  <si>
    <t>105-58</t>
  </si>
  <si>
    <t>08/31/1998 - 105th Congress (1997-1998)</t>
  </si>
  <si>
    <t>189</t>
  </si>
  <si>
    <t>PROTOCOL AMENDING THE NORTH PACIFIC FUR SEALS CONVENTION</t>
  </si>
  <si>
    <t>03/20/1985 - 99th Congress (1985-1986)</t>
  </si>
  <si>
    <t xml:space="preserve">10/13/2000 - 106th Congress (1999-2000) - Returned to the President pursuant to S. Res. 267 agreed to in Senate on October 12, 2000. (All Actions) </t>
  </si>
  <si>
    <t>190</t>
  </si>
  <si>
    <t>TREATY ON THE INTERNATIONAL REGISTRATION OF AUDIOVISUAL WORKS</t>
  </si>
  <si>
    <t>01/24/1990 - 101st Congress (1989-1990)</t>
  </si>
  <si>
    <t>191</t>
  </si>
  <si>
    <t>TRADEMARK REGISTRATION TREATY</t>
  </si>
  <si>
    <t>09/03/1975 - 94th Congress (1975-1976)</t>
  </si>
  <si>
    <t>192</t>
  </si>
  <si>
    <t>PROTOCOL TO AMEND THE 1980 TAX CONVENTION WITH DENMARK</t>
  </si>
  <si>
    <t>11/16/1983 - 98th Congress (1983-1984)</t>
  </si>
  <si>
    <t>193</t>
  </si>
  <si>
    <t>Law of the Sea--Optional Protocol Concerning the Compulsory Settlement of Disputes</t>
  </si>
  <si>
    <t>09/09/1959 - 86th Congress (1959-1960)</t>
  </si>
  <si>
    <t>Dispute Settlement and Arbitration</t>
  </si>
  <si>
    <t>194</t>
  </si>
  <si>
    <t>CONSULAR CONVENTION WITH SOUTH AFRICA</t>
  </si>
  <si>
    <t>01/27/1984 - 98th Congress (1983-1984)</t>
  </si>
  <si>
    <t>195</t>
  </si>
  <si>
    <t>SUPPLEMENTARY EXTRADITION CONVENTION WITH SWEDEN</t>
  </si>
  <si>
    <t>07/28/1981 - 97th Congress (1981-1982)</t>
  </si>
  <si>
    <t>196</t>
  </si>
  <si>
    <t>INVESTMENT TREATY WITH HAITI</t>
  </si>
  <si>
    <t>03/25/1986 - 99th Congress (1985-1986)</t>
  </si>
  <si>
    <t>197</t>
  </si>
  <si>
    <t>INTERNATIONAL CONVENTION ON CIVIL LIABILITY FOR OIL POLLUTION DAMAGE</t>
  </si>
  <si>
    <t>05/20/1970 - 91st Congress (1969-1970)</t>
  </si>
  <si>
    <t>198</t>
  </si>
  <si>
    <t>Convention on the Establishment of an International Fund for Compensation for Oil Pollution Damage and Amendments to the 1954 Prevention of Pollution of the Sea by Oil Convention</t>
  </si>
  <si>
    <t>05/05/1972 - 92nd Congress (1971-1972)</t>
  </si>
  <si>
    <t>199</t>
  </si>
  <si>
    <t>TREATY ON THE LIMITATION OF STRATEGIC ARMS AND PROTOCOL THERETO (SALT II TREATY)</t>
  </si>
  <si>
    <t>06/22/1979 - 96th Congress (1979-1980)</t>
  </si>
  <si>
    <t>200</t>
  </si>
  <si>
    <t>PROTOCOL AMENDING THE TAX CONVENTION WITH CANADA</t>
  </si>
  <si>
    <t>09/14/1994 - 103rd Congress (1993-1994)</t>
  </si>
  <si>
    <t>201</t>
  </si>
  <si>
    <t>TAX CONVENTION WITH DENMARK</t>
  </si>
  <si>
    <t>09/04/1980 - 96th Congress (1979-1980)</t>
  </si>
  <si>
    <t>202</t>
  </si>
  <si>
    <t>CONVENTION ON THE RECOGNITION OF STUDIES, DIPLOMAS, AND DEGREES CONCERNING HIGHER EDUCATION IN THE STATES BELONGING TO THE EUROPE REGION</t>
  </si>
  <si>
    <t>11/13/1980 - 96th Congress (1979-1980)</t>
  </si>
  <si>
    <t>203</t>
  </si>
  <si>
    <t>PROTOCOL AMENDING THE 1916 CONVENTION WITH CANADA FOR THE PROTECTION OF MIGRATORY BIRDS</t>
  </si>
  <si>
    <t>11/24/1980 - 96th Congress (1979-1980)</t>
  </si>
  <si>
    <t>204</t>
  </si>
  <si>
    <t>CONSULAR CONVENTION WITH YUGOSLAVIA</t>
  </si>
  <si>
    <t>03/13/1989 - 101st Congress (1989-1990)</t>
  </si>
  <si>
    <t xml:space="preserve">10/12/2000 - 106th Congress (1999-2000) - Returned to the President pursuant to S. Res. 267 agreed to in Senate on October 12, 2000. (All Actions) </t>
  </si>
  <si>
    <t>205</t>
  </si>
  <si>
    <t>1984 PROTOCOLS AMENDING THE CIVIL LIABILITY AND FUND CONVENTIONS ON OIL POLLUTION DAMAGE</t>
  </si>
  <si>
    <t>11/05/1985 - 99th Congress (1985-1986)</t>
  </si>
  <si>
    <t>206</t>
  </si>
  <si>
    <t>PROTOCOL OF 1984 TO THE CIVIL LIABILITY CONVENTION FOR OIL POLLUTION DAMAGE</t>
  </si>
  <si>
    <t xml:space="preserve">10/12/2000 - 106th Congress (1999-2000) - Returned to the President pursuant to S. Res. 267 . (All Actions) </t>
  </si>
  <si>
    <t>207</t>
  </si>
  <si>
    <t>PROTOCOL OF 1984 TO AMEND THE INTERNATIONAL FUND CONVENTION FOR COMPENSATION FOR OIL POLLUTION DAMAGE</t>
  </si>
  <si>
    <t xml:space="preserve">10/12/2000 - 106th Congress (1999-2000) - Returned to the President pursuant to S. Res. 267. (All Actions) </t>
  </si>
  <si>
    <t>208</t>
  </si>
  <si>
    <t>CONVENTION ON THE ESTABLISHMENT OF AN INTERNTIONAL FUND FOR COMPENSATION FOR OIL POLLUTION DAMAGE</t>
  </si>
  <si>
    <t>209</t>
  </si>
  <si>
    <t>AMENDMENTS TO THE 1954 PREVENTION OF POLLUTION OF THE SEA BY OIL CONVENTION</t>
  </si>
  <si>
    <t xml:space="preserve">10/12/2000 - 106th Congress (1999-2000) - Returned to the President pursuant to S. Res. 267, Executive Resolution resolving to return certain treaties to the President. (All Actions) </t>
  </si>
  <si>
    <t>210</t>
  </si>
  <si>
    <t>CONVENTION (No. 176) CONCERNING SAFETY AND HEALTH IN MINES</t>
  </si>
  <si>
    <t>106-8</t>
  </si>
  <si>
    <t>09/09/1999 - 106th Congress (1999-2000)</t>
  </si>
  <si>
    <t>Labor</t>
  </si>
  <si>
    <t xml:space="preserve">09/20/2000 - 106th Congress (1999-2000) - Resolution of advice and consent to ratification agreed to in Senate by Division Vote. (All Actions) </t>
  </si>
  <si>
    <t>211</t>
  </si>
  <si>
    <t>FOOD AID CONVENTION 1999</t>
  </si>
  <si>
    <t>106-14</t>
  </si>
  <si>
    <t>10/13/1999 - 106th Congress (1999-2000)</t>
  </si>
  <si>
    <t>212</t>
  </si>
  <si>
    <t>INTER-AMERICAN CONVENTION ON SEA TURTLES</t>
  </si>
  <si>
    <t>105-48</t>
  </si>
  <si>
    <t>05/22/1998 - 105th Congress (1997-1998)</t>
  </si>
  <si>
    <t>213</t>
  </si>
  <si>
    <t>Convention On Protection of Children and Co-operation In Respect of Intercountry Adoption</t>
  </si>
  <si>
    <t>105-51</t>
  </si>
  <si>
    <t>06/11/1998 - 105th Congress (1997-1998)</t>
  </si>
  <si>
    <t>214</t>
  </si>
  <si>
    <t>INTER-AMERICAN CONVENTION AGAINST CORRUPTION</t>
  </si>
  <si>
    <t>105-39</t>
  </si>
  <si>
    <t>04/01/1998 - 105th Congress (1997-1998)</t>
  </si>
  <si>
    <t xml:space="preserve">07/27/2000 - 106th Congress (1999-2000) - Resolution of advice and consent to ratification agreed to in Senate by Division Vote. (All Actions) </t>
  </si>
  <si>
    <t>215</t>
  </si>
  <si>
    <t>Investment Treaty with Nicaragua</t>
  </si>
  <si>
    <t>106-33</t>
  </si>
  <si>
    <t>06/26/2000 - 106th Congress (1999-2000)</t>
  </si>
  <si>
    <t xml:space="preserve">06/26/2000 - 106th Congress (1999-2000) - Received in the Senate and referred to the Committee on Foreign Relations by unanimous consent. (All Actions) </t>
  </si>
  <si>
    <t>216</t>
  </si>
  <si>
    <t>EXTRADITION TREATY WITH THE REPUBLIC OF KOREA</t>
  </si>
  <si>
    <t>106-2</t>
  </si>
  <si>
    <t>03/02/1999 - 106th Congress (1999-2000)</t>
  </si>
  <si>
    <t xml:space="preserve">11/05/1999 - 106th Congress (1999-2000) - Resolution of advice and consent to ratification agreed to in Senate by Division vote. (All Actions) </t>
  </si>
  <si>
    <t>217</t>
  </si>
  <si>
    <t>Tax Convention with Venezuela</t>
  </si>
  <si>
    <t>106-3</t>
  </si>
  <si>
    <t>06/29/1999 - 106th Congress (1999-2000)</t>
  </si>
  <si>
    <t>218</t>
  </si>
  <si>
    <t>CONVENTION (No. 182) FOR ELIMINATION OF THE WORST FORMS OF CHILD LABOR</t>
  </si>
  <si>
    <t>106-5</t>
  </si>
  <si>
    <t>08/05/1999 - 106th Congress (1999-2000)</t>
  </si>
  <si>
    <t>219</t>
  </si>
  <si>
    <t>TAX CONVENTION WITH SLOVENIA</t>
  </si>
  <si>
    <t>106-9</t>
  </si>
  <si>
    <t>09/13/1999 - 106th Congress (1999-2000)</t>
  </si>
  <si>
    <t>220</t>
  </si>
  <si>
    <t>TAX CONVENTION WITH ITALY</t>
  </si>
  <si>
    <t>106-11</t>
  </si>
  <si>
    <t>09/21/1999 - 106th Congress (1999-2000)</t>
  </si>
  <si>
    <t>221</t>
  </si>
  <si>
    <t>TAX CONVENTION DENMARK</t>
  </si>
  <si>
    <t>106-12</t>
  </si>
  <si>
    <t>222</t>
  </si>
  <si>
    <t>PROTOCOL AMENDING THE TAX CONVENTION WITH GERMANY</t>
  </si>
  <si>
    <t>106-13</t>
  </si>
  <si>
    <t>223</t>
  </si>
  <si>
    <t>Tax Convention with Ireland</t>
  </si>
  <si>
    <t>106-15</t>
  </si>
  <si>
    <t>10/29/1999 - 106th Congress (1999-2000)</t>
  </si>
  <si>
    <t>224</t>
  </si>
  <si>
    <t>TAX CONVENTION WITH ESTONIA</t>
  </si>
  <si>
    <t>105-55</t>
  </si>
  <si>
    <t>06/26/1998 - 105th Congress (1997-1998)</t>
  </si>
  <si>
    <t>225</t>
  </si>
  <si>
    <t>TAX CONVENTION WITH LITHUANIA</t>
  </si>
  <si>
    <t>105-56</t>
  </si>
  <si>
    <t>226</t>
  </si>
  <si>
    <t>Tax Convention with Latvia</t>
  </si>
  <si>
    <t>105-57</t>
  </si>
  <si>
    <t>227</t>
  </si>
  <si>
    <t>AMENDED MINES PROTOCOL</t>
  </si>
  <si>
    <t>105-1(A)</t>
  </si>
  <si>
    <t xml:space="preserve">05/20/1999 - 106th Congress (1999-2000) - Resolution of advice and consent to ratification agreed to in Senate by Division vote. (All Actions) </t>
  </si>
  <si>
    <t>228</t>
  </si>
  <si>
    <t>CONVENTION ON NUCLEAR SAFETY</t>
  </si>
  <si>
    <t>104-6</t>
  </si>
  <si>
    <t>05/11/1995 - 104th Congress (1995-1996)</t>
  </si>
  <si>
    <t xml:space="preserve">03/25/1999 - 106th Congress (1999-2000) - Resolution of advice and consent to ratification agreed to in Senate by Division vote. (All Actions) </t>
  </si>
  <si>
    <t>229</t>
  </si>
  <si>
    <t>The Hague Protocol</t>
  </si>
  <si>
    <t>106-1(B)</t>
  </si>
  <si>
    <t xml:space="preserve">01/06/1999 - 106th Congress (1999-2000) - Received in the Senate and referred to the Committee on Foreign Relations by unanimous consent removing the injunction of secrecy. (All Actions) </t>
  </si>
  <si>
    <t>230</t>
  </si>
  <si>
    <t>AGREEMENT WITH HONG KONG ON MUTUAL LEGAL ASSISTANCE IN CRIMINAL MATTERS, WITH ANNEX</t>
  </si>
  <si>
    <t>105-6</t>
  </si>
  <si>
    <t>05/05/1997 - 105th Congress (1997-1998)</t>
  </si>
  <si>
    <t xml:space="preserve">10/21/1998 - 105th Congress (1997-1998) - Resolution of advice and consent to ratification agreed to in Senate by Division vote. (All Actions) </t>
  </si>
  <si>
    <t>231</t>
  </si>
  <si>
    <t>AGREEMENT WITH HONG KONG ON TRANSFER OF SENTENCED PERSONS</t>
  </si>
  <si>
    <t>105-7</t>
  </si>
  <si>
    <t>232</t>
  </si>
  <si>
    <t>EXTRADITION TREATY WITH LUXEMBOURG</t>
  </si>
  <si>
    <t>105-10</t>
  </si>
  <si>
    <t>07/08/1997 - 105th Congress (1997-1998)</t>
  </si>
  <si>
    <t>233</t>
  </si>
  <si>
    <t>MUTUAL LEGAL ASSISTANCE TREATY WITH LUXEMBOURG</t>
  </si>
  <si>
    <t>105-11</t>
  </si>
  <si>
    <t>234</t>
  </si>
  <si>
    <t>MUTUAL LEGAL ASSISTANCE TREATY WITH POLAND</t>
  </si>
  <si>
    <t>105-12</t>
  </si>
  <si>
    <t>235</t>
  </si>
  <si>
    <t>EXTRADITION TREATY WITH FRANCE</t>
  </si>
  <si>
    <t>105-13</t>
  </si>
  <si>
    <t>07/09/1997 - 105th Congress (1997-1998)</t>
  </si>
  <si>
    <t>236</t>
  </si>
  <si>
    <t>EXTRADITION TREATY WITH POLAND</t>
  </si>
  <si>
    <t>105-14</t>
  </si>
  <si>
    <t>237</t>
  </si>
  <si>
    <t>THIRD SUPPLEMENTARY EXTRADITION TREATY WITH SPAIN</t>
  </si>
  <si>
    <t>105-15</t>
  </si>
  <si>
    <t>07/10/1997 - 105th Congress (1997-1998)</t>
  </si>
  <si>
    <t>238</t>
  </si>
  <si>
    <t>EXTRADITION TREATY WITH CYPRUS</t>
  </si>
  <si>
    <t>105-16</t>
  </si>
  <si>
    <t>07/28/1997 - 105th Congress (1997-1998)</t>
  </si>
  <si>
    <t>239</t>
  </si>
  <si>
    <t>WIPO COPYRIGHT TREATY (WCT)(1996) AND WIPO PERFORMANCES AND PHONOGRAMS TREATY(WPPT)(1996)</t>
  </si>
  <si>
    <t>105-17</t>
  </si>
  <si>
    <t>240</t>
  </si>
  <si>
    <t>EXTRADITION TREATY WITH ARGENTINA</t>
  </si>
  <si>
    <t>105-18</t>
  </si>
  <si>
    <t>07/30/1997 - 105th Congress (1997-1998)</t>
  </si>
  <si>
    <t>241</t>
  </si>
  <si>
    <t>EXTRADITION TREATY WITH ORGANIZATION OF EASTERN CARIBBEAN STATES</t>
  </si>
  <si>
    <t>105-19</t>
  </si>
  <si>
    <t>242</t>
  </si>
  <si>
    <t>EXTRADITION TREATY WITH BARBADOS</t>
  </si>
  <si>
    <t>105-20</t>
  </si>
  <si>
    <t>07/31/1997 - 105th Congress (1997-1998)</t>
  </si>
  <si>
    <t>243</t>
  </si>
  <si>
    <t>EXTRADITION TREATY WITH TRINIDAD AND TOBAGO</t>
  </si>
  <si>
    <t>105-21</t>
  </si>
  <si>
    <t>244</t>
  </si>
  <si>
    <t>MUTUAL LEGAL ASSISTANCE IN CRIMINAL MATTERS WITH TRINIDAD AND TOBAGO</t>
  </si>
  <si>
    <t>105-22</t>
  </si>
  <si>
    <t>245</t>
  </si>
  <si>
    <t>MUTUAL LEGAL ASSISTANCE IN CRIMINAL MATTERS WITH BARBADOS</t>
  </si>
  <si>
    <t>105-23</t>
  </si>
  <si>
    <t>246</t>
  </si>
  <si>
    <t>MUTUAL LEGAL ASSISTANCE IN CRIMINAL MATTERS WITH ANTIGUA AND BARBUDA, DOMINICA, GRENADA AND ST. LUCIA</t>
  </si>
  <si>
    <t>105-24</t>
  </si>
  <si>
    <t>247</t>
  </si>
  <si>
    <t>TREATY WITH AUSTRALIA ON MUTUAL ASSISTANCE IN CRIMINAL MATTERS</t>
  </si>
  <si>
    <t>105-27</t>
  </si>
  <si>
    <t>09/18/1997 - 105th Congress (1997-1998)</t>
  </si>
  <si>
    <t>248</t>
  </si>
  <si>
    <t>EXTRADITION TREATY WITH INDIA</t>
  </si>
  <si>
    <t>105-30</t>
  </si>
  <si>
    <t>249</t>
  </si>
  <si>
    <t>EXTRADITION TREATY WITH ZIMBABWE</t>
  </si>
  <si>
    <t>105-33</t>
  </si>
  <si>
    <t>01/28/1998 - 105th Congress (1997-1998)</t>
  </si>
  <si>
    <t>250</t>
  </si>
  <si>
    <t>TREATY WITH LATVIA ON MUTUAL LEGAL ASSISTANCE IN CRIMINAL MATTERS</t>
  </si>
  <si>
    <t>105-34</t>
  </si>
  <si>
    <t>251</t>
  </si>
  <si>
    <t>TREATY WITH SAINT KITTS AND NEVIS ON MUTUAL LEGAL ASSISTANCE IN CRIMINAL MATTERS</t>
  </si>
  <si>
    <t>105-37</t>
  </si>
  <si>
    <t>03/20/1998 - 105th Congress (1997-1998)</t>
  </si>
  <si>
    <t>252</t>
  </si>
  <si>
    <t>TREATY WITH VENEZUELA ON MUTUAL LEGAL ASSISTANCE IN CRIMINAL MATTERS</t>
  </si>
  <si>
    <t>105-38</t>
  </si>
  <si>
    <t>03/27/1998 - 105th Congress (1997-1998)</t>
  </si>
  <si>
    <t>253</t>
  </si>
  <si>
    <t>TREATY WITH ISRAEL ON MUTUAL LEGAL ASSISTANCE IN CRIMINAL MATTERS</t>
  </si>
  <si>
    <t>105-40</t>
  </si>
  <si>
    <t>04/02/1998 - 105th Congress (1997-1998)</t>
  </si>
  <si>
    <t>254</t>
  </si>
  <si>
    <t>TREATY WITH LITHUANIA ON MUTUAL LEGAL ASSISTANCE IN CRIMINAL MAATTERS</t>
  </si>
  <si>
    <t>105-41</t>
  </si>
  <si>
    <t>04/20/1998 - 105th Congress (1997-1998)</t>
  </si>
  <si>
    <t>255</t>
  </si>
  <si>
    <t>TREATY WITH BRAZIL ON MUTUAL LEGAL ASSISTANCE IN CRIMINAL MATTERS</t>
  </si>
  <si>
    <t>105-42</t>
  </si>
  <si>
    <t>04/28/1998 - 105th Congress (1997-1998)</t>
  </si>
  <si>
    <t>256</t>
  </si>
  <si>
    <t>TREATY WITH ST. VINCENT AND THE GRENADINES ON MUTUAL LEGAL ASSISTANCE IN CRIMINAL MATTERS</t>
  </si>
  <si>
    <t>105-44</t>
  </si>
  <si>
    <t>05/13/1998 - 105th Congress (1997-1998)</t>
  </si>
  <si>
    <t>257</t>
  </si>
  <si>
    <t>PROTOCOL TO EXTRADITION TREATY WITH MEXICO</t>
  </si>
  <si>
    <t>105-46</t>
  </si>
  <si>
    <t>05/21/1998 - 105th Congress (1997-1998)</t>
  </si>
  <si>
    <t>258</t>
  </si>
  <si>
    <t>TREATY WITH CZECH REPUBLIC ON MUTUAL LEGAL ASSISTANCE IN CRIMINAL MATTERS</t>
  </si>
  <si>
    <t>105-47</t>
  </si>
  <si>
    <t>259</t>
  </si>
  <si>
    <t>Extradition Treaty With Austria</t>
  </si>
  <si>
    <t>105-50</t>
  </si>
  <si>
    <t>260</t>
  </si>
  <si>
    <t>TREATY WITH ESTONIA ON MUTUAL LEGAL ASSISTANCE IN CRIMINAL MATTERS</t>
  </si>
  <si>
    <t>105-52</t>
  </si>
  <si>
    <t>06/19/1998 - 105th Congress (1997-1998)</t>
  </si>
  <si>
    <t>261</t>
  </si>
  <si>
    <t>MONTREAL PROTOCOL NO. 3</t>
  </si>
  <si>
    <t>01/14/1977 - 95th Congress (1977-1978)</t>
  </si>
  <si>
    <t xml:space="preserve">09/28/1998 - 105th Congress (1997-1998) - Protocol No. 3 was returned to the President under proviso No. 2 of the resolution of ratification of T. Doc. 95-2(B). (All Actions) </t>
  </si>
  <si>
    <t>262</t>
  </si>
  <si>
    <t>MONTREAL PROTOCOL NO. 4</t>
  </si>
  <si>
    <t xml:space="preserve">09/28/1998 - 105th Congress (1997-1998) - Resolution of advice and consent to ratification agreed to in Senate by Division vote. (All Actions) </t>
  </si>
  <si>
    <t>263</t>
  </si>
  <si>
    <t>TWO RELATED PROTOCOLS TO THE CONVENTION FOR THE UNIFICATION OF CERTAIN RULES RELATING TO INTERNATIONAL CARRIAGE BY AIR, AS AMENDED</t>
  </si>
  <si>
    <t xml:space="preserve">08/25/1998 - 105th Congress (1997-1998) - Treaty reported by Committee on Foreign Relations as a divided treaty, TD95-2B. Proviso (2) in the resolution of ratification directed the return of TD 95-2A. (All Actions) </t>
  </si>
  <si>
    <t>264</t>
  </si>
  <si>
    <t>CONVENTION ON COMBATING BRIBERY OF FOREIGN PUBLIC OFFICIALS IN INTERNATIONAL BUSINESS TRANSACTIONS</t>
  </si>
  <si>
    <t>105-43</t>
  </si>
  <si>
    <t>05/01/1998 - 105th Congress (1997-1998)</t>
  </si>
  <si>
    <t xml:space="preserve">07/31/1998 - 105th Congress (1997-1998) - Resolution of advice and consent to ratification agreed to in Senate by Division vote. (All Actions) </t>
  </si>
  <si>
    <t>265</t>
  </si>
  <si>
    <t>INTERNATIONAL GRAINS AGREEMENT, 1995</t>
  </si>
  <si>
    <t>105-4</t>
  </si>
  <si>
    <t>04/07/1997 - 105th Congress (1997-1998)</t>
  </si>
  <si>
    <t xml:space="preserve">06/26/1998 - 105th Congress (1997-1998) - Resolution of advice and consent to ratification agreed to in Senate by Division vote. (All Actions) </t>
  </si>
  <si>
    <t>266</t>
  </si>
  <si>
    <t>CONVENTION FOR THE PROTECTION OF PLANTS</t>
  </si>
  <si>
    <t>104-17</t>
  </si>
  <si>
    <t>09/05/1995 - 104th Congress (1995-1996)</t>
  </si>
  <si>
    <t>267</t>
  </si>
  <si>
    <t>TRADEMARK LAW TREATY AND REGULATIONS</t>
  </si>
  <si>
    <t>105-35</t>
  </si>
  <si>
    <t>01/29/1998 - 105th Congress (1997-1998)</t>
  </si>
  <si>
    <t>268</t>
  </si>
  <si>
    <t>CONVENTION ON THE INTERNATIONAL MARITIME ORGANIZATION</t>
  </si>
  <si>
    <t>104-36</t>
  </si>
  <si>
    <t>10/01/1996 - 104th Congress (1995-1996)</t>
  </si>
  <si>
    <t>269</t>
  </si>
  <si>
    <t>INTER-AMERICAN CONVENTION AGAINST ILLICIT MANUFACTURING AND TRAFFICKING OF FIREARMS, AMMUNITION, EXPLOSIVES, AND OTHER RELATED MATERIALS</t>
  </si>
  <si>
    <t>105-49</t>
  </si>
  <si>
    <t>06/09/1998 - 105th Congress (1997-1998)</t>
  </si>
  <si>
    <t xml:space="preserve">06/09/1998 - 105th Congress (1997-1998) - Received in the Senate and referred to the Committee on Foreign Relations by unanimous consent. (All Actions) </t>
  </si>
  <si>
    <t>270</t>
  </si>
  <si>
    <t>ILO CONVENTION (NO. 111) CONCERNING DISCRIMINATION (EMPLOYMENT AND OCCUPATION)</t>
  </si>
  <si>
    <t>105-45</t>
  </si>
  <si>
    <t>05/18/1998 - 105th Congress (1997-1998)</t>
  </si>
  <si>
    <t xml:space="preserve">05/18/1998 - 105th Congress (1997-1998) - Received in the Senate and referred to the Committee on Foreign Relations by unanimous consent. (All Actions) </t>
  </si>
  <si>
    <t>271</t>
  </si>
  <si>
    <t>PROTOCOLS TO THE NORTH ATLANTIC TREATY OF 1949 ON ACCESSION OF PO LAND, HUNGARY, AND CZECH REPUBLIC</t>
  </si>
  <si>
    <t>105-36</t>
  </si>
  <si>
    <t>02/11/1998 - 105th Congress (1997-1998)</t>
  </si>
  <si>
    <t xml:space="preserve">04/30/1998 - 105th Congress (1997-1998) - Resolution of advice and consent to ratification agreed to in Senate by Yea-Nay vote. 80-19. Record Vote No: 117 EX. (All Actions) </t>
  </si>
  <si>
    <t>272</t>
  </si>
  <si>
    <t>PROTOCOLS TO THE 1980 CONVENTIONAL WEAPONS CONVENTION</t>
  </si>
  <si>
    <t>105-1</t>
  </si>
  <si>
    <t xml:space="preserve">02/03/1998 - 105th Congress (1997-1998) - Committee on Foreign Relations. Treaty divided into 3 treaties. Created 105-1A: Amended Mines Protocol and 105-1B: Incendiary Weapons Protocol and 105-1C:Protocol on Blinding Laser Weapons. (All Actions) </t>
  </si>
  <si>
    <t>273</t>
  </si>
  <si>
    <t>TAXATION CONVENTION WITH THAILAND</t>
  </si>
  <si>
    <t>105-2</t>
  </si>
  <si>
    <t>01/28/1997 - 105th Congress (1997-1998)</t>
  </si>
  <si>
    <t xml:space="preserve">10/31/1997 - 105th Congress (1997-1998) - Resolution of advice and consent to ratification agreed to in Senate by Division vote. (All Actions) </t>
  </si>
  <si>
    <t>274</t>
  </si>
  <si>
    <t>TAX CONVENTION WITH SWISS CONFEDERATION</t>
  </si>
  <si>
    <t>105-8</t>
  </si>
  <si>
    <t>06/25/1997 - 105th Congress (1997-1998)</t>
  </si>
  <si>
    <t>275</t>
  </si>
  <si>
    <t>TAX CONVENTION WITH SOUTH AFRICA</t>
  </si>
  <si>
    <t>105-9</t>
  </si>
  <si>
    <t>06/26/1997 - 105th Congress (1997-1998)</t>
  </si>
  <si>
    <t>276</t>
  </si>
  <si>
    <t>PROTOCOL AMENDING TAX CONVENTION WITH CANADA</t>
  </si>
  <si>
    <t>105-29</t>
  </si>
  <si>
    <t>277</t>
  </si>
  <si>
    <t>TAXATION AGREEMENT WITH TURKEY</t>
  </si>
  <si>
    <t>104-30</t>
  </si>
  <si>
    <t>09/03/1996 - 104th Congress (1995-1996)</t>
  </si>
  <si>
    <t>278</t>
  </si>
  <si>
    <t>TAXATION CONVENTION WITH AUSTRIA</t>
  </si>
  <si>
    <t>104-31</t>
  </si>
  <si>
    <t>09/04/1996 - 104th Congress (1995-1996)</t>
  </si>
  <si>
    <t>279</t>
  </si>
  <si>
    <t>TAX CONVENTION WITH IRELAND</t>
  </si>
  <si>
    <t>105-31</t>
  </si>
  <si>
    <t>09/24/1997 - 105th Congress (1997-1998)</t>
  </si>
  <si>
    <t>280</t>
  </si>
  <si>
    <t>TAXATION CONVENTION WITH LUXEMBOURG</t>
  </si>
  <si>
    <t>104-33</t>
  </si>
  <si>
    <t>281</t>
  </si>
  <si>
    <t>AGREEMENT WITH HONG KONG FOR THE SURRENDER OF FUGITIVE OFFENDERS</t>
  </si>
  <si>
    <t>105-3</t>
  </si>
  <si>
    <t>03/03/1997 - 105th Congress (1997-1998)</t>
  </si>
  <si>
    <t xml:space="preserve">10/23/1997 - 105th Congress (1997-1998) - Resolution of advice and consent to ratification agreed to in Senate by Division vote. (All Actions) </t>
  </si>
  <si>
    <t>282</t>
  </si>
  <si>
    <t>MARITIME BOUNDARY TREATY WITH MEXICO</t>
  </si>
  <si>
    <t>01/19/1979 - 96th Congress (1979-1980)</t>
  </si>
  <si>
    <t>283</t>
  </si>
  <si>
    <t>PROTOCOL WITH MEXICO AMENDING CONVENTION FOR PROTECTION OF MIGRATORY BIRDS AND GAME MAMMALS</t>
  </si>
  <si>
    <t>105-26</t>
  </si>
  <si>
    <t>09/15/1997 - 105th Congress (1997-1998)</t>
  </si>
  <si>
    <t>PROTOCOL AMENDING THE 1916 CONVENTION FOR THE PROTECTION OF MIGRATORY BIRDS</t>
  </si>
  <si>
    <t>104-28</t>
  </si>
  <si>
    <t>285</t>
  </si>
  <si>
    <t>CONSTITUTION AND CONVENTION OF THE INTERNATIONAL TELECOMMUNICATION UNION</t>
  </si>
  <si>
    <t>104-34</t>
  </si>
  <si>
    <t>09/13/1996 - 104th Congress (1995-1996)</t>
  </si>
  <si>
    <t>286</t>
  </si>
  <si>
    <t>FLANK DOCUMENT AGREEMENT TO THE CFE TREATY</t>
  </si>
  <si>
    <t>105-5</t>
  </si>
  <si>
    <t xml:space="preserve">05/14/1997 - 105th Congress (1997-1998) - Resolution of advice and consent to ratification agreed to in Senate by Yea-Nay vote. 100-0. Record Vote No: 67 EX. (All Actions) </t>
  </si>
  <si>
    <t>287</t>
  </si>
  <si>
    <t>CHEMICAL WEAPONS CONVENTION</t>
  </si>
  <si>
    <t>11/23/1993 - 103rd Congress (1993-1994)</t>
  </si>
  <si>
    <t xml:space="preserve">04/24/1997 - 105th Congress (1997-1998) - Resolution of advice and consent to ratification agreed to in Senate by Yea-Nay Vote. 74 - 26. Record Vote Number: 51. (All Actions) </t>
  </si>
  <si>
    <t>288</t>
  </si>
  <si>
    <t>EXCHANGE OF NOTES RELATING TO THE TAX CONVENTION WITH KAZAKHSTAN</t>
  </si>
  <si>
    <t>104-15</t>
  </si>
  <si>
    <t>08/03/1995 - 104th Congress (1995-1996)</t>
  </si>
  <si>
    <t xml:space="preserve">09/28/1996 - 104th Congress (1995-1996) - Resolution of advice and consent to ratification agreed to in Senate by Division vote. (All Actions) </t>
  </si>
  <si>
    <t>289</t>
  </si>
  <si>
    <t>PROTOCOL AMENDING ARTICLE VIII OF THE 1948 TAX CONVENTION WITH RESPECT TO THE NETHERLANDS ANTILLES</t>
  </si>
  <si>
    <t>104-23</t>
  </si>
  <si>
    <t>01/03/1996 - 104th Congress (1995-1996)</t>
  </si>
  <si>
    <t>290</t>
  </si>
  <si>
    <t>TAXATION PROTOCOL AMENDING CONVENTION WITH INDONESIA</t>
  </si>
  <si>
    <t>104-32</t>
  </si>
  <si>
    <t>291</t>
  </si>
  <si>
    <t>TAX CONVENTION WITH THE REPUBLIC OF KAZAKHSTAN</t>
  </si>
  <si>
    <t>09/15/1994 - 103rd Congress (1993-1994)</t>
  </si>
  <si>
    <t>292</t>
  </si>
  <si>
    <t>INTERNATIONAL NATURAL RUBBER AGREEMENT</t>
  </si>
  <si>
    <t>104-27</t>
  </si>
  <si>
    <t>06/18/1996 - 104th Congress (1995-1996)</t>
  </si>
  <si>
    <t xml:space="preserve">09/25/1996 - 104th Congress (1995-1996) - Resolution of advice and consent to ratification agreed to in Senate by Division vote. (All Actions) </t>
  </si>
  <si>
    <t>293</t>
  </si>
  <si>
    <t>TREATY WITH THE REPUBLIC OF KOREA ON MUTUAL LEGAL ASSISTANCE IN CRIMINAL MATTERS</t>
  </si>
  <si>
    <t>104-1</t>
  </si>
  <si>
    <t>01/12/1995 - 104th Congress (1995-1996)</t>
  </si>
  <si>
    <t xml:space="preserve">08/02/1996 - 104th Congress (1995-1996) - Resolution of advice and consent to ratification agreed to in Senate by Division vote. (All Actions) </t>
  </si>
  <si>
    <t>294</t>
  </si>
  <si>
    <t>TREATY WITH THE UNITED KINGDOM ON MUTUAL LEGAL ASSISTANCE ON CRIMINAL MATTERS</t>
  </si>
  <si>
    <t>104-2</t>
  </si>
  <si>
    <t>01/23/1995 - 104th Congress (1995-1996)</t>
  </si>
  <si>
    <t>295</t>
  </si>
  <si>
    <t>EXTRADITION TREATY WITH HUNGARY</t>
  </si>
  <si>
    <t>104-5</t>
  </si>
  <si>
    <t>05/08/1995 - 104th Congress (1995-1996)</t>
  </si>
  <si>
    <t>EXTRADITION TREATY WITH BELGIUM</t>
  </si>
  <si>
    <t>104-7</t>
  </si>
  <si>
    <t>06/09/1995 - 104th Congress (1995-1996)</t>
  </si>
  <si>
    <t>297</t>
  </si>
  <si>
    <t>SUPPLEMENTARY EXTRADITION TREATY WITH BELGIUM</t>
  </si>
  <si>
    <t>104-8</t>
  </si>
  <si>
    <t>298</t>
  </si>
  <si>
    <t>EXTRADITION TREATY WITH SWITZERLAND</t>
  </si>
  <si>
    <t>104-9</t>
  </si>
  <si>
    <t>299</t>
  </si>
  <si>
    <t>EXTRADITION TREATY WITH THE PHILIPPINES</t>
  </si>
  <si>
    <t>104-16</t>
  </si>
  <si>
    <t>300</t>
  </si>
  <si>
    <t>TREATY WITH THE PHILIPPINES ON MUTUAL LEGAL ASSISTANCE IN CRIMINAL MATTERS</t>
  </si>
  <si>
    <t>104-18</t>
  </si>
  <si>
    <t>301</t>
  </si>
  <si>
    <t>TREATY WITH HUNGARY ON LEGAL ASSISTANCE IN CRIMINAL MATTERS</t>
  </si>
  <si>
    <t>104-20</t>
  </si>
  <si>
    <t>09/06/1995 - 104th Congress (1995-1996)</t>
  </si>
  <si>
    <t>302</t>
  </si>
  <si>
    <t>TREATY WITH AUSTRIA ON LEGAL ASSISTANCE IN CRIMINAL MATTERS</t>
  </si>
  <si>
    <t>104-21</t>
  </si>
  <si>
    <t>303</t>
  </si>
  <si>
    <t>EXTRADITION TREATY WITH BOLIVIA</t>
  </si>
  <si>
    <t>104-22</t>
  </si>
  <si>
    <t>10/10/1995 - 104th Congress (1995-1996)</t>
  </si>
  <si>
    <t>304</t>
  </si>
  <si>
    <t>EXTRADITION TREATY WITH MALAYSIA</t>
  </si>
  <si>
    <t>104-26</t>
  </si>
  <si>
    <t>05/17/1996 - 104th Congress (1995-1996)</t>
  </si>
  <si>
    <t>305</t>
  </si>
  <si>
    <t>INVESTMENT TREATY WITH MONGOLIA</t>
  </si>
  <si>
    <t>104-10</t>
  </si>
  <si>
    <t>06/26/1995 - 104th Congress (1995-1996)</t>
  </si>
  <si>
    <t xml:space="preserve">06/27/1996 - 104th Congress (1995-1996) - Resolution of advice and consent to ratification agreed to in Senate by Division vote. (All Actions) </t>
  </si>
  <si>
    <t>306</t>
  </si>
  <si>
    <t>INVESTMENT TREATY WITH LATVIA</t>
  </si>
  <si>
    <t>104-12</t>
  </si>
  <si>
    <t>07/10/1995 - 104th Congress (1995-1996)</t>
  </si>
  <si>
    <t>307</t>
  </si>
  <si>
    <t>INVESTMENT TREATY WITH GEORGIA</t>
  </si>
  <si>
    <t>104-13</t>
  </si>
  <si>
    <t>308</t>
  </si>
  <si>
    <t>INVESTMENT TREATY WITH TRINIDAD AND TOBAGO</t>
  </si>
  <si>
    <t>104-14</t>
  </si>
  <si>
    <t>07/11/1995 - 104th Congress (1995-1996)</t>
  </si>
  <si>
    <t>309</t>
  </si>
  <si>
    <t>INVESTMENT TREATY WITH ALBANIA</t>
  </si>
  <si>
    <t>104-19</t>
  </si>
  <si>
    <t>310</t>
  </si>
  <si>
    <t>AGREEMENT FOR THE IMPLEMENTATION OF THE UNITED NATIONS CONVENTION OF THE LAW OF THE SEA OF 10 DECEMBER 1982 RELATING TO FISH STOCKS</t>
  </si>
  <si>
    <t>104-24</t>
  </si>
  <si>
    <t>02/20/1996 - 104th Congress (1995-1996)</t>
  </si>
  <si>
    <t>311</t>
  </si>
  <si>
    <t>INVESTMENT TREATY WITH JAMAICA</t>
  </si>
  <si>
    <t>09/19/1994 - 103rd Congress (1993-1994)</t>
  </si>
  <si>
    <t>312</t>
  </si>
  <si>
    <t>ENCOURAGEMENT RECIPROCAL INVESTMENT TREATY WITH REPUBLIC OF BELARUS</t>
  </si>
  <si>
    <t>09/23/1994 - 103rd Congress (1993-1994)</t>
  </si>
  <si>
    <t>313</t>
  </si>
  <si>
    <t>INVESTMENT TREATY WITH UKRAINE</t>
  </si>
  <si>
    <t>09/26/1994 - 103rd Congress (1993-1994)</t>
  </si>
  <si>
    <t>314</t>
  </si>
  <si>
    <t>INVESTMENT TREATY WITH THE REPUBLIC OF ESTONIA</t>
  </si>
  <si>
    <t>315</t>
  </si>
  <si>
    <t>TREATY WITH THE RUSSIAN FEDERATION ON FURTHER REDUCTION AND LIMITATION OF STRATEGIC OFFENSIVE ARMS (THE START II TREATY)</t>
  </si>
  <si>
    <t>01/15/1993 - 103rd Congress (1993-1994)</t>
  </si>
  <si>
    <t xml:space="preserve">01/26/1996 - 104th Congress (1995-1996) - Resolution of advice and consent to ratification agreed to in Senate by Yea-Nay vote. 87-4. Record Vote No: 6 EX. (All Actions) </t>
  </si>
  <si>
    <t>316</t>
  </si>
  <si>
    <t>A REVISED PROTOCOL AMENDING THE 1980 TAX CONVENTION WITH CANADA.</t>
  </si>
  <si>
    <t>104-4</t>
  </si>
  <si>
    <t>04/24/1995 - 104th Congress (1995-1996)</t>
  </si>
  <si>
    <t xml:space="preserve">08/11/1995 - 104th Congress (1995-1996) - Resolution of advice and consent to ratification agreed to in Senate by Division vote. (All Actions) </t>
  </si>
  <si>
    <t>317</t>
  </si>
  <si>
    <t>EXCHANGE OF NOTES RELATING TO THE TAX CONVENTION WITH UKRAINE</t>
  </si>
  <si>
    <t>104-11</t>
  </si>
  <si>
    <t>06/28/1995 - 104th Congress (1995-1996)</t>
  </si>
  <si>
    <t>318</t>
  </si>
  <si>
    <t>TAX CONVENTION WITH SWEDEN</t>
  </si>
  <si>
    <t>319</t>
  </si>
  <si>
    <t>TAX CONVENTION WITH UKRAINE</t>
  </si>
  <si>
    <t>320</t>
  </si>
  <si>
    <t>Additional Protocol Modifying the Tax Convention with Mexico</t>
  </si>
  <si>
    <t>321</t>
  </si>
  <si>
    <t>TAX CONVENTION WITH THE FRENCH REPUBLIC</t>
  </si>
  <si>
    <t>322</t>
  </si>
  <si>
    <t>TAX CONVENTION WITH THE PORTUGUESE REPUBLIC</t>
  </si>
  <si>
    <t>323</t>
  </si>
  <si>
    <t>TREATY WITH PANAMA ON MUTUAL ASSISTANCE IN CRIMINAL MATTERS</t>
  </si>
  <si>
    <t>10/24/1991 - 102nd Congress (1991-1992)</t>
  </si>
  <si>
    <t xml:space="preserve">05/16/1995 - 104th Congress (1995-1996) - Resolution of advice and consent to ratification agreed to in Senate by Division vote. (All Actions) </t>
  </si>
  <si>
    <t>324</t>
  </si>
  <si>
    <t>EXTRADITION TREATY WITH JORDAN</t>
  </si>
  <si>
    <t>104-3</t>
  </si>
  <si>
    <t xml:space="preserve">05/03/1995 - 104th Congress (1995-1996) - Resolution of advice and consent to ratification agreed to in Senate by Division vote. (All Actions) </t>
  </si>
  <si>
    <t>325</t>
  </si>
  <si>
    <t>CONVENTION ON PROHIBITIONS OR RESTRICTIONS ON THE USE OF CERTAIN CONVENTIONAL WEAPONS</t>
  </si>
  <si>
    <t>05/12/1994 - 103rd Congress (1993-1994)</t>
  </si>
  <si>
    <t xml:space="preserve">03/24/1995 - 104th Congress (1995-1996) - Resolution of advice and consent to ratification agreed to in Senate by Division vote. (All Actions) </t>
  </si>
  <si>
    <t>326</t>
  </si>
  <si>
    <t>CONVENTION ON BIOLOGICAL DIVERSITY</t>
  </si>
  <si>
    <t>11/20/1993 - 103rd Congress (1993-1994)</t>
  </si>
  <si>
    <t xml:space="preserve">12/01/1994 - 103rd Congress (1993-1994) - No further action at sine die adjournment of the 103 Congress; automatically rereferred to the Committee on Foreign Relations under the provisions of Rule XXX, section 2, of the Standing Rules of the Senate. (All Actions) </t>
  </si>
  <si>
    <t>327</t>
  </si>
  <si>
    <t>TWO TREATIES WITH THE UNITED KINGDOM ESTABLISHING CARIBBEAN MARITIME BOUNDARIES</t>
  </si>
  <si>
    <t>03/09/1994 - 103rd Congress (1993-1994)</t>
  </si>
  <si>
    <t xml:space="preserve">10/07/1994 - 103rd Congress (1993-1994) - Resolution of advice and consent to ratification agreed to in Senate by Division vote. (All Actions) </t>
  </si>
  <si>
    <t>328</t>
  </si>
  <si>
    <t>AGREEMENT TO PROMOTE COMPLIANCE WITH INTERNATIONAL CONSERVATION AND MANAGEMENT MEASURES BY FISHING VESSELS ON THE HIGH SEAS</t>
  </si>
  <si>
    <t>04/25/1994 - 103rd Congress (1993-1994)</t>
  </si>
  <si>
    <t>329</t>
  </si>
  <si>
    <t>ILO CONVENTION (NO. 150) CONCERNING LABOR ADMINISTRATION</t>
  </si>
  <si>
    <t>07/26/1994 - 103rd Congress (1993-1994)</t>
  </si>
  <si>
    <t>330</t>
  </si>
  <si>
    <t>CONVENTION ON THE CONSERVATION AND MANAGEMENT OF POLLOCK RESOURCES IN THE CENTRAL BERING SEA</t>
  </si>
  <si>
    <t>08/09/1994 - 103rd Congress (1993-1994)</t>
  </si>
  <si>
    <t>331</t>
  </si>
  <si>
    <t>HEADQUARTERS AGREEMENT WITH THE ORGANIZATION OF AMERICAN STATES</t>
  </si>
  <si>
    <t>09/21/1992 - 102nd Congress (1991-1992)</t>
  </si>
  <si>
    <t>332</t>
  </si>
  <si>
    <t>SECOND PROTOCOL AMENDING THE 1975 TAX CONVENTION WITH ISRAEL</t>
  </si>
  <si>
    <t>10/19/1993 - 103rd Congress (1993-1994)</t>
  </si>
  <si>
    <t xml:space="preserve">09/23/1994 - 103rd Congress (1993-1994) - Resolution of advice and consent to ratification agreed to in Senate by Division vote. (All Actions) </t>
  </si>
  <si>
    <t>333</t>
  </si>
  <si>
    <t>INTERNATIONAL CONVENTION ON THE ELIMINATION OF ALL FORMS OF RACIAL DISCRIMINATION</t>
  </si>
  <si>
    <t>02/23/1978 - 95th Congress (1977-1978)</t>
  </si>
  <si>
    <t xml:space="preserve">06/24/1994 - 103rd Congress (1993-1994) - Resolution of advice and consent to ratification agreed to in Senate by Division Vote. (All Actions) </t>
  </si>
  <si>
    <t>334</t>
  </si>
  <si>
    <t>TWO PROTOCOLS AMENDING THE OAS CHARTER</t>
  </si>
  <si>
    <t>01/26/1994 - 103rd Congress (1993-1994)</t>
  </si>
  <si>
    <t xml:space="preserve">05/17/1994 - 103rd Congress (1993-1994) - Resolution of advice and consent to ratification agreed to in Senate by Division Vote. (All Actions) </t>
  </si>
  <si>
    <t>335</t>
  </si>
  <si>
    <t>1992 Protocol to the 1966 Conservation of Atlantic Tunas Convention</t>
  </si>
  <si>
    <t xml:space="preserve">11/20/1993 - 103rd Congress (1993-1994) - Resolution of advice and consent to ratification agreed to in Senate by Division Vote. (All Actions) </t>
  </si>
  <si>
    <t>336</t>
  </si>
  <si>
    <t>TAX CONVENTION WITH THE NETHERLANDS</t>
  </si>
  <si>
    <t>05/12/1993 - 103rd Congress (1993-1994)</t>
  </si>
  <si>
    <t>TAX CONVENTION WITH MEXICO</t>
  </si>
  <si>
    <t>05/20/1993 - 103rd Congress (1993-1994)</t>
  </si>
  <si>
    <t xml:space="preserve">11/20/1993 - 103rd Congress (1993-1994) - Resolution of advice and consent to ratification agreed to in Senate with an amendment by Division Vote. (All Actions) </t>
  </si>
  <si>
    <t>338</t>
  </si>
  <si>
    <t>CONVENTION ON THE MARKING OF PLASTIC EXPLOSIVES FOR THE PURPOSE OF DETECTION</t>
  </si>
  <si>
    <t>06/29/1993 - 103rd Congress (1993-1994)</t>
  </si>
  <si>
    <t>339</t>
  </si>
  <si>
    <t>AMENDMENT TO THE MONTREAL PROTOCOL ON SUBSTANCES THAT DEPLETE THE OZONE LAYER</t>
  </si>
  <si>
    <t>07/20/1993 - 103rd Congress (1993-1994)</t>
  </si>
  <si>
    <t>340</t>
  </si>
  <si>
    <t>CONVENTION ON THE LIMITATION PERIOD IN THE INTERNATIONAL SALE OF GOODS, WITH PROTOCOL</t>
  </si>
  <si>
    <t>08/06/1993 - 103rd Congress (1993-1994)</t>
  </si>
  <si>
    <t>341</t>
  </si>
  <si>
    <t>TAX CONVENTION WITH THE CZECH REPUBLIC</t>
  </si>
  <si>
    <t>10/21/1993 - 103rd Congress (1993-1994)</t>
  </si>
  <si>
    <t>342</t>
  </si>
  <si>
    <t>TAX CONVENTION WITH THE SLOVAK REPUBLIC</t>
  </si>
  <si>
    <t>343</t>
  </si>
  <si>
    <t>PROTOCOL AMENDING THE TAX CONVENTION WITH THE KINGDOM OF THE NETHERLANDS</t>
  </si>
  <si>
    <t>10/22/1993 - 103rd Congress (1993-1994)</t>
  </si>
  <si>
    <t>344</t>
  </si>
  <si>
    <t>INCOME TAX CONVENTION WITH THE RUSSIAN FEDERATION</t>
  </si>
  <si>
    <t>09/08/1992 - 102nd Congress (1991-1992)</t>
  </si>
  <si>
    <t>345</t>
  </si>
  <si>
    <t>PROTOCOL AMENDING THE 1984 INCOME TAX CONVENTION WITH BARBADOS</t>
  </si>
  <si>
    <t>09/30/1992 - 102nd Congress (1991-1992)</t>
  </si>
  <si>
    <t>346</t>
  </si>
  <si>
    <t>TREATY WITH ARGENTINA CONCERNING THE RECIPROCAL ENCOURAGEMENT AND PROTECTION OF INVESTMENT</t>
  </si>
  <si>
    <t>01/19/1993 - 103rd Congress (1993-1994)</t>
  </si>
  <si>
    <t xml:space="preserve">11/17/1993 - 103rd Congress (1993-1994) - Resolution of advice and consent to ratification agreed to in Senate by Division Vote. (All Actions) </t>
  </si>
  <si>
    <t>347</t>
  </si>
  <si>
    <t>TREATY WITH BULGARIA CONCERNING THE ENCOURAGEMENT AND PRECIPROCAL PROTECTION OF INVESTMENT</t>
  </si>
  <si>
    <t>348</t>
  </si>
  <si>
    <t>INVESTMENT TREATY WITH THE REPUBLIC OF ARMENIA</t>
  </si>
  <si>
    <t>09/07/1993 - 103rd Congress (1993-1994)</t>
  </si>
  <si>
    <t>349</t>
  </si>
  <si>
    <t>INVESTMENT TREATY WITH THE REPUBLIC OF KYRGYZSTAN</t>
  </si>
  <si>
    <t>350</t>
  </si>
  <si>
    <t>INVESTMENT TREATY WITH THE REPUBLIC OF MOLDOVA</t>
  </si>
  <si>
    <t>351</t>
  </si>
  <si>
    <t>INVESTMENT TREATY WITH THE REPUBLIC OF ECUADOR</t>
  </si>
  <si>
    <t>09/10/1993 - 103rd Congress (1993-1994)</t>
  </si>
  <si>
    <t>352</t>
  </si>
  <si>
    <t>TREATY WITH ROMANIA CONCERNING THE RECIPROCAL ENCOURAGEMENT AND PROTECTION OF INVESTMENT</t>
  </si>
  <si>
    <t>08/03/1992 - 102nd Congress (1991-1992)</t>
  </si>
  <si>
    <t>353</t>
  </si>
  <si>
    <t>INVESTMENT TREATY WITH KAZAKHSTAN</t>
  </si>
  <si>
    <t xml:space="preserve">10/21/1993 - 103rd Congress (1993-1994) - Resolution of advice and consent to ratification agreed to in Senate by Division Vote. (All Actions) </t>
  </si>
  <si>
    <t>354</t>
  </si>
  <si>
    <t>TREATY ON OPEN SKIES</t>
  </si>
  <si>
    <t>08/12/1992 - 102nd Congress (1991-1992)</t>
  </si>
  <si>
    <t xml:space="preserve">08/06/1993 - 103rd Congress (1993-1994) - Resolution of advice and consent to ratification agreed to in Senate by Division Vote. (All Actions) </t>
  </si>
  <si>
    <t>355</t>
  </si>
  <si>
    <t>PROTOCOL ON ENVIRONMENTAL PROTECTION TO THE ANTARCTIC TREATY</t>
  </si>
  <si>
    <t>02/14/1992 - 102nd Congress (1991-1992)</t>
  </si>
  <si>
    <t xml:space="preserve">10/07/1992 - 102nd Congress (1991-1992) - Resolution of advice and consent to ratification agreed to in Senate by Division Vote. (All Actions) </t>
  </si>
  <si>
    <t>356</t>
  </si>
  <si>
    <t>UNITED NATIONS FRAMEWORK CONVENTION ON CLIMATE CHANGE</t>
  </si>
  <si>
    <t>357</t>
  </si>
  <si>
    <t>TREATY WITH THE UNION OF SOVIET SOCIALIST REPUBLICS ON THE REDUCTION AND LIMITATION OF STRATEGIC OFFENSIVE ARMS (THE START TREATY)</t>
  </si>
  <si>
    <t>11/25/1991 - 102nd Congress (1991-1992)</t>
  </si>
  <si>
    <t xml:space="preserve">10/01/1992 - 102nd Congress (1991-1992) - Resolution of advice and consent to ratification agreed to in Senate with amendments by Yea-Nay Vote. 93 - 6. Record Vote Number: 253. (All Actions) </t>
  </si>
  <si>
    <t>358</t>
  </si>
  <si>
    <t>PROTOCOL TO THE TREATY WITH THE UNION OF SOVIET SOCIALIST REPUBLICS ON THE REDUCTION AND LIMITATION OF STRATEGIC OFFENSIVE ARMS</t>
  </si>
  <si>
    <t>06/19/1992 - 102nd Congress (1991-1992)</t>
  </si>
  <si>
    <t>359</t>
  </si>
  <si>
    <t>TREATY WITH THE PEOPLE'S REPUBLIC OF THE CONGO CONCERNING THE RECIPROCAL ENCOURAGEMENT AND PROTECTION OF INVESTMENT</t>
  </si>
  <si>
    <t>03/19/1991 - 102nd Congress (1991-1992)</t>
  </si>
  <si>
    <t xml:space="preserve">08/11/1992 - 102nd Congress (1991-1992) - Resolution of advice and consent to ratification agreed to in Senate by Division Vote. (All Actions) </t>
  </si>
  <si>
    <t>360</t>
  </si>
  <si>
    <t>BASEL CONVENTION ON THE CONTROL OF TRANSBOUNDARY MOVEMENTS OF HAZARDOUS WASTES AND THEIR DISPOSAL</t>
  </si>
  <si>
    <t>05/17/1991 - 102nd Congress (1991-1992)</t>
  </si>
  <si>
    <t xml:space="preserve">08/11/1992 - 102nd Congress (1991-1992) - Resolution of advice and consent to ratification agreed to in Senate with understandings by Division Vote. (All Actions) </t>
  </si>
  <si>
    <t>361</t>
  </si>
  <si>
    <t>TREATY WITH TUNISIA CONCERNING THE RECIPROCAL ENCOURAGEMENT AND PROTECTION OF INVESTMENT</t>
  </si>
  <si>
    <t>362</t>
  </si>
  <si>
    <t>TREATY WITH SRI LANKA CONCERNING THE ENCOURAGEMENT AND RECIPROCAL PROTECTION OF INVESTMENT</t>
  </si>
  <si>
    <t>03/24/1992 - 102nd Congress (1991-1992)</t>
  </si>
  <si>
    <t>363</t>
  </si>
  <si>
    <t>CONVENTION FOR THE CONSERVATION OF ANADROMOUS STOCKS IN THE NORTH PACIFIC OCEAN</t>
  </si>
  <si>
    <t>05/19/1992 - 102nd Congress (1991-1992)</t>
  </si>
  <si>
    <t>364</t>
  </si>
  <si>
    <t>TREATY WITH THE CZECH AND SLOVAK FEDERAL REPUBLIC CONCERNING THE RECIPROCAL ENCOURAGEMENT AND PROTECTION OF INVESTMENT</t>
  </si>
  <si>
    <t>06/02/1992 - 102nd Congress (1991-1992)</t>
  </si>
  <si>
    <t>365</t>
  </si>
  <si>
    <t>TREATY WITH THE RUSSIAN FEDERATION CONCERNING THE ENCOURAGEMENT AND RECIPROCAL PROTECTION OF INVESTMENT</t>
  </si>
  <si>
    <t>07/28/1992 - 102nd Congress (1991-1992)</t>
  </si>
  <si>
    <t>366</t>
  </si>
  <si>
    <t>PROTOCOL TO THE TREATY OF FRIENDSHIP, COMMERCE AND CONSULAR RIGHTS WITH THE REPUBLIC OF FINLAND</t>
  </si>
  <si>
    <t>07/30/1992 - 102nd Congress (1991-1992)</t>
  </si>
  <si>
    <t>367</t>
  </si>
  <si>
    <t>PROTOCOL TO THE TREATY OF FRIENDSHIP, COMMERCE AMD NAVIGATION WITH IRELAND</t>
  </si>
  <si>
    <t>368</t>
  </si>
  <si>
    <t>1983 PARTIAL REVISION OF THE RADIO REGULATIONS (GENEVA, 1979) AND A FINAL PROTOCOL</t>
  </si>
  <si>
    <t>01/04/1985 - 99th Congress (1985-1986)</t>
  </si>
  <si>
    <t xml:space="preserve">08/06/1992 - 102nd Congress (1991-1992) - Resolution of advice and consent to ratification agreed to in Senate by Division Vote. (All Actions) </t>
  </si>
  <si>
    <t>369</t>
  </si>
  <si>
    <t>AGREEMENT FOR THE MEDIUM FREQUENCY BROADCASTING SERVICE IN REGION 2</t>
  </si>
  <si>
    <t>06/26/1987 - 100th Congress (1987-1988)</t>
  </si>
  <si>
    <t>370</t>
  </si>
  <si>
    <t>REGIONAL AGREEMENT ON BROADCASTING SERVICE EXPANSION IN THE WESTERN HEMISPHERE</t>
  </si>
  <si>
    <t>07/30/1991 - 102nd Congress (1991-1992)</t>
  </si>
  <si>
    <t>371</t>
  </si>
  <si>
    <t>INTERNATIONAL TELECOMMUNICATION REGULATIONS (MELBOURNE, 1988)</t>
  </si>
  <si>
    <t>09/11/1991 - 102nd Congress (1991-1992)</t>
  </si>
  <si>
    <t>372</t>
  </si>
  <si>
    <t>PARTIAL REVISION (1988), RADIO REGULATIONS, RELATING TO SPACE RADIOCOMMUNICATIONS SERVICES</t>
  </si>
  <si>
    <t>04/02/1992 - 102nd Congress (1991-1992)</t>
  </si>
  <si>
    <t>373</t>
  </si>
  <si>
    <t>PARTIAL REVISION (1985), RADIO REGULATIONS, RELATING TO BROADCASTING-SATELLITE SERVICE IN REGION 2</t>
  </si>
  <si>
    <t>374</t>
  </si>
  <si>
    <t>PARTIAL REVISION OF THE RADIO REGULATIONS (GENEVA, 1979) RELATING TO MOBILE SERVICES</t>
  </si>
  <si>
    <t>05/12/1992 - 102nd Congress (1991-1992)</t>
  </si>
  <si>
    <t>375</t>
  </si>
  <si>
    <t>TREATY ON MUTUAL LEGAL ASSISTANCE IN CRIMINAL MATTERS</t>
  </si>
  <si>
    <t>10/25/1991 - 102nd Congress (1991-1992)</t>
  </si>
  <si>
    <t xml:space="preserve">07/02/1992 - 102nd Congress (1991-1992) - Resolution of advice and consent to ratification agreed to in Senate by Division Vote. (All Actions) </t>
  </si>
  <si>
    <t>376</t>
  </si>
  <si>
    <t>TREATY WITH ARGENTINA ON MUTUAL LEGAL ASSISTANCE IN CRIMINAL MATTERS</t>
  </si>
  <si>
    <t>10/31/1991 - 102nd Congress (1991-1992)</t>
  </si>
  <si>
    <t>377</t>
  </si>
  <si>
    <t>TREATY WITH URUGUAY ON MUTUAL LEGAL ASSISTANCE IN CRIMINAL MATTERS</t>
  </si>
  <si>
    <t>11/13/1991 - 102nd Congress (1991-1992)</t>
  </si>
  <si>
    <t>378</t>
  </si>
  <si>
    <t>TREATY WITH SPAIN ON MUTUAL LEGAL ASSISTANCE IN CRIMINAL MATTERS</t>
  </si>
  <si>
    <t>01/22/1992 - 102nd Congress (1991-1992)</t>
  </si>
  <si>
    <t>379</t>
  </si>
  <si>
    <t>SUPPLEMENTARY EXTRADITION TREATY WITH THE FEDERAL REPUBLIC OF GERMANY</t>
  </si>
  <si>
    <t>06/25/1987 - 100th Congress (1987-1988)</t>
  </si>
  <si>
    <t xml:space="preserve">05/13/1992 - 102nd Congress (1991-1992) - Resolution of advice and consent to ratification agreed to in Senate by Division Vote. (All Actions) </t>
  </si>
  <si>
    <t>380</t>
  </si>
  <si>
    <t>CONSULAR CONVENTION WITH THE REPUBLIC OF TUNISIA</t>
  </si>
  <si>
    <t>02/23/1990 - 101st Congress (1989-1990)</t>
  </si>
  <si>
    <t>381</t>
  </si>
  <si>
    <t>CONSULAR CONVENTION WITH THE DEMOCRATIC AND POPULAR REPUBLIC OF ALGERIA</t>
  </si>
  <si>
    <t>02/27/1990 - 101st Congress (1989-1990)</t>
  </si>
  <si>
    <t>382</t>
  </si>
  <si>
    <t>CONSULAR CONVENTION WITH THE MONGOLIAN PEOPLE'S REPUBLIC</t>
  </si>
  <si>
    <t>09/13/1991 - 102nd Congress (1991-1992)</t>
  </si>
  <si>
    <t>EXTRADITION TREATY WITH THE BAHAMAS</t>
  </si>
  <si>
    <t>10/28/1991 - 102nd Congress (1991-1992)</t>
  </si>
  <si>
    <t>384</t>
  </si>
  <si>
    <t>PROTOCOL AMENDING THE 1974 EXTRADITION TREATY WITH AUSTRALIA</t>
  </si>
  <si>
    <t>02/19/1992 - 102nd Congress (1991-1992)</t>
  </si>
  <si>
    <t>SECOND SUPPLEMENTARY EXTRADITION TREATY WITH SPAIN</t>
  </si>
  <si>
    <t>03/03/1992 - 102nd Congress (1991-1992)</t>
  </si>
  <si>
    <t>386</t>
  </si>
  <si>
    <t>INTERNATIONAL COVENANT ON CIVIL AND POLITICAL RIGHTS</t>
  </si>
  <si>
    <t xml:space="preserve">04/02/1992 - 102nd Congress (1991-1992) - Resolution of advice and consent to ratification agreed to in Senate by Division Vote. (All Actions) </t>
  </si>
  <si>
    <t>387</t>
  </si>
  <si>
    <t>05/14/1991 - 102nd Congress (1991-1992)</t>
  </si>
  <si>
    <t xml:space="preserve">11/26/1991 - 102nd Congress (1991-1992) - Resolution of advice and consent to ratification agreed to in Senate by Division vote. (All Actions) </t>
  </si>
  <si>
    <t>388</t>
  </si>
  <si>
    <t>CONVENTION FOR THE PROHIBITION OF FISHING WITH LONG DRIFTNETS IN THE SOUTH PACIFIC</t>
  </si>
  <si>
    <t>05/21/1991 - 102nd Congress (1991-1992)</t>
  </si>
  <si>
    <t>389</t>
  </si>
  <si>
    <t>TREATY ON CONVENTIONAL ARMED FORCES IN EUROPE (CFE)</t>
  </si>
  <si>
    <t>07/09/1991 - 102nd Congress (1991-1992)</t>
  </si>
  <si>
    <t xml:space="preserve">11/25/1991 - 102nd Congress (1991-1992) - Resolution of advice and consent to ratification agreed to in Senate by Yea-Nay vote. 90-4. Record Vote No: 273. (All Actions) </t>
  </si>
  <si>
    <t>390</t>
  </si>
  <si>
    <t>CONVENTION FOR A NORTH PACIFIC MARINE SCIENCE ORGANIZATION (PICES)</t>
  </si>
  <si>
    <t xml:space="preserve">10/29/1991 - 102nd Congress (1991-1992) - Resolution of advice and consent to ratification agreed to in Senate by Division Vote. (All Actions) </t>
  </si>
  <si>
    <t>391</t>
  </si>
  <si>
    <t>INTERNATIONAL CONVENTION ON OIL POLLUTION PREPAREDNESS, RESPONSE AND CO-OPERATION, 1990</t>
  </si>
  <si>
    <t>08/01/1991 - 102nd Congress (1991-1992)</t>
  </si>
  <si>
    <t>392</t>
  </si>
  <si>
    <t>INTERNATIONAL CONVENTION ON SALVAGE, 1989</t>
  </si>
  <si>
    <t>393</t>
  </si>
  <si>
    <t>AGREEMENT WITH THE UNION OF SOVIET SOCIALIST REPUBLICS ON THE MARITIME BOUNDARY</t>
  </si>
  <si>
    <t>09/26/1990 - 101st Congress (1989-1990)</t>
  </si>
  <si>
    <t xml:space="preserve">09/16/1991 - 102nd Congress (1991-1992) - Resolution of advice and consent to ratification agreed to in Senate by Yea-Nay Vote. 86 - 6. Record Vote Number: 192. (All Actions) </t>
  </si>
  <si>
    <t>394</t>
  </si>
  <si>
    <t>PROTOCOL RELATING TO AN AMENDMENT TO ARTICLE 56 OF THE CONVENTION ON INTERNATIONAL CIVIL AVIATION</t>
  </si>
  <si>
    <t>02/28/1990 - 101st Congress (1989-1990)</t>
  </si>
  <si>
    <t xml:space="preserve">08/02/1991 - 102nd Congress (1991-1992) - Passed Senate without amendment by Division. (All Actions) </t>
  </si>
  <si>
    <t>395</t>
  </si>
  <si>
    <t>AMENDMENTS TO THE 1928 CONVENTION CONCERNING INTERNATIONAL EXPOSITIONS, AS AMENDED</t>
  </si>
  <si>
    <t>03/20/1990 - 101st Congress (1989-1990)</t>
  </si>
  <si>
    <t>396</t>
  </si>
  <si>
    <t>PROTOCOL AMENDING THE EXTRADITION TREATY WITH CANADA</t>
  </si>
  <si>
    <t>04/24/1990 - 101st Congress (1989-1990)</t>
  </si>
  <si>
    <t>397</t>
  </si>
  <si>
    <t>CONVENTION PROVIDING A UNIFORM LAW ON THE FORM OF AN INTERNATIONAL WILL</t>
  </si>
  <si>
    <t>07/02/1986 - 99th Congress (1985-1986)</t>
  </si>
  <si>
    <t>398</t>
  </si>
  <si>
    <t>AMENDMENTS TO ANNEX II REGULATIONS OF THE 1966 INTERNATIONAL CONVENTION ON LOAD LINES</t>
  </si>
  <si>
    <t>01/26/1988 - 100th Congress (1987-1988)</t>
  </si>
  <si>
    <t xml:space="preserve">06/12/1991 - 102nd Congress (1991-1992) - Treaty returned to the President. (All Actions) </t>
  </si>
  <si>
    <t>399</t>
  </si>
  <si>
    <t>1979 AMENDMENT TO A REGULATION OF ANNEX II OF THE INTERNATIONAL CONVENTION ON LOAD LINES, 1966</t>
  </si>
  <si>
    <t>07/27/1981 - 97th Congress (1981-1982)</t>
  </si>
  <si>
    <t>400</t>
  </si>
  <si>
    <t>CONVENTION FOR THE PROTECTION OF THE NATURAL RESOURCES AND ENVIRONMENT OF THE SOUTH PACIFIC REGION, WITH ANNEX, AND A PROTOCOL</t>
  </si>
  <si>
    <t>09/25/1990 - 101st Congress (1989-1990)</t>
  </si>
  <si>
    <t xml:space="preserve">05/24/1991 - 102nd Congress (1991-1992) - Resolution of advice and consent to ratification agreed to in Senate with amendments by Division Vote. (All Actions) </t>
  </si>
  <si>
    <t>401</t>
  </si>
  <si>
    <t>1988 PROTOCOLS RELATING TO THE SAFETY OF LIFE AT SEA AND LOAD LINE CONVENTIONS</t>
  </si>
  <si>
    <t xml:space="preserve">05/14/1991 - 102nd Congress (1991-1992) - Resolution of advice and consent to ratification agreed to in Senate by Yea-Nay Vote. 97 - 0. Record Vote Number: 58. (All Actions) </t>
  </si>
  <si>
    <t>402</t>
  </si>
  <si>
    <t>ANNEX III TO THE 1973 CONVENTION FOR THE PREVENTION OF POLLUTION FROM SHIPS</t>
  </si>
  <si>
    <t>11/09/1989 - 101st Congress (1989-1990)</t>
  </si>
  <si>
    <t xml:space="preserve">05/14/1991 - 102nd Congress (1991-1992) - Resolution of advice and consent to ratification agreed to in Senate by Yea-Nay Vote. 97 - 0. Record Vote Number: 57. (All Actions) </t>
  </si>
  <si>
    <t>403</t>
  </si>
  <si>
    <t>Convention Concerning the Abolition of Forced Labor</t>
  </si>
  <si>
    <t>07/22/1963 - 88th Congress (1963-1964)</t>
  </si>
  <si>
    <t xml:space="preserve">05/14/1991 - 102nd Congress (1991-1992) - Resolution of advice and consent to ratification agreed to in Senate with amendments by Yea-Nay Vote. 97 - 0. Record Vote Number: 59. (All Actions) </t>
  </si>
  <si>
    <t>INTERNATIONAL CONVENTION ON STANDARDS OF TRAINING, CERTIFICATION AND WATCHKEEPING FOR SEAFARERS, 1978</t>
  </si>
  <si>
    <t>09/05/1979 - 96th Congress (1979-1980)</t>
  </si>
  <si>
    <t xml:space="preserve">05/14/1991 - 102nd Congress (1991-1992) - Resolution of advice and consent to ratification agreed to in Senate by Yea-Nay Vote. 97 - 0. Record Vote Number: 56. (All Actions) </t>
  </si>
  <si>
    <t>405</t>
  </si>
  <si>
    <t>INVESTMENT TREATY WITH PANAMA</t>
  </si>
  <si>
    <t xml:space="preserve">10/28/1990 - 101st Congress (1989-1990) - Resolution of advice and consent to ratification agreed to in Senate by Division Vote. (All Actions) </t>
  </si>
  <si>
    <t>406</t>
  </si>
  <si>
    <t>TREATY WITH POLAND CONCERNING BUSINESS AND ECONOMIC RELATIONS</t>
  </si>
  <si>
    <t>06/19/1990 - 101st Congress (1989-1990)</t>
  </si>
  <si>
    <t>407</t>
  </si>
  <si>
    <t>CONVENTION AGAINST TORTURE AND OTHER CRUEL, INHUMAN OR DEGRADING TREATMENT OR PUNISHMENT</t>
  </si>
  <si>
    <t>05/20/1988 - 100th Congress (1987-1988)</t>
  </si>
  <si>
    <t xml:space="preserve">10/27/1990 - 101st Congress (1989-1990) - Resolution of advice and consent to ratification agreed to in Senate with amendments by Division Vote. (All Actions) </t>
  </si>
  <si>
    <t>408</t>
  </si>
  <si>
    <t>TREATY ON THE FINAL SETTLEMENT WITH RESPECT TO GERMANY</t>
  </si>
  <si>
    <t xml:space="preserve">10/10/1990 - 101st Congress (1989-1990) - Resolution of advice and consent to ratification agreed to in Senate by Yea-Nay Vote. 98 - 0. Record Vote Number: 263. (All Actions) </t>
  </si>
  <si>
    <t>409</t>
  </si>
  <si>
    <t>PROTOCOLS TO THE THRESHOLD TEST BAN AND PEACEFUL NUCLEAR EXPLOSION TREATIES WITH THE UNION OF SOVIET SOCIALIST REPUBLICS</t>
  </si>
  <si>
    <t>06/28/1990 - 101st Congress (1989-1990)</t>
  </si>
  <si>
    <t xml:space="preserve">09/25/1990 - 101st Congress (1989-1990) - Resolution agreed to in Senate , this Protocol is included in Treaty Doc. Ex. N(A), 94-2 and Ex. N(B), 94-2 and recorded on roll calls No. 249 and 250. Without amendment by Yea-Nay. 98-0. Record Vote No: 249/250. (All Actions) </t>
  </si>
  <si>
    <t>410</t>
  </si>
  <si>
    <t>TREATY WITH THE UNION OF SOVIET SOCIALIST REPUBLICS ON THE LIMITATION OF UNDERGROUND NUCLEAR WEAPON TESTS</t>
  </si>
  <si>
    <t>07/29/1976 - 94th Congress (1975-1976)</t>
  </si>
  <si>
    <t xml:space="preserve">09/25/1990 - 101st Congress (1989-1990) - Resolution of advice and consent to ratification agreed to in Senate by Yea-Nay Vote. 98 - 0. Record Vote Number: 249. (All Actions) </t>
  </si>
  <si>
    <t>411</t>
  </si>
  <si>
    <t>TREATY WITH THE UNION OF SOVIET SOCIALIST REPUBLICS ON UNDERGROUND NUCLEAR EXPLOSIONS FOR PEACEFUL PURPOSES</t>
  </si>
  <si>
    <t xml:space="preserve">09/25/1990 - 101st Congress (1989-1990) - Resolution of advice and consent to ratification agreed to in Senate by Yea-Nay Vote. 98 - 0. Record Vote Number: 250. (All Actions) </t>
  </si>
  <si>
    <t>412</t>
  </si>
  <si>
    <t>TAX CONVENTION WITH THE REPUBLIC OF INDIA</t>
  </si>
  <si>
    <t>10/31/1989 - 101st Congress (1989-1990)</t>
  </si>
  <si>
    <t xml:space="preserve">09/18/1990 - 101st Congress (1989-1990) - Resolution of advice and consent to ratification agreed to in Senate by Yea-Nay Vote. 99 - 0. Record Vote Number: 238. (All Actions) </t>
  </si>
  <si>
    <t>413</t>
  </si>
  <si>
    <t>COUNCIL OF EUROPE-OECD CONVENTION ON MUTUAL ADMINISTRATIVE ASSISTANCE IN TAX MATTERS</t>
  </si>
  <si>
    <t>11/08/1989 - 101st Congress (1989-1990)</t>
  </si>
  <si>
    <t xml:space="preserve">09/18/1990 - 101st Congress (1989-1990) - Resolution of advice and consent to ratification agreed to in Senate by Yea-Nay Vote. 99 - 0. Record Vote Number: 239. (All Actions) </t>
  </si>
  <si>
    <t>414</t>
  </si>
  <si>
    <t>SUPPLEMENTARY PROTOCOL TO THE TAX CONVENTION WITH THE TUNISIAN REPUBLIC</t>
  </si>
  <si>
    <t xml:space="preserve">09/18/1990 - 101st Congress (1989-1990) - Resolution of advice and consent to ratification agreed to in Senate by Yea-Nay Vote. 99 - 0. Record Vote Number: 236. (All Actions) </t>
  </si>
  <si>
    <t>415</t>
  </si>
  <si>
    <t>TAX CONVENTION WITH THE FEDERAL REPUBLIC OF GERMANY</t>
  </si>
  <si>
    <t>02/05/1990 - 101st Congress (1989-1990)</t>
  </si>
  <si>
    <t xml:space="preserve">09/18/1990 - 101st Congress (1989-1990) - Resolution of advice and consent to ratification agreed to in Senate by Yea-Nay Vote. 99 - 0. Record Vote Number: 240. (All Actions) </t>
  </si>
  <si>
    <t>416</t>
  </si>
  <si>
    <t>TAX CONVENTION WITH THE REPUBLIC OF FINLAND</t>
  </si>
  <si>
    <t xml:space="preserve">09/18/1990 - 101st Congress (1989-1990) - Resolution of advice and consent to ratification agreed to in Senate by Yea-Nay Vote. 99 - 0. Record Vote Number: 241. (All Actions) </t>
  </si>
  <si>
    <t>417</t>
  </si>
  <si>
    <t>TAX CONVENTION WITH TUNISIA</t>
  </si>
  <si>
    <t>03/13/1986 - 99th Congress (1985-1986)</t>
  </si>
  <si>
    <t>418</t>
  </si>
  <si>
    <t>INCOME TAX CONVENTION WITH SPAIN, WITH PROTOCOL</t>
  </si>
  <si>
    <t>04/18/1990 - 101st Congress (1989-1990)</t>
  </si>
  <si>
    <t xml:space="preserve">09/18/1990 - 101st Congress (1989-1990) - Resolution of advice and consent to ratification agreed to in Senate by Yea-Nay Vote. 99 - 0. Record Vote Number: 242. (All Actions) </t>
  </si>
  <si>
    <t>419</t>
  </si>
  <si>
    <t>TAX CONVENTION WITH THE REPUBLIC OF INDONESIA</t>
  </si>
  <si>
    <t>08/05/1988 - 100th Congress (1987-1988)</t>
  </si>
  <si>
    <t xml:space="preserve">09/18/1990 - 101st Congress (1989-1990) - Resolution of advice and consent to ratification agreed to in Senate by Yea-Nay Vote. 99 - 0. Record Vote Number: 237. (All Actions) </t>
  </si>
  <si>
    <t>420</t>
  </si>
  <si>
    <t>ILO CONVENTION (No. 160) CONCERNING LABOR STATISTICS</t>
  </si>
  <si>
    <t>01/03/1989 - 101st Congress (1989-1990)</t>
  </si>
  <si>
    <t xml:space="preserve">02/20/1990 - 101st Congress (1989-1990) - Resolution of advice and consent to ratification agreed to in Senate by Yea-Nay Vote. 94 - 0. Record Vote Number: 14. (All Actions) </t>
  </si>
  <si>
    <t>421</t>
  </si>
  <si>
    <t>CONVENTION FOR THE SUPPRESSION OF UNLAWFUL ACTS AGAINST THE SAFETY OF MARITIME NAVIGATION, WITH RELATED PROTOCOL</t>
  </si>
  <si>
    <t xml:space="preserve">11/22/1989 - 101st Congress (1989-1990) - Resolution of advice and consent to ratification agreed to in Senate by Division Vote. (All Actions) </t>
  </si>
  <si>
    <t>422</t>
  </si>
  <si>
    <t>UNITED NATIONS CONVENTION AGAINST ILLICIT TRAFFIC IN NARCOTIC DRUGS AND PSYCHOTROPIC SUBSTANCES</t>
  </si>
  <si>
    <t>06/19/1989 - 101st Congress (1989-1990)</t>
  </si>
  <si>
    <t xml:space="preserve">11/22/1989 - 101st Congress (1989-1990) - Resolution of advice and consent to ratification agreed to in Senate with understandings by Division Vote. (All Actions) </t>
  </si>
  <si>
    <t>423</t>
  </si>
  <si>
    <t>PROTOCOL FOR THE SUPPRESSION OF UNLAWFUL ACTS OF VIOLENCE AT AIRPORTS SERVING INTERNATIONAL CIVIL AVIATION</t>
  </si>
  <si>
    <t>424</t>
  </si>
  <si>
    <t>TREATY WITH THE UNITED KINGDOM CONCERNING THE CAYMAN ISLANDS RELATING TO MUTUAL LEGAL ASSISTANCE IN CRIMINAL MATTERS</t>
  </si>
  <si>
    <t>08/04/1987 - 100th Congress (1987-1988)</t>
  </si>
  <si>
    <t xml:space="preserve">10/24/1989 - 101st Congress (1989-1990) - Resolution of advice and consent to ratification agreed to in Senate by Yea-Nay Vote. 99 - 0. Record Vote Number: 265. (All Actions) </t>
  </si>
  <si>
    <t>425</t>
  </si>
  <si>
    <t>MUTUAL LEGAL ASSISTANCE COOPERATION TREATY WITH MEXICO</t>
  </si>
  <si>
    <t>02/11/1988 - 100th Congress (1987-1988)</t>
  </si>
  <si>
    <t xml:space="preserve">10/24/1989 - 101st Congress (1989-1990) - Resolution of advice and consent to ratification agreed to in Senate by Yea-Nay Vote. 99 - 0. Record Vote Number: 266. (All Actions) </t>
  </si>
  <si>
    <t>426</t>
  </si>
  <si>
    <t>TREATY WITH CANADA ON MUTUAL LEGAL ASSISTANCE IN CRIMINAL MATTERS</t>
  </si>
  <si>
    <t>02/22/1988 - 100th Congress (1987-1988)</t>
  </si>
  <si>
    <t xml:space="preserve">10/24/1989 - 101st Congress (1989-1990) - Resolution of advice and consent to ratification agreed to in Senate with amendments by Yea-Nay Vote. 99 - 0. Record Vote Number: 267. (All Actions) </t>
  </si>
  <si>
    <t>427</t>
  </si>
  <si>
    <t>TREATY WITH BELGIUM ON MUTUAL LEGAL ASSISTANCE IN CRIMINAL MATTERS</t>
  </si>
  <si>
    <t>03/29/1988 - 100th Congress (1987-1988)</t>
  </si>
  <si>
    <t xml:space="preserve">10/24/1989 - 101st Congress (1989-1990) - Resolution of advice and consent to ratification agreed to in Senate with amendments by Yea-Nay Vote. 99 - 0. Record Vote Number: 268. (All Actions) </t>
  </si>
  <si>
    <t>428</t>
  </si>
  <si>
    <t>TREATY WITH THE BAHAMAS ON MUTUAL ASSISTANCE IN CRIMINAL MATTERS</t>
  </si>
  <si>
    <t>04/13/1988 - 100th Congress (1987-1988)</t>
  </si>
  <si>
    <t xml:space="preserve">10/24/1989 - 101st Congress (1989-1990) - Resolution of advice and consent to ratification agreed to in Senate with amendments by Yea-Nay Vote. 99 - 0. Record Vote Number: 269. (All Actions) </t>
  </si>
  <si>
    <t>429</t>
  </si>
  <si>
    <t>TREATY WITH THAILAND ON MUTUAL ASSISTANCE IN CRIMINAL MATTERS</t>
  </si>
  <si>
    <t>04/22/1988 - 100th Congress (1987-1988)</t>
  </si>
  <si>
    <t xml:space="preserve">10/24/1989 - 101st Congress (1989-1990) - Resolution of advice and consent to ratification agreed to in Senate with amendments by Yea-Nay Vote. 99 - 0. Record Vote Number: 270. (All Actions) </t>
  </si>
  <si>
    <t>430</t>
  </si>
  <si>
    <t>SUPPLEMENTARY PROTOCOL TO THE 1970 TAX CONVENTION WITH BELGIUM</t>
  </si>
  <si>
    <t>02/29/1988 - 100th Congress (1987-1988)</t>
  </si>
  <si>
    <t xml:space="preserve">10/22/1988 - 100th Congress (1987-1988) - Resolution of advice and consent to ratification agreed to in Senate by Division Vote. (All Actions) </t>
  </si>
  <si>
    <t>431</t>
  </si>
  <si>
    <t>TAX CONVENTION WITH THE UNITED KINGDOM (ON BEHALF OF BERMUDA)</t>
  </si>
  <si>
    <t>09/09/1986 - 99th Congress (1985-1986)</t>
  </si>
  <si>
    <t>432</t>
  </si>
  <si>
    <t>PROTOCOL TO THE 1967 TAX CONVENTION WITH FRANCE</t>
  </si>
  <si>
    <t>08/01/1988 - 100th Congress (1987-1988)</t>
  </si>
  <si>
    <t xml:space="preserve">10/21/1988 - 100th Congress (1987-1988) - Resolution of advice and consent to ratification agreed to in Senate by Division Vote. (All Actions) </t>
  </si>
  <si>
    <t>433</t>
  </si>
  <si>
    <t>INVESTMENT TREATY WITH SENEGAL</t>
  </si>
  <si>
    <t xml:space="preserve">10/20/1988 - 100th Congress (1987-1988) - Resolution of advice and consent to ratification agreed to in Senate by Division Vote. (All Actions) </t>
  </si>
  <si>
    <t>434</t>
  </si>
  <si>
    <t>INVESTMENT TREATY WITH ZAIRE</t>
  </si>
  <si>
    <t>435</t>
  </si>
  <si>
    <t>INVESTMENT TREATY WITH MOROCCO</t>
  </si>
  <si>
    <t>436</t>
  </si>
  <si>
    <t>INVESTMENT TREATY WITH TURKEY</t>
  </si>
  <si>
    <t>437</t>
  </si>
  <si>
    <t>INVESTMENT TREATY WITH CAMEROON</t>
  </si>
  <si>
    <t>05/28/1986 - 99th Congress (1985-1986)</t>
  </si>
  <si>
    <t>438</t>
  </si>
  <si>
    <t>INVESTMENT TREATY WITH BANGLADESH</t>
  </si>
  <si>
    <t>05/30/1986 - 99th Congress (1985-1986)</t>
  </si>
  <si>
    <t>439</t>
  </si>
  <si>
    <t>INVESTMENT TREATY WITH EGYPT</t>
  </si>
  <si>
    <t>06/02/1986 - 99th Congress (1985-1986)</t>
  </si>
  <si>
    <t>440</t>
  </si>
  <si>
    <t>INVESTMENT TREATY WITH GRENADA</t>
  </si>
  <si>
    <t>06/03/1986 - 99th Congress (1985-1986)</t>
  </si>
  <si>
    <t>441</t>
  </si>
  <si>
    <t>BERNE CONVENTION FOR THE PROTECTION OF LITERARY AND ARTISTIC WORKS</t>
  </si>
  <si>
    <t>06/18/1986 - 99th Congress (1985-1986)</t>
  </si>
  <si>
    <t>442</t>
  </si>
  <si>
    <t>CONVENTION ON EARLY NOTIFICATION OF A NUCLEAR ACCIDENT</t>
  </si>
  <si>
    <t>03/23/1987 - 100th Congress (1987-1988)</t>
  </si>
  <si>
    <t xml:space="preserve">09/07/1988 - 100th Congress (1987-1988) - Resolution of advice and consent to ratification agreed to in Senate by Yea-Nay Vote. 97 - 0. Record Vote Number: 311. (All Actions) </t>
  </si>
  <si>
    <t>443</t>
  </si>
  <si>
    <t>CONVENTION ON ASSISTANCE IN THE CASE OF A NUCLEAR ACCIDENT OR RADIOLOGICAL EMERGENCY</t>
  </si>
  <si>
    <t>444</t>
  </si>
  <si>
    <t>AMENDMENT TO THE STATUTE OF THE INTERNATIONAL ATOMIC ENERGY AGENCY</t>
  </si>
  <si>
    <t>06/26/1985 - 99th Congress (1985-1986)</t>
  </si>
  <si>
    <t xml:space="preserve">09/07/1988 - 100th Congress (1987-1988) - Resolution of advice and consent to ratification agreed to in Senate by Yea-Nay Vote. 97 - 0. Record Vote Number: 312. (All Actions) </t>
  </si>
  <si>
    <t>445</t>
  </si>
  <si>
    <t>INTERNATIONAL NATURAL RUBBER AGREEMENT, 1987</t>
  </si>
  <si>
    <t>10/20/1987 - 100th Congress (1987-1988)</t>
  </si>
  <si>
    <t xml:space="preserve">09/07/1988 - 100th Congress (1987-1988) - Resolution of advice and consent to ratification agreed to in Senate by Yea-Nay Vote. 97 - 0. Record Vote Number: 313. (All Actions) </t>
  </si>
  <si>
    <t>446</t>
  </si>
  <si>
    <t>TREATY BETWEEN THE UNITED STATES OF AMERICA AND THE UNION OF SOVIET SOCIALIST REPUBLICS ON THE ELIMINATION OF THEIR INTERMEDIATE-RANGE AND SHORTER-RANGE MISSILES</t>
  </si>
  <si>
    <t>01/25/1988 - 100th Congress (1987-1988)</t>
  </si>
  <si>
    <t xml:space="preserve">05/27/1988 - 100th Congress (1987-1988) - Resolution of advice and consent to ratification agreed to in Senate with amendments by Yea-Nay Vote. 93 - 5. Record Vote Number: 166. (All Actions) </t>
  </si>
  <si>
    <t>447</t>
  </si>
  <si>
    <t>MONTREAL PROTOCOL ON SUBSTANCES THAT DEPLETE THE OZONE LAYER</t>
  </si>
  <si>
    <t>12/21/1987 - 100th Congress (1987-1988)</t>
  </si>
  <si>
    <t xml:space="preserve">03/14/1988 - 100th Congress (1987-1988) - Resolution of advice and consent to ratification agreed to in Senate by Yea-Nay Vote. 83 - 0. Record Vote Number: 47. (All Actions) </t>
  </si>
  <si>
    <t>448</t>
  </si>
  <si>
    <t>ILO CONVENTION (NO. 144) CONCERNING TRIPARTITE CONSULTATIONS TO PROMOTE THE IMPLEMENTATION OF INTERNATIONAL LABOR STANDARDS</t>
  </si>
  <si>
    <t>04/10/1986 - 99th Congress (1985-1986)</t>
  </si>
  <si>
    <t xml:space="preserve">02/01/1988 - 100th Congress (1987-1988) - Resolution of advice and consent to ratification agreed to in Senate by Yea-Nay Vote. 81 - 2. Record Vote Number: 13. (All Actions) </t>
  </si>
  <si>
    <t>449</t>
  </si>
  <si>
    <t>ILO CONVENTION (NO. 147) CONCERNING MINIMUM STANDARDS IN MERCHANT SHIPS</t>
  </si>
  <si>
    <t xml:space="preserve">02/01/1988 - 100th Congress (1987-1988) - Resolution of advice and consent to ratification agreed to in Senate by Yea-Nay Vote. 84 - 0. Record Vote Number: 14. (All Actions) </t>
  </si>
  <si>
    <t>450</t>
  </si>
  <si>
    <t>INTERNATIONAL WHEAT AGREEMENT, 1986</t>
  </si>
  <si>
    <t>01/20/1987 - 100th Congress (1987-1988)</t>
  </si>
  <si>
    <t xml:space="preserve">11/17/1987 - 100th Congress (1987-1988) - Resolution of advice and consent to ratification agreed to in Senate by Yea-Nay Vote. 94 - 0. Record Vote Number: 378. (All Actions) </t>
  </si>
  <si>
    <t>451</t>
  </si>
  <si>
    <t>FISHERIES TREATY WITH CERTAIN PACIFIC ISLAND STATES</t>
  </si>
  <si>
    <t>06/18/1987 - 100th Congress (1987-1988)</t>
  </si>
  <si>
    <t xml:space="preserve">11/06/1987 - 100th Congress (1987-1988) - Resolution of advice and consent to ratification agreed to in Senate by Yea-Nay Vote. 89 - 0. Record Vote Number: 371. (All Actions) </t>
  </si>
  <si>
    <t>452</t>
  </si>
  <si>
    <t>REGULATIONS FOR THE PREVENTION OF POLLUTION BY GARBAGE FROM SHIPS (ANNEX V OF MARPOL 73/78)</t>
  </si>
  <si>
    <t>02/09/1987 - 100th Congress (1987-1988)</t>
  </si>
  <si>
    <t xml:space="preserve">11/05/1987 - 100th Congress (1987-1988) - Resolution of advice and consent to ratification agreed to in Senate with an amendment by Yea-Nay Vote. 93 - 0. Record Vote Number: 368. (All Actions) </t>
  </si>
  <si>
    <t>453</t>
  </si>
  <si>
    <t>PROTOCOL II ADDITIONAL TO THE 1949 GENEVA CONVENTIONS, AND RELATING TO THE PROTECTION OF VICTIMS OF NON-INTERNATIONAL ARMED CONFLICTS</t>
  </si>
  <si>
    <t>01/29/1987 - 100th Congress (1987-1988)</t>
  </si>
  <si>
    <t xml:space="preserve">01/29/1987 - 100th Congress (1987-1988) - Received in the Senate and referred to the Committee on Foreign Relations. (All Actions) </t>
  </si>
  <si>
    <t>454</t>
  </si>
  <si>
    <t>UNITED NATIONS CONVENTION ON CONTRACTS FOR THE INTERNATIONAL SALE OF GOODS</t>
  </si>
  <si>
    <t>09/21/1983 - 98th Congress (1983-1984)</t>
  </si>
  <si>
    <t xml:space="preserve">10/09/1986 - 99th Congress (1985-1986) - Approved 98-0 by a roll call vote (Record Vote No. 339). Calendar No. 14. (All Actions) </t>
  </si>
  <si>
    <t>455</t>
  </si>
  <si>
    <t>HAGUE CONVENTION ON THE CIVIL ASPECTS OF INTERNATIONAL CHILD ABDUCTION</t>
  </si>
  <si>
    <t>10/30/1985 - 99th Congress (1985-1986)</t>
  </si>
  <si>
    <t xml:space="preserve">10/09/1986 - 99th Congress (1985-1986) - Approved 98-0 by roll call vote (Record Vote No. 344). Calendar No. 19. (All Actions) </t>
  </si>
  <si>
    <t>456</t>
  </si>
  <si>
    <t>INTER-AMERICAN CONVENTION ON INTERNATIONAL COMMERCIAL ARBITRATION</t>
  </si>
  <si>
    <t>06/15/1981 - 97th Congress (1981-1982)</t>
  </si>
  <si>
    <t xml:space="preserve">10/09/1986 - 99th Congress (1985-1986) - Approved 98-0 by roll call vote (Record Vote No. 343). Calendar No. 18. (All Actions) </t>
  </si>
  <si>
    <t>457</t>
  </si>
  <si>
    <t>INTER-AMERICAN CONVENTION ON LETTERS ROGATORY</t>
  </si>
  <si>
    <t>06/25/1984 - 98th Congress (1983-1984)</t>
  </si>
  <si>
    <t xml:space="preserve">10/09/1986 - 99th Congress (1985-1986) - Approved 98-0 by a roll call vote (Record Vote No. 340). Calendar No. 15. (All Actions) </t>
  </si>
  <si>
    <t>458</t>
  </si>
  <si>
    <t>CONVENTION ON WETLANDS OF INTERNATIONAL IMPORTANCE</t>
  </si>
  <si>
    <t>06/23/1986 - 99th Congress (1985-1986)</t>
  </si>
  <si>
    <t xml:space="preserve">10/09/1986 - 99th Congress (1985-1986) - Approved 98-0 by roll call vote (Record Vote No. 341). Calendar No. 16. (All Actions) </t>
  </si>
  <si>
    <t>459</t>
  </si>
  <si>
    <t>Request for Advice and Consent to Withdraw a Reservation Made to the 1975 Patent Cooperation Treaty.</t>
  </si>
  <si>
    <t>07/27/1984 - 98th Congress (1983-1984)</t>
  </si>
  <si>
    <t xml:space="preserve">10/09/1986 - 99th Congress (1985-1986) - Approved 98-0 by roll call vote (Record Vote No. 342). Calendar No. 17. (All Actions) </t>
  </si>
  <si>
    <t>TREATY BETWEEN THE UNITED STATES AND ICELAND TO FACILITATE THEIR DEFENSE RELATIONSHIP</t>
  </si>
  <si>
    <t>09/30/1986 - 99th Congress (1985-1986)</t>
  </si>
  <si>
    <t xml:space="preserve">10/08/1986 - 99th Congress (1985-1986) - Treaty moved through its parliamentary stages, and the resolution of ratification considered without amendment. Approved by division vote. (All Actions) </t>
  </si>
  <si>
    <t>461</t>
  </si>
  <si>
    <t>PROTOCOL TO THE CONVENTION FOR THE CONSERVATION OF ATLANTIC TUNAS</t>
  </si>
  <si>
    <t>03/14/1985 - 99th Congress (1985-1986)</t>
  </si>
  <si>
    <t xml:space="preserve">07/24/1986 - 99th Congress (1985-1986) - Treaty moved through its various parliamentary stages, and resolution of ratification considered without amendment. Approved by division vote. (All Actions) </t>
  </si>
  <si>
    <t>462</t>
  </si>
  <si>
    <t>VIENNA CONVENTION FOR THE PROTECTION OF THE OZONE LAYER</t>
  </si>
  <si>
    <t>09/04/1985 - 99th Congress (1985-1986)</t>
  </si>
  <si>
    <t>463</t>
  </si>
  <si>
    <t>PROTOCOL CONCERNING THE INTERPRETATION OF PARAGRAPH 7 OF THE PROTOCOL TO THE 1984 TAX AGREEMENT WITH THE PEOPLE'S REPUBLIC OF CHINA</t>
  </si>
  <si>
    <t>06/05/1986 - 99th Congress (1985-1986)</t>
  </si>
  <si>
    <t xml:space="preserve">07/24/1986 - 99th Congress (1985-1986) - Approved 96-1. See action on parent treaty - Treaty Doc. 98-30. Record Vote Number: 163. (All Actions) </t>
  </si>
  <si>
    <t>464</t>
  </si>
  <si>
    <t>TAX AGREEMENT WITH THE PEOPLE'S REPUBLIC OF CHINA</t>
  </si>
  <si>
    <t>08/10/1984 - 98th Congress (1983-1984)</t>
  </si>
  <si>
    <t xml:space="preserve">07/24/1986 - 99th Congress (1985-1986) - Treaty and Protocol of May 10, 1986, moved through various parliamentary stages, and resolution of ratification considered without amendment. Approved 96-1 by roll call vote (Record Vote No. 163 Ex.) Calendar No. 8. (All Actions) </t>
  </si>
  <si>
    <t>465</t>
  </si>
  <si>
    <t>SUPPLEMENTARY EXTRADITION TREATY WITH THE UNITED KINGDOM</t>
  </si>
  <si>
    <t>07/17/1985 - 99th Congress (1985-1986)</t>
  </si>
  <si>
    <t xml:space="preserve">07/17/1986 - 99th Congress (1985-1986) - Resolution of advice and consent to ratification considered. Approved 87-10 by a roll call vote (No. 160 Ex.). Cal. No. 13. (All Actions) </t>
  </si>
  <si>
    <t>466</t>
  </si>
  <si>
    <t>AMENDMENT TO THE 1978 CONVENTION ON INTERNATIONAL TRADE IN ENDANGERED SPECIES OF WILD FAUNA AND FLORA</t>
  </si>
  <si>
    <t>10/04/1983 - 98th Congress (1983-1984)</t>
  </si>
  <si>
    <t xml:space="preserve">03/18/1986 - 99th Congress (1985-1986) - Committee on Foreign Relations. Hearings held. (All Actions) </t>
  </si>
  <si>
    <t>467</t>
  </si>
  <si>
    <t>International Convention on the Prevention and Punishment of the Crime of Genocide</t>
  </si>
  <si>
    <t>06/16/1949 - 81st Congress (1949-1950)</t>
  </si>
  <si>
    <t xml:space="preserve">02/19/1986 - 99th Congress (1985-1986) - Treaty moved through its parliamentary stages, and resolution of ratification considered; with eight committee-reported provisos agreed to. Approved 83-11 by a roll call vote (No. 15 Ex.). Calendar No. 2. (All Actions) </t>
  </si>
  <si>
    <t>468</t>
  </si>
  <si>
    <t>TAX CONVENTION WITH BARBADOS</t>
  </si>
  <si>
    <t>02/25/1985 - 99th Congress (1985-1986)</t>
  </si>
  <si>
    <t xml:space="preserve">12/16/1985 - 99th Congress (1985-1986) - Resolution of advice and consent to ratification agreed to in Senate with a reservation by Division Vote. (All Actions) </t>
  </si>
  <si>
    <t>469</t>
  </si>
  <si>
    <t>INTERNATIONAL TELECOMMUNICATION CONVENTION (NAIROBI, 1982)</t>
  </si>
  <si>
    <t>05/15/1985 - 99th Congress (1985-1986)</t>
  </si>
  <si>
    <t xml:space="preserve">12/16/1985 - 99th Congress (1985-1986) - Resolution of advice and consent to ratification agreed to in Senate by Division Vote. (All Actions) </t>
  </si>
  <si>
    <t>470</t>
  </si>
  <si>
    <t>07/03/1984 - 98th Congress (1983-1984)</t>
  </si>
  <si>
    <t xml:space="preserve">12/16/1985 - 99th Congress (1985-1986) - Resolution of advice and consent to ratification agreed to in Senate with an understanding by Division Vote. (All Actions) </t>
  </si>
  <si>
    <t>471</t>
  </si>
  <si>
    <t>TAX CONVENTION WITH THE REPUBLIC OF CYPRUS</t>
  </si>
  <si>
    <t>08/21/1984 - 98th Congress (1983-1984)</t>
  </si>
  <si>
    <t>472</t>
  </si>
  <si>
    <t>1983 PROTOCOLS FOR THE FURTHER EXTENSION OF THE 1971 INTERNATIONAL WHEAT AGREEMENT</t>
  </si>
  <si>
    <t>07/11/1983 - 98th Congress (1983-1984)</t>
  </si>
  <si>
    <t xml:space="preserve">10/22/1985 - 99th Congress (1985-1986) - Considered by Senate; treaty and resolution thereto considered without amendment; approved 98-0 (Vote #239 Ex.) Calendar No. 3. (All Actions) </t>
  </si>
  <si>
    <t>TREATY WITH CANADA CONCERNING PACIFIC SALMON</t>
  </si>
  <si>
    <t>02/12/1985 - 99th Congress (1985-1986)</t>
  </si>
  <si>
    <t xml:space="preserve">03/07/1985 - 99th Congress (1985-1986) - Treaty considered by the Senate, moved through its parliamentary stages, and resolution of ratification considered without amendment. Approved 96-0 by a roll call vote (No. 18 Ex.). Calendar No. 1. (All Actions) </t>
  </si>
  <si>
    <t>474</t>
  </si>
  <si>
    <t>CONVENTION ON PROGRAMME-CARRYING SATELLITES</t>
  </si>
  <si>
    <t>08/16/1984 - 98th Congress (1983-1984)</t>
  </si>
  <si>
    <t xml:space="preserve">10/12/1984 - 98th Congress (1983-1984) - Resolution of advice and consent to ratification agreed to in Senate by Voice Vote. (All Actions) </t>
  </si>
  <si>
    <t>475</t>
  </si>
  <si>
    <t>1983 TAX CONVENTION WITH DENMARK</t>
  </si>
  <si>
    <t>09/08/1983 - 98th Congress (1983-1984)</t>
  </si>
  <si>
    <t xml:space="preserve">08/09/1984 - 98th Congress (1983-1984) - Treaty (with reservation) approved by Senate 97-0 (#222 Ex.). (All Actions) </t>
  </si>
  <si>
    <t>476</t>
  </si>
  <si>
    <t>TREATY WITH THAILAND ON COOPERATION IN THE EXECUTION OF PENAL SENTENCES</t>
  </si>
  <si>
    <t xml:space="preserve">08/09/1984 - 98th Congress (1983-1984) - Treaty approved by Senate 97-0 (#223 Ex.). (All Actions) </t>
  </si>
  <si>
    <t>477</t>
  </si>
  <si>
    <t>CONVENTION FOR THE PROTECTION AND DEVELOPMENT OF THE MARINE ENVIRONMENT OF THE WIDER CARIBBEAN REGION</t>
  </si>
  <si>
    <t xml:space="preserve">08/09/1984 - 98th Congress (1983-1984) - Treaty approved by Senate 97-0 (#224 Ex.). (All Actions) </t>
  </si>
  <si>
    <t>478</t>
  </si>
  <si>
    <t>SUPPLEMENTARY EXTRADITION CONVENTION WITH THE KINGDOM OF SWEDEN</t>
  </si>
  <si>
    <t>05/24/1983 - 98th Congress (1983-1984)</t>
  </si>
  <si>
    <t xml:space="preserve">06/28/1984 - 98th Congress (1983-1984) - Treaty approved by Senate 100-0 vote (#168 Ex.). (All Actions) </t>
  </si>
  <si>
    <t>479</t>
  </si>
  <si>
    <t>PROTOCOL AMENDING THE 1980 TAX CONVENTION WITH CANADA</t>
  </si>
  <si>
    <t xml:space="preserve">06/28/1984 - 98th Congress (1983-1984) - Treaty approved by Senate 100-0 (#164 Ex.). (All Actions) </t>
  </si>
  <si>
    <t>480</t>
  </si>
  <si>
    <t>1983 ESTATE AND GIFT TAX CONVENTION WITH SWEDEN</t>
  </si>
  <si>
    <t>11/07/1983 - 98th Congress (1983-1984)</t>
  </si>
  <si>
    <t xml:space="preserve">06/28/1984 - 98th Congress (1983-1984) - Treaty approved by Senate 100-0 (#167 Ex.). (All Actions) </t>
  </si>
  <si>
    <t>481</t>
  </si>
  <si>
    <t>CONVENTION WITH FRANCE ON THE TRANSFER OF SENTENCED PERSONS</t>
  </si>
  <si>
    <t>03/01/1984 - 98th Congress (1983-1984)</t>
  </si>
  <si>
    <t xml:space="preserve">06/28/1984 - 98th Congress (1983-1984) - Treaty approved by Senate 100-0 (# 169 Ex.). (All Actions) </t>
  </si>
  <si>
    <t>482</t>
  </si>
  <si>
    <t>EXTRADITION TREATY WITH THAILAND</t>
  </si>
  <si>
    <t>04/13/1984 - 98th Congress (1983-1984)</t>
  </si>
  <si>
    <t xml:space="preserve">06/28/1984 - 98th Congress (1983-1984) - Treaty approved by Senate 100-0 (#170 Ex.). (All Actions) </t>
  </si>
  <si>
    <t>EXTRADITION TREATY WITH COSTA RICA</t>
  </si>
  <si>
    <t>04/17/1984 - 98th Congress (1983-1984)</t>
  </si>
  <si>
    <t xml:space="preserve">06/28/1984 - 98th Congress (1983-1984) - Treaty approved by Senate 100-0 (#171 Ex.). (All Actions) </t>
  </si>
  <si>
    <t>484</t>
  </si>
  <si>
    <t>EXTRADITION TREATY WITH JAMAICA</t>
  </si>
  <si>
    <t xml:space="preserve">06/28/1984 - 98th Congress (1983-1984) - Treaty approved by Senate 100-0 (#172 Ex.). (All Actions) </t>
  </si>
  <si>
    <t>485</t>
  </si>
  <si>
    <t>EXTRADITION TREATY WITH IRELAND</t>
  </si>
  <si>
    <t>04/18/1984 - 98th Congress (1983-1984)</t>
  </si>
  <si>
    <t xml:space="preserve">06/28/1984 - 98th Congress (1983-1984) - Treaty approved by Senate 100-0 (#173 Ex.). (All Actions) </t>
  </si>
  <si>
    <t>486</t>
  </si>
  <si>
    <t>EXTRADITION TREATY WITH ITALY</t>
  </si>
  <si>
    <t xml:space="preserve">06/28/1984 - 98th Congress (1983-1984) - Treaty approved by Senate 100-0 (#174 Ex.). (All Actions) </t>
  </si>
  <si>
    <t>487</t>
  </si>
  <si>
    <t xml:space="preserve">06/28/1984 - 98th Congress (1983-1984) - Treaty approved by Senate 100-0 (#166 Ex.). (All Actions) </t>
  </si>
  <si>
    <t>488</t>
  </si>
  <si>
    <t>SECOND PROTOCOL AMENDING THE 1980 TAX CONVENTION WITH CANADA</t>
  </si>
  <si>
    <t>04/19/1984 - 98th Congress (1983-1984)</t>
  </si>
  <si>
    <t xml:space="preserve">06/28/1984 - 98th Congress (1983-1984) - Treaty approved by Senate 100-0 (No. 165 Ex.). (All Actions) </t>
  </si>
  <si>
    <t>489</t>
  </si>
  <si>
    <t>CONVENTION ON THE TRANSFER OF SENTENCED PERSONS</t>
  </si>
  <si>
    <t>05/07/1984 - 98th Congress (1983-1984)</t>
  </si>
  <si>
    <t xml:space="preserve">06/28/1984 - 98th Congress (1983-1984) - Treaty approved by Senate 100-0 vote (#175 Ex.). (All Actions) </t>
  </si>
  <si>
    <t>490</t>
  </si>
  <si>
    <t>CONVENTION WITH MOROCCO ON MUTUAL ASSISTANCE IN CRIMINAL MATTERS</t>
  </si>
  <si>
    <t>05/10/1984 - 98th Congress (1983-1984)</t>
  </si>
  <si>
    <t xml:space="preserve">06/28/1984 - 98th Congress (1983-1984) - Treaty approved by the Senate 100-0 vote (#176 Ex.). (All Actions) </t>
  </si>
  <si>
    <t>491</t>
  </si>
  <si>
    <t>TREATY WITH THE ITALIAN REPUBLIC ON MUTUAL ASSISTANCE IN CRIMINAL MATTERS</t>
  </si>
  <si>
    <t>06/11/1984 - 98th Congress (1983-1984)</t>
  </si>
  <si>
    <t xml:space="preserve">06/28/1984 - 98th Congress (1983-1984) - Treaty approved by Senate 100-0 vote (#177 Ex.). (All Actions) </t>
  </si>
  <si>
    <t>492</t>
  </si>
  <si>
    <t>TREATY WITH CANADA RELATING TO THE SKAGIT RIVER AND ROSS LAKE IN THE STATE OF WASHINGTON, AND THE SEVEN MILE RESERVOIR ON THE PEND D'OREILLE RIVER IN THE PROVINCE OF BRITISH COLUMBIA</t>
  </si>
  <si>
    <t xml:space="preserve">06/28/1984 - 98th Congress (1983-1984) - Approved by the Senate 100-0 vote (#178 Ex.). (All Actions) </t>
  </si>
  <si>
    <t>493</t>
  </si>
  <si>
    <t>TAX CONVENTION WITH CANADA</t>
  </si>
  <si>
    <t xml:space="preserve">06/28/1984 - 98th Congress (1983-1984) - Approved by 100-0 vote. Record Vote Number 163. (All Actions) </t>
  </si>
  <si>
    <t>494</t>
  </si>
  <si>
    <t>INTERNATIONAL COFFEE AGREEMENT, 1983</t>
  </si>
  <si>
    <t>05/04/1983 - 98th Congress (1983-1984)</t>
  </si>
  <si>
    <t xml:space="preserve">07/27/1983 - 98th Congress (1983-1984) - Treaty approved by Senate 100-0 vote (#224 Ex.). (All Actions) </t>
  </si>
  <si>
    <t>495</t>
  </si>
  <si>
    <t>EASTERN PACIFIC OCEAN TUNA FISHING AGREEMENT</t>
  </si>
  <si>
    <t>05/11/1983 - 98th Congress (1983-1984)</t>
  </si>
  <si>
    <t xml:space="preserve">07/27/1983 - 98th Congress (1983-1984) - Treaty approved by Senate 100-0 vote (#226 Ex.). (All Actions) </t>
  </si>
  <si>
    <t>496</t>
  </si>
  <si>
    <t>REVISED NICE AGREEMENT CONCERNING THE INTERNATIONAL CLASSIFICATION OF GOODS AND SERVICES FOR THE PURPOSE OF THE REGISTRATION OF MARKS</t>
  </si>
  <si>
    <t xml:space="preserve">07/27/1983 - 98th Congress (1983-1984) - Approved by 100-0 vote. Record Vote Number 223. (All Actions) </t>
  </si>
  <si>
    <t>497</t>
  </si>
  <si>
    <t>CONVENTION ON FUTURE MULTILATERAL COOPERATION ON THE NORTHWEST ATLANTIC FISHERIES</t>
  </si>
  <si>
    <t>05/03/1979 - 96th Congress (1979-1980)</t>
  </si>
  <si>
    <t xml:space="preserve">07/27/1983 - 98th Congress (1983-1984) - Approved by 100-0 vote. Record Vote Number 225. (All Actions) </t>
  </si>
  <si>
    <t>498</t>
  </si>
  <si>
    <t>AGREEMENT WITH THE PEOPLE'S REPUBLIC OF CHINA WITH RESPECT TO MUTUAL EXEMPTION FROM TAXATION OF TRANSPORTATION INCOME OF SHIPPING AND AIR TRANSPORT ENTERPRISES</t>
  </si>
  <si>
    <t>06/16/1982 - 97th Congress (1981-1982)</t>
  </si>
  <si>
    <t xml:space="preserve">07/27/1983 - 98th Congress (1983-1984) - Treaty approved by Senate 100-0 vote (#227 Ex.). (All Actions) </t>
  </si>
  <si>
    <t>499</t>
  </si>
  <si>
    <t>TAX CONVENTION WITH NEW ZEALAND</t>
  </si>
  <si>
    <t>08/13/1982 - 97th Congress (1981-1982)</t>
  </si>
  <si>
    <t xml:space="preserve">07/27/1983 - 98th Congress (1983-1984) - Treaty approved by Senate 100-0 vote (#228 Ex.). (All Actions) </t>
  </si>
  <si>
    <t>500</t>
  </si>
  <si>
    <t>TAX CONVENTIION WITH AUSTRALIA</t>
  </si>
  <si>
    <t>09/14/1982 - 97th Congress (1981-1982)</t>
  </si>
  <si>
    <t xml:space="preserve">07/27/1983 - 98th Congress (1983-1984) - Treaty approved by Senate 100-0 vote (#229 Ex.). (All Actions) </t>
  </si>
  <si>
    <t>501</t>
  </si>
  <si>
    <t>TREATY WITH NEW ZEALAND ON DELIMITATION OF U.S.-TOKELAU MARITIME BOUNDARY</t>
  </si>
  <si>
    <t>03/25/1981 - 97th Congress (1981-1982)</t>
  </si>
  <si>
    <t xml:space="preserve">06/21/1983 - 98th Congress (1983-1984) - Treaty moved through its parliamentary stages; treaty approved by the Senate 94-4 vote (#162 Ex.). (All Actions) </t>
  </si>
  <si>
    <t>502</t>
  </si>
  <si>
    <t>CONSTITUTION OF THE UNITED NATIONS INDUSTRIAL DEVELOPMENT ORGANIZATION</t>
  </si>
  <si>
    <t>10/05/1981 - 97th Congress (1981-1982)</t>
  </si>
  <si>
    <t xml:space="preserve">06/21/1983 - 98th Congress (1983-1984) - Treaty moved through its parliamentary stages; treaty approved by the Senate, with understandings, 94-4 vote (#163 Ex.). (All Actions) </t>
  </si>
  <si>
    <t>503</t>
  </si>
  <si>
    <t>TREATY OF FRIENDSHIP WITH TUVALU</t>
  </si>
  <si>
    <t>05/09/1979 - 96th Congress (1979-1980)</t>
  </si>
  <si>
    <t xml:space="preserve">06/21/1983 - 98th Congress (1983-1984) - General debate; approved by 94-4 vote. Record Vote Number: 159. (All Actions) </t>
  </si>
  <si>
    <t>INTERNATIONAL CONVENTION ON THE SIMPLIFICATION AND HARMONIZATION OF CUSTOMS PROCEDURES</t>
  </si>
  <si>
    <t>02/22/1982 - 97th Congress (1981-1982)</t>
  </si>
  <si>
    <t xml:space="preserve">06/21/1983 - 98th Congress (1983-1984) - Treaty moved through its parliamentary stages; debate; treaty approved by Senate 94-4 vote (#164 Ex.). (All Actions) </t>
  </si>
  <si>
    <t>505</t>
  </si>
  <si>
    <t>TREATY OF FRIENDSHIP WITH KIRIBATI</t>
  </si>
  <si>
    <t>01/24/1980 - 96th Congress (1979-1980)</t>
  </si>
  <si>
    <t xml:space="preserve">06/21/1983 - 98th Congress (1983-1984) - General debate; approved by 94-4 vote. Record Vote Number: 160. (All Actions) </t>
  </si>
  <si>
    <t>506</t>
  </si>
  <si>
    <t>FRIENDSHIP AND MARITIME BOUNDARY DELIMITATION TREATY WITH THE COOK ISLANDS</t>
  </si>
  <si>
    <t>09/03/1980 - 96th Congress (1979-1980)</t>
  </si>
  <si>
    <t xml:space="preserve">06/21/1983 - 98th Congress (1983-1984) - General debate; approved by 94-4 vote. Record Vote Number: 161. (All Actions) </t>
  </si>
  <si>
    <t>507</t>
  </si>
  <si>
    <t>AMENDMENT TO THE 1972 PROTOCOL TO THE 1928 CONVENTION CONCERNING INTERNATIONAL EXPOSITIONS</t>
  </si>
  <si>
    <t>01/27/1983 - 98th Congress (1983-1984)</t>
  </si>
  <si>
    <t xml:space="preserve">03/03/1983 - 98th Congress (1983-1984) - Treaty approved by Senate 84-0 vote (#7 Ex.). (All Actions) </t>
  </si>
  <si>
    <t>508</t>
  </si>
  <si>
    <t>RADIO REGULATIONS (GENEVA, 1979)</t>
  </si>
  <si>
    <t>11/24/1981 - 97th Congress (1981-1982)</t>
  </si>
  <si>
    <t xml:space="preserve">12/21/1982 - 97th Congress (1981-1982) - Treaty moved through its parliamentary stages; reported condition to resolution agreed to; Schmitt proviso agreed to; resolution of advice and consent to ratification, as amended, approved by division vote. (All Actions) </t>
  </si>
  <si>
    <t>509</t>
  </si>
  <si>
    <t>PROTOCOL TO THE AGREEMENT ON THE IMPORTATION OF EDUCATIONAL, SCIENTIFIC, AND CULTURAL MATERIALS</t>
  </si>
  <si>
    <t>01/19/1981 - 97th Congress (1981-1982)</t>
  </si>
  <si>
    <t xml:space="preserve">10/25/1982 - 97th Congress (1981-1982) - Entered into force. (All Actions) </t>
  </si>
  <si>
    <t>510</t>
  </si>
  <si>
    <t>CONVENTION WITH MEXICO FOR THE RECOVERY AND RETURN OF STOLEN OR EMBEZZLED VEHICLES AND AIRCRAFT</t>
  </si>
  <si>
    <t>09/29/1981 - 97th Congress (1981-1982)</t>
  </si>
  <si>
    <t xml:space="preserve">09/30/1982 - 97th Congress (1981-1982) - Treaty approved by Senate 97-0 vote (#375 Ex.). (All Actions) </t>
  </si>
  <si>
    <t>511</t>
  </si>
  <si>
    <t>CONVENTION FOR THE CONSERVATION OF SALMON IN THE NORTH ATLANTIC OCEAN</t>
  </si>
  <si>
    <t>06/22/1982 - 97th Congress (1981-1982)</t>
  </si>
  <si>
    <t xml:space="preserve">09/30/1982 - 97th Congress (1981-1982) - Treaty approved by Senate 97-0 vote (#377 Ex.). (All Actions) </t>
  </si>
  <si>
    <t>512</t>
  </si>
  <si>
    <t>CONVENTION ON TONNAGE MEASUREMENTS OF SHIPS, 1969</t>
  </si>
  <si>
    <t>06/15/1972 - 92nd Congress (1971-1972)</t>
  </si>
  <si>
    <t xml:space="preserve">09/30/1982 - 97th Congress (1981-1982) - Resolution of advice and consent to ratification agreed to in Senate by Yea-Nay vote. 97-0. Record Vote No: 376 EX. (All Actions) </t>
  </si>
  <si>
    <t>513</t>
  </si>
  <si>
    <t>TAX CONVENTION WITH AUSTRIA</t>
  </si>
  <si>
    <t>08/10/1982 - 97th Congress (1981-1982)</t>
  </si>
  <si>
    <t xml:space="preserve">09/30/1982 - 97th Congress (1981-1982) - Treaty approved by Senate 97-0 vote (#378 Ex.). (All Actions) </t>
  </si>
  <si>
    <t>514</t>
  </si>
  <si>
    <t>PROTOCOL TO THE NORTH ATLANTIC TREATY ON THE ACCESSION OF SPAIN</t>
  </si>
  <si>
    <t>01/26/1982 - 97th Congress (1981-1982)</t>
  </si>
  <si>
    <t xml:space="preserve">05/29/1982 - 97th Congress (1981-1982) - Entered into force. (All Actions) </t>
  </si>
  <si>
    <t>515</t>
  </si>
  <si>
    <t>INCOME TAX TREATY WITH MALTA</t>
  </si>
  <si>
    <t>04/21/1980 - 96th Congress (1979-1980)</t>
  </si>
  <si>
    <t xml:space="preserve">05/18/1982 - 97th Congress (1981-1982) - Entered into force. (All Actions) </t>
  </si>
  <si>
    <t>516</t>
  </si>
  <si>
    <t>CONVENTION ON THE CONSERVATION OF ANTARCTIC MARINE LIVING RESOURCES</t>
  </si>
  <si>
    <t>12/02/1980 - 96th Congress (1979-1980)</t>
  </si>
  <si>
    <t xml:space="preserve">04/07/1982 - 97th Congress (1981-1982) - Entered into force. (All Actions) </t>
  </si>
  <si>
    <t>517</t>
  </si>
  <si>
    <t>EXTRADITION TREATY WITH COLOMBIA</t>
  </si>
  <si>
    <t>06/01/1981 - 97th Congress (1981-1982)</t>
  </si>
  <si>
    <t xml:space="preserve">03/02/1982 - 97th Congress (1981-1982) - Entered into force. (All Actions) </t>
  </si>
  <si>
    <t>518</t>
  </si>
  <si>
    <t>CONSULAR CONVENTION WITH THE PEOPLE'S REPUBLIC OF CHINA</t>
  </si>
  <si>
    <t xml:space="preserve">02/19/1982 - 97th Congress (1981-1982) - Entered into force. (All Actions) </t>
  </si>
  <si>
    <t>519</t>
  </si>
  <si>
    <t>1981 PROTOCOLS FOR THE EXTENSION OF THE INTERNATIONAL WHEAT AGREEMENT, 1971</t>
  </si>
  <si>
    <t>06/11/1981 - 97th Congress (1981-1982)</t>
  </si>
  <si>
    <t xml:space="preserve">01/12/1982 - 97th Congress (1981-1982) - Entered into force. (All Actions) </t>
  </si>
  <si>
    <t>520</t>
  </si>
  <si>
    <t>TAX CONVENTION WITH EGYPT</t>
  </si>
  <si>
    <t xml:space="preserve">12/31/1981 - 97th Congress (1981-1982) - Entered into force. (All Actions) </t>
  </si>
  <si>
    <t>521</t>
  </si>
  <si>
    <t>TAX CONVENTION WITH JAMAICA</t>
  </si>
  <si>
    <t>08/04/1980 - 96th Congress (1979-1980)</t>
  </si>
  <si>
    <t xml:space="preserve">12/29/1981 - 97th Congress (1981-1982) - Entered into force. (All Actions) </t>
  </si>
  <si>
    <t>522</t>
  </si>
  <si>
    <t>INCOME TAX CONVENTION WITH THE REPUBLIC OF THE PHILIPPINES</t>
  </si>
  <si>
    <t>01/19/1977 - 95th Congress (1977-1978)</t>
  </si>
  <si>
    <t xml:space="preserve">12/16/1981 - 97th Congress (1981-1982) - General debate; reservations and understandings agreed to; approved by division vote. (All Actions) </t>
  </si>
  <si>
    <t>523</t>
  </si>
  <si>
    <t>PROTOCOL RELATING TO AN AMENDMENT TO THE INTERNATIONAL CIVIL AVIATION CONVENTION</t>
  </si>
  <si>
    <t xml:space="preserve">12/16/1981 - 97th Congress (1981-1982) - Treaty moved through its parliamentary stages; approved by the Senate by division vote. (All Actions) </t>
  </si>
  <si>
    <t>524</t>
  </si>
  <si>
    <t>TAX CONVENTION WITH THE BRITISH VIRGIN ISLANDS</t>
  </si>
  <si>
    <t>04/29/1982 - 97th Congress (1981-1982)</t>
  </si>
  <si>
    <t xml:space="preserve">12/16/1981 - 97th Congress (1981-1982) - S. Ex. Res. 4 agreed to; treaty returned to President. (All Actions) </t>
  </si>
  <si>
    <t>525</t>
  </si>
  <si>
    <t>TAX CONVENTION WITH ARGENTINA</t>
  </si>
  <si>
    <t xml:space="preserve">12/16/1981 - 97th Congress (1981-1982) - Treaty moved through its parliamentary stages; treaty approved, with two reservations and an understanding, by division vote. (All Actions) </t>
  </si>
  <si>
    <t>526</t>
  </si>
  <si>
    <t>PROTOCOL RELATING TO AN AMENDMENT TO THE INTERNATIONAL CIVIL AVIATION CONVENTION OF 1944</t>
  </si>
  <si>
    <t>03/22/1979 - 96th Congress (1979-1980)</t>
  </si>
  <si>
    <t xml:space="preserve">12/16/1981 - 97th Congress (1981-1982) - Approved by division vote. (All Actions) </t>
  </si>
  <si>
    <t>527</t>
  </si>
  <si>
    <t>PROTOCOL ON THE TEXT OF THE INTERNATIONAL CIVIL AVIATION CONVENYTION OF 1944</t>
  </si>
  <si>
    <t>528</t>
  </si>
  <si>
    <t>PROTOCOL AMENDING THE 1980 TAX CONVENTION WITH JAMAICA</t>
  </si>
  <si>
    <t>09/09/1981 - 97th Congress (1981-1982)</t>
  </si>
  <si>
    <t xml:space="preserve">12/16/1981 - 97th Congress (1981-1982) - Treaty moved through its parliamentary stages; approved by the Senate, with reservation and understanding to the treaty, by division vote. (All Actions) </t>
  </si>
  <si>
    <t>TAX CONVENTION WITH CYPRUS</t>
  </si>
  <si>
    <t>05/16/1980 - 96th Congress (1979-1980)</t>
  </si>
  <si>
    <t xml:space="preserve">12/16/1981 - 97th Congress (1981-1982) - Returned to the President under agreement of S. Ex. Res. 4. (All Actions) </t>
  </si>
  <si>
    <t>530</t>
  </si>
  <si>
    <t>RECIPROCAL FISHERIES AGREEMENT OF 1979 WITH THE UNITED KINGDOM</t>
  </si>
  <si>
    <t>06/02/1980 - 96th Congress (1979-1980)</t>
  </si>
  <si>
    <t>531</t>
  </si>
  <si>
    <t>PROTOCOL AMENDING 1971 TAX CONVENTION WITH NORWAY</t>
  </si>
  <si>
    <t xml:space="preserve">12/15/1981 - 97th Congress (1981-1982) - Entered into force. (All Actions) </t>
  </si>
  <si>
    <t>532</t>
  </si>
  <si>
    <t>EXTRADITION TREATY WITH THE NETHERLANDS</t>
  </si>
  <si>
    <t xml:space="preserve">12/02/1981 - 97th Congress (1981-1982) - Treaty approved by the Senate 96-0 vote (#438 Ex.). (All Actions) </t>
  </si>
  <si>
    <t>533</t>
  </si>
  <si>
    <t>MUTUAL LEGAL ASSISTANCE TREATY WITH COLOMBIA</t>
  </si>
  <si>
    <t xml:space="preserve">12/02/1981 - 97th Congress (1981-1982) - Treaty approved by Senate 96-0 vote (#440 Ex.). (All Actions) </t>
  </si>
  <si>
    <t>534</t>
  </si>
  <si>
    <t>TREATY OF MUTUAL LEGAL ASSISTANCE WITH THE NETHERLANDS</t>
  </si>
  <si>
    <t>08/06/1981 - 97th Congress (1981-1982)</t>
  </si>
  <si>
    <t xml:space="preserve">12/02/1981 - 97th Congress (1981-1982) - Treaty approved by Senate 96-0 (#441 Ex.). (All Actions) </t>
  </si>
  <si>
    <t>535</t>
  </si>
  <si>
    <t>INCOME TAX CONVENTION WITH THAILAND</t>
  </si>
  <si>
    <t>07/29/1965 - 89th Congress (1965-1966)</t>
  </si>
  <si>
    <t xml:space="preserve">12/01/1981 - 97th Congress (1981-1982) - Returned to the President pursuant to S. Exec. Res. 2 agreed to on December 1, 1981. (All Actions) </t>
  </si>
  <si>
    <t>536</t>
  </si>
  <si>
    <t>TAX CONVENTION WITH ISRAEL</t>
  </si>
  <si>
    <t xml:space="preserve">12/01/1981 - 97th Congress (1981-1982) - Returned to the President pursuant to S. Exec. Res. 97-2 agreed to on December 1, 1981. (All Actions) </t>
  </si>
  <si>
    <t>537</t>
  </si>
  <si>
    <t>02/11/1976 - 94th Congress (1975-1976)</t>
  </si>
  <si>
    <t xml:space="preserve">12/01/1981 - 97th Congress (1981-1982) - Ex. Res. No. 97 -2 agreed to; treaty returned to President. (All Actions) </t>
  </si>
  <si>
    <t>538</t>
  </si>
  <si>
    <t>01/15/1981 - 97th Congress (1981-1982)</t>
  </si>
  <si>
    <t xml:space="preserve">11/18/1981 - 97th Congress (1981-1982) - Treaty approved, with understanding, by the Senate 97-0 vote (#387 Ex.). (All Actions) </t>
  </si>
  <si>
    <t>539</t>
  </si>
  <si>
    <t xml:space="preserve">11/18/1981 - 97th Congress (1981-1982) - General debate; approved by 97-0 vote. Record Vote Number 388. (All Actions) </t>
  </si>
  <si>
    <t>540</t>
  </si>
  <si>
    <t>AGREEMENT EXTENDING FOR EIGHT MONTHS PROVISIONS OF THE TREATY OF FRIENDSHIP AND COOPERATION WITH SPAIN</t>
  </si>
  <si>
    <t>10/09/1981 - 97th Congress (1981-1982)</t>
  </si>
  <si>
    <t xml:space="preserve">11/18/1981 - 97th Congress (1981-1982) - Treaty approved by Senate 97-0 vote (#384 Ex.). (All Actions) </t>
  </si>
  <si>
    <t>541</t>
  </si>
  <si>
    <t>TAX CONVENTION WITH MOROCCO</t>
  </si>
  <si>
    <t>05/02/1978 - 95th Congress (1977-1978)</t>
  </si>
  <si>
    <t xml:space="preserve">11/18/1981 - 97th Congress (1981-1982) - General debate; reservation and understanding agreed to; approved by 97-0 vote. Record Vote Number 391. (All Actions) </t>
  </si>
  <si>
    <t>542</t>
  </si>
  <si>
    <t>PROTOCOL AMENDING THE 1976 INCOME TAX CONVENTION WITH ISRAEL</t>
  </si>
  <si>
    <t>07/03/1980 - 96th Congress (1979-1980)</t>
  </si>
  <si>
    <t xml:space="preserve">11/18/1981 - 97th Congress (1981-1982) - Approved by 97-0 vote. Record Vote Number 389. (All Actions) </t>
  </si>
  <si>
    <t>543</t>
  </si>
  <si>
    <t>TAX CONVENTION WITH BANGLADESH</t>
  </si>
  <si>
    <t xml:space="preserve">11/18/1981 - 97th Congress (1981-1982) - Approved with 2 understandings by 97-0 vote. Record Vote Number 385. (All Actions) </t>
  </si>
  <si>
    <t>544</t>
  </si>
  <si>
    <t>ADDITIONAL PROTOCOL I TO THE TREATY FOR THE PROHIBITION OF NUCLEAR WEAPONS IN LATIN AMERICA</t>
  </si>
  <si>
    <t>05/24/1978 - 95th Congress (1977-1978)</t>
  </si>
  <si>
    <t xml:space="preserve">11/13/1981 - 97th Congress (1981-1982) - General debate; 3 understandings agreed to; approved by 79-0 vote. Record Vote Number 374. (All Actions) </t>
  </si>
  <si>
    <t>545</t>
  </si>
  <si>
    <t>TREATY WITH COLOMBIA CONCERNING THE STATUS OF QUITA SUENO, RONCADOR, AND SERRANA</t>
  </si>
  <si>
    <t>01/09/1973 - 93rd Congress (1973-1974)</t>
  </si>
  <si>
    <t xml:space="preserve">07/31/1981 - 97th Congress (1981-1982) - Consideration and general debate; understanding to resolution agreed to; treaty approved by division vote. (All Actions) </t>
  </si>
  <si>
    <t>546</t>
  </si>
  <si>
    <t>REVISED CUSTOMS CONVENTION ON THE INTERNATIONAL TRANSPORT OF GOODS UNDER COVER OF TIR CARNETS</t>
  </si>
  <si>
    <t>07/26/1977 - 95th Congress (1977-1978)</t>
  </si>
  <si>
    <t xml:space="preserve">07/30/1981 - 97th Congress (1981-1982) - General debate; approved by 98-0 vote. Record Vote Number 243. (All Actions) </t>
  </si>
  <si>
    <t>547</t>
  </si>
  <si>
    <t>CONVENTION ON THE PHYSICAL PROTECTION OF NUCLEAR MATERIAL</t>
  </si>
  <si>
    <t>05/09/1980 - 96th Congress (1979-1980)</t>
  </si>
  <si>
    <t xml:space="preserve">07/30/1981 - 97th Congress (1981-1982) - Approved by vote of 98-0. Record Vote Number 242. (All Actions) </t>
  </si>
  <si>
    <t>548</t>
  </si>
  <si>
    <t>AMENDMENTS TO THE INTER-GOVERNMENTAL MARITIME CONSULTATIVE ORGANIZATION CONVENTION</t>
  </si>
  <si>
    <t>05/20/1980 - 96th Congress (1979-1980)</t>
  </si>
  <si>
    <t xml:space="preserve">07/30/1981 - 97th Congress (1981-1982) - Approved by 98-0 vote. Record Vote Number: 244. (All Actions) </t>
  </si>
  <si>
    <t>549</t>
  </si>
  <si>
    <t>INTERNATIONAL CONVENTION AGAINST THE TAKING OF HOSTAGES</t>
  </si>
  <si>
    <t xml:space="preserve">07/30/1981 - 97th Congress (1981-1982) - Approved by 98-0 vote. Record Vote Number 241. (All Actions) </t>
  </si>
  <si>
    <t>550</t>
  </si>
  <si>
    <t>TREATY WITH CANADA ON PACIFIC COAST ALBACORE TUNA VESSELS AND PORT PRIVILEGES</t>
  </si>
  <si>
    <t>07/01/1981 - 97th Congress (1981-1982)</t>
  </si>
  <si>
    <t xml:space="preserve">07/20/1981 - 97th Congress (1981-1982) - Treaty approved by Senate 97-0 vote (#202 Ex.). (All Actions) </t>
  </si>
  <si>
    <t>551</t>
  </si>
  <si>
    <t>PROTOCOL AMENDING THE INTERIM CONVENTION ON NORTH PACIFIC FUR SEALS</t>
  </si>
  <si>
    <t xml:space="preserve">07/02/1981 - 97th Congress (1981-1982) - Entered into force. (All Actions) </t>
  </si>
  <si>
    <t>552</t>
  </si>
  <si>
    <t>AGREEMENT ON EAST COAST FISHERY RESOURCES WITH CANADA</t>
  </si>
  <si>
    <t xml:space="preserve">06/22/1981 - 97th Congress (1981-1982) - Treaty returned to President. (All Actions) </t>
  </si>
  <si>
    <t>553</t>
  </si>
  <si>
    <t>MARITIME BOUNDARY SETTLEMENT TREATY WITH CANADA</t>
  </si>
  <si>
    <t xml:space="preserve">04/29/1981 - 97th Congress (1981-1982) - Approved with amendments by 91-0 vote. Record Vote Number 84. (All Actions) </t>
  </si>
  <si>
    <t>554</t>
  </si>
  <si>
    <t>MARITIME BOUNDARY TREATY WITH CUBA</t>
  </si>
  <si>
    <t xml:space="preserve">12/16/1980 - 96th Congress (1979-1980) - No further action at sine die adjournment of the 96 Congress; automatically rereferred to the Committee on Foreign Relations under the provisions of Rule XXX, section 2, of the Standing Rules of the Senate. (All Actions) </t>
  </si>
  <si>
    <t>555</t>
  </si>
  <si>
    <t>MARITIME BOUNDARY TREATY WITH VENEZUELA</t>
  </si>
  <si>
    <t xml:space="preserve">09/17/1980 - 96th Congress (1979-1980) - Approved by 94-0 vote. Record Vote Number 414. (All Actions) </t>
  </si>
  <si>
    <t>556</t>
  </si>
  <si>
    <t>AMENDMENTS TO THE CONVENTION ON THE PREVENTION OF MARINE POLLUTION BY DUMPING OF WASTES AND OTHER MATTER</t>
  </si>
  <si>
    <t>02/06/1979 - 96th Congress (1979-1980)</t>
  </si>
  <si>
    <t xml:space="preserve">09/17/1980 - 96th Congress (1979-1980) - Approved by 94-0 vote. Record Vote Number 412. (All Actions) </t>
  </si>
  <si>
    <t>557</t>
  </si>
  <si>
    <t>PROTOCOLS FOR THE 5TH EXTENSION OF THE 1971 INTERNATIONAL WHEAT AGREEMENT</t>
  </si>
  <si>
    <t>09/11/1979 - 96th Congress (1979-1980)</t>
  </si>
  <si>
    <t xml:space="preserve">09/17/1980 - 96th Congress (1979-1980) - Approved by 94-0 vote. Record Vote Number 409. (All Actions) </t>
  </si>
  <si>
    <t>558</t>
  </si>
  <si>
    <t>CONVENTION ON THE INTER-AMERICAN INSTITUTE FOR COOPERATION ON AGRICULTURE</t>
  </si>
  <si>
    <t>11/14/1979 - 96th Congress (1979-1980)</t>
  </si>
  <si>
    <t xml:space="preserve">09/17/1980 - 96th Congress (1979-1980) - Approved by 94-0 vote. Record Vote Number 413. (All Actions) </t>
  </si>
  <si>
    <t>559</t>
  </si>
  <si>
    <t>1978 PARTIAL REVISION OF THE RADIO REGULATIONS (GENEVA, 1959)</t>
  </si>
  <si>
    <t xml:space="preserve">09/17/1980 - 96th Congress (1979-1980) - Approved by 94-0 vote. Record Vote Number 410. (All Actions) </t>
  </si>
  <si>
    <t>560</t>
  </si>
  <si>
    <t>AMENDMENT TO THE CONVENTION ON INTERNATIONAL TRADE IN ENDANGERED SPECIES OF WILD FAUNA AND FLORA</t>
  </si>
  <si>
    <t>04/02/1980 - 96th Congress (1979-1980)</t>
  </si>
  <si>
    <t xml:space="preserve">09/17/1980 - 96th Congress (1979-1980) - Approved by 94-0 vote. Record Vote Number 411. (All Actions) </t>
  </si>
  <si>
    <t>561</t>
  </si>
  <si>
    <t>FOOD AID CONVENTION, 1980</t>
  </si>
  <si>
    <t xml:space="preserve">09/17/1980 - 96th Congress (1979-1980) - Approved by 94-0 vote. Record Vote Number 408. (All Actions) </t>
  </si>
  <si>
    <t>562</t>
  </si>
  <si>
    <t>1978 PROTOCOL RELATING TO THE INTERNATIONAL CONVENTION FOR THE PREVENTION OF POLLUTION FROM SHIPS</t>
  </si>
  <si>
    <t xml:space="preserve">07/02/1980 - 96th Congress (1979-1980) - General debate; approved by 90-0 vote. Record Vote Number 296. (All Actions) </t>
  </si>
  <si>
    <t>563</t>
  </si>
  <si>
    <t>1978 PROTOCOL RELATING TO THE 1974 INTERNATIONAL CONVENTION FOR THE SAFETY OF LIFE AT SEA</t>
  </si>
  <si>
    <t>01/23/1979 - 96th Congress (1979-1980)</t>
  </si>
  <si>
    <t xml:space="preserve">07/02/1980 - 96th Congress (1979-1980) - General debate; approved by 90-0 vote. Record Vote Number 297. (All Actions) </t>
  </si>
  <si>
    <t>564</t>
  </si>
  <si>
    <t>AGREEMENT WITH THE INTERNATIONAL ATOMIC ENERGY AGENCY FOR THE APPLICATION OF SAFEGUARDS ON THE UNITED STATES OF AMERICA, WITH PROTOCOL</t>
  </si>
  <si>
    <t>02/09/1978 - 95th Congress (1977-1978)</t>
  </si>
  <si>
    <t xml:space="preserve">07/02/1980 - 96th Congress (1979-1980) - General debate; 5 understandings agreed to; approved by 90-0 vote. Record Vote Number 302. (All Actions) </t>
  </si>
  <si>
    <t>565</t>
  </si>
  <si>
    <t>AMENDMENTS TO THE 1948 INTERGOVERNMENTAL MARITIME CONSULTATIVE ORGANIZATION CONVENTION</t>
  </si>
  <si>
    <t xml:space="preserve">07/02/1980 - 96th Congress (1979-1980) - General debate; approved by 90-0 vote. Record Vote Number 298. (All Actions) </t>
  </si>
  <si>
    <t>566</t>
  </si>
  <si>
    <t>AMENDMENT TO THE 1966 INTERNATIONAL CONVENTION ON LOAD LINES</t>
  </si>
  <si>
    <t>10/17/1979 - 96th Congress (1979-1980)</t>
  </si>
  <si>
    <t xml:space="preserve">07/02/1980 - 96th Congress (1979-1980) - General debate; approved by 90-0 vote. Record Vote Number 299. (All Actions) </t>
  </si>
  <si>
    <t>567</t>
  </si>
  <si>
    <t>CONSULAR CONVENTION WITH THE GERMAN DEMOCRATIC REPUBLIC</t>
  </si>
  <si>
    <t>04/28/1980 - 96th Congress (1979-1980)</t>
  </si>
  <si>
    <t xml:space="preserve">07/02/1980 - 96th Congress (1979-1980) - General debate; approved by 90-0 vote. Record Vote Number 301. (All Actions) </t>
  </si>
  <si>
    <t>568</t>
  </si>
  <si>
    <t>INTERNATION CONVENTION ON MARITIME SEARCH AND RESCUE, 1979</t>
  </si>
  <si>
    <t>06/20/1980 - 96th Congress (1979-1980)</t>
  </si>
  <si>
    <t xml:space="preserve">07/02/1980 - 96th Congress (1979-1980) - General debate; approved by 90-0 vote. Record Vote Number 300. (All Actions) </t>
  </si>
  <si>
    <t>569</t>
  </si>
  <si>
    <t>INTERNATIONAL NATURAL RUBBER AGREEMENT, 1979</t>
  </si>
  <si>
    <t xml:space="preserve">05/22/1980 - 96th Congress (1979-1980) - Approved by 90-1 vote. Record Vote Number 156. (All Actions) </t>
  </si>
  <si>
    <t>570</t>
  </si>
  <si>
    <t>TREATY WITH PERU ON THE EXECUTION OF PENAL SENTENCES</t>
  </si>
  <si>
    <t>12/20/1979 - 96th Congress (1979-1980)</t>
  </si>
  <si>
    <t xml:space="preserve">03/25/1980 - 96th Congress (1979-1980) - Resolution of advice and consent to ratification agreed to in Senate by Yea-Nay Vote. 96 - 0. Record Vote Number: 61. (All Actions) </t>
  </si>
  <si>
    <t>571</t>
  </si>
  <si>
    <t>AGREEMENT ON THE INTERNATIONAL CARRIAGE OF PERISHABLE FOODSTUFFS</t>
  </si>
  <si>
    <t xml:space="preserve">03/20/1980 - 96th Congress (1979-1980) - Approved by 92-0 vote. Record Vote Number 60. (All Actions) </t>
  </si>
  <si>
    <t>572</t>
  </si>
  <si>
    <t>PROTOCOL WITH CANADA TO AMEND THE CONVENTION FOR THE PROTECTION, PRESERVATION, AND EXTENSION OF THE SOCKEYE SALMON FISHERIES IN THE FRASER RIVER SYSTEM, AS AMENDED</t>
  </si>
  <si>
    <t>03/31/1977 - 95th Congress (1977-1978)</t>
  </si>
  <si>
    <t xml:space="preserve">03/20/1980 - 96th Congress (1979-1980) - General debate; approved by 92-0 vote. Record Vote Number 58. (All Actions) </t>
  </si>
  <si>
    <t>573</t>
  </si>
  <si>
    <t>CONVENTION ON PSYCHOTROPIC SUBSTANCES</t>
  </si>
  <si>
    <t xml:space="preserve">03/20/1980 - 96th Congress (1979-1980) - Resolution of advice and consent to ratification agreed to in Senate by Yea-Nay vote. 92-0. Record Vote No: 58 EX. (All Actions) </t>
  </si>
  <si>
    <t>574</t>
  </si>
  <si>
    <t>PROTOCOL AMENDING THE 1953 HALIBUT FISHERY CONVENTION WITH CANADA</t>
  </si>
  <si>
    <t>08/10/1979 - 96th Congress (1979-1980)</t>
  </si>
  <si>
    <t xml:space="preserve">03/20/1980 - 96th Congress (1979-1980) - Approved by 92-0 vote. Record Vote Number: 57. (All Actions) </t>
  </si>
  <si>
    <t>575</t>
  </si>
  <si>
    <t>EXTRADITION TREATY WITH MEXICO</t>
  </si>
  <si>
    <t xml:space="preserve">11/30/1979 - 96th Congress (1979-1980) - General debate; approved by 91-0 vote. Record Vote Number 442. (All Actions) </t>
  </si>
  <si>
    <t>576</t>
  </si>
  <si>
    <t>EXTRADITION TREATY WITH JAPAN</t>
  </si>
  <si>
    <t>04/04/1979 - 96th Congress (1979-1980)</t>
  </si>
  <si>
    <t xml:space="preserve">11/30/1979 - 96th Congress (1979-1980) - Approved by 91-0 vote. Record Vote Number 443. (All Actions) </t>
  </si>
  <si>
    <t>577</t>
  </si>
  <si>
    <t>1977 INTERNATIONAL SUGAR AGREEMENT</t>
  </si>
  <si>
    <t>01/25/1978 - 95th Congress (1977-1978)</t>
  </si>
  <si>
    <t xml:space="preserve">11/30/1979 - 96th Congress (1979-1980) - General debate; approved by 80-11 vote. Record Vote Number 447. (All Actions) </t>
  </si>
  <si>
    <t>578</t>
  </si>
  <si>
    <t>TREATY WITH PANAMA ON THE EXECUTION OF PENAL SENTENCES</t>
  </si>
  <si>
    <t>07/30/1979 - 96th Congress (1979-1980)</t>
  </si>
  <si>
    <t xml:space="preserve">11/30/1979 - 96th Congress (1979-1980) - Approved by 91-0 vote. Record Vote Number 446. (All Actions) </t>
  </si>
  <si>
    <t>579</t>
  </si>
  <si>
    <t>TREATY WITH TURKEY ON THE ENFORCEMENT OF PENAL JUDGEMENTS</t>
  </si>
  <si>
    <t>08/02/1979 - 96th Congress (1979-1980)</t>
  </si>
  <si>
    <t xml:space="preserve">11/30/1979 - 96th Congress (1979-1980) - Approved by 91-0 vote. Record Vote Number 445. (All Actions) </t>
  </si>
  <si>
    <t>580</t>
  </si>
  <si>
    <t>EXTRADITION TREATY WITH NORWAY</t>
  </si>
  <si>
    <t xml:space="preserve">11/30/1979 - 96th Congress (1979-1980) - Approved by 91-0 vote. Record Vote Number 444. (All Actions) </t>
  </si>
  <si>
    <t>581</t>
  </si>
  <si>
    <t>EXTRADITION TREATY WITH THE FEDERAL REPUBLIC OF GERMANY</t>
  </si>
  <si>
    <t xml:space="preserve">11/29/1979 - 96th Congress (1979-1980) - Approved by 93-0 vote. Record Vote Number 441. (All Actions) </t>
  </si>
  <si>
    <t>582</t>
  </si>
  <si>
    <t>EXTRADITION TREATY WITH FINLAND</t>
  </si>
  <si>
    <t>04/18/1977 - 95th Congress (1977-1978)</t>
  </si>
  <si>
    <t xml:space="preserve">11/29/1979 - 96th Congress (1979-1980) - General debate; approved by 93-0 vote. Record Vote Number 440. (All Actions) </t>
  </si>
  <si>
    <t>583</t>
  </si>
  <si>
    <t>CONVENTION ABOLISHING THE REQUIREMENT OF LEGALISATION FOR FOREIGN PUBLIC DOCUMENTS</t>
  </si>
  <si>
    <t>07/19/1976 - 94th Congress (1975-1976)</t>
  </si>
  <si>
    <t xml:space="preserve">11/28/1979 - 96th Congress (1979-1980) - General debate; approved by 98-0 vote. Record Vote Number 435. (All Actions) </t>
  </si>
  <si>
    <t>584</t>
  </si>
  <si>
    <t>CONVENTION ON THE PROHIBITION OF MILITARY OR ANY OTHER HOSTILE USE OF ENVIRONMENTAL MODIFICATION TECHNIQUES</t>
  </si>
  <si>
    <t>09/22/1978 - 95th Congress (1977-1978)</t>
  </si>
  <si>
    <t xml:space="preserve">11/28/1979 - 96th Congress (1979-1980) - General debate; approved by 98-0 vote. Record Vote Number 434. (All Actions) </t>
  </si>
  <si>
    <t>585</t>
  </si>
  <si>
    <t>TREATY WITH TURKEY ON EXTRADITION AND MUTUAL ASSISTANCE IN CRIMINAL MATTERS</t>
  </si>
  <si>
    <t xml:space="preserve">11/28/1979 - 96th Congress (1979-1980) - Approved by 98-0 vote. Record Vote Number 436. (All Actions) </t>
  </si>
  <si>
    <t>586</t>
  </si>
  <si>
    <t>INTERNATIONAL COVENANT ON ECONOMIC, SOCIAL AND CULTURAL RIGHTS</t>
  </si>
  <si>
    <t xml:space="preserve">11/19/1979 - 96th Congress (1979-1980) - Hearings held. (All Actions) </t>
  </si>
  <si>
    <t>587</t>
  </si>
  <si>
    <t>AMERICAN CONVENTION ON HUMAN RIGHTS</t>
  </si>
  <si>
    <t>588</t>
  </si>
  <si>
    <t>ESTATE AND GIFT TAX CONVENTION WITH FRANCE</t>
  </si>
  <si>
    <t>02/09/1979 - 96th Congress (1979-1980)</t>
  </si>
  <si>
    <t xml:space="preserve">07/09/1979 - 96th Congress (1979-1980) - Approved by 98-0 vote. Record Vote Number 154. (All Actions) </t>
  </si>
  <si>
    <t>589</t>
  </si>
  <si>
    <t>PROTOCOL TO THE 1967 INCOME TAX CONVENTION WITH FRANCEAS AMENDED IN 1970</t>
  </si>
  <si>
    <t xml:space="preserve">07/09/1979 - 96th Congress (1979-1980) - Approved by 98-0 vote. Record Vote Number 155. (All Actions) </t>
  </si>
  <si>
    <t>590</t>
  </si>
  <si>
    <t>THIRD PROTOCOL TO THE 1975 TAX CONVENTION WITH THE UNITED KINGDOM</t>
  </si>
  <si>
    <t>04/12/1979 - 96th Congress (1979-1980)</t>
  </si>
  <si>
    <t xml:space="preserve">07/09/1979 - 96th Congress (1979-1980) - Approved by 98-0 vote. Record Vote Number 156. (All Actions) </t>
  </si>
  <si>
    <t>591</t>
  </si>
  <si>
    <t>ESTATE AND GIFT TAX CONVENTION WITH THE UNITED KINGDOM</t>
  </si>
  <si>
    <t xml:space="preserve">07/09/1979 - 96th Congress (1979-1980) - Approved by 98-0 vote. Record Vote Number 157. (All Actions) </t>
  </si>
  <si>
    <t>592</t>
  </si>
  <si>
    <t>TAX CONVENTION WITH HUNGARY</t>
  </si>
  <si>
    <t xml:space="preserve">07/09/1979 - 96th Congress (1979-1980) - Approved by 98-0 vote. Record Vote Number 159. (All Actions) </t>
  </si>
  <si>
    <t>593</t>
  </si>
  <si>
    <t>TAX CONVENTION WITH THE REPUBLIC OF KOREA</t>
  </si>
  <si>
    <t>09/03/1976 - 94th Congress (1975-1976)</t>
  </si>
  <si>
    <t xml:space="preserve">07/09/1979 - 96th Congress (1979-1980) - General debate; approved by 98-0 vote. Record Vote Number 158. (All Actions) </t>
  </si>
  <si>
    <t>594</t>
  </si>
  <si>
    <t>PROTOCOLS FOR THE 4TH EXTENSION OF THE 1971 INTERNATIONAL WHEAT AGREEMENT</t>
  </si>
  <si>
    <t>03/15/1979 - 96th Congress (1979-1980)</t>
  </si>
  <si>
    <t xml:space="preserve">06/26/1979 - 96th Congress (1979-1980) - General debate; approved by 89-6 vote. Record Vote Number 153. (All Actions) </t>
  </si>
  <si>
    <t>595</t>
  </si>
  <si>
    <t>INTERNATIONAL CONVENTION FOR THE PREVENTION OF POLLUTION FROM SHIPS, WITH ANNEXES AND PROTOCOLS</t>
  </si>
  <si>
    <t>03/22/1977 - 95th Congress (1977-1978)</t>
  </si>
  <si>
    <t xml:space="preserve">01/23/1979 - 96th Congress (1979-1980) - Treaty incorporated into Treaty Doc. 96-3 per transmittal letter from the President dated January 19, 1979. (All Actions) </t>
  </si>
  <si>
    <t>596</t>
  </si>
  <si>
    <t>PROTOCOL AMENDING THE INTERNATIONAL CONVENTION FOR THE HIGH SEAS FISHERIES ON THE NORTH PACIFIC OCEAN</t>
  </si>
  <si>
    <t>06/05/1978 - 95th Congress (1977-1978)</t>
  </si>
  <si>
    <t xml:space="preserve">10/11/1978 - 95th Congress (1977-1978) - General debate; approved by 86-0 vote. Record Vote Number: 480. (All Actions) </t>
  </si>
  <si>
    <t>597</t>
  </si>
  <si>
    <t>CONVENTION WITH THE UNION OF SOVIET SOCIALIST REPUBLICS ON THE CONSERVATION OF MIGRATORY BIRDS AND THEIR ENVIRONMENT</t>
  </si>
  <si>
    <t>07/18/1977 - 95th Congress (1977-1978)</t>
  </si>
  <si>
    <t xml:space="preserve">07/12/1978 - 95th Congress (1977-1978) - General debate; approved by 95-0 vote. Record Vote Number 208. (All Actions) </t>
  </si>
  <si>
    <t>598</t>
  </si>
  <si>
    <t>1973 PROTOCOL RELATING TO INTERVENTION ON THE HIGH SEAS IN CASES OF MARINE POLLUTION BY SUBSTANCES OTHER THAN OIL</t>
  </si>
  <si>
    <t>07/25/1977 - 95th Congress (1977-1978)</t>
  </si>
  <si>
    <t xml:space="preserve">07/12/1978 - 95th Congress (1977-1978) - General debate; approved by 95-0 vote. Record Vote Number 206. (All Actions) </t>
  </si>
  <si>
    <t>599</t>
  </si>
  <si>
    <t>RECIPROCAL FISHERIES AGREEMENT WITH THE UNITED KINGDOM</t>
  </si>
  <si>
    <t>10/07/1977 - 95th Congress (1977-1978)</t>
  </si>
  <si>
    <t xml:space="preserve">07/12/1978 - 95th Congress (1977-1978) - General debate; approved by 95-0 vote. Record Vote Number 207. (All Actions) </t>
  </si>
  <si>
    <t>600</t>
  </si>
  <si>
    <t>TREATY WITH BOLIVIA ON THE EXECUTION OF PENAL SENTENCES</t>
  </si>
  <si>
    <t>04/14/1978 - 95th Congress (1977-1978)</t>
  </si>
  <si>
    <t xml:space="preserve">07/12/1978 - 95th Congress (1977-1978) - General debate; approved by 95-0 vote. Record Vote Number 204. (All Actions) </t>
  </si>
  <si>
    <t>601</t>
  </si>
  <si>
    <t>1974 INTERNATIONAL CONVENTION FOR THE SAFETY OF LIFE AT SEA</t>
  </si>
  <si>
    <t>08/09/1976 - 94th Congress (1975-1976)</t>
  </si>
  <si>
    <t xml:space="preserve">07/12/1978 - 95th Congress (1977-1978) - General debate; approved by 95-0 vote. Record Vote Number 205. (All Actions) </t>
  </si>
  <si>
    <t>602</t>
  </si>
  <si>
    <t>SECOND PROTOCOL TO THE 1975 TAX CONVENTION WITH THE UNITED KINGDOM</t>
  </si>
  <si>
    <t>06/06/1977 - 95th Congress (1977-1978)</t>
  </si>
  <si>
    <t xml:space="preserve">06/27/1978 - 95th Congress (1977-1978) - General debate; approved by 82-5 vote. Record Vote Number: 178. (All Actions) </t>
  </si>
  <si>
    <t>603</t>
  </si>
  <si>
    <t>TAX CONVENTION WITH THE UNITED KINGDOM</t>
  </si>
  <si>
    <t>06/24/1976 - 94th Congress (1975-1976)</t>
  </si>
  <si>
    <t>PROTOCOL TO THE 1975 TAX CONVENTION WITH THE UNITED KINGDOM</t>
  </si>
  <si>
    <t>09/22/1976 - 94th Congress (1975-1976)</t>
  </si>
  <si>
    <t>605</t>
  </si>
  <si>
    <t>PANAMA CANAL TREATY</t>
  </si>
  <si>
    <t>09/16/1977 - 95th Congress (1977-1978)</t>
  </si>
  <si>
    <t xml:space="preserve">04/18/1978 - 95th Congress (1977-1978) - Resolution of ratification agreed to with reservations and understandings by 68-32 vote. Record Vote Number: 119. (All Actions) </t>
  </si>
  <si>
    <t>606</t>
  </si>
  <si>
    <t>TREATY CONCERNING THE PERMANENT NEUTRALITY AND OPERATION OF THE PANAMA CANAL</t>
  </si>
  <si>
    <t xml:space="preserve">03/16/1978 - 95th Congress (1977-1978) - Resolution of ratification with amendments, conditions, reservations and understandings agreed to by 68-32 vote. Record Vote Number: 66. (All Actions) </t>
  </si>
  <si>
    <t>607</t>
  </si>
  <si>
    <t>PROTOCOL TO THE CONVENTION ON INTERNATIONAL CIVIL AVIATION</t>
  </si>
  <si>
    <t>01/11/1977 - 95th Congress (1977-1978)</t>
  </si>
  <si>
    <t xml:space="preserve">09/26/1977 - 95th Congress (1977-1978) - General debate; approved by 90-0 vote. Record Vote Number 407. (All Actions) </t>
  </si>
  <si>
    <t>608</t>
  </si>
  <si>
    <t>AGREEMENT WITH CANADA CONCERNING TRANSIT PIPELINES</t>
  </si>
  <si>
    <t>03/30/1977 - 95th Congress (1977-1978)</t>
  </si>
  <si>
    <t xml:space="preserve">08/03/1977 - 95th Congress (1977-1978) - General debate; approved by voice vote; vote vitiated; approved by 92-1 vote. Record Vote Number 324. (All Actions) </t>
  </si>
  <si>
    <t>609</t>
  </si>
  <si>
    <t>TREATY WITH MEXICO ON THE EXECUTION OF PENAL SENTENCES</t>
  </si>
  <si>
    <t>02/15/1977 - 95th Congress (1977-1978)</t>
  </si>
  <si>
    <t xml:space="preserve">07/21/1977 - 95th Congress (1977-1978) - General debate; declaration agreed to; approved by 90-0 vote. Record Vote Number: 316. (All Actions) </t>
  </si>
  <si>
    <t>TREATY WITH CANADA ON THE EXECUTION OF PENAL SENTENCES</t>
  </si>
  <si>
    <t xml:space="preserve">07/19/1977 - 95th Congress (1977-1978) - General debate; declaration agreed to; approved by 95-0 vote. Record Vote Number: 301. (All Actions) </t>
  </si>
  <si>
    <t>611</t>
  </si>
  <si>
    <t>PROTOCOL OF AMENDMENT TO THE INTER-AMERICAN TREATY OF RECIPROCAL ASSISTANCE (RIO TREATY)</t>
  </si>
  <si>
    <t>11/29/1975 - 94th Congress (1975-1976)</t>
  </si>
  <si>
    <t xml:space="preserve">07/19/1977 - 95th Congress (1977-1978) - General debate; reservation agreed to; approved by 95-0 vote. Record Vote Number 300. (All Actions) </t>
  </si>
  <si>
    <t>612</t>
  </si>
  <si>
    <t>AGREEMENT ON THE CONSERVATION OF POLAR BEARS</t>
  </si>
  <si>
    <t>11/28/1975 - 94th Congress (1975-1976)</t>
  </si>
  <si>
    <t xml:space="preserve">09/15/1976 - 94th Congress (1975-1976) - General debate; approved by 88-0 vote. Record Vote Number: 595. (All Actions) </t>
  </si>
  <si>
    <t>613</t>
  </si>
  <si>
    <t>CONVENTION FOR THE CONSERVATION OF ANTARCTIC SEALS</t>
  </si>
  <si>
    <t>12/17/1975 - 94th Congress (1975-1976)</t>
  </si>
  <si>
    <t xml:space="preserve">09/15/1976 - 94th Congress (1975-1976) - General debate; approved by 88-0 vote. Record Vote Number: 596. (All Actions) </t>
  </si>
  <si>
    <t>614</t>
  </si>
  <si>
    <t>FIFTH INTERNATIONAL TIN AGREEMENT</t>
  </si>
  <si>
    <t>06/23/1976 - 94th Congress (1975-1976)</t>
  </si>
  <si>
    <t xml:space="preserve">09/15/1976 - 94th Congress (1975-1976) - General debate; approved by 71-17 vote. Record Vote Number: 598. (All Actions) </t>
  </si>
  <si>
    <t>615</t>
  </si>
  <si>
    <t>CUSTOMS CONVENTION ON CONTAINERS, 1972, AND INTERNATIONAL CONVENTION FOR SAFE CONTAINERS</t>
  </si>
  <si>
    <t xml:space="preserve">09/15/1976 - 94th Congress (1975-1976) - Resolution of advice and consent to ratification agreed to in Senate by Yea-Nay vote. 88-0. Record Vote No: 594 EX. (All Actions) </t>
  </si>
  <si>
    <t>616</t>
  </si>
  <si>
    <t>PROTOCOL AMENDING THE INTERIM CONVENTION ON CONSERVATION OF NORTH PACIFIC FUR SEALS</t>
  </si>
  <si>
    <t xml:space="preserve">09/15/1976 - 94th Congress (1975-1976) - General debate; approved by 88-0 vote. Record Vote Number: 597. (All Actions) </t>
  </si>
  <si>
    <t>617</t>
  </si>
  <si>
    <t>1976 INTERNATIONAL COFFEE AGREEMENT</t>
  </si>
  <si>
    <t>04/05/1976 - 94th Congress (1975-1976)</t>
  </si>
  <si>
    <t xml:space="preserve">08/23/1976 - 94th Congress (1975-1976) - Reported without reservation (Ex. Rept. 94-30); general debate; approved by 75-0 vote. (All Actions) </t>
  </si>
  <si>
    <t>618</t>
  </si>
  <si>
    <t>1976 PROTOCOLS FOR THE THIRD EXTENSION OF THE 1971 INTERNATIONAL WHEAT AGREEMENT</t>
  </si>
  <si>
    <t>06/18/1976 - 94th Congress (1975-1976)</t>
  </si>
  <si>
    <t xml:space="preserve">08/23/1976 - 94th Congress (1975-1976) - Reported without reservation (Ex. Rept. 94-31); general debate; approved by 75-0 vote. (All Actions) </t>
  </si>
  <si>
    <t>619</t>
  </si>
  <si>
    <t>EXTRADITION TREATY WITH THE UNITED KINGDOM</t>
  </si>
  <si>
    <t>02/03/1976 - 94th Congress (1975-1976)</t>
  </si>
  <si>
    <t xml:space="preserve">06/21/1976 - 94th Congress (1975-1976) - General debate; approved by 88-0 vote. Record Vote Number 305. (All Actions) </t>
  </si>
  <si>
    <t>620</t>
  </si>
  <si>
    <t>SUPPLEMENTARY EXTRADITION TREATY WITH SPAIN</t>
  </si>
  <si>
    <t xml:space="preserve">06/21/1976 - 94th Congress (1975-1976) - General debate; approved by 88-0 vote. Record Vote Number 304. (All Actions) </t>
  </si>
  <si>
    <t>621</t>
  </si>
  <si>
    <t>TREATY OF FRIENDSHIP AND COOPERATION WITH SPAIN</t>
  </si>
  <si>
    <t>02/18/1976 - 94th Congress (1975-1976)</t>
  </si>
  <si>
    <t xml:space="preserve">06/21/1976 - 94th Congress (1975-1976) - General debate; declaration approved by 91-4 vote; treaty approved by 84-11 vote. Record Vote Number 309. (All Actions) </t>
  </si>
  <si>
    <t>622</t>
  </si>
  <si>
    <t>TREATY WITH SWITZERLAND ON MUTUAL ASSISTANCE IN CRIMINAL MATTERS</t>
  </si>
  <si>
    <t xml:space="preserve">06/21/1976 - 94th Congress (1975-1976) - General debate; approved by 88-0 vote. Record Vote Number 307. (All Actions) </t>
  </si>
  <si>
    <t>623</t>
  </si>
  <si>
    <t>CONVENTION ON REGISTRATION OF OBJECTS LAUNCHED INTO OUTER SPACE</t>
  </si>
  <si>
    <t>03/18/1976 - 94th Congress (1975-1976)</t>
  </si>
  <si>
    <t xml:space="preserve">06/21/1976 - 94th Congress (1975-1976) - General debate; approved by 88-0 vote. Record Vote Number 306. (All Actions) </t>
  </si>
  <si>
    <t>624</t>
  </si>
  <si>
    <t>PARTIAL REVISION OF THE RADIO REGULATIONS (GENEVA 1959)</t>
  </si>
  <si>
    <t>07/16/1975 - 94th Congress (1975-1976)</t>
  </si>
  <si>
    <t xml:space="preserve">01/22/1976 - 94th Congress (1975-1976) - General debate; approved by 88-0 vote. Record Vote Number 6. (All Actions) </t>
  </si>
  <si>
    <t>625</t>
  </si>
  <si>
    <t>TELEGRAPH AND TELEPHONE REGULATIONS, 1973</t>
  </si>
  <si>
    <t xml:space="preserve">01/22/1976 - 94th Congress (1975-1976) - Resolution of advice and consent to ratification agreed to in Senate by Yea-Nay vote. 88-0. Record Vote No: 5 EX. (All Actions) </t>
  </si>
  <si>
    <t>626</t>
  </si>
  <si>
    <t>INTERNATIONAL TELECOMMUNICATIONS CONVENTION, 1973</t>
  </si>
  <si>
    <t xml:space="preserve">01/22/1976 - 94th Congress (1975-1976) - Resolution of advice and consent to ratification agreed to in Senate by Yea-Nay vote. 88-0. Record Vote No: 4 EX. (All Actions) </t>
  </si>
  <si>
    <t>627</t>
  </si>
  <si>
    <t>CONVENTION WITH THE UNION OF SOVIET SOCIALIST REPUBLICS ON MATTERS OF TAXATION</t>
  </si>
  <si>
    <t>09/19/1973 - 93rd Congress (1973-1974)</t>
  </si>
  <si>
    <t xml:space="preserve">12/15/1975 - 94th Congress (1975-1976) - Resolution of advice and consent to ratification agreed to in Senate by Yea-Nay vote. 82-4. Record Vote No: 590 EX. (All Actions) </t>
  </si>
  <si>
    <t>628</t>
  </si>
  <si>
    <t>PROTOCOLS FOR THE FURTHER EXTENSION OF THE 1971 INTERNATIONAL WHEAT AGREEMENT</t>
  </si>
  <si>
    <t>06/11/1975 - 94th Congress (1975-1976)</t>
  </si>
  <si>
    <t xml:space="preserve">12/01/1975 - 94th Congress (1975-1976) - General debate; approved by 79-0 vote. Record Vote Number 531. (All Actions) </t>
  </si>
  <si>
    <t>629</t>
  </si>
  <si>
    <t>EXTRADITION TREATY WITH AUSTRALIA</t>
  </si>
  <si>
    <t>08/22/1974 - 93rd Congress (1973-1974)</t>
  </si>
  <si>
    <t xml:space="preserve">12/01/1975 - 94th Congress (1975-1976) - Resolution of advice and consent to ratification agreed to in Senate by Yea-Nay vote. 79-0. Record Vote No: 592 EX. (All Actions) </t>
  </si>
  <si>
    <t>630</t>
  </si>
  <si>
    <t>EXTRADITION TREATY WITH CANADA</t>
  </si>
  <si>
    <t>09/12/1974 - 93rd Congress (1973-1974)</t>
  </si>
  <si>
    <t xml:space="preserve">12/01/1975 - 94th Congress (1975-1976) - Resolution of advice and consent to ratification agreed to in Senate by Yea-Nay vote. 79-0. Record Vote No: 530 EX. (All Actions) </t>
  </si>
  <si>
    <t>631</t>
  </si>
  <si>
    <t>INCOME TAX CONVENTION WITH POLAND</t>
  </si>
  <si>
    <t>01/23/1975 - 94th Congress (1975-1976)</t>
  </si>
  <si>
    <t xml:space="preserve">11/18/1975 - 94th Congress (1975-1976) - General debate; approved by 97-0 vote. Record Vote Number 502. (All Actions) </t>
  </si>
  <si>
    <t>632</t>
  </si>
  <si>
    <t>TAX CONVENTION WITH ICELAND</t>
  </si>
  <si>
    <t>07/08/1975 - 94th Congress (1975-1976)</t>
  </si>
  <si>
    <t xml:space="preserve">11/18/1975 - 94th Congress (1975-1976) - General debate; approved by 97-0 vote. Record Vote Number 501. (All Actions) </t>
  </si>
  <si>
    <t>633</t>
  </si>
  <si>
    <t>TAX CONVENTION WITH ROMANIA</t>
  </si>
  <si>
    <t>03/28/1974 - 93rd Congress (1973-1974)</t>
  </si>
  <si>
    <t xml:space="preserve">11/18/1975 - 94th Congress (1975-1976) - Resolution of advice and consent to ratification agreed to in Senate by Yea-Nay vote. 97-0. Record Vote No: 503 EX. (All Actions) </t>
  </si>
  <si>
    <t>634</t>
  </si>
  <si>
    <t>PROTOCOL TO THE TREATY WITH THE UNION OF SOVIET SOCIALIST REPUBLICS ON THE LIMITATION OF ANTIBALLISTIC MISSLE SYSTEMS (SALT I)</t>
  </si>
  <si>
    <t>09/19/1974 - 93rd Congress (1973-1974)</t>
  </si>
  <si>
    <t xml:space="preserve">11/10/1975 - 94th Congress (1975-1976) - Resolution of advice and consent to ratification agreed to in Senate by Yea-Nay vote. 63-15. Record Vote No: 475 EX. (All Actions) </t>
  </si>
  <si>
    <t>635</t>
  </si>
  <si>
    <t>PROTOCOL FOR THE CONTINUATION IN FORCE OF THE 1968 INTERNATIONAL COFFEE AGREEMENT</t>
  </si>
  <si>
    <t>04/16/1975 - 94th Congress (1975-1976)</t>
  </si>
  <si>
    <t xml:space="preserve">10/28/1975 - 94th Congress (1975-1976) - General debate; approved by 94-0 vote. Record Vote Number 456. (All Actions) </t>
  </si>
  <si>
    <t>636</t>
  </si>
  <si>
    <t>AGREEMENT WITH BRAZIL CONCERNING SHRIMP</t>
  </si>
  <si>
    <t xml:space="preserve">10/28/1975 - 94th Congress (1975-1976) - General debate; approved by 94-0 vote. Record Vote Number: 457. (All Actions) </t>
  </si>
  <si>
    <t>637</t>
  </si>
  <si>
    <t>AMENDMENTS TO CERTAIN ARTICLES OF THE CONVENTION ON THE INTERGOVERNMENTAL MARITIME CONSULTATIVE ORGANIZATION</t>
  </si>
  <si>
    <t>07/10/1975 - 94th Congress (1975-1976)</t>
  </si>
  <si>
    <t xml:space="preserve">10/28/1975 - 94th Congress (1975-1976) - General debate; approved by 94-0 vote. Record Vote Number 458. (All Actions) </t>
  </si>
  <si>
    <t>638</t>
  </si>
  <si>
    <t>CONVENTION ON THE INTERNATIONAL REGULATIONS FOR PREVENTING COLLISIONS AT SEA, 1972</t>
  </si>
  <si>
    <t>11/09/1973 - 93rd Congress (1973-1974)</t>
  </si>
  <si>
    <t xml:space="preserve">10/28/1975 - 94th Congress (1975-1976) - Resolution of advice and consent to ratification agreed to in Senate by Yea-Nay vote. 94-0. Record Vote No: 453 EX. (All Actions) </t>
  </si>
  <si>
    <t>639</t>
  </si>
  <si>
    <t>AMENDMENTS TO THE CONVENTION FOR THE SAFETY OF LIFE AT SEA, 1960</t>
  </si>
  <si>
    <t>10/17/1974 - 93rd Congress (1973-1974)</t>
  </si>
  <si>
    <t xml:space="preserve">10/28/1975 - 94th Congress (1975-1976) - Resolution of advice and consent to ratification agreed to in Senate by Yea-Nay vote. 94-0. Record Vote No: 454 EX. (All Actions) </t>
  </si>
  <si>
    <t>640</t>
  </si>
  <si>
    <t>CONVENTION ON THE PREVENTION AND PUNISHMENT OF CRIMES AGAINST INTERNATIONALLY PROTECTED PERSONS</t>
  </si>
  <si>
    <t xml:space="preserve">10/28/1975 - 94th Congress (1975-1976) - Resolution of advice and consent to ratification agreed to in Senate by Yea-Nay vote. 94-0. Record Vote No: 455 EX. (All Actions) </t>
  </si>
  <si>
    <t>641</t>
  </si>
  <si>
    <t>AGREEMENT FOR THE CREATION OF AN INTERNATIONAL OFFICE OF EPIZOOTICS</t>
  </si>
  <si>
    <t xml:space="preserve">05/06/1975 - 94th Congress (1975-1976) - Resolution of advice and consent to ratification agreed to in Senate by Yea-Nay vote. 82-0. Record Vote No: 162 EX. (All Actions) </t>
  </si>
  <si>
    <t>642</t>
  </si>
  <si>
    <t>PROTOCOL FOR THE PROHIBITION OF THE USE IN WAR OF ASPHYXIATING, POISONOUS, OR OTHER GASES, AND OF BACTERIOLOGICAL METHODS OF WARFARE</t>
  </si>
  <si>
    <t>08/19/1970 - 91st Congress (1969-1970)</t>
  </si>
  <si>
    <t xml:space="preserve">12/16/1974 - 93rd Congress (1973-1974) - Resolution of advice and consent to ratification agreed to in Senate by Yea-Nay vote. 90-0. Record Vote No: 552 EX. (All Actions) </t>
  </si>
  <si>
    <t>643</t>
  </si>
  <si>
    <t>AMENDED TEXT TO ARTICLE VII OF THE CONVENTION ON FACILITATION OF INTERNATIONAL MARITIME TRAFFIC, 1965</t>
  </si>
  <si>
    <t>07/29/1974 - 93rd Congress (1973-1974)</t>
  </si>
  <si>
    <t xml:space="preserve">12/16/1974 - 93rd Congress (1973-1974) - Resolution of advice and consent to ratification agreed to in Senate by Yea-Nay vote. 90-0. Record Vote No: 554 EX. (All Actions) </t>
  </si>
  <si>
    <t>644</t>
  </si>
  <si>
    <t>CONVENTION ON THE PROHIBITION OF BACTERIOLOGICAL AND TOXIN WEAPONS</t>
  </si>
  <si>
    <t xml:space="preserve">12/16/1974 - 93rd Congress (1973-1974) - Resolution of advice and consent to ratification agreed to in Senate by Yea-Nay vote. 90-0. Record Vote No: 553 EX. (All Actions) </t>
  </si>
  <si>
    <t>645</t>
  </si>
  <si>
    <t>CONSULAR CONVENTION WITH BULGARIA</t>
  </si>
  <si>
    <t xml:space="preserve">12/16/1974 - 93rd Congress (1973-1974) - Resolution of advice and consent to ratification agreed to in Senate by Yea-Nay vote. 90-0. Record Vote No: 555 EX. (All Actions) </t>
  </si>
  <si>
    <t>646</t>
  </si>
  <si>
    <t>CONSULAR CONVENTION WITH THE CZECHOSLOVAK SOCIALIST REPUBLIC</t>
  </si>
  <si>
    <t>02/21/1974 - 93rd Congress (1973-1974)</t>
  </si>
  <si>
    <t xml:space="preserve">09/30/1974 - 93rd Congress (1973-1974) - Resolution of advice and consent to ratification agreed to in Senate by Yea-Nay vote. 78-0. Record Vote No: 427 EX. (All Actions) </t>
  </si>
  <si>
    <t>647</t>
  </si>
  <si>
    <t>PROTOCOL TO THE CONVENTION FOR THE INTERNATIONAL COUNCIL FOR THE EXPLORATION OF THE SEA</t>
  </si>
  <si>
    <t xml:space="preserve">09/04/1974 - 93rd Congress (1973-1974) - Resolution of advice and consent to ratification agreed to in Senate by Yea-Nay vote. 65-0. Record Vote No: 361 EX. (All Actions) </t>
  </si>
  <si>
    <t>648</t>
  </si>
  <si>
    <t>PROTOCOLS FOR THE EXTENSION OF THE INTERNATIONAL WHEAT AGREEMENT, 1971</t>
  </si>
  <si>
    <t>05/14/1974 - 93rd Congress (1973-1974)</t>
  </si>
  <si>
    <t xml:space="preserve">06/21/1974 - 93rd Congress (1973-1974) - Resolution of advice and consent to ratification agreed to in Senate by Yea-Nay vote. 75-0. Record Vote No: 217 EX. (All Actions) </t>
  </si>
  <si>
    <t>649</t>
  </si>
  <si>
    <t>VIENNA CONVENTION ON THE LAW OF TREATIES</t>
  </si>
  <si>
    <t>11/22/1971 - 92nd Congress (1971-1972)</t>
  </si>
  <si>
    <t xml:space="preserve">04/30/1974 - 93rd Congress (1973-1974) - Committee on Foreign Relations. Committee consideration held. (All Actions) </t>
  </si>
  <si>
    <t>650</t>
  </si>
  <si>
    <t>TREATY ON EXTRADITION WITH DENMARK</t>
  </si>
  <si>
    <t>10/30/1973 - 93rd Congress (1973-1974)</t>
  </si>
  <si>
    <t xml:space="preserve">03/29/1974 - 93rd Congress (1973-1974) - Resolution of advice and consent to ratification agreed to in Senate by Yea-Nay vote. 63-0. Record Vote No: 92 EX. (All Actions) </t>
  </si>
  <si>
    <t>651</t>
  </si>
  <si>
    <t>CUSTOMS CONVENTION ON THE INTERNATIONAL TRANSIT OF GOODS</t>
  </si>
  <si>
    <t xml:space="preserve">01/21/1974 - 93rd Congress (1973-1974) - Resolution of advice and consent to ratification agreed to in Senate by Yea-Nay vote. 82-0. Record Vote No: 2 EX. (All Actions) </t>
  </si>
  <si>
    <t>652</t>
  </si>
  <si>
    <t>PROTOCOL AMENDING THE 1928 CONVENTION CONCERNING INTERNATIONAL EXPOSITIONS</t>
  </si>
  <si>
    <t xml:space="preserve">11/26/1973 - 93rd Congress (1973-1974) - Resolution of advice and consent to ratification agreed to in Senate by Yea-Nay vote. 76-0. Record Vote No: 495 EX. (All Actions) </t>
  </si>
  <si>
    <t>653</t>
  </si>
  <si>
    <t>PROTOCOL TO THE INTERNATIONAL CIVIL AVIATION CONVENTION</t>
  </si>
  <si>
    <t>09/12/1973 - 93rd Congress (1973-1974)</t>
  </si>
  <si>
    <t xml:space="preserve">11/26/1973 - 93rd Congress (1973-1974) - Resolution of advice and consent to ratification agreed to in Senate by Yea-Nay vote. 76-0. Record Vote No: 496 EX. (All Actions) </t>
  </si>
  <si>
    <t>654</t>
  </si>
  <si>
    <t>STRASBOURG AGREEMENT CONCERNING THE INTERNATIONAL PATENT CLASSIFICATION</t>
  </si>
  <si>
    <t>03/22/1973 - 93rd Congress (1973-1974)</t>
  </si>
  <si>
    <t xml:space="preserve">10/30/1973 - 93rd Congress (1973-1974) - Approved by 95-0 vote (No. 456 Ex.). (All Actions) </t>
  </si>
  <si>
    <t>655</t>
  </si>
  <si>
    <t>CONVENTION CONCERNING THE PROTECTION OF THE WORLD CULTURAL AND NATURAL HERITAGE</t>
  </si>
  <si>
    <t xml:space="preserve">10/30/1973 - 93rd Congress (1973-1974) - Approved 95-0 vote (No. 458 Ex.). (All Actions) </t>
  </si>
  <si>
    <t>656</t>
  </si>
  <si>
    <t>STATUTES OF THE WORLD TOURISM ORGANIZATION</t>
  </si>
  <si>
    <t xml:space="preserve">10/30/1973 - 93rd Congress (1973-1974) - Approved by 95-0 vote (No. 457 Ex.). (All Actions) </t>
  </si>
  <si>
    <t>657</t>
  </si>
  <si>
    <t>PATENT COOPERATION TREATY AND ANNEXED REGULATIONS</t>
  </si>
  <si>
    <t xml:space="preserve">10/30/1973 - 93rd Congress (1973-1974) - Resolution of advice and consent to ratification agreed to in Senate by Yea-Nay vote. 95-0. Record Vote No: 455 EX. (All Actions) </t>
  </si>
  <si>
    <t>658</t>
  </si>
  <si>
    <t>CONVENTION FOR THE PROTECTION OF PRODUCERS OF PHONOGRAMS</t>
  </si>
  <si>
    <t xml:space="preserve">10/01/1973 - 93rd Congress (1973-1974) - Resolution of advice and consent to ratification agreed to in Senate by Yea-Nay vote. 95-0. Record Vote No: 429 EX. (All Actions) </t>
  </si>
  <si>
    <t>659</t>
  </si>
  <si>
    <t>AGREEMENT WITH CANADA FOR PROMOTION OF SAFETY ON THE GREAT LAKES BY MEANS OF RADIO, 1973</t>
  </si>
  <si>
    <t xml:space="preserve">10/01/1973 - 93rd Congress (1973-1974) - Resolution of advice and consent to ratification agreed to in Senate by Yea-Nay vote. 95-0. Record Vote No: 428 EX. (All Actions) </t>
  </si>
  <si>
    <t>660</t>
  </si>
  <si>
    <t>EXTRADITION TREATY WITH URUGUAY</t>
  </si>
  <si>
    <t>05/21/1973 - 93rd Congress (1973-1974)</t>
  </si>
  <si>
    <t xml:space="preserve">10/01/1973 - 93rd Congress (1973-1974) - Resolution of advice and consent to ratification agreed to in Senate by Yea-Nay vote. 95-0. Record Vote No: 432. (All Actions) </t>
  </si>
  <si>
    <t>661</t>
  </si>
  <si>
    <t>06/26/1973 - 93rd Congress (1973-1974)</t>
  </si>
  <si>
    <t xml:space="preserve">10/01/1973 - 93rd Congress (1973-1974) - Resolution of advice and consent to ratification agreed to in Senate by Yea-Nay vote. 95-0. Record Vote No: 430 EX. (All Actions) </t>
  </si>
  <si>
    <t>662</t>
  </si>
  <si>
    <t>INTERNATIONAL COFFEE AGREEMENT 1968 AS EXTENDED</t>
  </si>
  <si>
    <t xml:space="preserve">10/01/1973 - 93rd Congress (1973-1974) - Resolution of advice and consent to ratification agreed to in Senate by Yea-Nay vote. 95-0. Record Vote No: 427 EX. (All Actions) </t>
  </si>
  <si>
    <t>663</t>
  </si>
  <si>
    <t>TREATY OF EXTRADITION WITH PARAGUAY</t>
  </si>
  <si>
    <t xml:space="preserve">10/01/1973 - 93rd Congress (1973-1974) - Resolution of advice and consent to ratification agreed to in Senate by Yea-Nay vote. 95-0. Record Vote No: 431 EX. (All Actions) </t>
  </si>
  <si>
    <t>664</t>
  </si>
  <si>
    <t>AMENDMENT TO ARTICLE 61 OF THE CHARTER OF THE UNITED NATIONS</t>
  </si>
  <si>
    <t>05/18/1973 - 93rd Congress (1973-1974)</t>
  </si>
  <si>
    <t xml:space="preserve">09/05/1973 - 93rd Congress (1973-1974) - Resolution of advice and consent to ratification agreed to in Senate by Yea-Nay vote. 80-7. Record Vote No: 366. (All Actions) </t>
  </si>
  <si>
    <t>CONVENTION ON THE PREVENTION OF MARINE POLLUTION</t>
  </si>
  <si>
    <t>02/28/1973 - 93rd Congress (1973-1974)</t>
  </si>
  <si>
    <t xml:space="preserve">08/03/1973 - 93rd Congress (1973-1974) - Approved by 86-0 vote. Record Vote Number 359. (All Actions) </t>
  </si>
  <si>
    <t>666</t>
  </si>
  <si>
    <t>AMENDMENTS TO THE INTERNATIONAL CONVENTION ON LOAD LINES, 1966</t>
  </si>
  <si>
    <t xml:space="preserve">08/03/1973 - 93rd Congress (1973-1974) - Approved by 86-0 vote (No. 361 Ex). (All Actions) </t>
  </si>
  <si>
    <t>667</t>
  </si>
  <si>
    <t>CONVENTION ON INTERNATIONAL TRADE IN ENDANGERED SPECIES OF WILD FAUNA AND FLORA</t>
  </si>
  <si>
    <t xml:space="preserve">08/03/1973 - 93rd Congress (1973-1974) - Resolution of advice and consent to ratification agreed to in Senate by Yea-Nay vote. 86-0. Record Vote No: 360 EX. (All Actions) </t>
  </si>
  <si>
    <t>668</t>
  </si>
  <si>
    <t>SIX AMENDMENTS TO THE CONVENTION FOR THE SAFETY OF LIFE AT SEA, 1960</t>
  </si>
  <si>
    <t>05/09/1973 - 93rd Congress (1973-1974)</t>
  </si>
  <si>
    <t xml:space="preserve">08/03/1973 - 93rd Congress (1973-1974) - Resolution of advice and consent to ratification agreed to in Senate by Yea-Nay vote. 89-0. Record Vote No: 362 EX. (All Actions) </t>
  </si>
  <si>
    <t>669</t>
  </si>
  <si>
    <t>EXCHANGE OF NOTES WITH ETHIOPIA CONCERNING THE ADMINISTRATION OF JUSTICE</t>
  </si>
  <si>
    <t>01/26/1973 - 93rd Congress (1973-1974)</t>
  </si>
  <si>
    <t xml:space="preserve">03/27/1973 - 93rd Congress (1973-1974) - Consideration and general debate; approved by 92-0 vote. Record Vote Number 59. (All Actions) </t>
  </si>
  <si>
    <t>670</t>
  </si>
  <si>
    <t>CONVENTION WITH JAPAN FOR THE PROTECTION OF BIRDS AND THEIR ENVIRONMENT</t>
  </si>
  <si>
    <t>08/18/1972 - 92nd Congress (1971-1972)</t>
  </si>
  <si>
    <t xml:space="preserve">03/27/1973 - 93rd Congress (1973-1974) - Resolution of advice and consent to ratification agreed to in Senate by Yea-Nay vote. 92-0. Record Vote No: 60 EX. (All Actions) </t>
  </si>
  <si>
    <t>671</t>
  </si>
  <si>
    <t>CONSULAR CONVENTION WITH POLAND</t>
  </si>
  <si>
    <t>09/19/1972 - 92nd Congress (1971-1972)</t>
  </si>
  <si>
    <t xml:space="preserve">03/27/1973 - 93rd Congress (1973-1974) - Resolution of advice and consent to ratification agreed to in Senate by Yea-Nay vote. 90-0. Record Vote No: 56 EX. (All Actions) </t>
  </si>
  <si>
    <t>672</t>
  </si>
  <si>
    <t>CONSULAR CONVENTION WITH ROMANIA</t>
  </si>
  <si>
    <t xml:space="preserve">03/27/1973 - 93rd Congress (1973-1974) - Resolution of advice and consent to ratification agreed to in Senate by Yea-Nay vote. 92-0. Record Vote No: 57 EX. (All Actions) </t>
  </si>
  <si>
    <t>673</t>
  </si>
  <si>
    <t>CONSULAR CONVENTION WITH HUNGARY</t>
  </si>
  <si>
    <t xml:space="preserve">03/27/1973 - 93rd Congress (1973-1974) - Resolution of advice and consent to ratification agreed to in Senate by Yea-Nay vote. 92-0. Record Vote No: 58 EX. (All Actions) </t>
  </si>
  <si>
    <t>674</t>
  </si>
  <si>
    <t>CONVENTION ON INTERNATIONAL LIABILITY FOR DAMAGE CAUSED BY SPACE OBJECTS</t>
  </si>
  <si>
    <t xml:space="preserve">10/06/1972 - 92nd Congress (1971-1972) - Resolution of advice and consent to ratification agreed to in Senate by Yea-Nay vote. 67-0. Record Vote No: 537 EX. (All Actions) </t>
  </si>
  <si>
    <t>675</t>
  </si>
  <si>
    <t>PROTOCOL TO THE INTERNATIONAL CONVENTION FOR THE NORTHWEST ATLANTIC FISHERIES RELATING TO AMENDMENTS TO THE CONVENTION</t>
  </si>
  <si>
    <t>05/11/1971 - 92nd Congress (1971-1972)</t>
  </si>
  <si>
    <t xml:space="preserve">10/03/1972 - 92nd Congress (1971-1972) - Resolution of advice and consent to ratification agreed to in Senate by Yea-Nay vote. 89-0. Record Vote No: 499 EX. (All Actions) </t>
  </si>
  <si>
    <t>676</t>
  </si>
  <si>
    <t>07/24/1972 - 92nd Congress (1971-1972)</t>
  </si>
  <si>
    <t xml:space="preserve">10/03/1972 - 92nd Congress (1971-1972) - Resolution of advice and consent to ratification agreed to in Senate by Yea-Nay vote. 89-0. Record Vote No: 500 EX. (All Actions) </t>
  </si>
  <si>
    <t xml:space="preserve">10/03/1972 - 92nd Congress (1971-1972) - Resolution of advice and consent to ratification agreed to in Senate by Yea-Nay vote. 89-0. Record Vote No: 501 EX. (All Actions) </t>
  </si>
  <si>
    <t>678</t>
  </si>
  <si>
    <t>CONVENTION FOR THE SUPPRESSION OF UNLAWFUL ACTS AGAINST THE SAFETY OF CIVIL AVIATION</t>
  </si>
  <si>
    <t>09/15/1972 - 92nd Congress (1971-1972)</t>
  </si>
  <si>
    <t xml:space="preserve">10/03/1972 - 92nd Congress (1971-1972) - Resolution of advice and consent to ratification agreed to in Senate by Yea-Nay vote. 89-0. Record Vote No: 502 EX. (All Actions) </t>
  </si>
  <si>
    <t>679</t>
  </si>
  <si>
    <t>PROTOCOL AMENDING THE SINGLE CONVENTION ON NARCOTIC DRUGS, 1961</t>
  </si>
  <si>
    <t xml:space="preserve">09/18/1972 - 92nd Congress (1971-1972) - Resolution of advice and consent to ratification agreed to in Senate by Yea-Nay vote. 69-0. Record Vote No: 440 EX. (All Actions) </t>
  </si>
  <si>
    <t>680</t>
  </si>
  <si>
    <t>UNIVERSAL COPYRIGHT CONVENTION, AS REVISED, WITH PROTOCOLS</t>
  </si>
  <si>
    <t xml:space="preserve">08/14/1972 - 92nd Congress (1971-1972) - Approved by 67-0 vote. (All Actions) </t>
  </si>
  <si>
    <t>681</t>
  </si>
  <si>
    <t>CONVENTION ON OWNERSHIP OF CULTURAL PROPERTY</t>
  </si>
  <si>
    <t xml:space="preserve">08/11/1972 - 92nd Congress (1971-1972) - Resolution of advice and consent to ratification agreed to in Senate by Yea-Nay vote. 79-0. Record Vote No: 374 EX. (All Actions) </t>
  </si>
  <si>
    <t>682</t>
  </si>
  <si>
    <t>TAX CONVENTION WITH NORWAY</t>
  </si>
  <si>
    <t>02/03/1972 - 92nd Congress (1971-1972)</t>
  </si>
  <si>
    <t xml:space="preserve">08/11/1972 - 92nd Congress (1971-1972) - Resolution of advice and consent to ratification agreed to in Senate by Yea-Nay vote. 70-0. Record Vote No: 376 EX. (All Actions) </t>
  </si>
  <si>
    <t>683</t>
  </si>
  <si>
    <t>CONVENTION ESTABLISHING AN INTERNATIONAL ORGANIZATION OF LEGAL METROLOGY</t>
  </si>
  <si>
    <t xml:space="preserve">08/11/1972 - 92nd Congress (1971-1972) - Resolution of advice and consent to ratification agreed to in Senate by Yea-Nay vote. 79-0. Record Vote No: 375 EX. (All Actions) </t>
  </si>
  <si>
    <t>684</t>
  </si>
  <si>
    <t>ABM TREATY AND INTERIM AGREEMENT AND ASSOCIATED PROTOCOL</t>
  </si>
  <si>
    <t>06/13/1972 - 92nd Congress (1971-1972)</t>
  </si>
  <si>
    <t xml:space="preserve">08/03/1972 - 92nd Congress (1971-1972) - Treaty considered in executive session; amendment to resolution submitted and withdrawn; resolution of advice and consent to ratification approved 88-2 (roll call vote 343 Ex.). (All Actions) </t>
  </si>
  <si>
    <t>685</t>
  </si>
  <si>
    <t>CONVENTION ON TAKING OF EVIDENCE ABROAD IN CIVIL OR COMMERCIAL MATTERS</t>
  </si>
  <si>
    <t xml:space="preserve">06/13/1972 - 92nd Congress (1971-1972) - Resolution of advice and consent to ratification agreed to in Senate by Yea-Nay vote. 84-0. Record Vote No: 205 EX. (All Actions) </t>
  </si>
  <si>
    <t>686</t>
  </si>
  <si>
    <t>03/08/1972 - 92nd Congress (1971-1972)</t>
  </si>
  <si>
    <t xml:space="preserve">06/13/1972 - 92nd Congress (1971-1972) - Resolution of advice and consent to ratification agreed to in Senate by Yea-Nay vote. 84-0. Record Vote No: 206 EX. (All Actions) </t>
  </si>
  <si>
    <t>CONVENTION TO PREVENT AND PUNISH THE ACTS OF TERRORISM TAKING THE FORM OF CRIMES AGAINST PERSONS AND RELATED EXTORTION THAT ARE OF INTERNATIONAL SIGNIFICANCE</t>
  </si>
  <si>
    <t xml:space="preserve">06/12/1972 - 92nd Congress (1971-1972) - Resolution of advice and consent to ratification agreed to in Senate by Yea-Nay vote. 74-0. Record Vote No: 202 EX. (All Actions) </t>
  </si>
  <si>
    <t>688</t>
  </si>
  <si>
    <t>TREATY WITH HONDURAS ON THE SWAN ISLANDS</t>
  </si>
  <si>
    <t xml:space="preserve">06/12/1972 - 92nd Congress (1971-1972) - Resolution of advice and consent to ratification agreed to in Senate by Yea-Nay vote. 74-0. Record Vote No: 203 EX. (All Actions) </t>
  </si>
  <si>
    <t>689</t>
  </si>
  <si>
    <t>PARTIAL REVISION OF THE RADIO REGULATIONS (GENEVA, 1959)</t>
  </si>
  <si>
    <t xml:space="preserve">06/06/1972 - 92nd Congress (1971-1972) - Resolution of advice and consent to ratification agreed to in Senate by Yea-Nay vote. 84-0. Record Vote No: 207 EX. (All Actions) </t>
  </si>
  <si>
    <t>690</t>
  </si>
  <si>
    <t xml:space="preserve">03/17/1972 - 92nd Congress (1971-1972) - Resolution of advice and consent to ratification agreed to in Senate by Yea-Nay vote. 66-34. Record Vote No: 111 EX. (All Actions) </t>
  </si>
  <si>
    <t>691</t>
  </si>
  <si>
    <t>SEABED ARMS CONTROL TREATY</t>
  </si>
  <si>
    <t>04/21/1971 - 92nd Congress (1971-1972)</t>
  </si>
  <si>
    <t xml:space="preserve">02/15/1972 - 92nd Congress (1971-1972) - Resolution of advice and consent to ratification agreed to in Senate by Yea-Nay vote. 83-0. Record Vote No: 43 EX. (All Actions) </t>
  </si>
  <si>
    <t>692</t>
  </si>
  <si>
    <t>INDUSTRIAL DESIGNS CLASSIFICATION AGREEMENT</t>
  </si>
  <si>
    <t xml:space="preserve">12/11/1971 - 92nd Congress (1971-1972) - Resolution of advice and consent to ratification agreed to in Senate by Yea-Nay vote. 75-0. Record Vote No: 453 EX. (All Actions) </t>
  </si>
  <si>
    <t>693</t>
  </si>
  <si>
    <t>09/30/1971 - 92nd Congress (1971-1972)</t>
  </si>
  <si>
    <t xml:space="preserve">12/11/1971 - 92nd Congress (1971-1972) - Resolution of advice and consent to ratification agreed to in Senate by Yea-Nay vote. 75-0. Record Vote No: 454 EX. (All Actions) </t>
  </si>
  <si>
    <t>694</t>
  </si>
  <si>
    <t>NICE AGREEMENT, AS REVISED, CONCERNING THE INTERNATIONAL CLASSIFICATION OF GOODS AND SERVICES TO WHICH TRADEMARKS ARE APPLIED</t>
  </si>
  <si>
    <t xml:space="preserve">12/11/1971 - 92nd Congress (1971-1972) - Resolution of advice and consent to ratification agreed to in Senate by Yea-Nay vote. 75-0. Record Vote No: 452 EX. (All Actions) </t>
  </si>
  <si>
    <t>695</t>
  </si>
  <si>
    <t>TREATY WITH MEXICO RESOLVING BOUNDARY DIFFERENCES</t>
  </si>
  <si>
    <t xml:space="preserve">11/29/1971 - 92nd Congress (1971-1972) - Resolution of advice and consent to ratification agreed to in Senate by Yea-Nay vote. 79-0. Record Vote No: 400 EX. (All Actions) </t>
  </si>
  <si>
    <t>696</t>
  </si>
  <si>
    <t>TAX CONVENTION WITH JAPAN</t>
  </si>
  <si>
    <t xml:space="preserve">11/29/1971 - 92nd Congress (1971-1972) - Resolution of advice and consent to ratification agreed to in Senate by Yea-Nay vote. 79-0. Record Vote No: 401 EX. (All Actions) </t>
  </si>
  <si>
    <t>697</t>
  </si>
  <si>
    <t>12/15/1970 - 91st Congress (1969-1970)</t>
  </si>
  <si>
    <t xml:space="preserve">11/29/1971 - 92nd Congress (1971-1972) - Resolution of advice and consent to ratification agreed to in Senate by Yea-Nay vote. 79-0. Record Vote No: 402 EX. (All Actions) </t>
  </si>
  <si>
    <t>698</t>
  </si>
  <si>
    <t>AGREEMENT WITH JAPAN CONCERNING THE RYUKYU ISLANDS AND THE DAITO ISLANDS</t>
  </si>
  <si>
    <t xml:space="preserve">11/10/1971 - 92nd Congress (1971-1972) - Resolution of advice and consent to ratification agreed to in Senate by Yea-Nay vote. 84-6. Record Vote No: 299 EX. (All Actions) </t>
  </si>
  <si>
    <t>699</t>
  </si>
  <si>
    <t>INTERNATIONAL CONVENTION RELATING TO INTERVENTION ON THE HIGH SEAS IN CASES OF OIL POLLUTION CASUALTIES</t>
  </si>
  <si>
    <t xml:space="preserve">09/20/1971 - 92nd Congress (1971-1972) - Resolution of advice and consent to ratification agreed to in Senate by Yea-Nay vote. 75-0. Record Vote No: 224 EX. (All Actions) </t>
  </si>
  <si>
    <t>700</t>
  </si>
  <si>
    <t>AMENDMENTS TO THE 1954 OIL POLLUTION CONVENTION</t>
  </si>
  <si>
    <t xml:space="preserve">09/20/1971 - 92nd Congress (1971-1972) - Resolution of advice and consent to ratification agreed to in Senate by Yea-Nay vote. 75-0. Record Vote No: 225 EX. (All Actions) </t>
  </si>
  <si>
    <t>701</t>
  </si>
  <si>
    <t>CONVENTION FOR THE SUPPRESSION OF UNLAWFUL SEIZURE OF AIRCRAFT</t>
  </si>
  <si>
    <t xml:space="preserve">09/08/1971 - 92nd Congress (1971-1972) - Resolution of advice and consent to ratification agreed to in Senate by Yea-Nay vote. 53-0. Record Vote No: 213 EX. (All Actions) </t>
  </si>
  <si>
    <t>702</t>
  </si>
  <si>
    <t>INTERNATIONAL WHEAT AGREEMENT, 1971</t>
  </si>
  <si>
    <t>06/02/1971 - 92nd Congress (1971-1972)</t>
  </si>
  <si>
    <t xml:space="preserve">07/21/1971 - 92nd Congress (1971-1972) - Resolution of advice and consent to ratification agreed to in Senate by Yea-Nay vote. 78-0. Record Vote No: 137 EX. (All Actions) </t>
  </si>
  <si>
    <t>703</t>
  </si>
  <si>
    <t>ADDITIONAL PROTOCOL II TO THE TREATY FOR THE PROHIBITION OF NUCLEAR WEAPONS IN LATIN AMERICA</t>
  </si>
  <si>
    <t>08/13/1970 - 91st Congress (1969-1970)</t>
  </si>
  <si>
    <t xml:space="preserve">04/19/1971 - 92nd Congress (1971-1972) - Resolution of advice and consent to ratification agreed to in Senate by Yea-Nay vote. 70-0. Record Vote No: 41 EX. (All Actions) </t>
  </si>
  <si>
    <t>704</t>
  </si>
  <si>
    <t>CONVENTION WITH NICARAGUA TERMINATING THE BRYAN-CHAMORRO TREATY OF 1914</t>
  </si>
  <si>
    <t xml:space="preserve">02/17/1971 - 92nd Congress (1971-1972) - Resolution of advice and consent to ratification agreed to in Senate by Yea-Nay vote. 66-5. Record Vote No: 3 EX. (All Actions) </t>
  </si>
  <si>
    <t>705</t>
  </si>
  <si>
    <t>EXTRADITION TREATY WITH SPAIN</t>
  </si>
  <si>
    <t>11/25/1970 - 91st Congress (1969-1970)</t>
  </si>
  <si>
    <t xml:space="preserve">02/17/1971 - 92nd Congress (1971-1972) - Resolution of advice and consent to ratification agreed to in Senate by Yea-Nay vote. 72-0. Record Vote No: 4 EX. (All Actions) </t>
  </si>
  <si>
    <t>706</t>
  </si>
  <si>
    <t>TREATY WITH MEXICO PROVIDING FOR THE RECOVERY AND RETURN OF STOLEN ARCHAEOLOGICAL, HISTORICAL AND CULTURAL PROPERTIES</t>
  </si>
  <si>
    <t xml:space="preserve">02/10/1971 - 92nd Congress (1971-1972) - Resolution of advice and consent to ratification agreed to in Senate by Yea-Nay vote. 72-0. Record Vote No: 2 EX. (All Actions) </t>
  </si>
  <si>
    <t>707</t>
  </si>
  <si>
    <t>10/13/1969 - 91st Congress (1969-1970)</t>
  </si>
  <si>
    <t xml:space="preserve">11/24/1970 - 91st Congress (1969-1970) - Resolution of advice and consent to ratification agreed to in Senate by Yea-Nay vote. 76-0. Record Vote No: 398 EX. (All Actions) </t>
  </si>
  <si>
    <t>708</t>
  </si>
  <si>
    <t>TAX CONVENTION WITH TRINIDAD AND TOBAGO</t>
  </si>
  <si>
    <t>03/05/1970 - 91st Congress (1969-1970)</t>
  </si>
  <si>
    <t xml:space="preserve">11/24/1970 - 91st Congress (1969-1970) - Resolution of advice and consent to ratification agreed to in Senate by Yea-Nay vote. 76-0. Record Vote No: 399 EX. (All Actions) </t>
  </si>
  <si>
    <t>709</t>
  </si>
  <si>
    <t>TAX CONVENTION WITH FINLAND</t>
  </si>
  <si>
    <t>05/13/1970 - 91st Congress (1969-1970)</t>
  </si>
  <si>
    <t xml:space="preserve">11/24/1970 - 91st Congress (1969-1970) - Resolution of advice and consent to ratification agreed to in Senate by Yea-Nay vote. 76-0. Record Vote No: 400 EX. (All Actions) </t>
  </si>
  <si>
    <t>710</t>
  </si>
  <si>
    <t>TAX CONVENTION WITH BELGIUM</t>
  </si>
  <si>
    <t xml:space="preserve">11/24/1970 - 91st Congress (1969-1970) - Resolution of advice and consent to ratification agreed to in Senate by Yea-Nay vote. 76-0. Record Vote No: 401 EX. (All Actions) </t>
  </si>
  <si>
    <t>711</t>
  </si>
  <si>
    <t>SUPPLEMENTARY EXTRADITION TREATY WITH FRANCE</t>
  </si>
  <si>
    <t xml:space="preserve">09/21/1970 - 91st Congress (1969-1970) - Resolution of advice and consent to ratification agreed to in Senate by Yea-Nay vote. 66-0. Record Vote No: 320 EX. (All Actions) </t>
  </si>
  <si>
    <t>712</t>
  </si>
  <si>
    <t>AGREEMENT WITH CANADA ON OPERATION OF RADIOTELEPHONE STATIONS</t>
  </si>
  <si>
    <t xml:space="preserve">05/27/1970 - 91st Congress (1969-1970) - Resolution of advice and consent to ratification agreed to in Senate by Yea-Nay vote. 79-0. Record Vote No: 150 EX. (All Actions) </t>
  </si>
  <si>
    <t>713</t>
  </si>
  <si>
    <t>EXTRADITION TREATY WITH NEW ZEALAND</t>
  </si>
  <si>
    <t xml:space="preserve">05/27/1970 - 91st Congress (1969-1970) - Resolution of advice and consent to ratification agreed to in Senate by Yea-Nay vote. 79-0. Record Vote No: 151 EX. (All Actions) </t>
  </si>
  <si>
    <t>714</t>
  </si>
  <si>
    <t>PROTOCOL TO THE INTERNATIONAL CONVENTION FOR THE NORTHWEST ATLANTIC FISHERIES</t>
  </si>
  <si>
    <t>12/12/1969 - 91st Congress (1969-1970)</t>
  </si>
  <si>
    <t xml:space="preserve">03/19/1970 - 91st Congress (1969-1970) - Resolution of advice and consent to ratification agreed to in Senate by Yea-Nay vote. 78-0. Record Vote No: 106 EX. (All Actions) </t>
  </si>
  <si>
    <t>715</t>
  </si>
  <si>
    <t>CONVENTION ON THE PRIVILEGES AND IMMUNITIES OF THE UNITED NATIONS</t>
  </si>
  <si>
    <t xml:space="preserve">03/19/1970 - 91st Congress (1969-1970) - Resolution of advice and consent to ratification agreed to in Senate by Yea-Nay vote. 78-0. Record Vote No: 107 EX. (All Actions) </t>
  </si>
  <si>
    <t>716</t>
  </si>
  <si>
    <t>PROTOCOL FURTHER MODIFYING THE 1957 BROADCASTING AGREEMENT WITH MEXICO</t>
  </si>
  <si>
    <t xml:space="preserve">03/13/1970 - 91st Congress (1969-1970) - Returned to the President pursuant to S. Exec. Res. 1 agreed to on March 13, 1970. (All Actions) </t>
  </si>
  <si>
    <t>717</t>
  </si>
  <si>
    <t>CONVENTION ESTABLISHING THE WORLD INTELLECTUAL PROPERTY ORGANIZATION</t>
  </si>
  <si>
    <t xml:space="preserve">02/28/1970 - 91st Congress (1969-1970) - Resolution of advice and consent to ratification agreed to in Senate by Yea-Nay vote. 70-0. Record Vote No: 70 EX. (All Actions) </t>
  </si>
  <si>
    <t>718</t>
  </si>
  <si>
    <t>REVISION OF THE PARIS CONVENTION FOR THE PROTECTION OF INDUSTRIAL PROPERTY</t>
  </si>
  <si>
    <t>719</t>
  </si>
  <si>
    <t>RENEWAL OF REQUEST FOR CONSENT TO RATIFICATION OF THE GENOCIDE CONVENTION</t>
  </si>
  <si>
    <t xml:space="preserve">02/10/1970 - 91st Congress (1969-1970) - Received in the Senate and referred to the Committee on Foreign Relations by unanimous consent. (All Actions) </t>
  </si>
  <si>
    <t>720</t>
  </si>
  <si>
    <t>CONSULAR CONVENTION WITH BELGIUM</t>
  </si>
  <si>
    <t>10/08/1969 - 91st Congress (1969-1970)</t>
  </si>
  <si>
    <t xml:space="preserve">11/10/1969 - 91st Congress (1969-1970) - Resolution of advice and consent to ratification agreed to in Senate by Yea-Nay vote. 71-0. Record Vote No: 142 EX. (All Actions) </t>
  </si>
  <si>
    <t>721</t>
  </si>
  <si>
    <t>AGREEMENT WITH CANADA ON ADJUSTMENTS IN FLOOD CONTROL PAYMENTS</t>
  </si>
  <si>
    <t xml:space="preserve">11/10/1969 - 91st Congress (1969-1970) - Resolution of advice and consent to ratification agreed to in Senate by Yea-Nay vote. 67-3. Record Vote No: 143 EX. (All Actions) </t>
  </si>
  <si>
    <t>722</t>
  </si>
  <si>
    <t>CONVENTION ON CONDUCT OF FISHING OPERATIONS IN THE NORTH ATLANTIC</t>
  </si>
  <si>
    <t>04/16/1969 - 91st Congress (1969-1970)</t>
  </si>
  <si>
    <t xml:space="preserve">10/22/1969 - 91st Congress (1969-1970) - Resolution of advice and consent to ratification agreed to in Senate by Yea-Nay vote. 80-0. Record Vote No: 129 EX. (All Actions) </t>
  </si>
  <si>
    <t>723</t>
  </si>
  <si>
    <t>VIENNA CONVENTION ON CONSULAR RELATIONS WITH OPTIONAL PROTOCOL</t>
  </si>
  <si>
    <t>05/05/1969 - 91st Congress (1969-1970)</t>
  </si>
  <si>
    <t xml:space="preserve">10/22/1969 - 91st Congress (1969-1970) - Resolution of advice and consent to ratification agreed to in Senate by Yea-Nay vote. 81-0. Record Vote No: 130 EX. (All Actions) </t>
  </si>
  <si>
    <t>724</t>
  </si>
  <si>
    <t>BROADCASTING AGREEMENTS WITH MEXICO</t>
  </si>
  <si>
    <t xml:space="preserve">06/19/1969 - 91st Congress (1969-1970) - Resolution of advice and consent to ratification agreed to in Senate by Yea-Nay vote. 89-0. Record Vote No: 46 EX. (All Actions) </t>
  </si>
  <si>
    <t>725</t>
  </si>
  <si>
    <t>AGREEMENT WITH CANADA PROVIDING FOR ADDITIONAL TEMPORARY DIVERSIONS FROM THE NIAGARA RIVER FOR POWER PRODUTION PURPOSES</t>
  </si>
  <si>
    <t xml:space="preserve">05/13/1969 - 91st Congress (1969-1970) - Resolution of advice and consent to ratification agreed to in Senate by Yea-Nay vote. 94-0. Record Vote No: 30 EX. (All Actions) </t>
  </si>
  <si>
    <t>726</t>
  </si>
  <si>
    <t>CONVENTION ON OFFENSES AND CERTAIN OTHER ACTS COMMITTED ON BOARD AIRCRAFT</t>
  </si>
  <si>
    <t xml:space="preserve">05/13/1969 - 91st Congress (1969-1970) - Resolution of advice and consent to ratification agreed to in Senate by Yea-Nay vote. 93-1. Record Vote No: 29 EX. (All Actions) </t>
  </si>
  <si>
    <t>727</t>
  </si>
  <si>
    <t>TREATY ON THE NON-PROLIFERATION OF NUCLEAR WEAPONS</t>
  </si>
  <si>
    <t>07/09/1968 - 90th Congress (1967-1968)</t>
  </si>
  <si>
    <t xml:space="preserve">03/13/1969 - 91st Congress (1969-1970) - Resolution of advice and consent to ratification agreed to in Senate by Yea-Nay vote. 83-15. Record Vote No: 23 EX. (All Actions) </t>
  </si>
  <si>
    <t>728</t>
  </si>
  <si>
    <t>AGREEMENT ON THE RESCUE OF ASTRONAUTS, THE RETURN OF ASTRONAUTS, AND THE RETURN OF OBJECTS LAUNCHED INTO OUTER SPACE</t>
  </si>
  <si>
    <t xml:space="preserve">10/08/1968 - 90th Congress (1967-1968) - Resolution of advice and consent to ratification agreed to in Senate by Yea-Nay vote. 66-0. Record Vote No: 322 EX. (All Actions) </t>
  </si>
  <si>
    <t>CONVENTION ON THE RECOGNITION AND ENFORCEMENT OF FOREIGN ARBITRAL AWARDS</t>
  </si>
  <si>
    <t>04/24/1968 - 90th Congress (1967-1968)</t>
  </si>
  <si>
    <t xml:space="preserve">10/04/1968 - 90th Congress (1967-1968) - Resolution of advice and consent to ratification agreed to in Senate by Yea-Nay vote. 57-0. Record Vote No: 313 EX. (All Actions) </t>
  </si>
  <si>
    <t>730</t>
  </si>
  <si>
    <t xml:space="preserve">10/04/1968 - 90th Congress (1967-1968) - Resolution of advice and consent to ratification agreed to in Senate by Yea-Nay vote. 59-0. Record Vote No: 316 EX. (All Actions) </t>
  </si>
  <si>
    <t>731</t>
  </si>
  <si>
    <t>CONVENTION ESTABLISHING A CUSTOMS COOPERATION COUNCIL</t>
  </si>
  <si>
    <t xml:space="preserve">10/04/1968 - 90th Congress (1967-1968) - Resolution of advice and consent to ratification agreed to in Senate by Yea-Nay vote. 59-0. Record Vote No: 315 EX. (All Actions) </t>
  </si>
  <si>
    <t>732</t>
  </si>
  <si>
    <t>CONVENTION ON TRANSIT TRADE OF LAND-LOCKED STATES</t>
  </si>
  <si>
    <t>07/12/1968 - 90th Congress (1967-1968)</t>
  </si>
  <si>
    <t xml:space="preserve">10/04/1968 - 90th Congress (1967-1968) - Resolution of advice and consent to ratification agreed to in Senate by Yea-Nay vote. 59-0. Record Vote No: 314 EX. (All Actions) </t>
  </si>
  <si>
    <t>733</t>
  </si>
  <si>
    <t>PROTOCOL RELATING TO THE STATUS OF REFUGEES</t>
  </si>
  <si>
    <t xml:space="preserve">10/04/1968 - 90th Congress (1967-1968) - Resolution of advice and consent to ratification agreed to in Senate by Yea-Nay vote. 59-0. Record Vote No: 317 EX. (All Actions) </t>
  </si>
  <si>
    <t>734</t>
  </si>
  <si>
    <t>1968 INTERNATIONAL COFFEE AGREEMENT</t>
  </si>
  <si>
    <t>02/23/1968 - 90th Congress (1967-1968)</t>
  </si>
  <si>
    <t xml:space="preserve">06/28/1968 - 90th Congress (1967-1968) - Resolution of advice and consent to ratification agreed to in Senate by Yea-Nay vote. 51-8. Record Vote No: 202 EX. (All Actions) </t>
  </si>
  <si>
    <t>735</t>
  </si>
  <si>
    <t>INTERNATIONAL GRAINS ARRANGEMENT OF 1967</t>
  </si>
  <si>
    <t>01/25/1968 - 90th Congress (1967-1968)</t>
  </si>
  <si>
    <t xml:space="preserve">06/13/1968 - 90th Congress (1967-1968) - Resolution of advice and consent to ratification agreed to in Senate by Yea-Nay vote. 62-21. Record Vote No: 185 EX. (All Actions) </t>
  </si>
  <si>
    <t>INCOME TAX CONVENTION WITH THE PHILIPPINES</t>
  </si>
  <si>
    <t xml:space="preserve">06/06/1968 - 90th Congress (1967-1968) - Approved, with reservation, by 79-0 vote (No.177 Ex.). (All Actions) </t>
  </si>
  <si>
    <t>737</t>
  </si>
  <si>
    <t>TAX CONVENTION WITH BRAZIL</t>
  </si>
  <si>
    <t>04/21/1967 - 90th Congress (1967-1968)</t>
  </si>
  <si>
    <t xml:space="preserve">06/06/1968 - 90th Congress (1967-1968) - Resolution of advice and consent to ratification agreed to in Senate by Yea-Nay vote. 78-0. Record Vote No: 175 EX. (All Actions) </t>
  </si>
  <si>
    <t>738</t>
  </si>
  <si>
    <t>TAX CONVENTION WITH FRANCE</t>
  </si>
  <si>
    <t>10/03/1967 - 90th Congress (1967-1968)</t>
  </si>
  <si>
    <t xml:space="preserve">06/06/1968 - 90th Congress (1967-1968) - Resolution of advice and consent to ratification agreed to in Senate by Yea-Nay vote. 78-0. Record Vote No: 176 EX. (All Actions) </t>
  </si>
  <si>
    <t>739</t>
  </si>
  <si>
    <t>CONVENTION ON THE INTERNATIONAL HYDROGRAPHIC ORGANIZATION</t>
  </si>
  <si>
    <t>10/24/1967 - 90th Congress (1967-1968)</t>
  </si>
  <si>
    <t xml:space="preserve">05/13/1968 - 90th Congress (1967-1968) - Resolution of advice and consent to ratification agreed to in Senate by Yea-Nay vote. 73-0. Record Vote No: 127 EX. (All Actions) </t>
  </si>
  <si>
    <t>740</t>
  </si>
  <si>
    <t>SIX AMENDMENTS TO THE 1960 INTERNATIONAL CONVENTION FOR THE SAFETY OF LIFE AT SEA</t>
  </si>
  <si>
    <t>02/28/1968 - 90th Congress (1967-1968)</t>
  </si>
  <si>
    <t xml:space="preserve">05/13/1968 - 90th Congress (1967-1968) - Resolution of advice and consent to ratification agreed to in Senate by Yea-Nay vote. 74-0. Record Vote No: 128 EX. (All Actions) </t>
  </si>
  <si>
    <t>741</t>
  </si>
  <si>
    <t>CONVENTION RELATING TO INTERNATIONAL EXHIBITIONS</t>
  </si>
  <si>
    <t>11/28/1967 - 90th Congress (1967-1968)</t>
  </si>
  <si>
    <t xml:space="preserve">04/30/1968 - 90th Congress (1967-1968) - Resolution of advice and consent to ratification agreed to in Senate by Yea-Nay vote. 74-0. Record Vote No: 124 EX. (All Actions) </t>
  </si>
  <si>
    <t>742</t>
  </si>
  <si>
    <t>PROTOCOL AMENDING THE CHARTER OF THE ORGANIZATION OF AMERICAN STATES</t>
  </si>
  <si>
    <t xml:space="preserve">04/10/1968 - 90th Congress (1967-1968) - Resolution of advice and consent to ratification agreed to in Senate by Yea-Nay vote. 75-0. Record Vote No: 101 EX. (All Actions) </t>
  </si>
  <si>
    <t>743</t>
  </si>
  <si>
    <t>AMENDMENT TO THE INTERGOVERNMENTAL MARITIME CONSULTATIVE ORGANIZATION CONVENTION</t>
  </si>
  <si>
    <t>07/13/1967 - 90th Congress (1967-1968)</t>
  </si>
  <si>
    <t xml:space="preserve">12/11/1967 - 90th Congress (1967-1968) - Resolution of advice and consent to ratification agreed to in Senate by Yea-Nay vote. 75-0. Record Vote No: 382 EX. (All Actions) </t>
  </si>
  <si>
    <t>744</t>
  </si>
  <si>
    <t>PROTOCOL FOR THE FURTHER PROLONGATION OF THE INTERNATIONAL SUGAR AGREEMENT OF 1958</t>
  </si>
  <si>
    <t>05/09/1967 - 90th Congress (1967-1968)</t>
  </si>
  <si>
    <t xml:space="preserve">12/06/1967 - 90th Congress (1967-1968) - Resolution of advice and consent to ratification agreed to in Senate by Yea-Nay vote. 84-0. Record Vote No: 374EX. (All Actions) </t>
  </si>
  <si>
    <t>745</t>
  </si>
  <si>
    <t>SUPPLEMENTARY TAX CONVENTION WITH CANADA</t>
  </si>
  <si>
    <t>01/25/1967 - 90th Congress (1967-1968)</t>
  </si>
  <si>
    <t xml:space="preserve">11/02/1967 - 90th Congress (1967-1968) - Resolution of advice and consent to ratification agreed to in Senate by Yea-Nay vote. 77-0. Record Vote No: 307 EX. (All Actions) </t>
  </si>
  <si>
    <t>746</t>
  </si>
  <si>
    <t>02/23/1967 - 90th Congress (1967-1968)</t>
  </si>
  <si>
    <t xml:space="preserve">11/02/1967 - 90th Congress (1967-1968) - Resolution of advice and consent to ratification agreed to in Senate by Yea-Nay vote. 77-0. Record Vote No: 308 EX. (All Actions) </t>
  </si>
  <si>
    <t>747</t>
  </si>
  <si>
    <t>CONSULAR CONVENTION WITH FRANCE</t>
  </si>
  <si>
    <t>04/19/1967 - 90th Congress (1967-1968)</t>
  </si>
  <si>
    <t xml:space="preserve">09/18/1967 - 90th Congress (1967-1968) - Resolution of advice and consent to ratification agreed to in Senate by Yea-Nay vote. 80-0. Record Vote No: 251 EX. (All Actions) </t>
  </si>
  <si>
    <t>748</t>
  </si>
  <si>
    <t>PARTIAL REVISION OF THE RADIO REGULATIONS (GENEVA, 1959), WITH PROTOCOL</t>
  </si>
  <si>
    <t xml:space="preserve">08/02/1967 - 90th Congress (1967-1968) - Resolution of advice and consent to ratification agreed to in Senate by Yea-Nay vote. 86-0. Record Vote No: 198 EX. (All Actions) </t>
  </si>
  <si>
    <t>749</t>
  </si>
  <si>
    <t>AMENDMENT TO ARTICLE 109 OF THE CHARTER OF THE UNITED NATIONS</t>
  </si>
  <si>
    <t xml:space="preserve">05/08/1967 - 90th Congress (1967-1968) - Resolution of advice and consent to ratification agreed to in Senate by Yea-Nay vote. 84-0. Record Vote No: 105 EX. (All Actions) </t>
  </si>
  <si>
    <t>750</t>
  </si>
  <si>
    <t>SINGLE CONVENTION ON NARCOTIC DRUGS, 1961</t>
  </si>
  <si>
    <t xml:space="preserve">05/08/1967 - 90th Congress (1967-1968) - Resolution of advice and consent to ratification agreed to in Senate by Yea-Nay vote. 84-0. Record Vote No: 106 EX. (All Actions) </t>
  </si>
  <si>
    <t>751</t>
  </si>
  <si>
    <t>TREATY ON PRINCIPLES GOVERNING THE ACTIVITIES OF STATES IN THE EXPLORATION AND USE OF OUTER SPACE, INCLUDING THE MOON AND OTHER CELESTIAL BODIES</t>
  </si>
  <si>
    <t xml:space="preserve">04/25/1967 - 90th Congress (1967-1968) - Resolution of advice and consent to ratification agreed to in Senate by Yea-Nay vote. 88-0. Record Vote No: 92 EX. (All Actions) </t>
  </si>
  <si>
    <t>752</t>
  </si>
  <si>
    <t>CONVENTION ON THE SERVICE ABROAD OF JUDICIAL AND EXTRAJUDICIAL DOCUMENTS IN CIVIL OR COMMERCIAL MATTERS</t>
  </si>
  <si>
    <t xml:space="preserve">04/13/1967 - 90th Congress (1967-1968) - Resolution of advice and consent to ratification agreed to in Senate by Yea-Nay vote. 82-0. Record Vote No: 75 EX. (All Actions) </t>
  </si>
  <si>
    <t>753</t>
  </si>
  <si>
    <t>AMENDMENTS TO THE INTERNATIONAL CONVENTION FOR THE SAFETY OF LIFE AT SEA, 1960</t>
  </si>
  <si>
    <t>02/15/1967 - 90th Congress (1967-1968)</t>
  </si>
  <si>
    <t xml:space="preserve">03/21/1967 - 90th Congress (1967-1968) - Resolution of advice and consent to ratification agreed to in Senate by Yea-Nay vote. 88-0. Record Vote No: 67 EX. (All Actions) </t>
  </si>
  <si>
    <t>754</t>
  </si>
  <si>
    <t>AMENDMENTS OF CONVENTION ON INTERGOVERNMENTAL MARITIME CONSULTATIVE ORGANIZATION</t>
  </si>
  <si>
    <t>09/13/1965 - 89th Congress (1965-1966)</t>
  </si>
  <si>
    <t xml:space="preserve">06/21/1966 - 89th Congress (1965-1966) - Resolution of advice and consent to ratification agreed to in Senate by Yea-Nay vote. 83-0. Record Vote No: 102 EX. (All Actions) </t>
  </si>
  <si>
    <t>755</t>
  </si>
  <si>
    <t>Convention (No. 122) Concerning Employment Policy</t>
  </si>
  <si>
    <t>06/02/1966 - 89th Congress (1965-1966)</t>
  </si>
  <si>
    <t xml:space="preserve">06/02/1966 - 89th Congress (1965-1966) - Received in the Senate and referred to the Committee on Foreign Relations by unanimous consent. (All Actions) </t>
  </si>
  <si>
    <t>756</t>
  </si>
  <si>
    <t>PROTOCOL MODIFYING CONVENTION WITH BELGIUM FOR THE AVOIDANCE OF DOUBLE TAXATION</t>
  </si>
  <si>
    <t>08/05/1965 - 89th Congress (1965-1966)</t>
  </si>
  <si>
    <t xml:space="preserve">10/22/1965 - 89th Congress (1965-1966) - General debate; approved by 66-0 vote (No. 301 Ex.). (All Actions) </t>
  </si>
  <si>
    <t>757</t>
  </si>
  <si>
    <t>TAX PROTOCOL WITH THE FEDERAL REPUBLIC OF GERMANY</t>
  </si>
  <si>
    <t>09/29/1965 - 89th Congress (1965-1966)</t>
  </si>
  <si>
    <t>758</t>
  </si>
  <si>
    <t>AGREEMENT WITH CANADA ON ESTABLISHMENT OF AN INTERNATIONAL ARBITRAL TRIBUNAL TO DISPOSE OF U. S. CLAIMS RELATING TO GUT DAM</t>
  </si>
  <si>
    <t>05/17/1987 - 89th Congress (1965-1966)</t>
  </si>
  <si>
    <t xml:space="preserve">08/30/1965 - 89th Congress (1965-1966) - Approved by vote of 74-0 (No. 240 Ex.). (All Actions) </t>
  </si>
  <si>
    <t>759</t>
  </si>
  <si>
    <t>PROTOCOL FOR THE EXTENSION OF THE INTERNATIONAL WHEAT AGREEMENT, 1962</t>
  </si>
  <si>
    <t>04/23/1965 - 89th Congress (1965-1966)</t>
  </si>
  <si>
    <t xml:space="preserve">06/15/1965 - 89th Congress (1965-1966) - Approved by 88-0 vote (No. 132 Ex.). (All Actions) </t>
  </si>
  <si>
    <t>760</t>
  </si>
  <si>
    <t>TWO AMENDMENTS TO THE CHARTER OF THE UNITED NATIONS</t>
  </si>
  <si>
    <t>04/06/1965 - 89th Congress (1965-1966)</t>
  </si>
  <si>
    <t xml:space="preserve">06/03/1965 - 89th Congress (1965-1966) - General debate; approved by 70-1 vote (No. 106 Ex.). (All Actions) </t>
  </si>
  <si>
    <t>Labor Convention (No. 116)</t>
  </si>
  <si>
    <t>06/21/1962 - 87th Congress (1961-1962)</t>
  </si>
  <si>
    <t xml:space="preserve">06/21/1962 - 87th Congress (1961-1962) - Received in the Senate and referred to the Committee on Foreign Relations by unanimous consent. (All Actions) </t>
  </si>
  <si>
    <t>762</t>
  </si>
  <si>
    <t>Convention Concerning Freedom of Association and Protection of the Right to Organize</t>
  </si>
  <si>
    <t>08/27/1949 - 81st Congress (1949-1950)</t>
  </si>
  <si>
    <t xml:space="preserve">08/27/1949 - 81st Congress (1949-1950) - Received in the Senate and referred to the Committee on Foreign Relations by unanimous consent. (All Actions) </t>
  </si>
  <si>
    <t>Congress Acting</t>
  </si>
  <si>
    <t>Congress Receiving</t>
  </si>
  <si>
    <t>Action</t>
  </si>
  <si>
    <t>103-39</t>
  </si>
  <si>
    <t>99-10</t>
  </si>
  <si>
    <t>96-53</t>
  </si>
  <si>
    <t>103-5</t>
  </si>
  <si>
    <t>102-26</t>
  </si>
  <si>
    <t>99-5</t>
  </si>
  <si>
    <t>103-28</t>
  </si>
  <si>
    <t>103-21</t>
  </si>
  <si>
    <t>103-33</t>
  </si>
  <si>
    <t>103-35</t>
  </si>
  <si>
    <t>103-36</t>
  </si>
  <si>
    <t>103-37</t>
  </si>
  <si>
    <t>103-38</t>
  </si>
  <si>
    <t>103-29</t>
  </si>
  <si>
    <t>103-30</t>
  </si>
  <si>
    <t>103-31</t>
  </si>
  <si>
    <t>103-32</t>
  </si>
  <si>
    <t>103-34</t>
  </si>
  <si>
    <t>102-15</t>
  </si>
  <si>
    <t>103-25</t>
  </si>
  <si>
    <t>103-20</t>
  </si>
  <si>
    <t>103-23</t>
  </si>
  <si>
    <t>103-24</t>
  </si>
  <si>
    <t>103-26</t>
  </si>
  <si>
    <t>103-27</t>
  </si>
  <si>
    <t>102-40</t>
  </si>
  <si>
    <t>103-16</t>
  </si>
  <si>
    <t>103-22</t>
  </si>
  <si>
    <t>103-10</t>
  </si>
  <si>
    <t>103-17</t>
  </si>
  <si>
    <t>103-18</t>
  </si>
  <si>
    <t>103-19</t>
  </si>
  <si>
    <t>102-39</t>
  </si>
  <si>
    <t>102-41</t>
  </si>
  <si>
    <t>103-11</t>
  </si>
  <si>
    <t>103-13</t>
  </si>
  <si>
    <t>103-14</t>
  </si>
  <si>
    <t>103-15</t>
  </si>
  <si>
    <t>102-36</t>
  </si>
  <si>
    <t>103-12</t>
  </si>
  <si>
    <t>102-37</t>
  </si>
  <si>
    <t>102-22</t>
  </si>
  <si>
    <t>102-38</t>
  </si>
  <si>
    <t>102-20</t>
  </si>
  <si>
    <t>102-32</t>
  </si>
  <si>
    <t>102-25</t>
  </si>
  <si>
    <t>102-30</t>
  </si>
  <si>
    <t>102-31</t>
  </si>
  <si>
    <t>102-33</t>
  </si>
  <si>
    <t>102-34</t>
  </si>
  <si>
    <t>102-35</t>
  </si>
  <si>
    <t>102-10</t>
  </si>
  <si>
    <t>102-13</t>
  </si>
  <si>
    <t>102-27</t>
  </si>
  <si>
    <t>102-29</t>
  </si>
  <si>
    <t>102-16</t>
  </si>
  <si>
    <t>102-18</t>
  </si>
  <si>
    <t>102-19</t>
  </si>
  <si>
    <t>102-21</t>
  </si>
  <si>
    <t>101-12</t>
  </si>
  <si>
    <t>101-13</t>
  </si>
  <si>
    <t>102-14</t>
  </si>
  <si>
    <t>102-17</t>
  </si>
  <si>
    <t>102-23</t>
  </si>
  <si>
    <t>102-24</t>
  </si>
  <si>
    <t>102-12</t>
  </si>
  <si>
    <t>101-22</t>
  </si>
  <si>
    <t>101-14</t>
  </si>
  <si>
    <t>101-15</t>
  </si>
  <si>
    <t>101-17</t>
  </si>
  <si>
    <t>100-12</t>
  </si>
  <si>
    <t>101-21</t>
  </si>
  <si>
    <t>101-18</t>
  </si>
  <si>
    <t>100-20</t>
  </si>
  <si>
    <t>101-20</t>
  </si>
  <si>
    <t>101-19</t>
  </si>
  <si>
    <t>101-10</t>
  </si>
  <si>
    <t>101-11</t>
  </si>
  <si>
    <t>101-16</t>
  </si>
  <si>
    <t>100-22</t>
  </si>
  <si>
    <t>100-19</t>
  </si>
  <si>
    <t>100-13</t>
  </si>
  <si>
    <t>100-14</t>
  </si>
  <si>
    <t>100-16</t>
  </si>
  <si>
    <t>100-17</t>
  </si>
  <si>
    <t>100-18</t>
  </si>
  <si>
    <t>100-15</t>
  </si>
  <si>
    <t>100-21</t>
  </si>
  <si>
    <t>100-4(</t>
  </si>
  <si>
    <t>100-10</t>
  </si>
  <si>
    <t>101-8</t>
  </si>
  <si>
    <t>94-8</t>
  </si>
  <si>
    <t>98-12</t>
  </si>
  <si>
    <t>98-14</t>
  </si>
  <si>
    <t>97-15</t>
  </si>
  <si>
    <t>99-16</t>
  </si>
  <si>
    <t>91-17</t>
  </si>
  <si>
    <t>92-23</t>
  </si>
  <si>
    <t>96-25</t>
  </si>
  <si>
    <t>96-52</t>
  </si>
  <si>
    <t>96-57</t>
  </si>
  <si>
    <t>96-58</t>
  </si>
  <si>
    <t>101-3</t>
  </si>
  <si>
    <t>99-12</t>
  </si>
  <si>
    <t>95-2(</t>
  </si>
  <si>
    <t>95-2</t>
  </si>
  <si>
    <t>96-6</t>
  </si>
  <si>
    <t>103-1</t>
  </si>
  <si>
    <t>95-18</t>
  </si>
  <si>
    <t>103-4</t>
  </si>
  <si>
    <t>103-6</t>
  </si>
  <si>
    <t>103-7</t>
  </si>
  <si>
    <t>103-8</t>
  </si>
  <si>
    <t>103-9</t>
  </si>
  <si>
    <t>103-2</t>
  </si>
  <si>
    <t>103-3</t>
  </si>
  <si>
    <t>102-1</t>
  </si>
  <si>
    <t>102-5</t>
  </si>
  <si>
    <t>102-6</t>
  </si>
  <si>
    <t>99-1</t>
  </si>
  <si>
    <t>100-7</t>
  </si>
  <si>
    <t>100-6</t>
  </si>
  <si>
    <t>95-20</t>
  </si>
  <si>
    <t>102-4</t>
  </si>
  <si>
    <t>102-7</t>
  </si>
  <si>
    <t>102-8</t>
  </si>
  <si>
    <t>102-9</t>
  </si>
  <si>
    <t>99-29</t>
  </si>
  <si>
    <t>97-14</t>
  </si>
  <si>
    <t>102-2</t>
  </si>
  <si>
    <t>101-7</t>
  </si>
  <si>
    <t>88-11</t>
  </si>
  <si>
    <t>96-31</t>
  </si>
  <si>
    <t>99-14</t>
  </si>
  <si>
    <t>94-25</t>
  </si>
  <si>
    <t>101-5</t>
  </si>
  <si>
    <t>101-9</t>
  </si>
  <si>
    <t>99-13</t>
  </si>
  <si>
    <t>101-2</t>
  </si>
  <si>
    <t>101-1</t>
  </si>
  <si>
    <t>101-4</t>
  </si>
  <si>
    <t>100-8</t>
  </si>
  <si>
    <t>99-30</t>
  </si>
  <si>
    <t>99-15</t>
  </si>
  <si>
    <t>99-17</t>
  </si>
  <si>
    <t>99-18</t>
  </si>
  <si>
    <t>99-19</t>
  </si>
  <si>
    <t>99-22</t>
  </si>
  <si>
    <t>99-23</t>
  </si>
  <si>
    <t>99-24</t>
  </si>
  <si>
    <t>99-25</t>
  </si>
  <si>
    <t>99-27</t>
  </si>
  <si>
    <t>99-7</t>
  </si>
  <si>
    <t>100-9</t>
  </si>
  <si>
    <t>99-20</t>
  </si>
  <si>
    <t>99-21</t>
  </si>
  <si>
    <t>100-1</t>
  </si>
  <si>
    <t>100-5</t>
  </si>
  <si>
    <t>100-3</t>
  </si>
  <si>
    <t>98-9</t>
  </si>
  <si>
    <t>99-11</t>
  </si>
  <si>
    <t>99-28</t>
  </si>
  <si>
    <t>98-29</t>
  </si>
  <si>
    <t>99-31</t>
  </si>
  <si>
    <t>99-4</t>
  </si>
  <si>
    <t>99-9</t>
  </si>
  <si>
    <t>99-26</t>
  </si>
  <si>
    <t>98-30</t>
  </si>
  <si>
    <t>99-8</t>
  </si>
  <si>
    <t>98-10</t>
  </si>
  <si>
    <t>81-15</t>
  </si>
  <si>
    <t>99-3</t>
  </si>
  <si>
    <t>99-6</t>
  </si>
  <si>
    <t>98-28</t>
  </si>
  <si>
    <t>98-32</t>
  </si>
  <si>
    <t>98-5</t>
  </si>
  <si>
    <t>99-2</t>
  </si>
  <si>
    <t>98-6</t>
  </si>
  <si>
    <t>98-8</t>
  </si>
  <si>
    <t>98-13</t>
  </si>
  <si>
    <t>98-4</t>
  </si>
  <si>
    <t>98-7</t>
  </si>
  <si>
    <t>98-11</t>
  </si>
  <si>
    <t>98-15</t>
  </si>
  <si>
    <t>98-16</t>
  </si>
  <si>
    <t>98-17</t>
  </si>
  <si>
    <t>98-18</t>
  </si>
  <si>
    <t>98-19</t>
  </si>
  <si>
    <t>98-20</t>
  </si>
  <si>
    <t>98-21</t>
  </si>
  <si>
    <t>98-22</t>
  </si>
  <si>
    <t>98-23</t>
  </si>
  <si>
    <t>98-24</t>
  </si>
  <si>
    <t>98-25</t>
  </si>
  <si>
    <t>98-26</t>
  </si>
  <si>
    <t>96-55</t>
  </si>
  <si>
    <t>98-2</t>
  </si>
  <si>
    <t>98-3</t>
  </si>
  <si>
    <t>96-5</t>
  </si>
  <si>
    <t>96-20</t>
  </si>
  <si>
    <t>97-24</t>
  </si>
  <si>
    <t>97-27</t>
  </si>
  <si>
    <t>97-28</t>
  </si>
  <si>
    <t>97-19</t>
  </si>
  <si>
    <t>96-23</t>
  </si>
  <si>
    <t>97-23</t>
  </si>
  <si>
    <t>96-36</t>
  </si>
  <si>
    <t>96-51</t>
  </si>
  <si>
    <t>98-1</t>
  </si>
  <si>
    <t>97-21</t>
  </si>
  <si>
    <t>97-2</t>
  </si>
  <si>
    <t>97-18</t>
  </si>
  <si>
    <t>97-25</t>
  </si>
  <si>
    <t>92-26</t>
  </si>
  <si>
    <t>97-26</t>
  </si>
  <si>
    <t>97-22</t>
  </si>
  <si>
    <t>96-40</t>
  </si>
  <si>
    <t>96-59</t>
  </si>
  <si>
    <t>97-8</t>
  </si>
  <si>
    <t>97-3</t>
  </si>
  <si>
    <t>97-9</t>
  </si>
  <si>
    <t>96-56</t>
  </si>
  <si>
    <t>96-50</t>
  </si>
  <si>
    <t>95-3</t>
  </si>
  <si>
    <t>97-4</t>
  </si>
  <si>
    <t>97-6</t>
  </si>
  <si>
    <t>97-10</t>
  </si>
  <si>
    <t>96-14</t>
  </si>
  <si>
    <t>96-15</t>
  </si>
  <si>
    <t>97-17</t>
  </si>
  <si>
    <t>96-44</t>
  </si>
  <si>
    <t>96-47</t>
  </si>
  <si>
    <t>96-61</t>
  </si>
  <si>
    <t>97-7</t>
  </si>
  <si>
    <t>97-11</t>
  </si>
  <si>
    <t>97-16</t>
  </si>
  <si>
    <t>89-5</t>
  </si>
  <si>
    <t>89-6</t>
  </si>
  <si>
    <t>94-15</t>
  </si>
  <si>
    <t>97-1</t>
  </si>
  <si>
    <t>94-14</t>
  </si>
  <si>
    <t>97-20</t>
  </si>
  <si>
    <t>95-23</t>
  </si>
  <si>
    <t>96-48</t>
  </si>
  <si>
    <t>96-60</t>
  </si>
  <si>
    <t>95-24</t>
  </si>
  <si>
    <t>93-1</t>
  </si>
  <si>
    <t>95-13</t>
  </si>
  <si>
    <t>96-43</t>
  </si>
  <si>
    <t>96-49</t>
  </si>
  <si>
    <t>97-13</t>
  </si>
  <si>
    <t>96-54</t>
  </si>
  <si>
    <t>96-22</t>
  </si>
  <si>
    <t>96-21</t>
  </si>
  <si>
    <t>96-8</t>
  </si>
  <si>
    <t>96-7</t>
  </si>
  <si>
    <t>96-9</t>
  </si>
  <si>
    <t>96-32</t>
  </si>
  <si>
    <t>96-37</t>
  </si>
  <si>
    <t>96-38</t>
  </si>
  <si>
    <t>96-42</t>
  </si>
  <si>
    <t>96-3</t>
  </si>
  <si>
    <t>96-4</t>
  </si>
  <si>
    <t>95-17</t>
  </si>
  <si>
    <t>96-19</t>
  </si>
  <si>
    <t>96-33</t>
  </si>
  <si>
    <t>96-41</t>
  </si>
  <si>
    <t>96-45</t>
  </si>
  <si>
    <t>96-39</t>
  </si>
  <si>
    <t>96-35</t>
  </si>
  <si>
    <t>96-2</t>
  </si>
  <si>
    <t>95-7</t>
  </si>
  <si>
    <t>92-7</t>
  </si>
  <si>
    <t>96-30</t>
  </si>
  <si>
    <t>96-13</t>
  </si>
  <si>
    <t>96-16</t>
  </si>
  <si>
    <t>95-16</t>
  </si>
  <si>
    <t>96-26</t>
  </si>
  <si>
    <t>96-28</t>
  </si>
  <si>
    <t>96-29</t>
  </si>
  <si>
    <t>96-1</t>
  </si>
  <si>
    <t>95-9</t>
  </si>
  <si>
    <t>94-23</t>
  </si>
  <si>
    <t>95-26</t>
  </si>
  <si>
    <t>96-27</t>
  </si>
  <si>
    <t>95-19</t>
  </si>
  <si>
    <t>95-21</t>
  </si>
  <si>
    <t>96-10</t>
  </si>
  <si>
    <t>96-11</t>
  </si>
  <si>
    <t>96-17</t>
  </si>
  <si>
    <t>96-18</t>
  </si>
  <si>
    <t>96-24</t>
  </si>
  <si>
    <t>94-27</t>
  </si>
  <si>
    <t>96-12</t>
  </si>
  <si>
    <t>95-5</t>
  </si>
  <si>
    <t>95-25</t>
  </si>
  <si>
    <t>95-11</t>
  </si>
  <si>
    <t>95-12</t>
  </si>
  <si>
    <t>95-15</t>
  </si>
  <si>
    <t>95-22</t>
  </si>
  <si>
    <t>94-26</t>
  </si>
  <si>
    <t>95-10</t>
  </si>
  <si>
    <t>94-22</t>
  </si>
  <si>
    <t>94-28</t>
  </si>
  <si>
    <t>95-14</t>
  </si>
  <si>
    <t>95-1</t>
  </si>
  <si>
    <t>95-6</t>
  </si>
  <si>
    <t>95-4</t>
  </si>
  <si>
    <t>95-8</t>
  </si>
  <si>
    <t>94-9</t>
  </si>
  <si>
    <t>94-11</t>
  </si>
  <si>
    <t>94-21</t>
  </si>
  <si>
    <t>93-24</t>
  </si>
  <si>
    <t>94-24</t>
  </si>
  <si>
    <t>94-19</t>
  </si>
  <si>
    <t>94-20</t>
  </si>
  <si>
    <t>94-12</t>
  </si>
  <si>
    <t>94-13</t>
  </si>
  <si>
    <t>94-16</t>
  </si>
  <si>
    <t>94-17</t>
  </si>
  <si>
    <t>94-18</t>
  </si>
  <si>
    <t>94-7</t>
  </si>
  <si>
    <t>93-29</t>
  </si>
  <si>
    <t>93-34</t>
  </si>
  <si>
    <t>93-20</t>
  </si>
  <si>
    <t>94-3</t>
  </si>
  <si>
    <t>93-30</t>
  </si>
  <si>
    <t>93-31</t>
  </si>
  <si>
    <t>94-1</t>
  </si>
  <si>
    <t>94-5</t>
  </si>
  <si>
    <t>93-26</t>
  </si>
  <si>
    <t>93-33</t>
  </si>
  <si>
    <t>94-2</t>
  </si>
  <si>
    <t>94-4</t>
  </si>
  <si>
    <t>94-6</t>
  </si>
  <si>
    <t>93-23</t>
  </si>
  <si>
    <t>93-35</t>
  </si>
  <si>
    <t>93-36</t>
  </si>
  <si>
    <t>93-37</t>
  </si>
  <si>
    <t>91-20</t>
  </si>
  <si>
    <t>93-28</t>
  </si>
  <si>
    <t>92-29</t>
  </si>
  <si>
    <t>93-32</t>
  </si>
  <si>
    <t>93-25</t>
  </si>
  <si>
    <t>93-22</t>
  </si>
  <si>
    <t>93-27</t>
  </si>
  <si>
    <t>92-12</t>
  </si>
  <si>
    <t>93-21</t>
  </si>
  <si>
    <t>93-16</t>
  </si>
  <si>
    <t>93-14</t>
  </si>
  <si>
    <t>93-17</t>
  </si>
  <si>
    <t>93-5</t>
  </si>
  <si>
    <t>93-6</t>
  </si>
  <si>
    <t>93-18</t>
  </si>
  <si>
    <t>92-31</t>
  </si>
  <si>
    <t>93-7</t>
  </si>
  <si>
    <t>93-10</t>
  </si>
  <si>
    <t>93-11</t>
  </si>
  <si>
    <t>93-13</t>
  </si>
  <si>
    <t>93-15</t>
  </si>
  <si>
    <t>93-19</t>
  </si>
  <si>
    <t>93-12</t>
  </si>
  <si>
    <t>93-3</t>
  </si>
  <si>
    <t>93-4</t>
  </si>
  <si>
    <t>93-8</t>
  </si>
  <si>
    <t>93-9</t>
  </si>
  <si>
    <t>93-2</t>
  </si>
  <si>
    <t>92-30</t>
  </si>
  <si>
    <t>92-33</t>
  </si>
  <si>
    <t>92-34</t>
  </si>
  <si>
    <t>92-35</t>
  </si>
  <si>
    <t>92-25</t>
  </si>
  <si>
    <t>92-3</t>
  </si>
  <si>
    <t>92-27</t>
  </si>
  <si>
    <t>92-28</t>
  </si>
  <si>
    <t>92-32</t>
  </si>
  <si>
    <t>92-22</t>
  </si>
  <si>
    <t>92-19</t>
  </si>
  <si>
    <t>92-14</t>
  </si>
  <si>
    <t>92-16</t>
  </si>
  <si>
    <t>92-21</t>
  </si>
  <si>
    <t>92-24</t>
  </si>
  <si>
    <t>92-13</t>
  </si>
  <si>
    <t>92-18</t>
  </si>
  <si>
    <t>92-4</t>
  </si>
  <si>
    <t>92-20</t>
  </si>
  <si>
    <t>92-17</t>
  </si>
  <si>
    <t>92-15</t>
  </si>
  <si>
    <t>92-8</t>
  </si>
  <si>
    <t>92-9</t>
  </si>
  <si>
    <t>92-11</t>
  </si>
  <si>
    <t>91-23</t>
  </si>
  <si>
    <t>92-2</t>
  </si>
  <si>
    <t>92-5</t>
  </si>
  <si>
    <t>91-25</t>
  </si>
  <si>
    <t>92-10</t>
  </si>
  <si>
    <t>92-1</t>
  </si>
  <si>
    <t>92-6</t>
  </si>
  <si>
    <t>91-18</t>
  </si>
  <si>
    <t>91-24</t>
  </si>
  <si>
    <t>91-21</t>
  </si>
  <si>
    <t>91-7</t>
  </si>
  <si>
    <t>91-14</t>
  </si>
  <si>
    <t>91-15</t>
  </si>
  <si>
    <t>91-19</t>
  </si>
  <si>
    <t>91-16</t>
  </si>
  <si>
    <t>91-11</t>
  </si>
  <si>
    <t>91-13</t>
  </si>
  <si>
    <t>91-9</t>
  </si>
  <si>
    <t>91-10</t>
  </si>
  <si>
    <t>90-18</t>
  </si>
  <si>
    <t>91-1(</t>
  </si>
  <si>
    <t>91-12</t>
  </si>
  <si>
    <t>91-6</t>
  </si>
  <si>
    <t>91-8</t>
  </si>
  <si>
    <t>91-4</t>
  </si>
  <si>
    <t>91-5</t>
  </si>
  <si>
    <t>91-2</t>
  </si>
  <si>
    <t>91-3</t>
  </si>
  <si>
    <t>90-28</t>
  </si>
  <si>
    <t>90-26</t>
  </si>
  <si>
    <t>90-21</t>
  </si>
  <si>
    <t>90-22</t>
  </si>
  <si>
    <t>90-23</t>
  </si>
  <si>
    <t>90-27</t>
  </si>
  <si>
    <t>90-20</t>
  </si>
  <si>
    <t>90-17</t>
  </si>
  <si>
    <t>89-4</t>
  </si>
  <si>
    <t>90-10</t>
  </si>
  <si>
    <t>90-14</t>
  </si>
  <si>
    <t>90-15</t>
  </si>
  <si>
    <t>90-19</t>
  </si>
  <si>
    <t>90-16</t>
  </si>
  <si>
    <t>90-12</t>
  </si>
  <si>
    <t>90-13</t>
  </si>
  <si>
    <t>90-11</t>
  </si>
  <si>
    <t>90-2</t>
  </si>
  <si>
    <t>90-6</t>
  </si>
  <si>
    <t>90-9</t>
  </si>
  <si>
    <t>90-8</t>
  </si>
  <si>
    <t>90-1</t>
  </si>
  <si>
    <t>90-7</t>
  </si>
  <si>
    <t>90-4</t>
  </si>
  <si>
    <t>90-3</t>
  </si>
  <si>
    <t>90-5</t>
  </si>
  <si>
    <t>89-8</t>
  </si>
  <si>
    <t>89-16</t>
  </si>
  <si>
    <t>89-7</t>
  </si>
  <si>
    <t>89-9</t>
  </si>
  <si>
    <t>89-3</t>
  </si>
  <si>
    <t>89-2</t>
  </si>
  <si>
    <t>89-1</t>
  </si>
  <si>
    <t>87-17</t>
  </si>
  <si>
    <t>81-19</t>
  </si>
  <si>
    <t>97-5</t>
  </si>
  <si>
    <t>86-14</t>
  </si>
  <si>
    <t>102-28</t>
  </si>
  <si>
    <t>102-11</t>
  </si>
  <si>
    <t>101-6</t>
  </si>
  <si>
    <t>100-11</t>
  </si>
  <si>
    <t>100-2</t>
  </si>
  <si>
    <t>97-12</t>
  </si>
  <si>
    <t>98-27</t>
  </si>
  <si>
    <t>98-31</t>
  </si>
  <si>
    <t>96-46</t>
  </si>
  <si>
    <t>96-34</t>
  </si>
  <si>
    <t>94-10</t>
  </si>
  <si>
    <t>91-22</t>
  </si>
  <si>
    <t>90-24</t>
  </si>
  <si>
    <t>90-25</t>
  </si>
  <si>
    <t>11/14/2006 - 109th Congress (2005-2006)</t>
  </si>
  <si>
    <t>06/29/1971 - 92nd Congress (1971-1972)</t>
  </si>
  <si>
    <t>11/14/1973 - 93rd Congress (1973-1974)</t>
  </si>
  <si>
    <t>08/05/1974 - 93rd Congress (1973-1974)</t>
  </si>
  <si>
    <t>11/13/1974 - 93rd Congress (1973-1974)</t>
  </si>
  <si>
    <t>12/02/1974 - 93rd Congress (1973-1974)</t>
  </si>
  <si>
    <t>08/10/1972 - 92nd Congress (1971-1972)</t>
  </si>
  <si>
    <t>07/23/1973 - 93rd Congress (1973-1974)</t>
  </si>
  <si>
    <t>07/19/1973 - 93rd Congress (1973-1974)</t>
  </si>
  <si>
    <t>03/28/1973 - 93rd Congress (1973-1974)</t>
  </si>
  <si>
    <t>09/12/1972 - 92nd Congress (1971-1972)</t>
  </si>
  <si>
    <t>04/11/1973 - 93rd Congress (1973-1974)</t>
  </si>
  <si>
    <t>05/11/1973 - 93rd Congress (1973-1974)</t>
  </si>
  <si>
    <t>04/13/1973 - 93rd Congress (1973-1974)</t>
  </si>
  <si>
    <t>07/28/1972 - 92nd Congress (1971-1972)</t>
  </si>
  <si>
    <t>05/04/1972 - 92nd Congress (1971-1972)</t>
  </si>
  <si>
    <t>03/15/1972 - 92nd Congress (1971-1972)</t>
  </si>
  <si>
    <t>02/02/1972 - 92nd Congress (1971-1972)</t>
  </si>
  <si>
    <t>04/11/1972 - 92nd Congress (1971-1972)</t>
  </si>
  <si>
    <t>02/01/1972 - 92nd Congress (1971-1972)</t>
  </si>
  <si>
    <t>03/28/1972 - 92nd Congress (1971-1972)</t>
  </si>
  <si>
    <t>02/16/1972 - 92nd Congress (1971-1972)</t>
  </si>
  <si>
    <t>08/03/1971 - 92nd Congress (1971-1972)</t>
  </si>
  <si>
    <t>09/24/1970 - 91st Congress (1969-1970)</t>
  </si>
  <si>
    <t>09/21/1971 - 92nd Congress (1971-1972)</t>
  </si>
  <si>
    <t>04/15/1971 - 92nd Congress (1971-1972)</t>
  </si>
  <si>
    <t>09/23/1970 - 91st Congress (1969-1970)</t>
  </si>
  <si>
    <t>01/27/1970 - 91st Congress (1969-1970)</t>
  </si>
  <si>
    <t>12/19/1969 - 91st Congress (1969-1970)</t>
  </si>
  <si>
    <t>01/31/1968 - 90th Congress (1967-1968)</t>
  </si>
  <si>
    <t>03/12/1969 - 91st Congress (1969-1970)</t>
  </si>
  <si>
    <t>02/10/1970 - 91st Congress (1969-1970)</t>
  </si>
  <si>
    <t>10/14/1969 - 91st Congress (1969-1970)</t>
  </si>
  <si>
    <t>03/25/1969 - 91st Congress (1969-1970)</t>
  </si>
  <si>
    <t>04/14/1969 - 91st Congress (1969-1970)</t>
  </si>
  <si>
    <t>09/25/1968 - 90th Congress (1967-1968)</t>
  </si>
  <si>
    <t>07/15/1968 - 90th Congress (1967-1968)</t>
  </si>
  <si>
    <t>05/17/1968 - 90th Congress (1967-1968)</t>
  </si>
  <si>
    <t>05/20/1968 - 90th Congress (1967-1968)</t>
  </si>
  <si>
    <t>08/01/1968 - 90th Congress (1967-1968)</t>
  </si>
  <si>
    <t>06/12/1967 - 90th Congress (1967-1968)</t>
  </si>
  <si>
    <t>03/23/1967 - 90th Congress (1967-1968)</t>
  </si>
  <si>
    <t>01/23/1967 - 90th Congress (1967-1968)</t>
  </si>
  <si>
    <t>03/08/1967 - 90th Congress (1967-1968)</t>
  </si>
  <si>
    <t>02/07/1967 - 90th Congress (1967-1968)</t>
  </si>
  <si>
    <t>01/31/1967 - 90th Congress (1967-1968)</t>
  </si>
  <si>
    <t xml:space="preserve">Resolution of advice and consent to ratification agreed to in Senate by Division Vote. (All Actions) </t>
  </si>
  <si>
    <t xml:space="preserve">Received in the Senate and referred to the Committee on Foreign Relations by unanimous consent removing the injunction of secrecy. (All Actions) </t>
  </si>
  <si>
    <t xml:space="preserve">Reported favorably by Senator Corker, Committee on Foreign Relations with printed Ex. Rept. 114-1 and a resolution of advice and consent to ratification with 4 conditions and 1 declaration. Executive Calendar No. 1. (All Actions) </t>
  </si>
  <si>
    <t xml:space="preserve">Reported favorably by Senator Corker, Committee on Foreign Relations with printed Ex. Rept. 114-5 and a resolution of advice and consent to ratification with 4 conditions and 1 declaration. Executive Calendar No. 5. (All Actions) </t>
  </si>
  <si>
    <t xml:space="preserve">Reported favorably by Senator Corker, Committee on Foreign Relations with printed Ex. Rept. 114-2 and a resolution of advice and consent to ratification with 4 conditions and 1 declaration. Executive Calendar No. 2. (All Actions) </t>
  </si>
  <si>
    <t xml:space="preserve">Reported favorably by Senator Corker, Committee on Foreign Relations with printed Ex. Rept. 114-8 and a resolution of advice and consent to ratification with 1 declaration. Executive Calendar No. 8. (All Actions) </t>
  </si>
  <si>
    <t xml:space="preserve">Reported favorably by Senator Corker, Committee on Foreign Relations with printed Ex. Rept. 114-3 and a resolution of advice and consent to ratification with 1 declaration. Executive Calendar No. 3. (All Actions) </t>
  </si>
  <si>
    <t xml:space="preserve">Reported favorably by Senator Corker, Committee on Foreign Relations with printed Ex. Rept. 114-7 and a resolution of advice and consent to ratification with 1 declaration. Executive Calendar No. 7. (All Actions) </t>
  </si>
  <si>
    <t xml:space="preserve">Reported favorably by Senator Corker, Committee on Foreign Relations with printed Ex. Rept. 114-6 and a resolution of advice and consent to ratification with 1 declaration. Executive Calendar No. 6. (All Actions) </t>
  </si>
  <si>
    <t xml:space="preserve">Reported favorably by Senator Corker, Committee on Foreign Relations with printed Ex. Rept. 114-4 and a resolution of advice and consent to ratification with 1 declaration. Executive Calendar No. 4. (All Actions) </t>
  </si>
  <si>
    <t xml:space="preserve">No further action at sine die adjournment of the 113 Congress; automatically rereferred to the Committee on Foreign Relations under the provisions of Rule XXX, section 2, of the Standing Rules of the Senate. (All Actions) </t>
  </si>
  <si>
    <t xml:space="preserve">Committee on Foreign Relations. Hearings held. Hearings printed: S.Hrg. 112-654. (All Actions) </t>
  </si>
  <si>
    <t xml:space="preserve">Received in the Senate and referred to the Committee on Foreign Relations pursuant to the removal of the injunction of secrecy. (All Actions) </t>
  </si>
  <si>
    <t xml:space="preserve">Received in the Senate and referred to the Committee on Foreign Relations pursuant to removal of the injunction of secrecy. (All Actions) </t>
  </si>
  <si>
    <t xml:space="preserve">Resolution of advice and consent to ratification agreed to as amended in Senate by Yea-Nay Vote. 71 - 26. Record Vote Number: 298. (All Actions) </t>
  </si>
  <si>
    <t xml:space="preserve">Resolution of advice and consent to ratification agreed to as amended in Senate by Division Vote. (All Actions) </t>
  </si>
  <si>
    <t xml:space="preserve">No further action at sine die adjournment of the 110th Congress; automatically rereferred to the Committee on Foreign Relations under the provisions of Rule XXX, section 2, of the Standing Rules of the Senate. (All Actions) </t>
  </si>
  <si>
    <t xml:space="preserve">Committee on Foreign Relations. Treaty divided into 2 treaties. 106-1A - the Hague Covention and 106-1B the Hague Protocol. (All Actions) </t>
  </si>
  <si>
    <t xml:space="preserve">By unanimous consent agreement, treaty divided into 3 separate treaties: A, B, and C. (All Actions) </t>
  </si>
  <si>
    <t xml:space="preserve">Resolution of advice and consent to ratification agreed to in Senate by Yea-Nay Vote. 87 - 0. Record Vote Number: 244. (All Actions) </t>
  </si>
  <si>
    <t xml:space="preserve">Committee on Foreign Relations. Hearings held. Hearings printed: S.Hrg. in Ex. Rept. 108-8. (All Actions) </t>
  </si>
  <si>
    <t xml:space="preserve">Resolution of advice and consent to ratification agreed to in Senate by Yea-Nay Vote. 96 - 0. Record Vote Number: 142. (All Actions) </t>
  </si>
  <si>
    <t xml:space="preserve">Resolution of advice and consent to ratification agreed to in Senate by Yea-Nay Vote. 95 - 0. Record Vote Number: 43. (All Actions) </t>
  </si>
  <si>
    <t xml:space="preserve">No further action at sine die adjournment of the 107 Congress; automatically rereferred to the Committee on Foreign Relations under the provisions of Rule XXX, section 2, of the Standing Rules of the Senate. (All Actions) </t>
  </si>
  <si>
    <t xml:space="preserve">Resolution of advice and consent to ratification agreed to in Senate by Voice Vote. (All Actions) </t>
  </si>
  <si>
    <t xml:space="preserve">Treaty divided and reported under Ex. Rept. 107-4 with Protocol 's No. 1 and No. 2 each having separate resolutions of ratification thus creating Treaty Docs. 106-37A and 106-37B. See those documents for further action. (All Actions) </t>
  </si>
  <si>
    <t xml:space="preserve">Received in the Senate and referred to the Committee on Foreign Relations by unanimous consent. (All Actions) </t>
  </si>
  <si>
    <t xml:space="preserve">No further action at sine die adjournment of the 106th Congress; automatically rereferred to the Committee on Foreign Relations under the provisions of Rule XXX, section 2, of the Standing Rules of the Senate. (All Actions) </t>
  </si>
  <si>
    <t xml:space="preserve">Returned to the President pursuant to S. Res. 267 agreed to in Senate on October 12, 2000. (All Actions) </t>
  </si>
  <si>
    <t xml:space="preserve">Returned to the President pursuant to S. Res. 267 . (All Actions) </t>
  </si>
  <si>
    <t xml:space="preserve">Returned to the President pursuant to S. Res. 267. (All Actions) </t>
  </si>
  <si>
    <t xml:space="preserve">Returned to the President pursuant to S. Res. 267, Executive Resolution resolving to return certain treaties to the President. (All Actions) </t>
  </si>
  <si>
    <t xml:space="preserve">Protocol No. 3 was returned to the President under proviso No. 2 of the resolution of ratification of T. Doc. 95-2(B). (All Actions) </t>
  </si>
  <si>
    <t xml:space="preserve">Treaty reported by Committee on Foreign Relations as a divided treaty, TD95-2B. Proviso (2) in the resolution of ratification directed the return of TD 95-2A. (All Actions) </t>
  </si>
  <si>
    <t xml:space="preserve">Resolution of advice and consent to ratification agreed to in Senate by Yea-Nay vote. 80-19. Record Vote No: 117 EX. (All Actions) </t>
  </si>
  <si>
    <t xml:space="preserve">Committee on Foreign Relations. Treaty divided into 3 treaties. Created 105-1A: Amended Mines Protocol and 105-1B: Incendiary Weapons Protocol and 105-1C:Protocol on Blinding Laser Weapons. (All Actions) </t>
  </si>
  <si>
    <t xml:space="preserve">Resolution of advice and consent to ratification agreed to in Senate by Yea-Nay vote. 100-0. Record Vote No: 67 EX. (All Actions) </t>
  </si>
  <si>
    <t xml:space="preserve">Resolution of advice and consent to ratification agreed to in Senate by Yea-Nay Vote. 74 - 26. Record Vote Number: 51. (All Actions) </t>
  </si>
  <si>
    <t xml:space="preserve">Resolution of advice and consent to ratification agreed to in Senate by Yea-Nay vote. 87-4. Record Vote No: 6 EX. (All Actions) </t>
  </si>
  <si>
    <t xml:space="preserve">No further action at sine die adjournment of the 103 Congress; automatically rereferred to the Committee on Foreign Relations under the provisions of Rule XXX, section 2, of the Standing Rules of the Senate. (All Actions) </t>
  </si>
  <si>
    <t xml:space="preserve">Resolution of advice and consent to ratification agreed to in Senate with an amendment by Division Vote. (All Actions) </t>
  </si>
  <si>
    <t xml:space="preserve">Resolution of advice and consent to ratification agreed to in Senate with amendments by Yea-Nay Vote. 93 - 6. Record Vote Number: 253. (All Actions) </t>
  </si>
  <si>
    <t xml:space="preserve">Resolution of advice and consent to ratification agreed to in Senate with understandings by Division Vote. (All Actions) </t>
  </si>
  <si>
    <t xml:space="preserve">Resolution of advice and consent to ratification agreed to in Senate by Yea-Nay vote. 90-4. Record Vote No: 273. (All Actions) </t>
  </si>
  <si>
    <t xml:space="preserve">Resolution of advice and consent to ratification agreed to in Senate by Yea-Nay Vote. 86 - 6. Record Vote Number: 192. (All Actions) </t>
  </si>
  <si>
    <t xml:space="preserve">Passed Senate without amendment by Division. (All Actions) </t>
  </si>
  <si>
    <t xml:space="preserve">Treaty returned to the President. (All Actions) </t>
  </si>
  <si>
    <t xml:space="preserve">Resolution of advice and consent to ratification agreed to in Senate with amendments by Division Vote. (All Actions) </t>
  </si>
  <si>
    <t xml:space="preserve">Resolution of advice and consent to ratification agreed to in Senate by Yea-Nay Vote. 97 - 0. Record Vote Number: 58. (All Actions) </t>
  </si>
  <si>
    <t xml:space="preserve">Resolution of advice and consent to ratification agreed to in Senate by Yea-Nay Vote. 97 - 0. Record Vote Number: 57. (All Actions) </t>
  </si>
  <si>
    <t xml:space="preserve">Resolution of advice and consent to ratification agreed to in Senate with amendments by Yea-Nay Vote. 97 - 0. Record Vote Number: 59. (All Actions) </t>
  </si>
  <si>
    <t xml:space="preserve">Resolution of advice and consent to ratification agreed to in Senate by Yea-Nay Vote. 97 - 0. Record Vote Number: 56. (All Actions) </t>
  </si>
  <si>
    <t xml:space="preserve">Resolution of advice and consent to ratification agreed to in Senate by Yea-Nay Vote. 98 - 0. Record Vote Number: 263. (All Actions) </t>
  </si>
  <si>
    <t xml:space="preserve">Resolution agreed to in Senate , this Protocol is included in Treaty Doc. Ex. N(A), 94-2 and Ex. N(B), 94-2 and recorded on roll calls No. 249 and 250. Without amendment by Yea-Nay. 98-0. Record Vote No: 249/250. (All Actions) </t>
  </si>
  <si>
    <t xml:space="preserve">Resolution of advice and consent to ratification agreed to in Senate by Yea-Nay Vote. 98 - 0. Record Vote Number: 249. (All Actions) </t>
  </si>
  <si>
    <t xml:space="preserve">Resolution of advice and consent to ratification agreed to in Senate by Yea-Nay Vote. 98 - 0. Record Vote Number: 250. (All Actions) </t>
  </si>
  <si>
    <t xml:space="preserve">Resolution of advice and consent to ratification agreed to in Senate by Yea-Nay Vote. 99 - 0. Record Vote Number: 238. (All Actions) </t>
  </si>
  <si>
    <t xml:space="preserve">Resolution of advice and consent to ratification agreed to in Senate by Yea-Nay Vote. 99 - 0. Record Vote Number: 239. (All Actions) </t>
  </si>
  <si>
    <t xml:space="preserve">Resolution of advice and consent to ratification agreed to in Senate by Yea-Nay Vote. 99 - 0. Record Vote Number: 236. (All Actions) </t>
  </si>
  <si>
    <t xml:space="preserve">Resolution of advice and consent to ratification agreed to in Senate by Yea-Nay Vote. 99 - 0. Record Vote Number: 240. (All Actions) </t>
  </si>
  <si>
    <t xml:space="preserve">Resolution of advice and consent to ratification agreed to in Senate by Yea-Nay Vote. 99 - 0. Record Vote Number: 241. (All Actions) </t>
  </si>
  <si>
    <t xml:space="preserve">Resolution of advice and consent to ratification agreed to in Senate by Yea-Nay Vote. 99 - 0. Record Vote Number: 242. (All Actions) </t>
  </si>
  <si>
    <t xml:space="preserve">Resolution of advice and consent to ratification agreed to in Senate by Yea-Nay Vote. 99 - 0. Record Vote Number: 237. (All Actions) </t>
  </si>
  <si>
    <t xml:space="preserve">Resolution of advice and consent to ratification agreed to in Senate by Yea-Nay Vote. 94 - 0. Record Vote Number: 14. (All Actions) </t>
  </si>
  <si>
    <t xml:space="preserve">Resolution of advice and consent to ratification agreed to in Senate by Yea-Nay Vote. 99 - 0. Record Vote Number: 265. (All Actions) </t>
  </si>
  <si>
    <t xml:space="preserve">Resolution of advice and consent to ratification agreed to in Senate by Yea-Nay Vote. 99 - 0. Record Vote Number: 266. (All Actions) </t>
  </si>
  <si>
    <t xml:space="preserve">Resolution of advice and consent to ratification agreed to in Senate with amendments by Yea-Nay Vote. 99 - 0. Record Vote Number: 267. (All Actions) </t>
  </si>
  <si>
    <t xml:space="preserve">Resolution of advice and consent to ratification agreed to in Senate with amendments by Yea-Nay Vote. 99 - 0. Record Vote Number: 268. (All Actions) </t>
  </si>
  <si>
    <t xml:space="preserve">Resolution of advice and consent to ratification agreed to in Senate with amendments by Yea-Nay Vote. 99 - 0. Record Vote Number: 269. (All Actions) </t>
  </si>
  <si>
    <t xml:space="preserve">Resolution of advice and consent to ratification agreed to in Senate with amendments by Yea-Nay Vote. 99 - 0. Record Vote Number: 270. (All Actions) </t>
  </si>
  <si>
    <t xml:space="preserve">Resolution of advice and consent to ratification agreed to in Senate by Yea-Nay Vote. 97 - 0. Record Vote Number: 311. (All Actions) </t>
  </si>
  <si>
    <t xml:space="preserve">Resolution of advice and consent to ratification agreed to in Senate by Yea-Nay Vote. 97 - 0. Record Vote Number: 312. (All Actions) </t>
  </si>
  <si>
    <t xml:space="preserve">Resolution of advice and consent to ratification agreed to in Senate by Yea-Nay Vote. 97 - 0. Record Vote Number: 313. (All Actions) </t>
  </si>
  <si>
    <t xml:space="preserve">Resolution of advice and consent to ratification agreed to in Senate with amendments by Yea-Nay Vote. 93 - 5. Record Vote Number: 166. (All Actions) </t>
  </si>
  <si>
    <t xml:space="preserve">Resolution of advice and consent to ratification agreed to in Senate by Yea-Nay Vote. 83 - 0. Record Vote Number: 47. (All Actions) </t>
  </si>
  <si>
    <t xml:space="preserve">Resolution of advice and consent to ratification agreed to in Senate by Yea-Nay Vote. 81 - 2. Record Vote Number: 13. (All Actions) </t>
  </si>
  <si>
    <t xml:space="preserve">Resolution of advice and consent to ratification agreed to in Senate by Yea-Nay Vote. 84 - 0. Record Vote Number: 14. (All Actions) </t>
  </si>
  <si>
    <t xml:space="preserve">Resolution of advice and consent to ratification agreed to in Senate by Yea-Nay Vote. 94 - 0. Record Vote Number: 378. (All Actions) </t>
  </si>
  <si>
    <t xml:space="preserve">Resolution of advice and consent to ratification agreed to in Senate by Yea-Nay Vote. 89 - 0. Record Vote Number: 371. (All Actions) </t>
  </si>
  <si>
    <t xml:space="preserve">Resolution of advice and consent to ratification agreed to in Senate with an amendment by Yea-Nay Vote. 93 - 0. Record Vote Number: 368. (All Actions) </t>
  </si>
  <si>
    <t xml:space="preserve">Received in the Senate and referred to the Committee on Foreign Relations. (All Actions) </t>
  </si>
  <si>
    <t xml:space="preserve">Approved 98-0 by a roll call vote (Record Vote No. 339). Calendar No. 14. (All Actions) </t>
  </si>
  <si>
    <t xml:space="preserve">Approved 98-0 by roll call vote (Record Vote No. 344). Calendar No. 19. (All Actions) </t>
  </si>
  <si>
    <t xml:space="preserve">Approved 98-0 by roll call vote (Record Vote No. 343). Calendar No. 18. (All Actions) </t>
  </si>
  <si>
    <t xml:space="preserve">Approved 98-0 by a roll call vote (Record Vote No. 340). Calendar No. 15. (All Actions) </t>
  </si>
  <si>
    <t xml:space="preserve">Approved 98-0 by roll call vote (Record Vote No. 341). Calendar No. 16. (All Actions) </t>
  </si>
  <si>
    <t xml:space="preserve">Approved 98-0 by roll call vote (Record Vote No. 342). Calendar No. 17. (All Actions) </t>
  </si>
  <si>
    <t xml:space="preserve">Treaty moved through its parliamentary stages, and the resolution of ratification considered without amendment. Approved by division vote. (All Actions) </t>
  </si>
  <si>
    <t xml:space="preserve">Treaty moved through its various parliamentary stages, and resolution of ratification considered without amendment. Approved by division vote. (All Actions) </t>
  </si>
  <si>
    <t xml:space="preserve">Approved 96-1. See action on parent treaty - Treaty Doc. 98-30. Record Vote Number: 163. (All Actions) </t>
  </si>
  <si>
    <t xml:space="preserve">Treaty and Protocol of May 10, 1986, moved through various parliamentary stages, and resolution of ratification considered without amendment. Approved 96-1 by roll call vote (Record Vote No. 163 Ex.) Calendar No. 8. (All Actions) </t>
  </si>
  <si>
    <t xml:space="preserve">Resolution of advice and consent to ratification considered. Approved 87-10 by a roll call vote (No. 160 Ex.). Cal. No. 13. (All Actions) </t>
  </si>
  <si>
    <t xml:space="preserve">Committee on Foreign Relations. Hearings held. (All Actions) </t>
  </si>
  <si>
    <t xml:space="preserve">Treaty moved through its parliamentary stages, and resolution of ratification considered; with eight committee-reported provisos agreed to. Approved 83-11 by a roll call vote (No. 15 Ex.). Calendar No. 2. (All Actions) </t>
  </si>
  <si>
    <t xml:space="preserve">Resolution of advice and consent to ratification agreed to in Senate with a reservation by Division Vote. (All Actions) </t>
  </si>
  <si>
    <t xml:space="preserve">Resolution of advice and consent to ratification agreed to in Senate with an understanding by Division Vote. (All Actions) </t>
  </si>
  <si>
    <t xml:space="preserve">Considered by Senate; treaty and resolution thereto considered without amendment; approved 98-0 (Vote #239 Ex.) Calendar No. 3. (All Actions) </t>
  </si>
  <si>
    <t xml:space="preserve">Treaty considered by the Senate, moved through its parliamentary stages, and resolution of ratification considered without amendment. Approved 96-0 by a roll call vote (No. 18 Ex.). Calendar No. 1. (All Actions) </t>
  </si>
  <si>
    <t xml:space="preserve">Treaty (with reservation) approved by Senate 97-0 (#222 Ex.). (All Actions) </t>
  </si>
  <si>
    <t xml:space="preserve">Treaty approved by Senate 97-0 (#223 Ex.). (All Actions) </t>
  </si>
  <si>
    <t xml:space="preserve">Treaty approved by Senate 97-0 (#224 Ex.). (All Actions) </t>
  </si>
  <si>
    <t xml:space="preserve">Treaty approved by Senate 100-0 vote (#168 Ex.). (All Actions) </t>
  </si>
  <si>
    <t xml:space="preserve">Treaty approved by Senate 100-0 (#164 Ex.). (All Actions) </t>
  </si>
  <si>
    <t xml:space="preserve">Treaty approved by Senate 100-0 (#167 Ex.). (All Actions) </t>
  </si>
  <si>
    <t xml:space="preserve">Treaty approved by Senate 100-0 (# 169 Ex.). (All Actions) </t>
  </si>
  <si>
    <t xml:space="preserve">Treaty approved by Senate 100-0 (#170 Ex.). (All Actions) </t>
  </si>
  <si>
    <t xml:space="preserve">Treaty approved by Senate 100-0 (#171 Ex.). (All Actions) </t>
  </si>
  <si>
    <t xml:space="preserve">Treaty approved by Senate 100-0 (#172 Ex.). (All Actions) </t>
  </si>
  <si>
    <t xml:space="preserve">Treaty approved by Senate 100-0 (#173 Ex.). (All Actions) </t>
  </si>
  <si>
    <t xml:space="preserve">Treaty approved by Senate 100-0 (#174 Ex.). (All Actions) </t>
  </si>
  <si>
    <t xml:space="preserve">Treaty approved by Senate 100-0 (#166 Ex.). (All Actions) </t>
  </si>
  <si>
    <t xml:space="preserve">Treaty approved by Senate 100-0 (No. 165 Ex.). (All Actions) </t>
  </si>
  <si>
    <t xml:space="preserve">Treaty approved by Senate 100-0 vote (#175 Ex.). (All Actions) </t>
  </si>
  <si>
    <t xml:space="preserve">Treaty approved by the Senate 100-0 vote (#176 Ex.). (All Actions) </t>
  </si>
  <si>
    <t xml:space="preserve">Treaty approved by Senate 100-0 vote (#177 Ex.). (All Actions) </t>
  </si>
  <si>
    <t xml:space="preserve">Approved by the Senate 100-0 vote (#178 Ex.). (All Actions) </t>
  </si>
  <si>
    <t xml:space="preserve">Approved by 100-0 vote. Record Vote Number 163. (All Actions) </t>
  </si>
  <si>
    <t xml:space="preserve">Treaty approved by Senate 100-0 vote (#224 Ex.). (All Actions) </t>
  </si>
  <si>
    <t xml:space="preserve">Treaty approved by Senate 100-0 vote (#226 Ex.). (All Actions) </t>
  </si>
  <si>
    <t xml:space="preserve">Approved by 100-0 vote. Record Vote Number 223. (All Actions) </t>
  </si>
  <si>
    <t xml:space="preserve">Approved by 100-0 vote. Record Vote Number 225. (All Actions) </t>
  </si>
  <si>
    <t xml:space="preserve">Treaty approved by Senate 100-0 vote (#227 Ex.). (All Actions) </t>
  </si>
  <si>
    <t xml:space="preserve">Treaty approved by Senate 100-0 vote (#228 Ex.). (All Actions) </t>
  </si>
  <si>
    <t xml:space="preserve">Treaty approved by Senate 100-0 vote (#229 Ex.). (All Actions) </t>
  </si>
  <si>
    <t xml:space="preserve">Treaty moved through its parliamentary stages; treaty approved by the Senate 94-4 vote (#162 Ex.). (All Actions) </t>
  </si>
  <si>
    <t xml:space="preserve">Treaty moved through its parliamentary stages; treaty approved by the Senate, with understandings, 94-4 vote (#163 Ex.). (All Actions) </t>
  </si>
  <si>
    <t xml:space="preserve">General debate; approved by 94-4 vote. Record Vote Number: 159. (All Actions) </t>
  </si>
  <si>
    <t xml:space="preserve">Treaty moved through its parliamentary stages; debate; treaty approved by Senate 94-4 vote (#164 Ex.). (All Actions) </t>
  </si>
  <si>
    <t xml:space="preserve">General debate; approved by 94-4 vote. Record Vote Number: 160. (All Actions) </t>
  </si>
  <si>
    <t xml:space="preserve">General debate; approved by 94-4 vote. Record Vote Number: 161. (All Actions) </t>
  </si>
  <si>
    <t xml:space="preserve">Treaty approved by Senate 84-0 vote (#7 Ex.). (All Actions) </t>
  </si>
  <si>
    <t xml:space="preserve">Treaty moved through its parliamentary stages; reported condition to resolution agreed to; Schmitt proviso agreed to; resolution of advice and consent to ratification, as amended, approved by division vote. (All Actions) </t>
  </si>
  <si>
    <t xml:space="preserve">Entered into force. (All Actions) </t>
  </si>
  <si>
    <t xml:space="preserve">Treaty approved by Senate 97-0 vote (#375 Ex.). (All Actions) </t>
  </si>
  <si>
    <t xml:space="preserve">Treaty approved by Senate 97-0 vote (#377 Ex.). (All Actions) </t>
  </si>
  <si>
    <t xml:space="preserve">Resolution of advice and consent to ratification agreed to in Senate by Yea-Nay vote. 97-0. Record Vote No: 376 EX. (All Actions) </t>
  </si>
  <si>
    <t xml:space="preserve">Treaty approved by Senate 97-0 vote (#378 Ex.). (All Actions) </t>
  </si>
  <si>
    <t xml:space="preserve">General debate; reservations and understandings agreed to; approved by division vote. (All Actions) </t>
  </si>
  <si>
    <t xml:space="preserve">Treaty moved through its parliamentary stages; approved by the Senate by division vote. (All Actions) </t>
  </si>
  <si>
    <t xml:space="preserve">S. Ex. Res. 4 agreed to; treaty returned to President. (All Actions) </t>
  </si>
  <si>
    <t xml:space="preserve">Treaty moved through its parliamentary stages; treaty approved, with two reservations and an understanding, by division vote. (All Actions) </t>
  </si>
  <si>
    <t xml:space="preserve">Approved by division vote. (All Actions) </t>
  </si>
  <si>
    <t xml:space="preserve">Treaty moved through its parliamentary stages; approved by the Senate, with reservation and understanding to the treaty, by division vote. (All Actions) </t>
  </si>
  <si>
    <t xml:space="preserve">Returned to the President under agreement of S. Ex. Res. 4. (All Actions) </t>
  </si>
  <si>
    <t xml:space="preserve">Treaty approved by the Senate 96-0 vote (#438 Ex.). (All Actions) </t>
  </si>
  <si>
    <t xml:space="preserve">Treaty approved by Senate 96-0 vote (#440 Ex.). (All Actions) </t>
  </si>
  <si>
    <t xml:space="preserve">Treaty approved by Senate 96-0 (#441 Ex.). (All Actions) </t>
  </si>
  <si>
    <t xml:space="preserve">Returned to the President pursuant to S. Exec. Res. 2 agreed to on December 1, 1981. (All Actions) </t>
  </si>
  <si>
    <t xml:space="preserve">Returned to the President pursuant to S. Exec. Res. 97-2 agreed to on December 1, 1981. (All Actions) </t>
  </si>
  <si>
    <t xml:space="preserve">Ex. Res. No. 97 -2 agreed to; treaty returned to President. (All Actions) </t>
  </si>
  <si>
    <t xml:space="preserve">Treaty approved, with understanding, by the Senate 97-0 vote (#387 Ex.). (All Actions) </t>
  </si>
  <si>
    <t xml:space="preserve">General debate; approved by 97-0 vote. Record Vote Number 388. (All Actions) </t>
  </si>
  <si>
    <t xml:space="preserve">Treaty approved by Senate 97-0 vote (#384 Ex.). (All Actions) </t>
  </si>
  <si>
    <t xml:space="preserve">General debate; reservation and understanding agreed to; approved by 97-0 vote. Record Vote Number 391. (All Actions) </t>
  </si>
  <si>
    <t xml:space="preserve">Approved by 97-0 vote. Record Vote Number 389. (All Actions) </t>
  </si>
  <si>
    <t xml:space="preserve">Approved with 2 understandings by 97-0 vote. Record Vote Number 385. (All Actions) </t>
  </si>
  <si>
    <t xml:space="preserve">General debate; 3 understandings agreed to; approved by 79-0 vote. Record Vote Number 374. (All Actions) </t>
  </si>
  <si>
    <t xml:space="preserve">Consideration and general debate; understanding to resolution agreed to; treaty approved by division vote. (All Actions) </t>
  </si>
  <si>
    <t xml:space="preserve">General debate; approved by 98-0 vote. Record Vote Number 243. (All Actions) </t>
  </si>
  <si>
    <t xml:space="preserve">Approved by vote of 98-0. Record Vote Number 242. (All Actions) </t>
  </si>
  <si>
    <t xml:space="preserve">Approved by 98-0 vote. Record Vote Number: 244. (All Actions) </t>
  </si>
  <si>
    <t xml:space="preserve">Approved by 98-0 vote. Record Vote Number 241. (All Actions) </t>
  </si>
  <si>
    <t xml:space="preserve">Treaty approved by Senate 97-0 vote (#202 Ex.). (All Actions) </t>
  </si>
  <si>
    <t xml:space="preserve">Treaty returned to President. (All Actions) </t>
  </si>
  <si>
    <t xml:space="preserve">Approved with amendments by 91-0 vote. Record Vote Number 84. (All Actions) </t>
  </si>
  <si>
    <t xml:space="preserve">No further action at sine die adjournment of the 96 Congress; automatically rereferred to the Committee on Foreign Relations under the provisions of Rule XXX, section 2, of the Standing Rules of the Senate. (All Actions) </t>
  </si>
  <si>
    <t xml:space="preserve">Approved by 94-0 vote. Record Vote Number 414. (All Actions) </t>
  </si>
  <si>
    <t xml:space="preserve">Approved by 94-0 vote. Record Vote Number 412. (All Actions) </t>
  </si>
  <si>
    <t xml:space="preserve">Approved by 94-0 vote. Record Vote Number 409. (All Actions) </t>
  </si>
  <si>
    <t xml:space="preserve">Approved by 94-0 vote. Record Vote Number 413. (All Actions) </t>
  </si>
  <si>
    <t xml:space="preserve">Approved by 94-0 vote. Record Vote Number 410. (All Actions) </t>
  </si>
  <si>
    <t xml:space="preserve">Approved by 94-0 vote. Record Vote Number 411. (All Actions) </t>
  </si>
  <si>
    <t xml:space="preserve">Approved by 94-0 vote. Record Vote Number 408. (All Actions) </t>
  </si>
  <si>
    <t xml:space="preserve">General debate; approved by 90-0 vote. Record Vote Number 296. (All Actions) </t>
  </si>
  <si>
    <t xml:space="preserve">General debate; approved by 90-0 vote. Record Vote Number 297. (All Actions) </t>
  </si>
  <si>
    <t xml:space="preserve">General debate; 5 understandings agreed to; approved by 90-0 vote. Record Vote Number 302. (All Actions) </t>
  </si>
  <si>
    <t xml:space="preserve">General debate; approved by 90-0 vote. Record Vote Number 298. (All Actions) </t>
  </si>
  <si>
    <t xml:space="preserve">General debate; approved by 90-0 vote. Record Vote Number 299. (All Actions) </t>
  </si>
  <si>
    <t xml:space="preserve">General debate; approved by 90-0 vote. Record Vote Number 301. (All Actions) </t>
  </si>
  <si>
    <t xml:space="preserve">General debate; approved by 90-0 vote. Record Vote Number 300. (All Actions) </t>
  </si>
  <si>
    <t xml:space="preserve">Approved by 90-1 vote. Record Vote Number 156. (All Actions) </t>
  </si>
  <si>
    <t xml:space="preserve">Resolution of advice and consent to ratification agreed to in Senate by Yea-Nay Vote. 96 - 0. Record Vote Number: 61. (All Actions) </t>
  </si>
  <si>
    <t xml:space="preserve">Approved by 92-0 vote. Record Vote Number 60. (All Actions) </t>
  </si>
  <si>
    <t xml:space="preserve">General debate; approved by 92-0 vote. Record Vote Number 58. (All Actions) </t>
  </si>
  <si>
    <t xml:space="preserve">Resolution of advice and consent to ratification agreed to in Senate by Yea-Nay vote. 92-0. Record Vote No: 58 EX. (All Actions) </t>
  </si>
  <si>
    <t xml:space="preserve">Approved by 92-0 vote. Record Vote Number: 57. (All Actions) </t>
  </si>
  <si>
    <t xml:space="preserve">General debate; approved by 91-0 vote. Record Vote Number 442. (All Actions) </t>
  </si>
  <si>
    <t xml:space="preserve">Approved by 91-0 vote. Record Vote Number 443. (All Actions) </t>
  </si>
  <si>
    <t xml:space="preserve">General debate; approved by 80-11 vote. Record Vote Number 447. (All Actions) </t>
  </si>
  <si>
    <t xml:space="preserve">Approved by 91-0 vote. Record Vote Number 446. (All Actions) </t>
  </si>
  <si>
    <t xml:space="preserve">Approved by 91-0 vote. Record Vote Number 445. (All Actions) </t>
  </si>
  <si>
    <t xml:space="preserve">Approved by 91-0 vote. Record Vote Number 444. (All Actions) </t>
  </si>
  <si>
    <t xml:space="preserve">Approved by 93-0 vote. Record Vote Number 441. (All Actions) </t>
  </si>
  <si>
    <t xml:space="preserve">General debate; approved by 93-0 vote. Record Vote Number 440. (All Actions) </t>
  </si>
  <si>
    <t xml:space="preserve">General debate; approved by 98-0 vote. Record Vote Number 435. (All Actions) </t>
  </si>
  <si>
    <t xml:space="preserve">General debate; approved by 98-0 vote. Record Vote Number 434. (All Actions) </t>
  </si>
  <si>
    <t xml:space="preserve">Approved by 98-0 vote. Record Vote Number 436. (All Actions) </t>
  </si>
  <si>
    <t xml:space="preserve">Hearings held. (All Actions) </t>
  </si>
  <si>
    <t xml:space="preserve">Approved by 98-0 vote. Record Vote Number 154. (All Actions) </t>
  </si>
  <si>
    <t xml:space="preserve">Approved by 98-0 vote. Record Vote Number 155. (All Actions) </t>
  </si>
  <si>
    <t xml:space="preserve">Approved by 98-0 vote. Record Vote Number 156. (All Actions) </t>
  </si>
  <si>
    <t xml:space="preserve">Approved by 98-0 vote. Record Vote Number 157. (All Actions) </t>
  </si>
  <si>
    <t xml:space="preserve">Approved by 98-0 vote. Record Vote Number 159. (All Actions) </t>
  </si>
  <si>
    <t xml:space="preserve">General debate; approved by 98-0 vote. Record Vote Number 158. (All Actions) </t>
  </si>
  <si>
    <t xml:space="preserve">General debate; approved by 89-6 vote. Record Vote Number 153. (All Actions) </t>
  </si>
  <si>
    <t xml:space="preserve">Treaty incorporated into Treaty Doc. 96-3 per transmittal letter from the President dated January 19, 1979. (All Actions) </t>
  </si>
  <si>
    <t xml:space="preserve">General debate; approved by 86-0 vote. Record Vote Number: 480. (All Actions) </t>
  </si>
  <si>
    <t xml:space="preserve">General debate; approved by 95-0 vote. Record Vote Number 208. (All Actions) </t>
  </si>
  <si>
    <t xml:space="preserve">General debate; approved by 95-0 vote. Record Vote Number 206. (All Actions) </t>
  </si>
  <si>
    <t xml:space="preserve">General debate; approved by 95-0 vote. Record Vote Number 207. (All Actions) </t>
  </si>
  <si>
    <t xml:space="preserve">General debate; approved by 95-0 vote. Record Vote Number 204. (All Actions) </t>
  </si>
  <si>
    <t xml:space="preserve">General debate; approved by 95-0 vote. Record Vote Number 205. (All Actions) </t>
  </si>
  <si>
    <t xml:space="preserve">General debate; approved by 82-5 vote. Record Vote Number: 178. (All Actions) </t>
  </si>
  <si>
    <t xml:space="preserve">Resolution of ratification agreed to with reservations and understandings by 68-32 vote. Record Vote Number: 119. (All Actions) </t>
  </si>
  <si>
    <t xml:space="preserve">Resolution of ratification with amendments, conditions, reservations and understandings agreed to by 68-32 vote. Record Vote Number: 66. (All Actions) </t>
  </si>
  <si>
    <t xml:space="preserve">General debate; approved by 90-0 vote. Record Vote Number 407. (All Actions) </t>
  </si>
  <si>
    <t xml:space="preserve">General debate; approved by voice vote; vote vitiated; approved by 92-1 vote. Record Vote Number 324. (All Actions) </t>
  </si>
  <si>
    <t xml:space="preserve">General debate; declaration agreed to; approved by 90-0 vote. Record Vote Number: 316. (All Actions) </t>
  </si>
  <si>
    <t xml:space="preserve">General debate; declaration agreed to; approved by 95-0 vote. Record Vote Number: 301. (All Actions) </t>
  </si>
  <si>
    <t xml:space="preserve">General debate; reservation agreed to; approved by 95-0 vote. Record Vote Number 300. (All Actions) </t>
  </si>
  <si>
    <t xml:space="preserve">General debate; approved by 88-0 vote. Record Vote Number: 595. (All Actions) </t>
  </si>
  <si>
    <t xml:space="preserve">General debate; approved by 88-0 vote. Record Vote Number: 596. (All Actions) </t>
  </si>
  <si>
    <t xml:space="preserve">General debate; approved by 71-17 vote. Record Vote Number: 598. (All Actions) </t>
  </si>
  <si>
    <t xml:space="preserve">Resolution of advice and consent to ratification agreed to in Senate by Yea-Nay vote. 88-0. Record Vote No: 594 EX. (All Actions) </t>
  </si>
  <si>
    <t xml:space="preserve">General debate; approved by 88-0 vote. Record Vote Number: 597. (All Actions) </t>
  </si>
  <si>
    <t xml:space="preserve">Reported without reservation (Ex. Rept. 94-30); general debate; approved by 75-0 vote. (All Actions) </t>
  </si>
  <si>
    <t xml:space="preserve">Reported without reservation (Ex. Rept. 94-31); general debate; approved by 75-0 vote. (All Actions) </t>
  </si>
  <si>
    <t xml:space="preserve">General debate; approved by 88-0 vote. Record Vote Number 305. (All Actions) </t>
  </si>
  <si>
    <t xml:space="preserve">General debate; approved by 88-0 vote. Record Vote Number 304. (All Actions) </t>
  </si>
  <si>
    <t xml:space="preserve">General debate; declaration approved by 91-4 vote; treaty approved by 84-11 vote. Record Vote Number 309. (All Actions) </t>
  </si>
  <si>
    <t xml:space="preserve">General debate; approved by 88-0 vote. Record Vote Number 307. (All Actions) </t>
  </si>
  <si>
    <t xml:space="preserve">General debate; approved by 88-0 vote. Record Vote Number 306. (All Actions) </t>
  </si>
  <si>
    <t xml:space="preserve">General debate; approved by 88-0 vote. Record Vote Number 6. (All Actions) </t>
  </si>
  <si>
    <t xml:space="preserve">Resolution of advice and consent to ratification agreed to in Senate by Yea-Nay vote. 88-0. Record Vote No: 5 EX. (All Actions) </t>
  </si>
  <si>
    <t xml:space="preserve">Resolution of advice and consent to ratification agreed to in Senate by Yea-Nay vote. 88-0. Record Vote No: 4 EX. (All Actions) </t>
  </si>
  <si>
    <t xml:space="preserve">Resolution of advice and consent to ratification agreed to in Senate by Yea-Nay vote. 82-4. Record Vote No: 590 EX. (All Actions) </t>
  </si>
  <si>
    <t xml:space="preserve">General debate; approved by 79-0 vote. Record Vote Number 531. (All Actions) </t>
  </si>
  <si>
    <t xml:space="preserve">Resolution of advice and consent to ratification agreed to in Senate by Yea-Nay vote. 79-0. Record Vote No: 592 EX. (All Actions) </t>
  </si>
  <si>
    <t xml:space="preserve">Resolution of advice and consent to ratification agreed to in Senate by Yea-Nay vote. 79-0. Record Vote No: 530 EX. (All Actions) </t>
  </si>
  <si>
    <t xml:space="preserve">General debate; approved by 97-0 vote. Record Vote Number 502. (All Actions) </t>
  </si>
  <si>
    <t xml:space="preserve">General debate; approved by 97-0 vote. Record Vote Number 501. (All Actions) </t>
  </si>
  <si>
    <t xml:space="preserve">Resolution of advice and consent to ratification agreed to in Senate by Yea-Nay vote. 97-0. Record Vote No: 503 EX. (All Actions) </t>
  </si>
  <si>
    <t xml:space="preserve">Resolution of advice and consent to ratification agreed to in Senate by Yea-Nay vote. 63-15. Record Vote No: 475 EX. (All Actions) </t>
  </si>
  <si>
    <t xml:space="preserve">General debate; approved by 94-0 vote. Record Vote Number 456. (All Actions) </t>
  </si>
  <si>
    <t xml:space="preserve">General debate; approved by 94-0 vote. Record Vote Number: 457. (All Actions) </t>
  </si>
  <si>
    <t xml:space="preserve">General debate; approved by 94-0 vote. Record Vote Number 458. (All Actions) </t>
  </si>
  <si>
    <t xml:space="preserve">Resolution of advice and consent to ratification agreed to in Senate by Yea-Nay vote. 94-0. Record Vote No: 453 EX. (All Actions) </t>
  </si>
  <si>
    <t xml:space="preserve">Resolution of advice and consent to ratification agreed to in Senate by Yea-Nay vote. 94-0. Record Vote No: 454 EX. (All Actions) </t>
  </si>
  <si>
    <t xml:space="preserve">Resolution of advice and consent to ratification agreed to in Senate by Yea-Nay vote. 94-0. Record Vote No: 455 EX. (All Actions) </t>
  </si>
  <si>
    <t xml:space="preserve">Resolution of advice and consent to ratification agreed to in Senate by Yea-Nay vote. 82-0. Record Vote No: 162 EX. (All Actions) </t>
  </si>
  <si>
    <t xml:space="preserve">Resolution of advice and consent to ratification agreed to in Senate by Yea-Nay vote. 90-0. Record Vote No: 552 EX. (All Actions) </t>
  </si>
  <si>
    <t xml:space="preserve">Resolution of advice and consent to ratification agreed to in Senate by Yea-Nay vote. 90-0. Record Vote No: 554 EX. (All Actions) </t>
  </si>
  <si>
    <t xml:space="preserve">Resolution of advice and consent to ratification agreed to in Senate by Yea-Nay vote. 90-0. Record Vote No: 553 EX. (All Actions) </t>
  </si>
  <si>
    <t xml:space="preserve">Resolution of advice and consent to ratification agreed to in Senate by Yea-Nay vote. 90-0. Record Vote No: 555 EX. (All Actions) </t>
  </si>
  <si>
    <t xml:space="preserve">Resolution of advice and consent to ratification agreed to in Senate by Yea-Nay vote. 78-0. Record Vote No: 427 EX. (All Actions) </t>
  </si>
  <si>
    <t xml:space="preserve">Resolution of advice and consent to ratification agreed to in Senate by Yea-Nay vote. 65-0. Record Vote No: 361 EX. (All Actions) </t>
  </si>
  <si>
    <t xml:space="preserve">Resolution of advice and consent to ratification agreed to in Senate by Yea-Nay vote. 75-0. Record Vote No: 217 EX. (All Actions) </t>
  </si>
  <si>
    <t xml:space="preserve">Committee on Foreign Relations. Committee consideration held. (All Actions) </t>
  </si>
  <si>
    <t xml:space="preserve">Resolution of advice and consent to ratification agreed to in Senate by Yea-Nay vote. 63-0. Record Vote No: 92 EX. (All Actions) </t>
  </si>
  <si>
    <t xml:space="preserve">Resolution of advice and consent to ratification agreed to in Senate by Yea-Nay vote. 82-0. Record Vote No: 2 EX. (All Actions) </t>
  </si>
  <si>
    <t xml:space="preserve">Resolution of advice and consent to ratification agreed to in Senate by Yea-Nay vote. 76-0. Record Vote No: 495 EX. (All Actions) </t>
  </si>
  <si>
    <t xml:space="preserve">Resolution of advice and consent to ratification agreed to in Senate by Yea-Nay vote. 76-0. Record Vote No: 496 EX. (All Actions) </t>
  </si>
  <si>
    <t xml:space="preserve">Approved by 95-0 vote (No. 456 Ex.). (All Actions) </t>
  </si>
  <si>
    <t xml:space="preserve">Approved 95-0 vote (No. 458 Ex.). (All Actions) </t>
  </si>
  <si>
    <t xml:space="preserve">Approved by 95-0 vote (No. 457 Ex.). (All Actions) </t>
  </si>
  <si>
    <t xml:space="preserve">Resolution of advice and consent to ratification agreed to in Senate by Yea-Nay vote. 95-0. Record Vote No: 455 EX. (All Actions) </t>
  </si>
  <si>
    <t xml:space="preserve">Resolution of advice and consent to ratification agreed to in Senate by Yea-Nay vote. 95-0. Record Vote No: 429 EX. (All Actions) </t>
  </si>
  <si>
    <t xml:space="preserve">Resolution of advice and consent to ratification agreed to in Senate by Yea-Nay vote. 95-0. Record Vote No: 428 EX. (All Actions) </t>
  </si>
  <si>
    <t xml:space="preserve">Resolution of advice and consent to ratification agreed to in Senate by Yea-Nay vote. 95-0. Record Vote No: 432. (All Actions) </t>
  </si>
  <si>
    <t xml:space="preserve">Resolution of advice and consent to ratification agreed to in Senate by Yea-Nay vote. 95-0. Record Vote No: 430 EX. (All Actions) </t>
  </si>
  <si>
    <t xml:space="preserve">Resolution of advice and consent to ratification agreed to in Senate by Yea-Nay vote. 95-0. Record Vote No: 427 EX. (All Actions) </t>
  </si>
  <si>
    <t xml:space="preserve">Resolution of advice and consent to ratification agreed to in Senate by Yea-Nay vote. 95-0. Record Vote No: 431 EX. (All Actions) </t>
  </si>
  <si>
    <t xml:space="preserve">Resolution of advice and consent to ratification agreed to in Senate by Yea-Nay vote. 80-7. Record Vote No: 366. (All Actions) </t>
  </si>
  <si>
    <t xml:space="preserve">Approved by 86-0 vote. Record Vote Number 359. (All Actions) </t>
  </si>
  <si>
    <t xml:space="preserve">Approved by 86-0 vote (No. 361 Ex). (All Actions) </t>
  </si>
  <si>
    <t xml:space="preserve">Resolution of advice and consent to ratification agreed to in Senate by Yea-Nay vote. 86-0. Record Vote No: 360 EX. (All Actions) </t>
  </si>
  <si>
    <t xml:space="preserve">Resolution of advice and consent to ratification agreed to in Senate by Yea-Nay vote. 89-0. Record Vote No: 362 EX. (All Actions) </t>
  </si>
  <si>
    <t xml:space="preserve">Consideration and general debate; approved by 92-0 vote. Record Vote Number 59. (All Actions) </t>
  </si>
  <si>
    <t xml:space="preserve">Resolution of advice and consent to ratification agreed to in Senate by Yea-Nay vote. 92-0. Record Vote No: 60 EX. (All Actions) </t>
  </si>
  <si>
    <t xml:space="preserve">Resolution of advice and consent to ratification agreed to in Senate by Yea-Nay vote. 90-0. Record Vote No: 56 EX. (All Actions) </t>
  </si>
  <si>
    <t xml:space="preserve">Resolution of advice and consent to ratification agreed to in Senate by Yea-Nay vote. 92-0. Record Vote No: 57 EX. (All Actions) </t>
  </si>
  <si>
    <t xml:space="preserve">Resolution of advice and consent to ratification agreed to in Senate by Yea-Nay vote. 67-0. Record Vote No: 537 EX. (All Actions) </t>
  </si>
  <si>
    <t xml:space="preserve">Resolution of advice and consent to ratification agreed to in Senate by Yea-Nay vote. 89-0. Record Vote No: 499 EX. (All Actions) </t>
  </si>
  <si>
    <t xml:space="preserve">Resolution of advice and consent to ratification agreed to in Senate by Yea-Nay vote. 89-0. Record Vote No: 500 EX. (All Actions) </t>
  </si>
  <si>
    <t xml:space="preserve">Resolution of advice and consent to ratification agreed to in Senate by Yea-Nay vote. 89-0. Record Vote No: 501 EX. (All Actions) </t>
  </si>
  <si>
    <t xml:space="preserve">Resolution of advice and consent to ratification agreed to in Senate by Yea-Nay vote. 89-0. Record Vote No: 502 EX. (All Actions) </t>
  </si>
  <si>
    <t xml:space="preserve">Resolution of advice and consent to ratification agreed to in Senate by Yea-Nay vote. 69-0. Record Vote No: 440 EX. (All Actions) </t>
  </si>
  <si>
    <t xml:space="preserve">Approved by 67-0 vote. (All Actions) </t>
  </si>
  <si>
    <t xml:space="preserve">Resolution of advice and consent to ratification agreed to in Senate by Yea-Nay vote. 79-0. Record Vote No: 374 EX. (All Actions) </t>
  </si>
  <si>
    <t xml:space="preserve">Resolution of advice and consent to ratification agreed to in Senate by Yea-Nay vote. 70-0. Record Vote No: 376 EX. (All Actions) </t>
  </si>
  <si>
    <t xml:space="preserve">Resolution of advice and consent to ratification agreed to in Senate by Yea-Nay vote. 79-0. Record Vote No: 375 EX. (All Actions) </t>
  </si>
  <si>
    <t xml:space="preserve">Treaty considered in executive session; amendment to resolution submitted and withdrawn; resolution of advice and consent to ratification approved 88-2 (roll call vote 343 Ex.). (All Actions) </t>
  </si>
  <si>
    <t xml:space="preserve">Resolution of advice and consent to ratification agreed to in Senate by Yea-Nay vote. 84-0. Record Vote No: 205 EX. (All Actions) </t>
  </si>
  <si>
    <t xml:space="preserve">Resolution of advice and consent to ratification agreed to in Senate by Yea-Nay vote. 84-0. Record Vote No: 206 EX. (All Actions) </t>
  </si>
  <si>
    <t xml:space="preserve">Resolution of advice and consent to ratification agreed to in Senate by Yea-Nay vote. 74-0. Record Vote No: 202 EX. (All Actions) </t>
  </si>
  <si>
    <t xml:space="preserve">Resolution of advice and consent to ratification agreed to in Senate by Yea-Nay vote. 74-0. Record Vote No: 203 EX. (All Actions) </t>
  </si>
  <si>
    <t xml:space="preserve">Resolution of advice and consent to ratification agreed to in Senate by Yea-Nay vote. 84-0. Record Vote No: 207 EX. (All Actions) </t>
  </si>
  <si>
    <t xml:space="preserve">Resolution of advice and consent to ratification agreed to in Senate by Yea-Nay vote. 66-34. Record Vote No: 111 EX. (All Actions) </t>
  </si>
  <si>
    <t xml:space="preserve">Resolution of advice and consent to ratification agreed to in Senate by Yea-Nay vote. 83-0. Record Vote No: 43 EX. (All Actions) </t>
  </si>
  <si>
    <t xml:space="preserve">Resolution of advice and consent to ratification agreed to in Senate by Yea-Nay vote. 75-0. Record Vote No: 453 EX. (All Actions) </t>
  </si>
  <si>
    <t xml:space="preserve">Resolution of advice and consent to ratification agreed to in Senate by Yea-Nay vote. 75-0. Record Vote No: 454 EX. (All Actions) </t>
  </si>
  <si>
    <t xml:space="preserve">Resolution of advice and consent to ratification agreed to in Senate by Yea-Nay vote. 75-0. Record Vote No: 452 EX. (All Actions) </t>
  </si>
  <si>
    <t xml:space="preserve">Resolution of advice and consent to ratification agreed to in Senate by Yea-Nay vote. 79-0. Record Vote No: 400 EX. (All Actions) </t>
  </si>
  <si>
    <t xml:space="preserve">Resolution of advice and consent to ratification agreed to in Senate by Yea-Nay vote. 79-0. Record Vote No: 401 EX. (All Actions) </t>
  </si>
  <si>
    <t xml:space="preserve">Resolution of advice and consent to ratification agreed to in Senate by Yea-Nay vote. 79-0. Record Vote No: 402 EX. (All Actions) </t>
  </si>
  <si>
    <t xml:space="preserve">Resolution of advice and consent to ratification agreed to in Senate by Yea-Nay vote. 84-6. Record Vote No: 299 EX. (All Actions) </t>
  </si>
  <si>
    <t xml:space="preserve">Resolution of advice and consent to ratification agreed to in Senate by Yea-Nay vote. 75-0. Record Vote No: 224 EX. (All Actions) </t>
  </si>
  <si>
    <t xml:space="preserve">Resolution of advice and consent to ratification agreed to in Senate by Yea-Nay vote. 75-0. Record Vote No: 225 EX. (All Actions) </t>
  </si>
  <si>
    <t xml:space="preserve">Resolution of advice and consent to ratification agreed to in Senate by Yea-Nay vote. 53-0. Record Vote No: 213 EX. (All Actions) </t>
  </si>
  <si>
    <t xml:space="preserve">Resolution of advice and consent to ratification agreed to in Senate by Yea-Nay vote. 78-0. Record Vote No: 137 EX. (All Actions) </t>
  </si>
  <si>
    <t xml:space="preserve">Resolution of advice and consent to ratification agreed to in Senate by Yea-Nay vote. 70-0. Record Vote No: 41 EX. (All Actions) </t>
  </si>
  <si>
    <t xml:space="preserve">Resolution of advice and consent to ratification agreed to in Senate by Yea-Nay vote. 66-5. Record Vote No: 3 EX. (All Actions) </t>
  </si>
  <si>
    <t xml:space="preserve">Resolution of advice and consent to ratification agreed to in Senate by Yea-Nay vote. 72-0. Record Vote No: 4 EX. (All Actions) </t>
  </si>
  <si>
    <t xml:space="preserve">Resolution of advice and consent to ratification agreed to in Senate by Yea-Nay vote. 72-0. Record Vote No: 2 EX. (All Actions) </t>
  </si>
  <si>
    <t xml:space="preserve">Resolution of advice and consent to ratification agreed to in Senate by Yea-Nay vote. 76-0. Record Vote No: 398 EX. (All Actions) </t>
  </si>
  <si>
    <t xml:space="preserve">Resolution of advice and consent to ratification agreed to in Senate by Yea-Nay vote. 76-0. Record Vote No: 399 EX. (All Actions) </t>
  </si>
  <si>
    <t xml:space="preserve">Resolution of advice and consent to ratification agreed to in Senate by Yea-Nay vote. 76-0. Record Vote No: 400 EX. (All Actions) </t>
  </si>
  <si>
    <t xml:space="preserve">Resolution of advice and consent to ratification agreed to in Senate by Yea-Nay vote. 76-0. Record Vote No: 401 EX. (All Actions) </t>
  </si>
  <si>
    <t xml:space="preserve">Resolution of advice and consent to ratification agreed to in Senate by Yea-Nay vote. 66-0. Record Vote No: 320 EX. (All Actions) </t>
  </si>
  <si>
    <t xml:space="preserve">Resolution of advice and consent to ratification agreed to in Senate by Yea-Nay vote. 79-0. Record Vote No: 150 EX. (All Actions) </t>
  </si>
  <si>
    <t xml:space="preserve">Resolution of advice and consent to ratification agreed to in Senate by Yea-Nay vote. 79-0. Record Vote No: 151 EX. (All Actions) </t>
  </si>
  <si>
    <t xml:space="preserve">Resolution of advice and consent to ratification agreed to in Senate by Yea-Nay vote. 78-0. Record Vote No: 106 EX. (All Actions) </t>
  </si>
  <si>
    <t xml:space="preserve">Resolution of advice and consent to ratification agreed to in Senate by Yea-Nay vote. 78-0. Record Vote No: 107 EX. (All Actions) </t>
  </si>
  <si>
    <t xml:space="preserve">Returned to the President pursuant to S. Exec. Res. 1 agreed to on March 13, 1970. (All Actions) </t>
  </si>
  <si>
    <t xml:space="preserve">Resolution of advice and consent to ratification agreed to in Senate by Yea-Nay vote. 70-0. Record Vote No: 70 EX. (All Actions) </t>
  </si>
  <si>
    <t xml:space="preserve">Resolution of advice and consent to ratification agreed to in Senate by Yea-Nay vote. 71-0. Record Vote No: 142 EX. (All Actions) </t>
  </si>
  <si>
    <t xml:space="preserve">Resolution of advice and consent to ratification agreed to in Senate by Yea-Nay vote. 67-3. Record Vote No: 143 EX. (All Actions) </t>
  </si>
  <si>
    <t xml:space="preserve">Resolution of advice and consent to ratification agreed to in Senate by Yea-Nay vote. 80-0. Record Vote No: 129 EX. (All Actions) </t>
  </si>
  <si>
    <t xml:space="preserve">Resolution of advice and consent to ratification agreed to in Senate by Yea-Nay vote. 81-0. Record Vote No: 130 EX. (All Actions) </t>
  </si>
  <si>
    <t xml:space="preserve">Resolution of advice and consent to ratification agreed to in Senate by Yea-Nay vote. 89-0. Record Vote No: 46 EX. (All Actions) </t>
  </si>
  <si>
    <t xml:space="preserve">Resolution of advice and consent to ratification agreed to in Senate by Yea-Nay vote. 94-0. Record Vote No: 30 EX. (All Actions) </t>
  </si>
  <si>
    <t xml:space="preserve">Resolution of advice and consent to ratification agreed to in Senate by Yea-Nay vote. 93-1. Record Vote No: 29 EX. (All Actions) </t>
  </si>
  <si>
    <t xml:space="preserve">Resolution of advice and consent to ratification agreed to in Senate by Yea-Nay vote. 83-15. Record Vote No: 23 EX. (All Actions) </t>
  </si>
  <si>
    <t xml:space="preserve">Resolution of advice and consent to ratification agreed to in Senate by Yea-Nay vote. 66-0. Record Vote No: 322 EX. (All Actions) </t>
  </si>
  <si>
    <t xml:space="preserve">Resolution of advice and consent to ratification agreed to in Senate by Yea-Nay vote. 57-0. Record Vote No: 313 EX. (All Actions) </t>
  </si>
  <si>
    <t xml:space="preserve">Resolution of advice and consent to ratification agreed to in Senate by Yea-Nay vote. 59-0. Record Vote No: 316 EX. (All Actions) </t>
  </si>
  <si>
    <t xml:space="preserve">Resolution of advice and consent to ratification agreed to in Senate by Yea-Nay vote. 59-0. Record Vote No: 315 EX. (All Actions) </t>
  </si>
  <si>
    <t xml:space="preserve">Resolution of advice and consent to ratification agreed to in Senate by Yea-Nay vote. 59-0. Record Vote No: 314 EX. (All Actions) </t>
  </si>
  <si>
    <t xml:space="preserve">Resolution of advice and consent to ratification agreed to in Senate by Yea-Nay vote. 59-0. Record Vote No: 317 EX. (All Actions) </t>
  </si>
  <si>
    <t xml:space="preserve">Resolution of advice and consent to ratification agreed to in Senate by Yea-Nay vote. 51-8. Record Vote No: 202 EX. (All Actions) </t>
  </si>
  <si>
    <t xml:space="preserve">Resolution of advice and consent to ratification agreed to in Senate by Yea-Nay vote. 62-21. Record Vote No: 185 EX. (All Actions) </t>
  </si>
  <si>
    <t xml:space="preserve">Approved, with reservation, by 79-0 vote (No.177 Ex.). (All Actions) </t>
  </si>
  <si>
    <t xml:space="preserve">Resolution of advice and consent to ratification agreed to in Senate by Yea-Nay vote. 78-0. Record Vote No: 175 EX. (All Actions) </t>
  </si>
  <si>
    <t xml:space="preserve">Resolution of advice and consent to ratification agreed to in Senate by Yea-Nay vote. 78-0. Record Vote No: 176 EX. (All Actions) </t>
  </si>
  <si>
    <t xml:space="preserve">Resolution of advice and consent to ratification agreed to in Senate by Yea-Nay vote. 73-0. Record Vote No: 127 EX. (All Actions) </t>
  </si>
  <si>
    <t xml:space="preserve">Resolution of advice and consent to ratification agreed to in Senate by Yea-Nay vote. 74-0. Record Vote No: 128 EX. (All Actions) </t>
  </si>
  <si>
    <t xml:space="preserve">Resolution of advice and consent to ratification agreed to in Senate by Yea-Nay vote. 74-0. Record Vote No: 124 EX. (All Actions) </t>
  </si>
  <si>
    <t xml:space="preserve">Resolution of advice and consent to ratification agreed to in Senate by Yea-Nay vote. 75-0. Record Vote No: 101 EX. (All Actions) </t>
  </si>
  <si>
    <t xml:space="preserve">Resolution of advice and consent to ratification agreed to in Senate by Yea-Nay vote. 75-0. Record Vote No: 382 EX. (All Actions) </t>
  </si>
  <si>
    <t xml:space="preserve">Resolution of advice and consent to ratification agreed to in Senate by Yea-Nay vote. 84-0. Record Vote No: 374EX. (All Actions) </t>
  </si>
  <si>
    <t xml:space="preserve">Resolution of advice and consent to ratification agreed to in Senate by Yea-Nay vote. 77-0. Record Vote No: 307 EX. (All Actions) </t>
  </si>
  <si>
    <t xml:space="preserve">Resolution of advice and consent to ratification agreed to in Senate by Yea-Nay vote. 77-0. Record Vote No: 308 EX. (All Actions) </t>
  </si>
  <si>
    <t xml:space="preserve">Resolution of advice and consent to ratification agreed to in Senate by Yea-Nay vote. 80-0. Record Vote No: 251 EX. (All Actions) </t>
  </si>
  <si>
    <t xml:space="preserve">Resolution of advice and consent to ratification agreed to in Senate by Yea-Nay vote. 86-0. Record Vote No: 198 EX. (All Actions) </t>
  </si>
  <si>
    <t xml:space="preserve">Resolution of advice and consent to ratification agreed to in Senate by Yea-Nay vote. 84-0. Record Vote No: 105 EX. (All Actions) </t>
  </si>
  <si>
    <t xml:space="preserve">Resolution of advice and consent to ratification agreed to in Senate by Yea-Nay vote. 84-0. Record Vote No: 106 EX. (All Actions) </t>
  </si>
  <si>
    <t xml:space="preserve">Resolution of advice and consent to ratification agreed to in Senate by Yea-Nay vote. 88-0. Record Vote No: 92 EX. (All Actions) </t>
  </si>
  <si>
    <t xml:space="preserve">Resolution of advice and consent to ratification agreed to in Senate by Yea-Nay vote. 82-0. Record Vote No: 75 EX. (All Actions) </t>
  </si>
  <si>
    <t xml:space="preserve">Resolution of advice and consent to ratification agreed to in Senate by Yea-Nay vote. 88-0. Record Vote No: 67 EX. (All Actions) </t>
  </si>
  <si>
    <t xml:space="preserve">Resolution of advice and consent to ratification agreed to in Senate by Yea-Nay vote. 83-0. Record Vote No: 102 EX. (All Actions) </t>
  </si>
  <si>
    <t xml:space="preserve">General debate; approved by 66-0 vote (No. 301 Ex.). (All Actions) </t>
  </si>
  <si>
    <t xml:space="preserve">Approved by vote of 74-0 (No. 240 Ex.). (All Actions) </t>
  </si>
  <si>
    <t xml:space="preserve">Approved by 88-0 vote (No. 132 Ex.). (All Actions) </t>
  </si>
  <si>
    <t xml:space="preserve">General debate; approved by 70-1 vote (No. 106 Ex.). (All Actions) </t>
  </si>
  <si>
    <t>type</t>
  </si>
  <si>
    <t>In Process</t>
  </si>
  <si>
    <t>Not Passed - Divided into new treaties</t>
  </si>
  <si>
    <t>Passed</t>
  </si>
  <si>
    <t>Status</t>
  </si>
  <si>
    <r>
      <t>114</t>
    </r>
    <r>
      <rPr>
        <vertAlign val="superscript"/>
        <sz val="12"/>
        <color theme="1"/>
        <rFont val="Calibri"/>
        <family val="2"/>
        <scheme val="minor"/>
      </rPr>
      <t>th</t>
    </r>
  </si>
  <si>
    <r>
      <t>113</t>
    </r>
    <r>
      <rPr>
        <vertAlign val="superscript"/>
        <sz val="12"/>
        <color theme="1"/>
        <rFont val="Calibri"/>
        <family val="2"/>
        <scheme val="minor"/>
      </rPr>
      <t>th</t>
    </r>
  </si>
  <si>
    <r>
      <t>112</t>
    </r>
    <r>
      <rPr>
        <vertAlign val="superscript"/>
        <sz val="12"/>
        <color theme="1"/>
        <rFont val="Calibri"/>
        <family val="2"/>
        <scheme val="minor"/>
      </rPr>
      <t>th</t>
    </r>
  </si>
  <si>
    <r>
      <t>111</t>
    </r>
    <r>
      <rPr>
        <vertAlign val="superscript"/>
        <sz val="12"/>
        <color theme="1"/>
        <rFont val="Calibri"/>
        <family val="2"/>
        <scheme val="minor"/>
      </rPr>
      <t>th</t>
    </r>
  </si>
  <si>
    <r>
      <t>110</t>
    </r>
    <r>
      <rPr>
        <vertAlign val="superscript"/>
        <sz val="12"/>
        <color theme="1"/>
        <rFont val="Calibri"/>
        <family val="2"/>
        <scheme val="minor"/>
      </rPr>
      <t>th</t>
    </r>
  </si>
  <si>
    <r>
      <t>109</t>
    </r>
    <r>
      <rPr>
        <vertAlign val="superscript"/>
        <sz val="12"/>
        <color theme="1"/>
        <rFont val="Calibri"/>
        <family val="2"/>
        <scheme val="minor"/>
      </rPr>
      <t>th</t>
    </r>
  </si>
  <si>
    <r>
      <t>108</t>
    </r>
    <r>
      <rPr>
        <vertAlign val="superscript"/>
        <sz val="12"/>
        <color theme="1"/>
        <rFont val="Calibri"/>
        <family val="2"/>
        <scheme val="minor"/>
      </rPr>
      <t>th</t>
    </r>
  </si>
  <si>
    <r>
      <t>107</t>
    </r>
    <r>
      <rPr>
        <vertAlign val="superscript"/>
        <sz val="12"/>
        <color theme="1"/>
        <rFont val="Calibri"/>
        <family val="2"/>
        <scheme val="minor"/>
      </rPr>
      <t>th</t>
    </r>
  </si>
  <si>
    <r>
      <t>106</t>
    </r>
    <r>
      <rPr>
        <vertAlign val="superscript"/>
        <sz val="12"/>
        <color theme="1"/>
        <rFont val="Calibri"/>
        <family val="2"/>
        <scheme val="minor"/>
      </rPr>
      <t>th</t>
    </r>
  </si>
  <si>
    <r>
      <t>105</t>
    </r>
    <r>
      <rPr>
        <vertAlign val="superscript"/>
        <sz val="12"/>
        <color theme="1"/>
        <rFont val="Calibri"/>
        <family val="2"/>
        <scheme val="minor"/>
      </rPr>
      <t>th</t>
    </r>
  </si>
  <si>
    <r>
      <t>104</t>
    </r>
    <r>
      <rPr>
        <vertAlign val="superscript"/>
        <sz val="12"/>
        <color theme="1"/>
        <rFont val="Calibri"/>
        <family val="2"/>
        <scheme val="minor"/>
      </rPr>
      <t>th</t>
    </r>
  </si>
  <si>
    <r>
      <t>103</t>
    </r>
    <r>
      <rPr>
        <vertAlign val="superscript"/>
        <sz val="12"/>
        <color theme="1"/>
        <rFont val="Calibri"/>
        <family val="2"/>
        <scheme val="minor"/>
      </rPr>
      <t>rd</t>
    </r>
  </si>
  <si>
    <r>
      <t>102</t>
    </r>
    <r>
      <rPr>
        <vertAlign val="superscript"/>
        <sz val="12"/>
        <color theme="1"/>
        <rFont val="Calibri"/>
        <family val="2"/>
        <scheme val="minor"/>
      </rPr>
      <t>nd</t>
    </r>
  </si>
  <si>
    <r>
      <t>101</t>
    </r>
    <r>
      <rPr>
        <vertAlign val="superscript"/>
        <sz val="12"/>
        <color theme="1"/>
        <rFont val="Calibri"/>
        <family val="2"/>
        <scheme val="minor"/>
      </rPr>
      <t>st</t>
    </r>
  </si>
  <si>
    <r>
      <t>100</t>
    </r>
    <r>
      <rPr>
        <vertAlign val="superscript"/>
        <sz val="12"/>
        <color theme="1"/>
        <rFont val="Calibri"/>
        <family val="2"/>
        <scheme val="minor"/>
      </rPr>
      <t>th</t>
    </r>
  </si>
  <si>
    <r>
      <t>99</t>
    </r>
    <r>
      <rPr>
        <vertAlign val="superscript"/>
        <sz val="12"/>
        <color theme="1"/>
        <rFont val="Calibri"/>
        <family val="2"/>
        <scheme val="minor"/>
      </rPr>
      <t>th</t>
    </r>
  </si>
  <si>
    <r>
      <t>98</t>
    </r>
    <r>
      <rPr>
        <vertAlign val="superscript"/>
        <sz val="12"/>
        <color theme="1"/>
        <rFont val="Calibri"/>
        <family val="2"/>
        <scheme val="minor"/>
      </rPr>
      <t>th</t>
    </r>
  </si>
  <si>
    <r>
      <t>97</t>
    </r>
    <r>
      <rPr>
        <vertAlign val="superscript"/>
        <sz val="12"/>
        <color theme="1"/>
        <rFont val="Calibri"/>
        <family val="2"/>
        <scheme val="minor"/>
      </rPr>
      <t>th</t>
    </r>
  </si>
  <si>
    <r>
      <t>96</t>
    </r>
    <r>
      <rPr>
        <vertAlign val="superscript"/>
        <sz val="12"/>
        <color theme="1"/>
        <rFont val="Calibri"/>
        <family val="2"/>
        <scheme val="minor"/>
      </rPr>
      <t>th</t>
    </r>
  </si>
  <si>
    <r>
      <t>95</t>
    </r>
    <r>
      <rPr>
        <vertAlign val="superscript"/>
        <sz val="12"/>
        <color theme="1"/>
        <rFont val="Calibri"/>
        <family val="2"/>
        <scheme val="minor"/>
      </rPr>
      <t>th</t>
    </r>
  </si>
  <si>
    <r>
      <t>94</t>
    </r>
    <r>
      <rPr>
        <vertAlign val="superscript"/>
        <sz val="12"/>
        <color theme="1"/>
        <rFont val="Calibri"/>
        <family val="2"/>
        <scheme val="minor"/>
      </rPr>
      <t>th</t>
    </r>
  </si>
  <si>
    <r>
      <t>93</t>
    </r>
    <r>
      <rPr>
        <vertAlign val="superscript"/>
        <sz val="12"/>
        <color theme="1"/>
        <rFont val="Calibri"/>
        <family val="2"/>
        <scheme val="minor"/>
      </rPr>
      <t>rd</t>
    </r>
  </si>
  <si>
    <t xml:space="preserve"> Total</t>
  </si>
  <si>
    <t xml:space="preserve"> Others</t>
  </si>
  <si>
    <t xml:space="preserve"> Vacant</t>
  </si>
  <si>
    <t>Presidential Party</t>
  </si>
  <si>
    <t>Political Party</t>
  </si>
  <si>
    <t>Dates in Office</t>
  </si>
  <si>
    <t>Vice President(s)</t>
  </si>
  <si>
    <t>1789–97</t>
  </si>
  <si>
    <t>1797–1801</t>
  </si>
  <si>
    <t>1801–9</t>
  </si>
  <si>
    <t>Aaron Burr, 1801–5George Clinton, 1805–9</t>
  </si>
  <si>
    <t>1809–17</t>
  </si>
  <si>
    <t>George Clinton, 1809–12(no Vice President, Apr., 1812–Mar., 1813)Elbridge Gerry, 1813–14(no Vice President, Nov., 1814–Mar., 1817)</t>
  </si>
  <si>
    <t>1817–25</t>
  </si>
  <si>
    <t>Daniel D. Tompkins</t>
  </si>
  <si>
    <t>1825–29</t>
  </si>
  <si>
    <t>John C. Calhoun</t>
  </si>
  <si>
    <t>1829–37</t>
  </si>
  <si>
    <t>John C. Calhoun, 1829–32(no Vice President, Dec., 1832–Mar., 1833)Martin Van Buren, 1833–37</t>
  </si>
  <si>
    <t>1837–41</t>
  </si>
  <si>
    <t>Richard M. Johnson</t>
  </si>
  <si>
    <t>William Henry Harrison</t>
  </si>
  <si>
    <t>1841–45</t>
  </si>
  <si>
    <t>(no Vice President)</t>
  </si>
  <si>
    <t>James Knox Polk</t>
  </si>
  <si>
    <t>1845–49</t>
  </si>
  <si>
    <t>George M. Dallas</t>
  </si>
  <si>
    <t>1849–50</t>
  </si>
  <si>
    <t>1850–53</t>
  </si>
  <si>
    <t>1853–57</t>
  </si>
  <si>
    <t>William R. King, 1853(no Vice President, Apr., 1853–Mar., 1857)</t>
  </si>
  <si>
    <t>1857–61</t>
  </si>
  <si>
    <t>John C. Breckinridge</t>
  </si>
  <si>
    <t>1861–65</t>
  </si>
  <si>
    <t>Hannibal Hamlin, 1861–65Andrew Johnson, 1865</t>
  </si>
  <si>
    <t>Democratic/National Union</t>
  </si>
  <si>
    <t>1865–69</t>
  </si>
  <si>
    <t>Ulysses Simpson Grant</t>
  </si>
  <si>
    <t>1869–77</t>
  </si>
  <si>
    <t>Schuyler Colfax, 1869–73Henry Wilson, 1873–75(no Vice President, Nov., 1875–Mar., 1877)</t>
  </si>
  <si>
    <t>Rutherford Birchard Hayes</t>
  </si>
  <si>
    <t>1877–81</t>
  </si>
  <si>
    <t>William A. Wheeler</t>
  </si>
  <si>
    <t>James Abram Garfield</t>
  </si>
  <si>
    <t>Chester A. Arthur</t>
  </si>
  <si>
    <t>Chester Alan Arthur</t>
  </si>
  <si>
    <t>1881–85</t>
  </si>
  <si>
    <t>1885–89</t>
  </si>
  <si>
    <t>Thomas A. Hendricks, 1885(no Vice President, Nov., 1885–Mar., 1889)</t>
  </si>
  <si>
    <t>1889–93</t>
  </si>
  <si>
    <t>Levi P. Morton</t>
  </si>
  <si>
    <t>1893–97</t>
  </si>
  <si>
    <t>Adlai E. Stevenson</t>
  </si>
  <si>
    <t>1897–1901</t>
  </si>
  <si>
    <t>Garret A. Hobart, 1897–99(no Vice President, Nov., 1899–Mar., 1901)Theodore Roosevelt, 1901</t>
  </si>
  <si>
    <t>1901–9</t>
  </si>
  <si>
    <t>(no Vice President, Sept., 1901–Mar., 1905)Charles W. Fairbanks, 1905–9</t>
  </si>
  <si>
    <t>William Howard Taft</t>
  </si>
  <si>
    <t>1909–13</t>
  </si>
  <si>
    <t>James S. Sherman, 1909–12(no Vice President, Oct., 1912–Mar., 1913)</t>
  </si>
  <si>
    <t>1913–21</t>
  </si>
  <si>
    <t>Thomas R. Marshall</t>
  </si>
  <si>
    <t>Warren Gamaliel Harding</t>
  </si>
  <si>
    <t>1921–23</t>
  </si>
  <si>
    <t>1923–29</t>
  </si>
  <si>
    <t>(no Vice President, 1923–25)Charles G. Dawes, 1925–29</t>
  </si>
  <si>
    <t>Herbert Clark Hoover</t>
  </si>
  <si>
    <t>1929–33</t>
  </si>
  <si>
    <t>Charles Curtis</t>
  </si>
  <si>
    <t>Franklin Delano Roosevelt</t>
  </si>
  <si>
    <t>1933–45</t>
  </si>
  <si>
    <t>John N. Garner, 1933–41Henry A. Wallace, 1941–45Harry S. Truman, 1945</t>
  </si>
  <si>
    <t>Harry S. Truman</t>
  </si>
  <si>
    <t>1945–53</t>
  </si>
  <si>
    <t>(no Vice President, 1945–49)Alben W. Barkley, 1949–53</t>
  </si>
  <si>
    <t>Dwight David Eisenhower</t>
  </si>
  <si>
    <t>1953–61</t>
  </si>
  <si>
    <t>Richard M. Nixon</t>
  </si>
  <si>
    <t>John Fitzgerald Kennedy</t>
  </si>
  <si>
    <t>1961–63</t>
  </si>
  <si>
    <t>Lyndon B. Johnson</t>
  </si>
  <si>
    <t>Lyndon Baines Johnson</t>
  </si>
  <si>
    <t>1963–69</t>
  </si>
  <si>
    <t>(no Vice President, 1963–65)Hubert H. Humphrey, 1965–69</t>
  </si>
  <si>
    <t>Richard Milhous Nixon</t>
  </si>
  <si>
    <t>1969–74</t>
  </si>
  <si>
    <t>Spiro T. Agnew, 1969–73(no Vice President, Oct. 10, 1973–Dec. 6, 1973)Gerald R. Ford, 1973–74</t>
  </si>
  <si>
    <t>Gerald Rudolph Ford</t>
  </si>
  <si>
    <t>1974–77</t>
  </si>
  <si>
    <t>(no Vice President, Aug. 9, 1974–Dec. 19, 1974)Nelson A. Rockefeller, 1974–77</t>
  </si>
  <si>
    <t>1977–81</t>
  </si>
  <si>
    <t>Walter F. Mondale</t>
  </si>
  <si>
    <t>Ronald Wilson Reagan</t>
  </si>
  <si>
    <t>1981–89</t>
  </si>
  <si>
    <t>George H.W. Bush</t>
  </si>
  <si>
    <t>George Herbert Walker Bush</t>
  </si>
  <si>
    <t>1989–93</t>
  </si>
  <si>
    <t>J. Danforth Quayle</t>
  </si>
  <si>
    <t>1993–2001</t>
  </si>
  <si>
    <t>Albert Gore, Jr.</t>
  </si>
  <si>
    <t>George Walker Bush</t>
  </si>
  <si>
    <t>2001–9</t>
  </si>
  <si>
    <t>Dick Cheney</t>
  </si>
  <si>
    <t>Barack Hussein Obama</t>
  </si>
  <si>
    <t>2009–</t>
  </si>
  <si>
    <t>Joseph R. Biden, Jr.</t>
  </si>
  <si>
    <t>Presidents of the United States</t>
  </si>
  <si>
    <t>wikipedia</t>
  </si>
  <si>
    <t>Start Date</t>
  </si>
  <si>
    <t>End Date</t>
  </si>
  <si>
    <t>4/30/1789</t>
  </si>
  <si>
    <t>3/4/1797</t>
  </si>
  <si>
    <t>3/4/1801</t>
  </si>
  <si>
    <t>3/4/1809</t>
  </si>
  <si>
    <t>3/4/1817</t>
  </si>
  <si>
    <t>3/4/1825</t>
  </si>
  <si>
    <t>3/4/1829</t>
  </si>
  <si>
    <t>3/4/1837</t>
  </si>
  <si>
    <t>3/4/1841</t>
  </si>
  <si>
    <t>4/4/1841</t>
  </si>
  <si>
    <t>3/4/1845</t>
  </si>
  <si>
    <t>3/4/1849</t>
  </si>
  <si>
    <t>7/9/1850</t>
  </si>
  <si>
    <t>3/4/1853</t>
  </si>
  <si>
    <t>3/4/1857</t>
  </si>
  <si>
    <t>3/4/1861</t>
  </si>
  <si>
    <t>4/15/1865</t>
  </si>
  <si>
    <t>3/4/1869</t>
  </si>
  <si>
    <t>3/4/1877</t>
  </si>
  <si>
    <t>3/4/1881</t>
  </si>
  <si>
    <t>9/19/1881</t>
  </si>
  <si>
    <t>3/4/1885</t>
  </si>
  <si>
    <t>3/4/1889</t>
  </si>
  <si>
    <t>3/4/1893</t>
  </si>
  <si>
    <t>3/4/1897</t>
  </si>
  <si>
    <t>Years (start dates are March 4 prior to 1933, and Jan 3 thereafter)</t>
  </si>
  <si>
    <t>Primary Senate Party</t>
  </si>
  <si>
    <t xml:space="preserve"> Republican</t>
  </si>
  <si>
    <t xml:space="preserve"> Democratic</t>
  </si>
  <si>
    <t>Primary House Party</t>
  </si>
  <si>
    <t>Senate and President Same Party, House and President Different Party</t>
  </si>
  <si>
    <t>Senate and President Same Party, House and President Different Party (based on Congress at time of last action)</t>
  </si>
  <si>
    <t>Count of Original Text</t>
  </si>
  <si>
    <t>Column Labels</t>
  </si>
  <si>
    <t>Row Labels</t>
  </si>
  <si>
    <t>Grand Total</t>
  </si>
  <si>
    <t>FALSE</t>
  </si>
  <si>
    <t>TRUE</t>
  </si>
  <si>
    <t>Sum of Enacted Laws</t>
  </si>
  <si>
    <t>Bills Enacted</t>
  </si>
  <si>
    <t>Treaties Passed</t>
  </si>
  <si>
    <t>Bill to treaty ratio</t>
  </si>
  <si>
    <t>Median Bill to Treaty Ratio</t>
  </si>
  <si>
    <t>Average Bill to Treaty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</si>
</sst>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9" x14ac:knownFonts="1">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vertAlign val="superscript"/>
      <sz val="12"/>
      <color theme="1"/>
      <name val="Calibri"/>
      <family val="2"/>
      <scheme val="minor"/>
    </font>
    <font>
      <u/>
      <sz val="12"/>
      <color theme="10"/>
      <name val="Calibri"/>
      <family val="2"/>
      <scheme val="minor"/>
    </font>
    <font>
      <b/>
      <sz val="18"/>
      <color theme="1"/>
      <name val="Calibri"/>
      <family val="2"/>
      <scheme val="minor"/>
    </font>
    <font>
      <u/>
      <sz val="12"/>
      <color theme="11"/>
      <name val="Calibri"/>
      <family val="2"/>
      <scheme val="minor"/>
    </font>
    <font>
      <sz val="8"/>
      <name val="Calibri"/>
      <family val="2"/>
      <scheme val="minor"/>
    </font>
  </fonts>
  <fills count="5">
    <fill>
      <patternFill patternType="none"/>
    </fill>
    <fill>
      <patternFill patternType="gray125"/>
    </fill>
    <fill>
      <patternFill patternType="solid">
        <fgColor theme="1"/>
        <bgColor indexed="64"/>
      </patternFill>
    </fill>
    <fill>
      <patternFill patternType="solid">
        <fgColor theme="6"/>
        <bgColor indexed="64"/>
      </patternFill>
    </fill>
    <fill>
      <patternFill patternType="solid">
        <fgColor theme="0" tint="-0.14999847407452621"/>
        <bgColor theme="0" tint="-0.14999847407452621"/>
      </patternFill>
    </fill>
  </fills>
  <borders count="4">
    <border>
      <left/>
      <right/>
      <top/>
      <bottom/>
      <diagonal/>
    </border>
    <border>
      <left/>
      <right/>
      <top style="thin">
        <color auto="1"/>
      </top>
      <bottom/>
      <diagonal/>
    </border>
    <border>
      <left/>
      <right/>
      <top style="thin">
        <color theme="1"/>
      </top>
      <bottom/>
      <diagonal/>
    </border>
    <border>
      <left/>
      <right/>
      <top/>
      <bottom style="thin">
        <color auto="1"/>
      </bottom>
      <diagonal/>
    </border>
  </borders>
  <cellStyleXfs count="4">
    <xf numFmtId="0" fontId="0" fillId="0" borderId="0"/>
    <xf numFmtId="43" fontId="1" fillId="0" borderId="0" applyFont="0" applyFill="0" applyBorder="0" applyAlignment="0" applyProtection="0"/>
    <xf numFmtId="0" fontId="5" fillId="0" borderId="0" applyNumberFormat="0" applyFill="0" applyBorder="0" applyAlignment="0" applyProtection="0"/>
    <xf numFmtId="0" fontId="7" fillId="0" borderId="0" applyNumberFormat="0" applyFill="0" applyBorder="0" applyAlignment="0" applyProtection="0"/>
  </cellStyleXfs>
  <cellXfs count="42">
    <xf numFmtId="0" fontId="0" fillId="0" borderId="0" xfId="0"/>
    <xf numFmtId="0" fontId="3" fillId="0" borderId="0" xfId="0" applyFont="1" applyAlignment="1">
      <alignment horizontal="left" wrapText="1"/>
    </xf>
    <xf numFmtId="0" fontId="3" fillId="0" borderId="0" xfId="0" applyFont="1" applyAlignment="1">
      <alignment horizontal="center" wrapText="1"/>
    </xf>
    <xf numFmtId="0" fontId="0" fillId="0" borderId="0" xfId="0" applyAlignment="1">
      <alignment horizontal="center" vertical="top" wrapText="1"/>
    </xf>
    <xf numFmtId="0" fontId="0" fillId="0" borderId="0" xfId="0" applyAlignment="1">
      <alignment horizontal="left" vertical="top" wrapText="1"/>
    </xf>
    <xf numFmtId="0" fontId="3" fillId="0" borderId="0" xfId="0" applyFont="1" applyAlignment="1">
      <alignment horizontal="center" vertical="center" wrapText="1"/>
    </xf>
    <xf numFmtId="0" fontId="5" fillId="0" borderId="0" xfId="2"/>
    <xf numFmtId="0" fontId="0" fillId="0" borderId="0" xfId="0" applyAlignment="1">
      <alignment vertical="center" wrapText="1"/>
    </xf>
    <xf numFmtId="0" fontId="0" fillId="0" borderId="0" xfId="0" applyNumberFormat="1"/>
    <xf numFmtId="0" fontId="0" fillId="0" borderId="0" xfId="0" applyAlignment="1">
      <alignment wrapText="1"/>
    </xf>
    <xf numFmtId="0" fontId="5" fillId="0" borderId="0" xfId="2" applyAlignment="1">
      <alignment wrapText="1"/>
    </xf>
    <xf numFmtId="0" fontId="6" fillId="0" borderId="0" xfId="0" applyFont="1" applyAlignment="1">
      <alignment wrapText="1"/>
    </xf>
    <xf numFmtId="0" fontId="0" fillId="0" borderId="0" xfId="0" applyNumberFormat="1" applyAlignment="1">
      <alignment wrapText="1"/>
    </xf>
    <xf numFmtId="0" fontId="0" fillId="0" borderId="0" xfId="0" applyFill="1" applyAlignment="1">
      <alignment wrapText="1"/>
    </xf>
    <xf numFmtId="0" fontId="0" fillId="0" borderId="0" xfId="0" applyFont="1" applyAlignment="1">
      <alignment horizontal="left" vertical="center" wrapText="1" indent="1"/>
    </xf>
    <xf numFmtId="164" fontId="0" fillId="0" borderId="0" xfId="1" applyNumberFormat="1" applyFont="1"/>
    <xf numFmtId="1" fontId="0" fillId="0" borderId="0" xfId="1" applyNumberFormat="1" applyFont="1" applyAlignment="1">
      <alignment horizontal="right"/>
    </xf>
    <xf numFmtId="0" fontId="6" fillId="0" borderId="0" xfId="0" applyFont="1"/>
    <xf numFmtId="0" fontId="2" fillId="2" borderId="0" xfId="0" applyFont="1" applyFill="1" applyAlignment="1">
      <alignment horizontal="center" wrapText="1"/>
    </xf>
    <xf numFmtId="0" fontId="2" fillId="3" borderId="0" xfId="0" applyFont="1" applyFill="1" applyAlignment="1">
      <alignment horizontal="center" wrapText="1"/>
    </xf>
    <xf numFmtId="14" fontId="0" fillId="0" borderId="0" xfId="0" applyNumberFormat="1" applyAlignment="1">
      <alignment vertical="center" wrapText="1"/>
    </xf>
    <xf numFmtId="0" fontId="0" fillId="0" borderId="0" xfId="0" applyNumberFormat="1" applyAlignment="1">
      <alignment horizontal="center" vertical="top" wrapText="1"/>
    </xf>
    <xf numFmtId="164" fontId="0" fillId="0" borderId="0" xfId="0" applyNumberFormat="1" applyAlignment="1">
      <alignment wrapText="1"/>
    </xf>
    <xf numFmtId="0" fontId="0" fillId="0" borderId="0" xfId="0" pivotButton="1"/>
    <xf numFmtId="0" fontId="0" fillId="0" borderId="0" xfId="0" applyAlignment="1">
      <alignment horizontal="left"/>
    </xf>
    <xf numFmtId="0" fontId="2" fillId="2" borderId="0" xfId="0" applyFont="1" applyFill="1" applyAlignment="1">
      <alignment horizontal="center" wrapText="1"/>
    </xf>
    <xf numFmtId="0" fontId="2" fillId="3" borderId="0" xfId="0" applyFont="1" applyFill="1" applyAlignment="1">
      <alignment horizontal="center" wrapText="1"/>
    </xf>
    <xf numFmtId="0" fontId="0" fillId="0" borderId="0" xfId="0" applyAlignment="1">
      <alignment horizontal="center"/>
    </xf>
    <xf numFmtId="0" fontId="3" fillId="0" borderId="2" xfId="0" applyFont="1" applyBorder="1" applyAlignment="1">
      <alignment horizontal="left" wrapText="1"/>
    </xf>
    <xf numFmtId="0" fontId="3" fillId="0" borderId="2" xfId="0" applyFont="1" applyBorder="1" applyAlignment="1">
      <alignment wrapText="1"/>
    </xf>
    <xf numFmtId="49" fontId="0" fillId="4" borderId="1" xfId="0" applyNumberFormat="1" applyFont="1" applyFill="1" applyBorder="1"/>
    <xf numFmtId="49" fontId="0" fillId="0" borderId="0" xfId="0" applyNumberFormat="1" applyFont="1" applyBorder="1"/>
    <xf numFmtId="0" fontId="0" fillId="0" borderId="0" xfId="0" applyNumberFormat="1" applyFont="1" applyBorder="1"/>
    <xf numFmtId="0" fontId="0" fillId="4" borderId="1" xfId="0" applyNumberFormat="1" applyFont="1" applyFill="1" applyBorder="1"/>
    <xf numFmtId="49" fontId="0" fillId="0" borderId="0" xfId="0" applyNumberFormat="1" applyBorder="1"/>
    <xf numFmtId="0" fontId="0" fillId="0" borderId="0" xfId="0" applyBorder="1"/>
    <xf numFmtId="49" fontId="0" fillId="0" borderId="1" xfId="0" applyNumberFormat="1" applyBorder="1"/>
    <xf numFmtId="0" fontId="0" fillId="0" borderId="1" xfId="0" applyNumberFormat="1" applyFont="1" applyBorder="1"/>
    <xf numFmtId="0" fontId="0" fillId="0" borderId="1" xfId="0" applyBorder="1"/>
    <xf numFmtId="49" fontId="0" fillId="0" borderId="3" xfId="0" applyNumberFormat="1" applyBorder="1"/>
    <xf numFmtId="0" fontId="0" fillId="0" borderId="3" xfId="0" applyNumberFormat="1" applyFont="1" applyBorder="1"/>
    <xf numFmtId="0" fontId="0" fillId="0" borderId="3" xfId="0" applyBorder="1"/>
  </cellXfs>
  <cellStyles count="4">
    <cellStyle name="Comma" xfId="1" builtinId="3"/>
    <cellStyle name="Followed Hyperlink" xfId="3" builtinId="9" hidden="1"/>
    <cellStyle name="Hyperlink" xfId="2" builtinId="8"/>
    <cellStyle name="Normal" xfId="0" builtinId="0"/>
  </cellStyles>
  <dxfs count="51">
    <dxf>
      <font>
        <b val="0"/>
        <i val="0"/>
        <strike val="0"/>
        <condense val="0"/>
        <extend val="0"/>
        <outline val="0"/>
        <shadow val="0"/>
        <u val="none"/>
        <vertAlign val="baseline"/>
        <sz val="12"/>
        <color theme="1"/>
        <name val="Calibri"/>
        <scheme val="minor"/>
      </font>
      <numFmt numFmtId="0" formatCode="General"/>
    </dxf>
    <dxf>
      <numFmt numFmtId="30" formatCode="@"/>
    </dxf>
    <dxf>
      <alignment horizontal="general" vertical="bottom" textRotation="0" wrapText="1" justifyLastLine="0" shrinkToFit="0"/>
    </dxf>
    <dxf>
      <numFmt numFmtId="164" formatCode="_-* #,##0_-;\-* #,##0_-;_-* &quot;-&quot;??_-;_-@_-"/>
      <alignment horizontal="general" vertical="bottom" textRotation="0" wrapText="1" justifyLastLine="0" shrinkToFit="0"/>
    </dxf>
    <dxf>
      <numFmt numFmtId="0" formatCode="General"/>
      <alignment horizontal="general" vertical="bottom" textRotation="0" wrapText="1" justifyLastLine="0" shrinkToFit="0"/>
    </dxf>
    <dxf>
      <numFmt numFmtId="0" formatCode="General"/>
      <alignment horizontal="general" vertical="bottom" textRotation="0" wrapText="1" justifyLastLine="0" shrinkToFit="0"/>
    </dxf>
    <dxf>
      <numFmt numFmtId="0" formatCode="General"/>
      <alignment horizontal="general" vertical="bottom" textRotation="0" wrapText="1" justifyLastLine="0" shrinkToFit="0"/>
    </dxf>
    <dxf>
      <numFmt numFmtId="0" formatCode="General"/>
      <alignment horizontal="general" vertical="bottom" textRotation="0" wrapText="1" justifyLastLine="0" shrinkToFit="0"/>
    </dxf>
    <dxf>
      <numFmt numFmtId="0" formatCode="General"/>
      <alignment horizontal="general" vertical="bottom" textRotation="0" wrapText="1" justifyLastLine="0" shrinkToFit="0"/>
    </dxf>
    <dxf>
      <numFmt numFmtId="0" formatCode="General"/>
    </dxf>
    <dxf>
      <numFmt numFmtId="0" formatCode="General"/>
      <alignment horizontal="general" vertical="bottom" textRotation="0" wrapText="1" justifyLastLine="0" shrinkToFit="0"/>
    </dxf>
    <dxf>
      <numFmt numFmtId="0" formatCode="General"/>
      <fill>
        <patternFill patternType="none">
          <fgColor indexed="64"/>
        </patternFill>
      </fill>
      <alignment horizontal="general" vertical="bottom" textRotation="0" wrapText="1" indent="0" justifyLastLine="0" shrinkToFit="0" readingOrder="0"/>
    </dxf>
    <dxf>
      <numFmt numFmtId="0" formatCode="General"/>
      <alignment horizontal="general" vertical="bottom" textRotation="0" wrapText="1" justifyLastLine="0" shrinkToFit="0"/>
    </dxf>
    <dxf>
      <numFmt numFmtId="0" formatCode="General"/>
    </dxf>
    <dxf>
      <alignment horizontal="general" vertical="bottom" textRotation="0" wrapText="1" justifyLastLine="0" shrinkToFit="0"/>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font>
        <b/>
        <i val="0"/>
        <strike val="0"/>
        <condense val="0"/>
        <extend val="0"/>
        <outline val="0"/>
        <shadow val="0"/>
        <u val="none"/>
        <vertAlign val="baseline"/>
        <sz val="12"/>
        <color theme="1"/>
        <name val="Calibri"/>
        <scheme val="minor"/>
      </font>
      <alignment horizontal="left" vertical="center" textRotation="0" wrapText="1" indent="1" justifyLastLine="0" shrinkToFit="0" readingOrder="0"/>
    </dxf>
    <dxf>
      <font>
        <b/>
        <i val="0"/>
        <strike val="0"/>
        <condense val="0"/>
        <extend val="0"/>
        <outline val="0"/>
        <shadow val="0"/>
        <u val="none"/>
        <vertAlign val="baseline"/>
        <sz val="12"/>
        <color theme="1"/>
        <name val="Calibri"/>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font>
        <b/>
        <i val="0"/>
        <strike val="0"/>
        <condense val="0"/>
        <extend val="0"/>
        <outline val="0"/>
        <shadow val="0"/>
        <u val="none"/>
        <vertAlign val="baseline"/>
        <sz val="12"/>
        <color theme="1"/>
        <name val="Calibri"/>
        <scheme val="minor"/>
      </font>
      <alignment horizontal="center" vertical="bottom"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pivotCacheDefinition" Target="pivotCache/pivotCacheDefinition1.xml"/><Relationship Id="rId8" Type="http://schemas.openxmlformats.org/officeDocument/2006/relationships/pivotCacheDefinition" Target="pivotCache/pivotCacheDefinition2.xml"/><Relationship Id="rId9" Type="http://schemas.openxmlformats.org/officeDocument/2006/relationships/theme" Target="theme/theme1.xml"/><Relationship Id="rId10"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Bill to Treaty Ratio</a:t>
            </a:r>
          </a:p>
        </c:rich>
      </c:tx>
      <c:layout/>
      <c:overlay val="0"/>
    </c:title>
    <c:autoTitleDeleted val="0"/>
    <c:plotArea>
      <c:layout/>
      <c:barChart>
        <c:barDir val="col"/>
        <c:grouping val="clustered"/>
        <c:varyColors val="0"/>
        <c:ser>
          <c:idx val="2"/>
          <c:order val="0"/>
          <c:tx>
            <c:strRef>
              <c:f>Chart!$D$34</c:f>
              <c:strCache>
                <c:ptCount val="1"/>
                <c:pt idx="0">
                  <c:v>TRUE</c:v>
                </c:pt>
              </c:strCache>
            </c:strRef>
          </c:tx>
          <c:spPr>
            <a:solidFill>
              <a:schemeClr val="accent5">
                <a:lumMod val="20000"/>
                <a:lumOff val="80000"/>
              </a:schemeClr>
            </a:solidFill>
            <a:ln>
              <a:noFill/>
            </a:ln>
            <a:effectLst/>
          </c:spPr>
          <c:invertIfNegative val="0"/>
          <c:cat>
            <c:numRef>
              <c:f>Chart!$A$35:$A$56</c:f>
              <c:numCache>
                <c:formatCode>@</c:formatCode>
                <c:ptCount val="22"/>
                <c:pt idx="0">
                  <c:v>93.0</c:v>
                </c:pt>
                <c:pt idx="1">
                  <c:v>94.0</c:v>
                </c:pt>
                <c:pt idx="2">
                  <c:v>95.0</c:v>
                </c:pt>
                <c:pt idx="3">
                  <c:v>96.0</c:v>
                </c:pt>
                <c:pt idx="4">
                  <c:v>97.0</c:v>
                </c:pt>
                <c:pt idx="5">
                  <c:v>98.0</c:v>
                </c:pt>
                <c:pt idx="6">
                  <c:v>99.0</c:v>
                </c:pt>
                <c:pt idx="7">
                  <c:v>100.0</c:v>
                </c:pt>
                <c:pt idx="8">
                  <c:v>101.0</c:v>
                </c:pt>
                <c:pt idx="9">
                  <c:v>102.0</c:v>
                </c:pt>
                <c:pt idx="10">
                  <c:v>103.0</c:v>
                </c:pt>
                <c:pt idx="11">
                  <c:v>104.0</c:v>
                </c:pt>
                <c:pt idx="12">
                  <c:v>105.0</c:v>
                </c:pt>
                <c:pt idx="13">
                  <c:v>106.0</c:v>
                </c:pt>
                <c:pt idx="14">
                  <c:v>107.0</c:v>
                </c:pt>
                <c:pt idx="15">
                  <c:v>108.0</c:v>
                </c:pt>
                <c:pt idx="16">
                  <c:v>109.0</c:v>
                </c:pt>
                <c:pt idx="17">
                  <c:v>110.0</c:v>
                </c:pt>
                <c:pt idx="18">
                  <c:v>111.0</c:v>
                </c:pt>
                <c:pt idx="19">
                  <c:v>112.0</c:v>
                </c:pt>
                <c:pt idx="20">
                  <c:v>113.0</c:v>
                </c:pt>
                <c:pt idx="21">
                  <c:v>114.0</c:v>
                </c:pt>
              </c:numCache>
            </c:numRef>
          </c:cat>
          <c:val>
            <c:numRef>
              <c:f>Chart!$D$35:$D$56</c:f>
              <c:numCache>
                <c:formatCode>General</c:formatCode>
                <c:ptCount val="22"/>
                <c:pt idx="2">
                  <c:v>150.0</c:v>
                </c:pt>
                <c:pt idx="3">
                  <c:v>150.0</c:v>
                </c:pt>
                <c:pt idx="4">
                  <c:v>150.0</c:v>
                </c:pt>
                <c:pt idx="5">
                  <c:v>150.0</c:v>
                </c:pt>
                <c:pt idx="6">
                  <c:v>150.0</c:v>
                </c:pt>
                <c:pt idx="10">
                  <c:v>150.0</c:v>
                </c:pt>
                <c:pt idx="15">
                  <c:v>150.0</c:v>
                </c:pt>
                <c:pt idx="16">
                  <c:v>150.0</c:v>
                </c:pt>
                <c:pt idx="18">
                  <c:v>150.0</c:v>
                </c:pt>
                <c:pt idx="19">
                  <c:v>150.0</c:v>
                </c:pt>
                <c:pt idx="20">
                  <c:v>150.0</c:v>
                </c:pt>
              </c:numCache>
            </c:numRef>
          </c:val>
        </c:ser>
        <c:dLbls>
          <c:showLegendKey val="0"/>
          <c:showVal val="0"/>
          <c:showCatName val="0"/>
          <c:showSerName val="0"/>
          <c:showPercent val="0"/>
          <c:showBubbleSize val="0"/>
        </c:dLbls>
        <c:gapWidth val="0"/>
        <c:axId val="-2113756488"/>
        <c:axId val="-2135370840"/>
      </c:barChart>
      <c:lineChart>
        <c:grouping val="standard"/>
        <c:varyColors val="0"/>
        <c:ser>
          <c:idx val="3"/>
          <c:order val="1"/>
          <c:tx>
            <c:strRef>
              <c:f>Chart!$E$34</c:f>
              <c:strCache>
                <c:ptCount val="1"/>
                <c:pt idx="0">
                  <c:v>Bill to treaty ratio</c:v>
                </c:pt>
              </c:strCache>
            </c:strRef>
          </c:tx>
          <c:spPr>
            <a:ln w="28575" cap="rnd">
              <a:solidFill>
                <a:schemeClr val="accent4"/>
              </a:solidFill>
              <a:round/>
            </a:ln>
            <a:effectLst/>
          </c:spPr>
          <c:marker>
            <c:symbol val="none"/>
          </c:marker>
          <c:val>
            <c:numRef>
              <c:f>Chart!$E$35:$E$56</c:f>
              <c:numCache>
                <c:formatCode>General</c:formatCode>
                <c:ptCount val="22"/>
                <c:pt idx="0">
                  <c:v>24.90322580645161</c:v>
                </c:pt>
                <c:pt idx="1">
                  <c:v>24.3</c:v>
                </c:pt>
                <c:pt idx="2">
                  <c:v>50.25</c:v>
                </c:pt>
                <c:pt idx="3">
                  <c:v>17.52380952380953</c:v>
                </c:pt>
                <c:pt idx="4">
                  <c:v>11.5</c:v>
                </c:pt>
                <c:pt idx="5">
                  <c:v>19.91176470588235</c:v>
                </c:pt>
                <c:pt idx="6">
                  <c:v>36.1578947368421</c:v>
                </c:pt>
                <c:pt idx="7">
                  <c:v>33.08695652173913</c:v>
                </c:pt>
                <c:pt idx="8">
                  <c:v>26.6</c:v>
                </c:pt>
                <c:pt idx="9">
                  <c:v>12.70833333333333</c:v>
                </c:pt>
                <c:pt idx="10">
                  <c:v>16.89285714285714</c:v>
                </c:pt>
                <c:pt idx="11">
                  <c:v>8.868421052631579</c:v>
                </c:pt>
                <c:pt idx="12">
                  <c:v>7.622641509433962</c:v>
                </c:pt>
                <c:pt idx="13">
                  <c:v>11.61538461538461</c:v>
                </c:pt>
                <c:pt idx="14">
                  <c:v>19.15</c:v>
                </c:pt>
                <c:pt idx="15">
                  <c:v>19.38461538461538</c:v>
                </c:pt>
                <c:pt idx="16">
                  <c:v>24.15</c:v>
                </c:pt>
                <c:pt idx="17">
                  <c:v>12.10526315789474</c:v>
                </c:pt>
                <c:pt idx="18">
                  <c:v>55.0</c:v>
                </c:pt>
                <c:pt idx="19">
                  <c:v>142.0</c:v>
                </c:pt>
                <c:pt idx="20">
                  <c:v>74.0</c:v>
                </c:pt>
                <c:pt idx="21">
                  <c:v>32.71428571428572</c:v>
                </c:pt>
              </c:numCache>
            </c:numRef>
          </c:val>
          <c:smooth val="0"/>
        </c:ser>
        <c:dLbls>
          <c:showLegendKey val="0"/>
          <c:showVal val="0"/>
          <c:showCatName val="0"/>
          <c:showSerName val="0"/>
          <c:showPercent val="0"/>
          <c:showBubbleSize val="0"/>
        </c:dLbls>
        <c:marker val="1"/>
        <c:smooth val="0"/>
        <c:axId val="-2099681896"/>
        <c:axId val="-2099729016"/>
      </c:lineChart>
      <c:catAx>
        <c:axId val="-21137564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Congress</a:t>
                </a:r>
              </a:p>
            </c:rich>
          </c:tx>
          <c:layout/>
          <c:overlay val="0"/>
          <c:spPr>
            <a:noFill/>
            <a:ln>
              <a:noFill/>
            </a:ln>
            <a:effectLst/>
          </c:spPr>
        </c:title>
        <c:numFmt formatCode="@"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370840"/>
        <c:crosses val="autoZero"/>
        <c:auto val="1"/>
        <c:lblAlgn val="ctr"/>
        <c:lblOffset val="100"/>
        <c:noMultiLvlLbl val="0"/>
      </c:catAx>
      <c:valAx>
        <c:axId val="-2135370840"/>
        <c:scaling>
          <c:orientation val="minMax"/>
          <c:max val="150.0"/>
          <c:min val="0.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56488"/>
        <c:crosses val="autoZero"/>
        <c:crossBetween val="between"/>
        <c:majorUnit val="15.0"/>
        <c:minorUnit val="5.0"/>
      </c:valAx>
      <c:valAx>
        <c:axId val="-2099729016"/>
        <c:scaling>
          <c:orientation val="minMax"/>
        </c:scaling>
        <c:delete val="1"/>
        <c:axPos val="r"/>
        <c:numFmt formatCode="General" sourceLinked="1"/>
        <c:majorTickMark val="out"/>
        <c:minorTickMark val="none"/>
        <c:tickLblPos val="nextTo"/>
        <c:crossAx val="-2099681896"/>
        <c:crosses val="max"/>
        <c:crossBetween val="between"/>
      </c:valAx>
      <c:catAx>
        <c:axId val="-2099681896"/>
        <c:scaling>
          <c:orientation val="minMax"/>
        </c:scaling>
        <c:delete val="1"/>
        <c:axPos val="t"/>
        <c:numFmt formatCode="@" sourceLinked="1"/>
        <c:majorTickMark val="out"/>
        <c:minorTickMark val="none"/>
        <c:tickLblPos val="nextTo"/>
        <c:crossAx val="-2099729016"/>
        <c:crosses val="max"/>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1416050</xdr:colOff>
      <xdr:row>36</xdr:row>
      <xdr:rowOff>119062</xdr:rowOff>
    </xdr:from>
    <xdr:to>
      <xdr:col>13</xdr:col>
      <xdr:colOff>730249</xdr:colOff>
      <xdr:row>56</xdr:row>
      <xdr:rowOff>101600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eghan Maloy" refreshedDate="42652.816915856478" createdVersion="4" refreshedVersion="4" minRefreshableVersion="3" recordCount="762">
  <cacheSource type="worksheet">
    <worksheetSource name="Table4"/>
  </cacheSource>
  <cacheFields count="12">
    <cacheField name="Original Text" numFmtId="0">
      <sharedItems longText="1"/>
    </cacheField>
    <cacheField name="Number" numFmtId="0">
      <sharedItems/>
    </cacheField>
    <cacheField name="Title" numFmtId="0">
      <sharedItems/>
    </cacheField>
    <cacheField name="Senate Consideration of Treaty Document" numFmtId="0">
      <sharedItems/>
    </cacheField>
    <cacheField name="Date Received from President" numFmtId="0">
      <sharedItems/>
    </cacheField>
    <cacheField name="Congress Receiving" numFmtId="0">
      <sharedItems/>
    </cacheField>
    <cacheField name="Treaty Topic" numFmtId="0">
      <sharedItems containsBlank="1"/>
    </cacheField>
    <cacheField name="Latest Senate Action" numFmtId="0">
      <sharedItems longText="1"/>
    </cacheField>
    <cacheField name="Congress Acting" numFmtId="0">
      <sharedItems count="28">
        <s v="114th"/>
        <s v="113th"/>
        <s v="112th"/>
        <s v="111th"/>
        <s v="110th"/>
        <s v="109th"/>
        <s v="108th"/>
        <s v="107th"/>
        <s v="106th"/>
        <s v="105th"/>
        <s v="104th"/>
        <s v="103rd"/>
        <s v="102nd"/>
        <s v="101st"/>
        <s v="100th"/>
        <s v="99th"/>
        <s v="98th"/>
        <s v="97th"/>
        <s v="96th"/>
        <s v="95th"/>
        <s v="94th"/>
        <s v="93rd"/>
        <s v="92nd"/>
        <s v="91st"/>
        <s v="90th"/>
        <s v="89th"/>
        <s v="87th"/>
        <s v="81st"/>
      </sharedItems>
    </cacheField>
    <cacheField name="Action" numFmtId="0">
      <sharedItems/>
    </cacheField>
    <cacheField name="Status" numFmtId="0">
      <sharedItems count="3">
        <s v="Passed"/>
        <s v="In Process"/>
        <s v="Not Passed - Divided into new treaties"/>
      </sharedItems>
    </cacheField>
    <cacheField name="Senate and President Same Party, House and President Different Party (based on Congress at time of last action)" numFmtId="164">
      <sharedItems count="3">
        <b v="0"/>
        <b v="1"/>
        <e v="#VALUE!"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eghan Maloy" refreshedDate="42652.817593981483" createdVersion="4" refreshedVersion="4" minRefreshableVersion="3" recordCount="22">
  <cacheSource type="worksheet">
    <worksheetSource name="Table6"/>
  </cacheSource>
  <cacheFields count="9">
    <cacheField name="Congress" numFmtId="0">
      <sharedItems count="22">
        <s v="114th"/>
        <s v="113th"/>
        <s v="112th"/>
        <s v="111th"/>
        <s v="110th"/>
        <s v="109th"/>
        <s v="108th"/>
        <s v="107th"/>
        <s v="106th"/>
        <s v="105th"/>
        <s v="104th"/>
        <s v="103rd"/>
        <s v="102nd"/>
        <s v="101st"/>
        <s v="100th"/>
        <s v="99th"/>
        <s v="98th"/>
        <s v="97th"/>
        <s v="96th"/>
        <s v="95th"/>
        <s v="94th"/>
        <s v="93rd"/>
      </sharedItems>
    </cacheField>
    <cacheField name="Enacted Laws" numFmtId="0">
      <sharedItems containsSemiMixedTypes="0" containsString="0" containsNumber="1" containsInteger="1" minValue="229" maxValue="804"/>
    </cacheField>
    <cacheField name="Passed Resolutions" numFmtId="164">
      <sharedItems containsSemiMixedTypes="0" containsString="0" containsNumber="1" containsInteger="1" minValue="331" maxValue="1464"/>
    </cacheField>
    <cacheField name="Got A Vote" numFmtId="164">
      <sharedItems containsSemiMixedTypes="0" containsString="0" containsNumber="1" containsInteger="1" minValue="390" maxValue="861"/>
    </cacheField>
    <cacheField name="Failed Legislation" numFmtId="164">
      <sharedItems containsSemiMixedTypes="0" containsString="0" containsNumber="1" containsInteger="1" minValue="0" maxValue="43"/>
    </cacheField>
    <cacheField name="Vetoed Bills (w/o Override)" numFmtId="164">
      <sharedItems containsSemiMixedTypes="0" containsString="0" containsNumber="1" containsInteger="1" minValue="0" maxValue="35"/>
    </cacheField>
    <cacheField name="Other Legislation" numFmtId="164">
      <sharedItems containsSemiMixedTypes="0" containsString="0" containsNumber="1" containsInteger="1" minValue="6568" maxValue="23950"/>
    </cacheField>
    <cacheField name="TOTAL" numFmtId="164">
      <sharedItems containsSemiMixedTypes="0" containsString="0" containsNumber="1" containsInteger="1" minValue="7991" maxValue="26222"/>
    </cacheField>
    <cacheField name="Senate and President Same Party, House and President Different Party" numFmtId="164">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62">
  <r>
    <s v="1. The Convention on the Law Applicable to Certain Rights in Respect of Securities Held with an Intermediary. Senate Consideration of Treaty Document 112-6 Text of Treaty Document: TXT | PDF Date Received from President: 05/17/2012 - 112th Congress (2011-2012) Treaty Topic: Investment Latest Senate Action: 09/28/2016 - 114th Congress (2015-2016) - Resolution of advice and consent to ratification agreed to in Senate by Division Vote. (All Actions) "/>
    <s v="1"/>
    <s v="The Convention on the Law Applicable to Certain Rights in Respect of Securities Held with an Intermediary."/>
    <s v="112-6"/>
    <s v="05/17/2012 - 112th Congress (2011-2012)"/>
    <s v="112th"/>
    <s v="Investment"/>
    <s v="09/28/2016 - 114th Congress (2015-2016) - Resolution of advice and consent to ratification agreed to in Senate by Division Vote. (All Actions) "/>
    <x v="0"/>
    <s v="Resolution of advice and consent to ratification agreed to in Senate by Division Vote. (All Actions) "/>
    <x v="0"/>
    <x v="0"/>
  </r>
  <r>
    <s v="2. Treaty on Plant Genetic Resources for Food and Agriculture Senate Consideration of Treaty Document 110-19 Text of Treaty Document: TXT | PDF Date Received from President: 07/07/2008 - 110th Congress (2007-2008) Treaty Topic: Agriculture Latest Senate Action: 09/28/2016 - 114th Congress (2015-2016) - Resolution of advice and consent to ratification agreed to in Senate by Division Vote. (All Actions) "/>
    <s v="2"/>
    <s v="Treaty on Plant Genetic Resources for Food and Agriculture"/>
    <s v="110-19"/>
    <s v="07/07/2008 - 110th Congress (2007-2008)"/>
    <s v="110th"/>
    <s v="Agriculture"/>
    <s v="09/28/2016 - 114th Congress (2015-2016) - Resolution of advice and consent to ratification agreed to in Senate by Division Vote. (All Actions) "/>
    <x v="0"/>
    <s v="Resolution of advice and consent to ratification agreed to in Senate by Division Vote. (All Actions) "/>
    <x v="0"/>
    <x v="0"/>
  </r>
  <r>
    <s v="3. Treaty with Algeria on Mutual Legal Assistance in Criminal Matters. Senate Consideration of Treaty Document 114-3 Text of Treaty Document: TXT | PDF Date Received from President: 10/05/2015 - 114th Congress (2015-2016) Treaty Topic: Extradition and Criminal Assistance Latest Senate Action: 09/15/2016 - 114th Congress (2015-2016) - Resolution of advice and consent to ratification agreed to in Senate by Division Vote. (All Actions) "/>
    <s v="3"/>
    <s v="Treaty with Algeria on Mutual Legal Assistance in Criminal Matters."/>
    <s v="114-3"/>
    <s v="10/05/2015 - 114th Congress (2015-2016)"/>
    <s v="114th"/>
    <s v="Extradition and Criminal Assistance"/>
    <s v="09/15/2016 - 114th Congress (2015-2016) - Resolution of advice and consent to ratification agreed to in Senate by Division Vote. (All Actions) "/>
    <x v="0"/>
    <s v="Resolution of advice and consent to ratification agreed to in Senate by Division Vote. (All Actions) "/>
    <x v="0"/>
    <x v="0"/>
  </r>
  <r>
    <s v="4. Treaty with Jordan on Mutual Legal Assistance in Criminal Matters. Senate Consideration of Treaty Document 114-4 Text of Treaty Document: TXT | PDF Date Received from President: 12/08/2015 - 114th Congress (2015-2016) Treaty Topic: Mutual Legal Assistance Latest Senate Action: 09/15/2016 - 114th Congress (2015-2016) - Resolution of advice and consent to ratification agreed to in Senate by Division Vote. (All Actions) "/>
    <s v="4"/>
    <s v="Treaty with Jordan on Mutual Legal Assistance in Criminal Matters."/>
    <s v="114-4"/>
    <s v="12/08/2015 - 114th Congress (2015-2016)"/>
    <s v="114th"/>
    <s v="Mutual Legal Assistance"/>
    <s v="09/15/2016 - 114th Congress (2015-2016) - Resolution of advice and consent to ratification agreed to in Senate by Division Vote. (All Actions) "/>
    <x v="0"/>
    <s v="Resolution of advice and consent to ratification agreed to in Senate by Division Vote. (All Actions) "/>
    <x v="0"/>
    <x v="0"/>
  </r>
  <r>
    <s v="5. Treaty with Kazakhstan on Mutual Legal Assistance in Criminal Matters Senate Consideration of Treaty Document 114-11 Text of Treaty Document: TXT | PDF Date Received from President: 03/17/2016 - 114th Congress (2015-2016) Treaty Topic: Mutual Legal Assistance Latest Senate Action: 09/15/2016 - 114th Congress (2015-2016) - Resolution of advice and consent to ratification agreed to in Senate by Division Vote. (All Actions) "/>
    <s v="5"/>
    <s v="Treaty with Kazakhstan on Mutual Legal Assistance in Criminal Matters"/>
    <s v="114-11"/>
    <s v="03/17/2016 - 114th Congress (2015-2016)"/>
    <s v="114th"/>
    <s v="Mutual Legal Assistance"/>
    <s v="09/15/2016 - 114th Congress (2015-2016) - Resolution of advice and consent to ratification agreed to in Senate by Division Vote. (All Actions) "/>
    <x v="0"/>
    <s v="Resolution of advice and consent to ratification agreed to in Senate by Division Vote. (All Actions) "/>
    <x v="0"/>
    <x v="0"/>
  </r>
  <r>
    <s v="6. Extradition Treaty with the Republic of Chile Senate Consideration of Treaty Document 113-6 Text of Treaty Document: TXT | PDF Date Received from President: 09/17/2014 - 113th Congress (2013-2014) Treaty Topic: Extradition Latest Senate Action: 07/14/2016 - 114th Congress (2015-2016) - Resolution of advice and consent to ratification agreed to in Senate by Division Vote. (All Actions) "/>
    <s v="6"/>
    <s v="Extradition Treaty with the Republic of Chile"/>
    <s v="113-6"/>
    <s v="09/17/2014 - 113th Congress (2013-2014)"/>
    <s v="113th"/>
    <s v="Extradition"/>
    <s v="07/14/2016 - 114th Congress (2015-2016) - Resolution of advice and consent to ratification agreed to in Senate by Division Vote. (All Actions) "/>
    <x v="0"/>
    <s v="Resolution of advice and consent to ratification agreed to in Senate by Division Vote. (All Actions) "/>
    <x v="0"/>
    <x v="0"/>
  </r>
  <r>
    <s v="7. Extradition Treaty with the Dominican Republic. Senate Consideration of Treaty Document 114-10 Text of Treaty Document: TXT | PDF Date Received from President: 02/10/2016 - 114th Congress (2015-2016) Treaty Topic: Extradition Latest Senate Action: 07/14/2016 - 114th Congress (2015-2016) - Resolution of advice and consent to ratification agreed to in Senate by Division Vote. (All Actions) "/>
    <s v="7"/>
    <s v="Extradition Treaty with the Dominican Republic."/>
    <s v="114-10"/>
    <s v="02/10/2016 - 114th Congress (2015-2016)"/>
    <s v="114th"/>
    <s v="Extradition"/>
    <s v="07/14/2016 - 114th Congress (2015-2016) - Resolution of advice and consent to ratification agreed to in Senate by Division Vote. (All Actions) "/>
    <x v="0"/>
    <s v="Resolution of advice and consent to ratification agreed to in Senate by Division Vote. (All Actions) "/>
    <x v="0"/>
    <x v="0"/>
  </r>
  <r>
    <s v="8. Protocol to the North Atlantic Treaty of 1949 on the Accession of Montenegro Senate Consideration of Treaty Document 114-12 Text of Treaty Document: TXT | PDF Date Received from President: 06/28/2016 - 114th Congress (2015-2016) Treaty Topic: International Law and Organization Latest Senate Action: 06/28/2016 - 114th Congress (2015-2016) - Received in the Senate and referred to the Committee on Foreign Relations by unanimous consent removing the injunction of secrecy. (All Actions) "/>
    <s v="8"/>
    <s v="Protocol to the North Atlantic Treaty of 1949 on the Accession of Montenegro"/>
    <s v="114-12"/>
    <s v="06/28/2016 - 114th Congress (2015-2016)"/>
    <s v="114th"/>
    <s v="International Law and Organization"/>
    <s v="06/28/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9. U.N. Convention on the Use of Electronic Communications in International Contracts Senate Consideration of Treaty Document 114-5 Text of Treaty Document: TXT | PDF Date Received from President: 02/10/2016 - 114th Congress (2015-2016) Treaty Topic: Telecommunications Latest Senate Action: 02/10/2016 - 114th Congress (2015-2016) - Received in the Senate and referred to the Committee on Foreign Relations by unanimous consent removing the injunction of secrecy. (All Actions) "/>
    <s v="9"/>
    <s v="U.N. Convention on the Use of Electronic Communications in International Contracts"/>
    <s v="114-5"/>
    <s v="02/10/2016 - 114th Congress (2015-2016)"/>
    <s v="114th"/>
    <s v="Telecommunications"/>
    <s v="02/10/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10. Marrakesh Treaty to Facilitate Access to Published Works for Persons Who Are Blind, Visually Impaired, or Otherwise Print Disabled Senate Consideration of Treaty Document 114-6 Text of Treaty Document: TXT | PDF Date Received from President: 02/10/2016 - 114th Congress (2015-2016) Treaty Topic: Intellectual Property/Copyrights Latest Senate Action: 02/10/2016 - 114th Congress (2015-2016) - Received in the Senate and referred to the Committee on Foreign Relations by unanimous consent removing the injunction of secrecy. (All Actions) "/>
    <s v="10"/>
    <s v="Marrakesh Treaty to Facilitate Access to Published Works for Persons Who Are Blind, Visually Impaired, or Otherwise Print Disabled"/>
    <s v="114-6"/>
    <s v="02/10/2016 - 114th Congress (2015-2016)"/>
    <s v="114th"/>
    <s v="Intellectual Property/Copyrights"/>
    <s v="02/10/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11. U.N. Convention on the Assignment of Receivables in International Trade Senate Consideration of Treaty Document 114-7 Text of Treaty Document: TXT | PDF Date Received from President: 02/10/2016 - 114th Congress (2015-2016) Treaty Topic: Commercial Latest Senate Action: 02/10/2016 - 114th Congress (2015-2016) - Received in the Senate and referred to the Committee on Foreign Relations by unanimous consent removing the injunction of secrecy. (All Actions) "/>
    <s v="11"/>
    <s v="U.N. Convention on the Assignment of Receivables in International Trade"/>
    <s v="114-7"/>
    <s v="02/10/2016 - 114th Congress (2015-2016)"/>
    <s v="114th"/>
    <s v="Commercial"/>
    <s v="02/10/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12. Beijing Treaty on Audiovisual Performances. Senate Consideration of Treaty Document 114-8 Text of Treaty Document: TXT | PDF Date Received from President: 02/10/2016 - 114th Congress (2015-2016) Treaty Topic: Intellectual Property/Copyrights Latest Senate Action: 02/10/2016 - 114th Congress (2015-2016) - Received in the Senate and referred to the Committee on Foreign Relations by unanimous consent removing the injunction of secrecy. (All Actions) "/>
    <s v="12"/>
    <s v="Beijing Treaty on Audiovisual Performances."/>
    <s v="114-8"/>
    <s v="02/10/2016 - 114th Congress (2015-2016)"/>
    <s v="114th"/>
    <s v="Intellectual Property/Copyrights"/>
    <s v="02/10/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13. U.N. Convention on Independent Guarantees and Stand-By Letters of Credit. Senate Consideration of Treaty Document 114-9 Text of Treaty Document: TXT | PDF Date Received from President: 02/10/2016 - 114th Congress (2015-2016) Treaty Topic: Commercial Latest Senate Action: 02/10/2016 - 114th Congress (2015-2016) - Received in the Senate and referred to the Committee on Foreign Relations by unanimous consent removing the injunction of secrecy. (All Actions) "/>
    <s v="13"/>
    <s v="U.N. Convention on Independent Guarantees and Stand-By Letters of Credit."/>
    <s v="114-9"/>
    <s v="02/10/2016 - 114th Congress (2015-2016)"/>
    <s v="114th"/>
    <s v="Commercial"/>
    <s v="02/10/2016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14. Protocol Amending Tax Convention with Swiss Confederation Senate Consideration of Treaty Document 112-1 Text of Treaty Document: TXT | PDF Date Received from President: 01/26/2011 - 112th Congress (2011-2012) Treaty Topic: Taxation Latest Senate Action: 02/09/2016 - 114th Congress (2015-2016) - Reported favorably by Senator Corker, Committee on Foreign Relations with printed Ex. Rept. 114-1 and a resolution of advice and consent to ratification with 4 conditions and 1 declaration. Executive Calendar No. 1. (All Actions) "/>
    <s v="14"/>
    <s v="Protocol Amending Tax Convention with Swiss Confederation"/>
    <s v="112-1"/>
    <s v="01/26/2011 - 112th Congress (2011-2012)"/>
    <s v="112th"/>
    <s v="Taxation"/>
    <s v="02/09/2016 - 114th Congress (2015-2016) - Reported favorably by Senator Corker, Committee on Foreign Relations with printed Ex. Rept. 114-1 and a resolution of advice and consent to ratification with 4 conditions and 1 declaration. Executive Calendar No. 1. (All Actions) "/>
    <x v="0"/>
    <s v="Reported favorably by Senator Corker, Committee on Foreign Relations with printed Ex. Rept. 114-1 and a resolution of advice and consent to ratification with 4 conditions and 1 declaration. Executive Calendar No. 1. (All Actions) "/>
    <x v="1"/>
    <x v="0"/>
  </r>
  <r>
    <s v="15. Protocol Amending the Tax Convention with Japan Senate Consideration of Treaty Document 114-1 Text of Treaty Document: TXT | PDF Date Received from President: 04/13/2015 - 114th Congress (2015-2016) Treaty Topic: Taxation Latest Senate Action: 02/09/2016 - 114th Congress (2015-2016) - Reported favorably by Senator Corker, Committee on Foreign Relations with printed Ex. Rept. 114-5 and a resolution of advice and consent to ratification with 4 conditions and 1 declaration. Executive Calendar No. 5. (All Actions) "/>
    <s v="15"/>
    <s v="Protocol Amending the Tax Convention with Japan"/>
    <s v="114-1"/>
    <s v="04/13/2015 - 114th Congress (2015-2016)"/>
    <s v="114th"/>
    <s v="Taxation"/>
    <s v="02/09/2016 - 114th Congress (2015-2016) - Reported favorably by Senator Corker, Committee on Foreign Relations with printed Ex. Rept. 114-5 and a resolution of advice and consent to ratification with 4 conditions and 1 declaration. Executive Calendar No. 5. (All Actions) "/>
    <x v="0"/>
    <s v="Reported favorably by Senator Corker, Committee on Foreign Relations with printed Ex. Rept. 114-5 and a resolution of advice and consent to ratification with 4 conditions and 1 declaration. Executive Calendar No. 5. (All Actions) "/>
    <x v="1"/>
    <x v="0"/>
  </r>
  <r>
    <s v="16. The Protocol Amending the Tax Convention with Spain Senate Consideration of Treaty Document 113-4 Text of Treaty Document: TXT | PDF Date Received from President: 05/07/2014 - 113th Congress (2013-2014) Treaty Topic: Taxation Latest Senate Action: 02/09/2016 - 114th Congress (2015-2016) - Reported favorably by Senator Corker, Committee on Foreign Relations with printed Ex. Rept. 114-2 and a resolution of advice and consent to ratification with 4 conditions and 1 declaration. Executive Calendar No. 2. (All Actions) "/>
    <s v="16"/>
    <s v="The Protocol Amending the Tax Convention with Spain"/>
    <s v="113-4"/>
    <s v="05/07/2014 - 113th Congress (2013-2014)"/>
    <s v="113th"/>
    <s v="Taxation"/>
    <s v="02/09/2016 - 114th Congress (2015-2016) - Reported favorably by Senator Corker, Committee on Foreign Relations with printed Ex. Rept. 114-2 and a resolution of advice and consent to ratification with 4 conditions and 1 declaration. Executive Calendar No. 2. (All Actions) "/>
    <x v="0"/>
    <s v="Reported favorably by Senator Corker, Committee on Foreign Relations with printed Ex. Rept. 114-2 and a resolution of advice and consent to ratification with 4 conditions and 1 declaration. Executive Calendar No. 2. (All Actions) "/>
    <x v="1"/>
    <x v="0"/>
  </r>
  <r>
    <s v="17. Protocol Amending the Convention on Mutual Administrative Assistance in Tax Matters. Senate Consideration of Treaty Document 112-5 Text of Treaty Document: TXT | PDF Date Received from President: 05/17/2012 - 112th Congress (2011-2012) Treaty Topic: Taxation Latest Senate Action: 02/09/2016 - 114th Congress (2015-2016) - Reported favorably by Senator Corker, Committee on Foreign Relations with printed Ex. Rept. 114-8 and a resolution of advice and consent to ratification with 1 declaration. Executive Calendar No. 8. (All Actions) "/>
    <s v="17"/>
    <s v="Protocol Amending the Convention on Mutual Administrative Assistance in Tax Matters."/>
    <s v="112-5"/>
    <s v="05/17/2012 - 112th Congress (2011-2012)"/>
    <s v="112th"/>
    <s v="Taxation"/>
    <s v="02/09/2016 - 114th Congress (2015-2016) - Reported favorably by Senator Corker, Committee on Foreign Relations with printed Ex. Rept. 114-8 and a resolution of advice and consent to ratification with 1 declaration. Executive Calendar No. 8. (All Actions) "/>
    <x v="0"/>
    <s v="Reported favorably by Senator Corker, Committee on Foreign Relations with printed Ex. Rept. 114-8 and a resolution of advice and consent to ratification with 1 declaration. Executive Calendar No. 8. (All Actions) "/>
    <x v="1"/>
    <x v="0"/>
  </r>
  <r>
    <s v="18. Convention on Taxes with the Republic of Poland Senate Consideration of Treaty Document 113-5 Text of Treaty Document: TXT | PDF Date Received from President: 05/20/2014 - 113th Congress (2013-2014) Treaty Topic: Taxation Latest Senate Action: 02/09/2016 - 114th Congress (2015-2016) - Reported favorably by Senator Corker, Committee on Foreign Relations with printed Ex. Rept. 114-3 and a resolution of advice and consent to ratification with 1 declaration. Executive Calendar No. 3. (All Actions) "/>
    <s v="18"/>
    <s v="Convention on Taxes with the Republic of Poland"/>
    <s v="113-5"/>
    <s v="05/20/2014 - 113th Congress (2013-2014)"/>
    <s v="113th"/>
    <s v="Taxation"/>
    <s v="02/09/2016 - 114th Congress (2015-2016) - Reported favorably by Senator Corker, Committee on Foreign Relations with printed Ex. Rept. 114-3 and a resolution of advice and consent to ratification with 1 declaration. Executive Calendar No. 3. (All Actions) "/>
    <x v="0"/>
    <s v="Reported favorably by Senator Corker, Committee on Foreign Relations with printed Ex. Rept. 114-3 and a resolution of advice and consent to ratification with 1 declaration. Executive Calendar No. 3. (All Actions) "/>
    <x v="1"/>
    <x v="0"/>
  </r>
  <r>
    <s v="19. Tax Convention with Hungary Senate Consideration of Treaty Document 111-7 Text of Treaty Document: TXT | PDF Date Received from President: 11/15/2010 - 111th Congress (2009-2010) Treaty Topic: Taxation Latest Senate Action: 02/09/2016 - 114th Congress (2015-2016) - Reported favorably by Senator Corker, Committee on Foreign Relations with printed Ex. Rept. 114-7 and a resolution of advice and consent to ratification with 1 declaration. Executive Calendar No. 7. (All Actions) "/>
    <s v="19"/>
    <s v="Tax Convention with Hungary"/>
    <s v="111-7"/>
    <s v="11/15/2010 - 111th Congress (2009-2010)"/>
    <s v="111th"/>
    <s v="Taxation"/>
    <s v="02/09/2016 - 114th Congress (2015-2016) - Reported favorably by Senator Corker, Committee on Foreign Relations with printed Ex. Rept. 114-7 and a resolution of advice and consent to ratification with 1 declaration. Executive Calendar No. 7. (All Actions) "/>
    <x v="0"/>
    <s v="Reported favorably by Senator Corker, Committee on Foreign Relations with printed Ex. Rept. 114-7 and a resolution of advice and consent to ratification with 1 declaration. Executive Calendar No. 7. (All Actions) "/>
    <x v="1"/>
    <x v="0"/>
  </r>
  <r>
    <s v="20. Protocol Amending Tax Convention with Luxembourg Senate Consideration of Treaty Document 111-8 Text of Treaty Document: TXT | PDF Date Received from President: 11/15/2010 - 111th Congress (2009-2010) Treaty Topic: Taxation Latest Senate Action: 02/09/2016 - 114th Congress (2015-2016) - Reported favorably by Senator Corker, Committee on Foreign Relations with printed Ex. Rept. 114-6 and a resolution of advice and consent to ratification with 1 declaration. Executive Calendar No. 6. (All Actions) "/>
    <s v="20"/>
    <s v="Protocol Amending Tax Convention with Luxembourg"/>
    <s v="111-8"/>
    <s v="11/15/2010 - 111th Congress (2009-2010)"/>
    <s v="111th"/>
    <s v="Taxation"/>
    <s v="02/09/2016 - 114th Congress (2015-2016) - Reported favorably by Senator Corker, Committee on Foreign Relations with printed Ex. Rept. 114-6 and a resolution of advice and consent to ratification with 1 declaration. Executive Calendar No. 6. (All Actions) "/>
    <x v="0"/>
    <s v="Reported favorably by Senator Corker, Committee on Foreign Relations with printed Ex. Rept. 114-6 and a resolution of advice and consent to ratification with 1 declaration. Executive Calendar No. 6. (All Actions) "/>
    <x v="1"/>
    <x v="0"/>
  </r>
  <r>
    <s v="21. Tax Convention with Chile. Senate Consideration of Treaty Document 112-8 Text of Treaty Document: TXT | PDF Date Received from President: 05/17/2012 - 112th Congress (2011-2012) Treaty Topic: Taxation Latest Senate Action: 02/09/2016 - 114th Congress (2015-2016) - Reported favorably by Senator Corker, Committee on Foreign Relations with printed Ex. Rept. 114-4 and a resolution of advice and consent to ratification with 1 declaration. Executive Calendar No. 4. (All Actions) "/>
    <s v="21"/>
    <s v="Tax Convention with Chile."/>
    <s v="112-8"/>
    <s v="05/17/2012 - 112th Congress (2011-2012)"/>
    <s v="112th"/>
    <s v="Taxation"/>
    <s v="02/09/2016 - 114th Congress (2015-2016) - Reported favorably by Senator Corker, Committee on Foreign Relations with printed Ex. Rept. 114-4 and a resolution of advice and consent to ratification with 1 declaration. Executive Calendar No. 4. (All Actions) "/>
    <x v="0"/>
    <s v="Reported favorably by Senator Corker, Committee on Foreign Relations with printed Ex. Rept. 114-4 and a resolution of advice and consent to ratification with 1 declaration. Executive Calendar No. 4. (All Actions) "/>
    <x v="1"/>
    <x v="0"/>
  </r>
  <r>
    <s v="22. Protocol to the Treaty on a Nuclear-Weapon-Free Zone in Central Asia Senate Consideration of Treaty Document 114-2 Text of Treaty Document: TXT | PDF Date Received from President: 04/27/2015 - 114th Congress (2015-2016) Treaty Topic: Arms Control Latest Senate Action: 04/27/2015 - 114th Congress (2015-2016) - Received in the Senate and referred to the Committee on Foreign Relations by unanimous consent removing the injunction of secrecy. (All Actions) "/>
    <s v="22"/>
    <s v="Protocol to the Treaty on a Nuclear-Weapon-Free Zone in Central Asia"/>
    <s v="114-2"/>
    <s v="04/27/2015 - 114th Congress (2015-2016)"/>
    <s v="114th"/>
    <s v="Arms Control"/>
    <s v="04/27/2015 - 114th Congress (2015-2016) - Received in the Senate and referred to the Committee on Foreign Relations by unanimous consent removing the injunction of secrecy. (All Actions) "/>
    <x v="0"/>
    <s v="Received in the Senate and referred to the Committee on Foreign Relations by unanimous consent removing the injunction of secrecy. (All Actions) "/>
    <x v="1"/>
    <x v="0"/>
  </r>
  <r>
    <s v="23. Convention on the Rights of Persons with Disabilities Senate Consideration of Treaty Document 112-7 Text of Treaty Document: TXT | PDF Date Received from President: 05/17/2012 - 112th Congress (2011-2012) Treaty Topic: Human Rights Latest Senate Action: 12/17/2014 - 113th Congress (2013-2014) - No further action at sine die adjournment of the 113 Congress; automatically rereferred to the Committee on Foreign Relations under the provisions of Rule XXX, section 2, of the Standing Rules of the Senate. (All Actions) "/>
    <s v="23"/>
    <s v="Convention on the Rights of Persons with Disabilities"/>
    <s v="112-7"/>
    <s v="05/17/2012 - 112th Congress (2011-2012)"/>
    <s v="112th"/>
    <s v="Human Rights"/>
    <s v="12/17/2014 - 113th Congress (2013-2014) - No further action at sine die adjournment of the 113 Congress; automatically rereferred to the Committee on Foreign Relations under the provisions of Rule XXX, section 2, of the Standing Rules of the Senate. (All Actions) "/>
    <x v="1"/>
    <s v="No further action at sine die adjournment of the 113 Congress; automatically rereferred to the Committee on Foreign Relations under the provisions of Rule XXX, section 2, of the Standing Rules of the Senate. (All Actions) "/>
    <x v="1"/>
    <x v="1"/>
  </r>
  <r>
    <s v="24. Convention on the Conservation and Management of High Seas Fishery Resources in the South Pacific Ocean. Senate Consideration of Treaty Document 113-1 Text of Treaty Document: TXT | PDF Date Received from President: 04/22/2013 - 113th Congress (2013-2014) Treaty Topic: Fisheries and Wildlife Latest Senate Action: 04/03/2014 - 113th Congress (2013-2014) - Resolution of advice and consent to ratification agreed to in Senate by Division Vote. (All Actions) "/>
    <s v="24"/>
    <s v="Convention on the Conservation and Management of High Seas Fishery Resources in the South Pacific Ocean."/>
    <s v="113-1"/>
    <s v="04/22/2013 - 113th Congress (2013-2014)"/>
    <s v="113th"/>
    <s v="Fisheries and Wildlife"/>
    <s v="04/03/2014 - 113th Congress (2013-2014) - Resolution of advice and consent to ratification agreed to in Senate by Division Vote. (All Actions) "/>
    <x v="1"/>
    <s v="Resolution of advice and consent to ratification agreed to in Senate by Division Vote. (All Actions) "/>
    <x v="0"/>
    <x v="1"/>
  </r>
  <r>
    <s v="25. Convention on the Conservation and Management of High Seas Fisheries Resources in the North Pacific Ocean. Senate Consideration of Treaty Document 113-2 Text of Treaty Document: TXT | PDF Date Received from President: 04/22/2013 - 113th Congress (2013-2014) Treaty Topic: Fisheries and Wildlife Latest Senate Action: 04/03/2014 - 113th Congress (2013-2014) - Resolution of advice and consent to ratification agreed to in Senate by Division Vote. (All Actions) "/>
    <s v="25"/>
    <s v="Convention on the Conservation and Management of High Seas Fisheries Resources in the North Pacific Ocean."/>
    <s v="113-2"/>
    <s v="04/22/2013 - 113th Congress (2013-2014)"/>
    <s v="113th"/>
    <s v="Fisheries and Wildlife"/>
    <s v="04/03/2014 - 113th Congress (2013-2014) - Resolution of advice and consent to ratification agreed to in Senate by Division Vote. (All Actions) "/>
    <x v="1"/>
    <s v="Resolution of advice and consent to ratification agreed to in Senate by Division Vote. (All Actions) "/>
    <x v="0"/>
    <x v="1"/>
  </r>
  <r>
    <s v="26. Amendment to the Convention on Future Multilateral Cooperation in the Northwest Atlantic Fisheries. Senate Consideration of Treaty Document 113-3 Text of Treaty Document: TXT | PDF Date Received from President: 04/22/2013 - 113th Congress (2013-2014) Treaty Topic: Fisheries and Wildlife Latest Senate Action: 04/03/2014 - 113th Congress (2013-2014) - Resolution of advice and consent to ratification agreed to in Senate by Division Vote. (All Actions) "/>
    <s v="26"/>
    <s v="Amendment to the Convention on Future Multilateral Cooperation in the Northwest Atlantic Fisheries."/>
    <s v="113-3"/>
    <s v="04/22/2013 - 113th Congress (2013-2014)"/>
    <s v="113th"/>
    <s v="Fisheries and Wildlife"/>
    <s v="04/03/2014 - 113th Congress (2013-2014) - Resolution of advice and consent to ratification agreed to in Senate by Division Vote. (All Actions) "/>
    <x v="1"/>
    <s v="Resolution of advice and consent to ratification agreed to in Senate by Division Vote. (All Actions) "/>
    <x v="0"/>
    <x v="1"/>
  </r>
  <r>
    <s v="27. Agreement on Port State Measures to Prevent, Deter, and Eliminate Illegal, Unreported, and Unregulated Fishing Senate Consideration of Treaty Document 112-4 Text of Treaty Document: TXT Date Received from President: 11/14/2011 - 112th Congress (2011-2012) Treaty Topic: Fisheries and Wildlife Latest Senate Action: 04/03/2014 - 113th Congress (2013-2014) - Resolution of advice and consent to ratification agreed to in Senate by Division Vote. (All Actions) "/>
    <s v="27"/>
    <s v="Agreement on Port State Measures to Prevent, Deter, and Eliminate Illegal, Unreported, and Unregulated Fishing"/>
    <s v="112-4"/>
    <s v="11/14/2011 - 112th Congress (2011-2012)"/>
    <s v="112th"/>
    <s v="Fisheries and Wildlife"/>
    <s v="04/03/2014 - 113th Congress (2013-2014) - Resolution of advice and consent to ratification agreed to in Senate by Division Vote. (All Actions) "/>
    <x v="1"/>
    <s v="Resolution of advice and consent to ratification agreed to in Senate by Division Vote. (All Actions) "/>
    <x v="0"/>
    <x v="1"/>
  </r>
  <r>
    <s v="28. United Nations Convention on the Law of the Sea Senate Consideration of Treaty Document 103-39 Date Received from President: 10/06/1994 - 103rd Congress (1993-1994) Treaty Topic: International Law and Organization Latest Senate Action: 06/28/2012 - 112th Congress (2011-2012) - Committee on Foreign Relations. Hearings held. Hearings printed: S.Hrg. 112-654. (All Actions) "/>
    <s v="28"/>
    <s v="United Nations Convention on the Law of the Sea"/>
    <s v="103-39"/>
    <s v="10/06/1994 - 103rd Congress (1993-1994)"/>
    <s v="103rd"/>
    <s v="International Law and Organization"/>
    <s v="06/28/2012 - 112th Congress (2011-2012) - Committee on Foreign Relations. Hearings held. Hearings printed: S.Hrg. 112-654. (All Actions) "/>
    <x v="2"/>
    <s v="Committee on Foreign Relations. Hearings held. Hearings printed: S.Hrg. 112-654. (All Actions) "/>
    <x v="1"/>
    <x v="1"/>
  </r>
  <r>
    <s v="29. Mutual Legal Assistance Treaty with Bermuda Senate Consideration of Treaty Document 111-6 Text of Treaty Document: TXT | PDF Date Received from President: 06/29/2010 - 111th Congress (2009-2010) Treaty Topic: Mutual Legal Assistance Latest Senate Action: 09/26/2011 - 112th Congress (2011-2012) - Resolution of advice and consent to ratification agreed to in Senate by Division Vote. (All Actions) "/>
    <s v="29"/>
    <s v="Mutual Legal Assistance Treaty with Bermuda"/>
    <s v="111-6"/>
    <s v="06/29/2010 - 111th Congress (2009-2010)"/>
    <s v="111th"/>
    <s v="Mutual Legal Assistance"/>
    <s v="09/26/2011 - 112th Congress (2011-2012) - Resolution of advice and consent to ratification agreed to in Senate by Division Vote. (All Actions) "/>
    <x v="2"/>
    <s v="Resolution of advice and consent to ratification agreed to in Senate by Division Vote. (All Actions) "/>
    <x v="0"/>
    <x v="1"/>
  </r>
  <r>
    <s v="30. Investment Treaty with Rwanda Senate Consideration of Treaty Document 110-23 Text of Treaty Document: TXT | PDF Date Received from President: 11/20/2008 - 110th Congress (2007-2008) Treaty Topic: Investment Latest Senate Action: 09/26/2011 - 112th Congress (2011-2012) - Resolution of advice and consent to ratification agreed to in Senate by Division Vote. (All Actions) "/>
    <s v="30"/>
    <s v="Investment Treaty with Rwanda"/>
    <s v="110-23"/>
    <s v="11/20/2008 - 110th Congress (2007-2008)"/>
    <s v="110th"/>
    <s v="Investment"/>
    <s v="09/26/2011 - 112th Congress (2011-2012) - Resolution of advice and consent to ratification agreed to in Senate by Division Vote. (All Actions) "/>
    <x v="2"/>
    <s v="Resolution of advice and consent to ratification agreed to in Senate by Division Vote. (All Actions) "/>
    <x v="0"/>
    <x v="1"/>
  </r>
  <r>
    <s v="31. Protocols 1, 2, and 3 to the South Pacific Nuclear Free Zone Treaty Senate Consideration of Treaty Document 112-2 Text of Treaty Document: TXT | PDF Date Received from President: 05/02/2011 - 112th Congress (2011-2012) Treaty Topic: Arms Control Latest Senate Action: 05/02/2011 - 112th Congress (2011-2012) - Received in the Senate and referred to the Committee on Foreign Relations pursuant to the removal of the injunction of secrecy. (All Actions) "/>
    <s v="31"/>
    <s v="Protocols 1, 2, and 3 to the South Pacific Nuclear Free Zone Treaty"/>
    <s v="112-2"/>
    <s v="05/02/2011 - 112th Congress (2011-2012)"/>
    <s v="112th"/>
    <s v="Arms Control"/>
    <s v="05/02/2011 - 112th Congress (2011-2012) - Received in the Senate and referred to the Committee on Foreign Relations pursuant to the removal of the injunction of secrecy. (All Actions) "/>
    <x v="2"/>
    <s v="Received in the Senate and referred to the Committee on Foreign Relations pursuant to the removal of the injunction of secrecy. (All Actions) "/>
    <x v="1"/>
    <x v="1"/>
  </r>
  <r>
    <s v="32. Protocols I and II to the African Nuclear-Weapon-Free Zone Treaty Senate Consideration of Treaty Document 112-3 Text of Treaty Document: TXT | PDF Date Received from President: 05/02/2011 - 112th Congress (2011-2012) Treaty Topic: Arms Control Latest Senate Action: 05/02/2011 - 112th Congress (2011-2012) - Received in the Senate and referred to the Committee on Foreign Relations pursuant to removal of the injunction of secrecy. (All Actions) "/>
    <s v="32"/>
    <s v="Protocols I and II to the African Nuclear-Weapon-Free Zone Treaty"/>
    <s v="112-3"/>
    <s v="05/02/2011 - 112th Congress (2011-2012)"/>
    <s v="112th"/>
    <s v="Arms Control"/>
    <s v="05/02/2011 - 112th Congress (2011-2012) - Received in the Senate and referred to the Committee on Foreign Relations pursuant to removal of the injunction of secrecy. (All Actions) "/>
    <x v="2"/>
    <s v="Received in the Senate and referred to the Committee on Foreign Relations pursuant to removal of the injunction of secrecy. (All Actions) "/>
    <x v="1"/>
    <x v="1"/>
  </r>
  <r>
    <s v="33. Treaty with Russia on Measures for Further Reduction and Limitation of Strategic Offensive Arms Senate Consideration of Treaty Document 111-5 Text of Treaty Document: TXT | PDF Date Received from President: 05/13/2010 - 111th Congress (2009-2010) Treaty Topic: Arms Control Latest Senate Action: 12/22/2010 - 111th Congress (2009-2010) - Resolution of advice and consent to ratification agreed to as amended in Senate by Yea-Nay Vote. 71 - 26. Record Vote Number: 298. (All Actions) "/>
    <s v="33"/>
    <s v="Treaty with Russia on Measures for Further Reduction and Limitation of Strategic Offensive Arms"/>
    <s v="111-5"/>
    <s v="05/13/2010 - 111th Congress (2009-2010)"/>
    <s v="111th"/>
    <s v="Arms Control"/>
    <s v="12/22/2010 - 111th Congress (2009-2010) - Resolution of advice and consent to ratification agreed to as amended in Senate by Yea-Nay Vote. 71 - 26. Record Vote Number: 298. (All Actions) "/>
    <x v="3"/>
    <s v="Resolution of advice and consent to ratification agreed to as amended in Senate by Yea-Nay Vote. 71 - 26. Record Vote Number: 298. (All Actions) "/>
    <x v="0"/>
    <x v="1"/>
  </r>
  <r>
    <s v="34. Treaty with United Kingdom Concerning Defense Trade Cooperation Senate Consideration of Treaty Document 110-7 Text of Treaty Document: TXT | PDF Date Received from President: 09/20/2007 - 110th Congress (2007-2008) Treaty Topic: Arms Control Latest Senate Action: 09/29/2010 - 111th Congress (2009-2010) - Resolution of advice and consent to ratification agreed to in Senate by Division Vote. (All Actions) "/>
    <s v="34"/>
    <s v="Treaty with United Kingdom Concerning Defense Trade Cooperation"/>
    <s v="110-7"/>
    <s v="09/20/2007 - 110th Congress (2007-2008)"/>
    <s v="110th"/>
    <s v="Arms Control"/>
    <s v="09/29/2010 - 111th Congress (2009-2010) - Resolution of advice and consent to ratification agreed to in Senate by Division Vote. (All Actions) "/>
    <x v="3"/>
    <s v="Resolution of advice and consent to ratification agreed to in Senate by Division Vote. (All Actions) "/>
    <x v="0"/>
    <x v="1"/>
  </r>
  <r>
    <s v="35. Treaty with Australia Concerning Defense Trade Cooperation Senate Consideration of Treaty Document 110-10 Text of Treaty Document: TXT | PDF Date Received from President: 12/03/2007 - 110th Congress (2007-2008) Treaty Topic: Arms Control Latest Senate Action: 09/29/2010 - 111th Congress (2009-2010) - Resolution of advice and consent to ratification agreed to in Senate by Division Vote. (All Actions) "/>
    <s v="35"/>
    <s v="Treaty with Australia Concerning Defense Trade Cooperation"/>
    <s v="110-10"/>
    <s v="12/03/2007 - 110th Congress (2007-2008)"/>
    <s v="110th"/>
    <s v="Arms Control"/>
    <s v="09/29/2010 - 111th Congress (2009-2010) - Resolution of advice and consent to ratification agreed to in Senate by Division Vote. (All Actions) "/>
    <x v="3"/>
    <s v="Resolution of advice and consent to ratification agreed to in Senate by Division Vote. (All Actions) "/>
    <x v="0"/>
    <x v="1"/>
  </r>
  <r>
    <s v="36. Hague Convention on International Recovery of Child Support and Family Maintenance Senate Consideration of Treaty Document 110-21 Text of Treaty Document: TXT | PDF Date Received from President: 09/08/2008 - 110th Congress (2007-2008) Treaty Topic: International Law Latest Senate Action: 09/29/2010 - 111th Congress (2009-2010) - Resolution of advice and consent to ratification agreed to as amended in Senate by Division Vote. (All Actions) "/>
    <s v="36"/>
    <s v="Hague Convention on International Recovery of Child Support and Family Maintenance"/>
    <s v="110-21"/>
    <s v="09/08/2008 - 110th Congress (2007-2008)"/>
    <s v="110th"/>
    <s v="International Law"/>
    <s v="09/29/2010 - 111th Congress (2009-2010) - Resolution of advice and consent to ratification agreed to as amended in Senate by Division Vote. (All Actions) "/>
    <x v="3"/>
    <s v="Resolution of advice and consent to ratification agreed to as amended in Senate by Division Vote. (All Actions) "/>
    <x v="0"/>
    <x v="1"/>
  </r>
  <r>
    <s v="37. Tax Convention with Malta Senate Consideration of Treaty Document 111-1 Text of Treaty Document: TXT | PDF Date Received from President: 01/15/2009 - 111th Congress (2009-2010) Treaty Topic: Taxation Latest Senate Action: 07/15/2010 - 111th Congress (2009-2010) - Resolution of advice and consent to ratification agreed to in Senate by Division Vote. (All Actions) "/>
    <s v="37"/>
    <s v="Tax Convention with Malta"/>
    <s v="111-1"/>
    <s v="01/15/2009 - 111th Congress (2009-2010)"/>
    <s v="111th"/>
    <s v="Taxation"/>
    <s v="07/15/2010 - 111th Congress (2009-2010) - Resolution of advice and consent to ratification agreed to in Senate by Division Vote. (All Actions) "/>
    <x v="3"/>
    <s v="Resolution of advice and consent to ratification agreed to in Senate by Division Vote. (All Actions) "/>
    <x v="0"/>
    <x v="1"/>
  </r>
  <r>
    <s v="38. Protocol Amending Tax Convention with New Zealand Senate Consideration of Treaty Document 111-3 Text of Treaty Document: TXT | PDF Date Received from President: 06/16/2009 - 111th Congress (2009-2010) Treaty Topic: Taxation Latest Senate Action: 07/15/2010 - 111th Congress (2009-2010) - Resolution of advice and consent to ratification agreed to in Senate by Division Vote. (All Actions) "/>
    <s v="38"/>
    <s v="Protocol Amending Tax Convention with New Zealand"/>
    <s v="111-3"/>
    <s v="06/16/2009 - 111th Congress (2009-2010)"/>
    <s v="111th"/>
    <s v="Taxation"/>
    <s v="07/15/2010 - 111th Congress (2009-2010) - Resolution of advice and consent to ratification agreed to in Senate by Division Vote. (All Actions) "/>
    <x v="3"/>
    <s v="Resolution of advice and consent to ratification agreed to in Senate by Division Vote. (All Actions) "/>
    <x v="0"/>
    <x v="1"/>
  </r>
  <r>
    <s v="39. Protocol Amending Tax Convention with France Senate Consideration of Treaty Document 111-4 Text of Treaty Document: TXT | PDF Date Received from President: 09/09/2009 - 111th Congress (2009-2010) Treaty Topic: Taxation Latest Senate Action: 12/03/2009 - 111th Congress (2009-2010) - Resolution of advice and consent to ratification agreed to in Senate by Division Vote. (All Actions) "/>
    <s v="39"/>
    <s v="Protocol Amending Tax Convention with France"/>
    <s v="111-4"/>
    <s v="09/09/2009 - 111th Congress (2009-2010)"/>
    <s v="111th"/>
    <s v="Taxation"/>
    <s v="12/03/2009 - 111th Congress (2009-2010) - Resolution of advice and consent to ratification agreed to in Senate by Division Vote. (All Actions) "/>
    <x v="3"/>
    <s v="Resolution of advice and consent to ratification agreed to in Senate by Division Vote. (All Actions) "/>
    <x v="0"/>
    <x v="1"/>
  </r>
  <r>
    <s v="40. Annex VI to the Protocol on Environmental Protection to the Antarctic Treaty Senate Consideration of Treaty Document 111-2 Text of Treaty Document: TXT | PDF Date Received from President: 04/02/2009 - 111th Congress (2009-2010) Treaty Topic: Environment Latest Senate Action: 04/02/2009 - 111th Congress (2009-2010) - Received in the Senate and referred to the Committee on Foreign Relations by unanimous consent removing the injunction of secrecy. (All Actions) "/>
    <s v="40"/>
    <s v="Annex VI to the Protocol on Environmental Protection to the Antarctic Treaty"/>
    <s v="111-2"/>
    <s v="04/02/2009 - 111th Congress (2009-2010)"/>
    <s v="111th"/>
    <s v="Environment"/>
    <s v="04/02/2009 - 111th Congress (2009-2010) - Received in the Senate and referred to the Committee on Foreign Relations by unanimous consent removing the injunction of secrecy. (All Actions) "/>
    <x v="3"/>
    <s v="Received in the Senate and referred to the Committee on Foreign Relations by unanimous consent removing the injunction of secrecy. (All Actions) "/>
    <x v="1"/>
    <x v="1"/>
  </r>
  <r>
    <s v="41. 1996 Protocol to Convention on Prevention of Marine Pollution by Dumping of Wastes Senate Consideration of Treaty Document 110-5 Text of Treaty Document: TXT | PDF Date Received from President: 09/04/2007 - 110th Congress (2007-2008) Treaty Topic: Environment Latest Senate Action: 01/02/2009 - 111th Congress (2009-2010) - No further action at sine die adjournment of the 110th Congress; automatically rereferred to the Committee on Foreign Relations under the provisions of Rule XXX, section 2, of the Standing Rules of the Senate. (All Actions) "/>
    <s v="41"/>
    <s v="1996 Protocol to Convention on Prevention of Marine Pollution by Dumping of Wastes"/>
    <s v="110-5"/>
    <s v="09/04/2007 - 110th Congress (2007-2008)"/>
    <s v="110th"/>
    <s v="Environment"/>
    <s v="01/02/2009 - 111th Congress (2009-2010) - No further action at sine die adjournment of the 110th Congress; automatically rereferred to the Committee on Foreign Relations under the provisions of Rule XXX, section 2, of the Standing Rules of the Senate. (All Actions) "/>
    <x v="3"/>
    <s v="No further action at sine die adjournment of the 110th Congress; automatically rereferred to the Committee on Foreign Relations under the provisions of Rule XXX, section 2, of the Standing Rules of the Senate. (All Actions) "/>
    <x v="1"/>
    <x v="1"/>
  </r>
  <r>
    <s v="42. CCW Protocol on Explosive Remnants of War Senate Consideration of Treaty Document 109-10(C) Text of Treaty Document: TXT | PDF Date Received from President: 06/20/2006 - 109th Congress (2005-2006) Treaty Topic: Arms Control Latest Senate Action: 09/26/2008 - 110th Congress (2007-2008) - Resolution of advice and consent to ratification agreed to in Senate by Division Vote. (All Actions) "/>
    <s v="42"/>
    <s v="CCW Protocol on Explosive Remnants of War"/>
    <s v="109-10(C)"/>
    <s v="06/20/2006 - 109th Congress (2005-2006)"/>
    <s v="109th"/>
    <s v="Arms Control"/>
    <s v="09/26/2008 - 110th Congress (2007-2008) - Resolution of advice and consent to ratification agreed to in Senate by Division Vote. (All Actions) "/>
    <x v="4"/>
    <s v="Resolution of advice and consent to ratification agreed to in Senate by Division Vote. (All Actions) "/>
    <x v="0"/>
    <x v="0"/>
  </r>
  <r>
    <s v="43. International Convention on Control of Harmful Anti-Fouling Systems on Ships, 2001 Senate Consideration of Treaty Document 110-13 Text of Treaty Document: TXT | PDF Date Received from President: 01/22/2008 - 110th Congress (2007-2008) Treaty Topic: Shipping and Marine Pollution Latest Senate Action: 09/26/2008 - 110th Congress (2007-2008) - Resolution of advice and consent to ratification agreed to in Senate by Division Vote. (All Actions) "/>
    <s v="43"/>
    <s v="International Convention on Control of Harmful Anti-Fouling Systems on Ships, 2001"/>
    <s v="110-13"/>
    <s v="01/22/2008 - 110th Congress (2007-2008)"/>
    <s v="110th"/>
    <s v="Shipping and Marine Pollution"/>
    <s v="09/26/2008 - 110th Congress (2007-2008) - Resolution of advice and consent to ratification agreed to in Senate by Division Vote. (All Actions) "/>
    <x v="4"/>
    <s v="Resolution of advice and consent to ratification agreed to in Senate by Division Vote. (All Actions) "/>
    <x v="0"/>
    <x v="0"/>
  </r>
  <r>
    <s v="44. Agreement on Conservation of Albatrosses and Petrels Senate Consideration of Treaty Document 110-22 Text of Treaty Document: TXT | PDF Date Received from President: 09/26/2008 - 110th Congress (2007-2008) Treaty Topic: Fisheries and Wildlife Latest Senate Action: 09/26/2008 - 110th Congress (2007-2008) - Received in the Senate and referred to the Committee on Foreign Relations by unanimous consent removing the injunction of secrecy. (All Actions) "/>
    <s v="44"/>
    <s v="Agreement on Conservation of Albatrosses and Petrels"/>
    <s v="110-22"/>
    <s v="09/26/2008 - 110th Congress (2007-2008)"/>
    <s v="110th"/>
    <s v="Fisheries and Wildlife"/>
    <s v="09/26/2008 - 110th Congress (2007-2008) - Received in the Senate and referred to the Committee on Foreign Relations by unanimous consent removing the injunction of secrecy. (All Actions) "/>
    <x v="4"/>
    <s v="Received in the Senate and referred to the Committee on Foreign Relations by unanimous consent removing the injunction of secrecy. (All Actions) "/>
    <x v="1"/>
    <x v="0"/>
  </r>
  <r>
    <s v="45. Land-Based Sources Protocol to Cartagena Convention Senate Consideration of Treaty Document 110-1 Text of Treaty Document: TXT | PDF Date Received from President: 02/16/2007 - 110th Congress (2007-2008) Treaty Topic: Shipping and Marine Pollution Latest Senate Action: 09/25/2008 - 110th Congress (2007-2008) - Resolution of advice and consent to ratification agreed to in Senate by Division Vote. (All Actions) "/>
    <s v="45"/>
    <s v="Land-Based Sources Protocol to Cartagena Convention"/>
    <s v="110-1"/>
    <s v="02/16/2007 - 110th Congress (2007-2008)"/>
    <s v="110th"/>
    <s v="Shipping and Marine Pollution"/>
    <s v="09/25/2008 - 110th Congress (2007-2008) - Resolution of advice and consent to ratification agreed to in Senate by Division Vote. (All Actions) "/>
    <x v="4"/>
    <s v="Resolution of advice and consent to ratification agreed to in Senate by Division Vote. (All Actions) "/>
    <x v="0"/>
    <x v="0"/>
  </r>
  <r>
    <s v="46. The Hague Convention Senate Consideration of Treaty Document 106-1(A) Text of Treaty Document: TXT | PDF Date Received from President: 01/06/1999 - 106th Congress (1999-2000) Treaty Topic: International Law Latest Senate Action: 09/25/2008 - 110th Congress (2007-2008) - Resolution of advice and consent to ratification agreed to in Senate by Division Vote. (All Actions) "/>
    <s v="46"/>
    <s v="The Hague Convention"/>
    <s v="106-1(A)"/>
    <s v="01/06/1999 - 106th Congress (1999-2000)"/>
    <s v="106th"/>
    <s v="International Law"/>
    <s v="09/25/2008 - 110th Congress (2007-2008) - Resolution of advice and consent to ratification agreed to in Senate by Division Vote. (All Actions) "/>
    <x v="4"/>
    <s v="Resolution of advice and consent to ratification agreed to in Senate by Division Vote. (All Actions) "/>
    <x v="0"/>
    <x v="0"/>
  </r>
  <r>
    <s v="47. International Convention for Suppression of Acts of Nuclear Terrorism Senate Consideration of Treaty Document 110-4 Text of Treaty Document: TXT | PDF Date Received from President: 07/12/2007 - 110th Congress (2007-2008) Treaty Topic: Terrorism Latest Senate Action: 09/25/2008 - 110th Congress (2007-2008) - Resolution of advice and consent to ratification agreed to in Senate by Division Vote. (All Actions) "/>
    <s v="47"/>
    <s v="International Convention for Suppression of Acts of Nuclear Terrorism"/>
    <s v="110-4"/>
    <s v="07/12/2007 - 110th Congress (2007-2008)"/>
    <s v="110th"/>
    <s v="Terrorism"/>
    <s v="09/25/2008 - 110th Congress (2007-2008) - Resolution of advice and consent to ratification agreed to in Senate by Division Vote. (All Actions) "/>
    <x v="4"/>
    <s v="Resolution of advice and consent to ratification agreed to in Senate by Division Vote. (All Actions) "/>
    <x v="0"/>
    <x v="0"/>
  </r>
  <r>
    <s v="48. Amendments to Constitution and Convention of International Telecommunication Union (ITU) (Geneva 1992) Senate Consideration of Treaty Document 108-5 Text of Treaty Document: TXT | PDF Date Received from President: 04/30/2003 - 108th Congress (2003-2004) Treaty Topic: Commercial Latest Senate Action: 09/25/2008 - 110th Congress (2007-2008) - Resolution of advice and consent to ratification agreed to in Senate by Division Vote. (All Actions) "/>
    <s v="48"/>
    <s v="Amendments to Constitution and Convention of International Telecommunication Union (ITU) (Geneva 1992)"/>
    <s v="108-5"/>
    <s v="04/30/2003 - 108th Congress (2003-2004)"/>
    <s v="108th"/>
    <s v="Commercial"/>
    <s v="09/25/2008 - 110th Congress (2007-2008) - Resolution of advice and consent to ratification agreed to in Senate by Division Vote. (All Actions) "/>
    <x v="4"/>
    <s v="Resolution of advice and consent to ratification agreed to in Senate by Division Vote. (All Actions) "/>
    <x v="0"/>
    <x v="0"/>
  </r>
  <r>
    <s v="49. Amendment to Convention on Physical Protection of Nuclear Material Senate Consideration of Treaty Document 110-6 Text of Treaty Document: TXT | PDF Date Received from President: 09/04/2007 - 110th Congress (2007-2008) Treaty Topic: Terrorism Latest Senate Action: 09/25/2008 - 110th Congress (2007-2008) - Resolution of advice and consent to ratification agreed to in Senate by Division Vote. (All Actions) "/>
    <s v="49"/>
    <s v="Amendment to Convention on Physical Protection of Nuclear Material"/>
    <s v="110-6"/>
    <s v="09/04/2007 - 110th Congress (2007-2008)"/>
    <s v="110th"/>
    <s v="Terrorism"/>
    <s v="09/25/2008 - 110th Congress (2007-2008) - Resolution of advice and consent to ratification agreed to in Senate by Division Vote. (All Actions) "/>
    <x v="4"/>
    <s v="Resolution of advice and consent to ratification agreed to in Senate by Division Vote. (All Actions) "/>
    <x v="0"/>
    <x v="0"/>
  </r>
  <r>
    <s v="50. Protocols of 2005 to the Convention concerning Safety of Maritime Navigation and to the Protocol concerning Safety of Fixed Platforms on the Continental Shelf Senate Consideration of Treaty Document 110-8 Text of Treaty Document: TXT | PDF Date Received from President: 10/01/2007 - 110th Congress (2007-2008) Treaty Topic: Terrorism Latest Senate Action: 09/25/2008 - 110th Congress (2007-2008) - Resolution of advice and consent to ratification agreed to in Senate by Division Vote. (All Actions) "/>
    <s v="50"/>
    <s v="Protocols of 2005 to the Convention concerning Safety of Maritime Navigation and to the Protocol concerning Safety of Fixed Platforms on the Continental Shelf"/>
    <s v="110-8"/>
    <s v="10/01/2007 - 110th Congress (2007-2008)"/>
    <s v="110th"/>
    <s v="Terrorism"/>
    <s v="09/25/2008 - 110th Congress (2007-2008) - Resolution of advice and consent to ratification agreed to in Senate by Division Vote. (All Actions) "/>
    <x v="4"/>
    <s v="Resolution of advice and consent to ratification agreed to in Senate by Division Vote. (All Actions) "/>
    <x v="0"/>
    <x v="0"/>
  </r>
  <r>
    <s v="51. 2002 Amendments to the ITU Constitution and Convention Senate Consideration of Treaty Document 109-11 Text of Treaty Document: TXT | PDF Date Received from President: 07/10/2006 - 109th Congress (2005-2006) Treaty Topic: Telecommunications Latest Senate Action: 09/25/2008 - 110th Congress (2007-2008) - Resolution of advice and consent to ratification agreed to in Senate by Division Vote. (All Actions) "/>
    <s v="51"/>
    <s v="2002 Amendments to the ITU Constitution and Convention"/>
    <s v="109-11"/>
    <s v="07/10/2006 - 109th Congress (2005-2006)"/>
    <s v="109th"/>
    <s v="Telecommunications"/>
    <s v="09/25/2008 - 110th Congress (2007-2008) - Resolution of advice and consent to ratification agreed to in Senate by Division Vote. (All Actions) "/>
    <x v="4"/>
    <s v="Resolution of advice and consent to ratification agreed to in Senate by Division Vote. (All Actions) "/>
    <x v="0"/>
    <x v="0"/>
  </r>
  <r>
    <s v="52. Amendments to the Constitution and Convention of the International Telecommunication Union (Geneva, 1992) Senate Consideration of Treaty Document 110-16 Text of Treaty Document: TXT | PDF Date Received from President: 04/08/2008 - 110th Congress (2007-2008) Treaty Topic: Telecommunications Latest Senate Action: 09/25/2008 - 110th Congress (2007-2008) - Resolution of advice and consent to ratification agreed to in Senate by Division Vote. (All Actions) "/>
    <s v="52"/>
    <s v="Amendments to the Constitution and Convention of the International Telecommunication Union (Geneva, 1992)"/>
    <s v="110-16"/>
    <s v="04/08/2008 - 110th Congress (2007-2008)"/>
    <s v="110th"/>
    <s v="Telecommunications"/>
    <s v="09/25/2008 - 110th Congress (2007-2008) - Resolution of advice and consent to ratification agreed to in Senate by Division Vote. (All Actions) "/>
    <x v="4"/>
    <s v="Resolution of advice and consent to ratification agreed to in Senate by Division Vote. (All Actions) "/>
    <x v="0"/>
    <x v="0"/>
  </r>
  <r>
    <s v="53. Protocols to the North Atlantic Treaty of 1949 on Accession of Albania and Croatia Senate Consideration of Treaty Document 110-20 Text of Treaty Document: TXT | PDF Date Received from President: 07/23/2008 - 110th Congress (2007-2008) Treaty Topic: International Law and Organization Latest Senate Action: 09/25/2008 - 110th Congress (2007-2008) - Resolution of advice and consent to ratification agreed to in Senate by Division Vote. (All Actions) "/>
    <s v="53"/>
    <s v="Protocols to the North Atlantic Treaty of 1949 on Accession of Albania and Croatia"/>
    <s v="110-20"/>
    <s v="07/23/2008 - 110th Congress (2007-2008)"/>
    <s v="110th"/>
    <s v="International Law and Organization"/>
    <s v="09/25/2008 - 110th Congress (2007-2008) - Resolution of advice and consent to ratification agreed to in Senate by Division Vote. (All Actions) "/>
    <x v="4"/>
    <s v="Resolution of advice and consent to ratification agreed to in Senate by Division Vote. (All Actions) "/>
    <x v="0"/>
    <x v="0"/>
  </r>
  <r>
    <s v="54. Incendiary Weapons Protocol Senate Consideration of Treaty Document 105-1(B) Text of Treaty Document: TXT | PDF Date Received from President: 01/07/1997 - 105th Congress (1997-1998) Treaty Topic: Arms Control Latest Senate Action: 09/23/2008 - 110th Congress (2007-2008) - Resolution of advice and consent to ratification agreed to in Senate by Division Vote. (All Actions) "/>
    <s v="54"/>
    <s v="Incendiary Weapons Protocol"/>
    <s v="105-1(B)"/>
    <s v="01/07/1997 - 105th Congress (1997-1998)"/>
    <s v="105th"/>
    <s v="Arms Control"/>
    <s v="09/23/2008 - 110th Congress (2007-2008) - Resolution of advice and consent to ratification agreed to in Senate by Division Vote. (All Actions) "/>
    <x v="4"/>
    <s v="Resolution of advice and consent to ratification agreed to in Senate by Division Vote. (All Actions) "/>
    <x v="0"/>
    <x v="0"/>
  </r>
  <r>
    <s v="55. PROTOCOL ON BLINDING LASER WEAPONS Senate Consideration of Treaty Document 105-1(C) Text of Treaty Document: TXT | PDF Date Received from President: 01/07/1997 - 105th Congress (1997-1998) Treaty Topic: Arms Control Latest Senate Action: 09/23/2008 - 110th Congress (2007-2008) - Resolution of advice and consent to ratification agreed to in Senate by Division Vote. (All Actions) "/>
    <s v="55"/>
    <s v="PROTOCOL ON BLINDING LASER WEAPONS"/>
    <s v="105-1(C)"/>
    <s v="01/07/1997 - 105th Congress (1997-1998)"/>
    <s v="105th"/>
    <s v="Arms Control"/>
    <s v="09/23/2008 - 110th Congress (2007-2008) - Resolution of advice and consent to ratification agreed to in Senate by Division Vote. (All Actions) "/>
    <x v="4"/>
    <s v="Resolution of advice and consent to ratification agreed to in Senate by Division Vote. (All Actions) "/>
    <x v="0"/>
    <x v="0"/>
  </r>
  <r>
    <s v="56. Amendment to Article 1 of the Convention on Prohibitions or Restrictions on Use of Certain Conventional Weapons Which May be Deemed to be Excessively Injurious or to have Indiscriminate Effects Senate Consideration of Treaty Document 109-10(B) Text of Treaty Document: TXT | PDF Date Received from President: 06/20/2006 - 109th Congress (2005-2006) Treaty Topic: Arms Control Latest Senate Action: 09/23/2008 - 110th Congress (2007-2008) - Resolution of advice and consent to ratification agreed to in Senate by Division Vote. (All Actions) "/>
    <s v="56"/>
    <s v="Amendment to Article 1 of the Convention on Prohibitions or Restrictions on Use of Certain Conventional Weapons Which May be Deemed to be Excessively Injurious or to have Indiscriminate Effects"/>
    <s v="109-10(B)"/>
    <s v="06/20/2006 - 109th Congress (2005-2006)"/>
    <s v="109th"/>
    <s v="Arms Control"/>
    <s v="09/23/2008 - 110th Congress (2007-2008) - Resolution of advice and consent to ratification agreed to in Senate by Division Vote. (All Actions) "/>
    <x v="4"/>
    <s v="Resolution of advice and consent to ratification agreed to in Senate by Division Vote. (All Actions) "/>
    <x v="0"/>
    <x v="0"/>
  </r>
  <r>
    <s v="57. Extradition Treaty with Romania and Protocol to the Treaty on Mutual Legal Assistance in Criminal Matters with Romania Senate Consideration of Treaty Document 110-11 Text of Treaty Document: TXT | PDF Date Received from President: 01/22/2008 - 110th Congress (2007-2008) Treaty Topic: Extradition and Criminal Assistance Latest Senate Action: 09/23/2008 - 110th Congress (2007-2008) - Resolution of advice and consent to ratification agreed to in Senate by Division Vote. (All Actions) "/>
    <s v="57"/>
    <s v="Extradition Treaty with Romania and Protocol to the Treaty on Mutual Legal Assistance in Criminal Matters with Romania"/>
    <s v="110-11"/>
    <s v="01/22/2008 - 110th Congress (2007-2008)"/>
    <s v="110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58. Treaty with Sweden on Mutual Legal Assistance in Criminal Matters Senate Consideration of Treaty Document 107-12 Text of Treaty Document: TXT | PDF Date Received from President: 07/15/2002 - 107th Congress (2001-2002) Treaty Topic: Extradition and Criminal Assistance Latest Senate Action: 09/23/2008 - 110th Congress (2007-2008) - Resolution of advice and consent to ratification agreed to in Senate by Division Vote. (All Actions) "/>
    <s v="58"/>
    <s v="Treaty with Sweden on Mutual Legal Assistance in Criminal Matters"/>
    <s v="107-12"/>
    <s v="07/15/2002 - 107th Congress (2001-2002)"/>
    <s v="107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59. Extradition Treaty with Bulgaria and an Agreement on Certain Aspects of Mutual Legal Assistance in Criminal Matters with Bulgaria Senate Consideration of Treaty Document 110-12 Text of Treaty Document: TXT | PDF Date Received from President: 01/22/2008 - 110th Congress (2007-2008) Treaty Topic: Extradition and Criminal Assistance Latest Senate Action: 09/23/2008 - 110th Congress (2007-2008) - Resolution of advice and consent to ratification agreed to in Senate by Division Vote. (All Actions) "/>
    <s v="59"/>
    <s v="Extradition Treaty with Bulgaria and an Agreement on Certain Aspects of Mutual Legal Assistance in Criminal Matters with Bulgaria"/>
    <s v="110-12"/>
    <s v="01/22/2008 - 110th Congress (2007-2008)"/>
    <s v="110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60. Mutual Legal Assistance Agreement with the European Union Senate Consideration of Treaty Document 109-13 Text of Treaty Document: TXT | PDF Date Received from President: 09/28/2006 - 109th Congress (2005-2006) Treaty Topic: Mutual Legal Assistance Latest Senate Action: 09/23/2008 - 110th Congress (2007-2008) - Resolution of advice and consent to ratification agreed to in Senate by Division Vote. (All Actions) "/>
    <s v="60"/>
    <s v="Mutual Legal Assistance Agreement with the European Union"/>
    <s v="109-13"/>
    <s v="09/28/2006 - 109th Congress (2005-2006)"/>
    <s v="109th"/>
    <s v="Mutual Legal Assistance"/>
    <s v="09/23/2008 - 110th Congress (2007-2008) - Resolution of advice and consent to ratification agreed to in Senate by Division Vote. (All Actions) "/>
    <x v="4"/>
    <s v="Resolution of advice and consent to ratification agreed to in Senate by Division Vote. (All Actions) "/>
    <x v="0"/>
    <x v="0"/>
  </r>
  <r>
    <s v="61. Extradition Agreement with the European Union Senate Consideration of Treaty Document 109-14 Text of Treaty Document: TXT | PDF Date Received from President: 09/28/2006 - 109th Congress (2005-2006) Treaty Topic: Extradition Latest Senate Action: 09/23/2008 - 110th Congress (2007-2008) - Resolution of advice and consent to ratification agreed to in Senate by Division Vote. (All Actions) "/>
    <s v="61"/>
    <s v="Extradition Agreement with the European Union"/>
    <s v="109-14"/>
    <s v="09/28/2006 - 109th Congress (2005-2006)"/>
    <s v="109th"/>
    <s v="Extradition"/>
    <s v="09/23/2008 - 110th Congress (2007-2008) - Resolution of advice and consent to ratification agreed to in Senate by Division Vote. (All Actions) "/>
    <x v="4"/>
    <s v="Resolution of advice and consent to ratification agreed to in Senate by Division Vote. (All Actions) "/>
    <x v="0"/>
    <x v="0"/>
  </r>
  <r>
    <s v="62. Extradition Treaty with Latvia Senate Consideration of Treaty Document 109-15 Text of Treaty Document: TXT | PDF Date Received from President: 09/29/2006 - 109th Congress (2005-2006) Treaty Topic: Extradition and Criminal Assistance Latest Senate Action: 09/23/2008 - 110th Congress (2007-2008) - Resolution of advice and consent to ratification agreed to in Senate by Division Vote. (All Actions) "/>
    <s v="62"/>
    <s v="Extradition Treaty with Latvia"/>
    <s v="109-15"/>
    <s v="09/29/2006 - 109th Congress (2005-2006)"/>
    <s v="109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63. Protocol Amending 1980 Tax Convention with Canada Senate Consideration of Treaty Document 110-15 Text of Treaty Document: TXT | PDF Date Received from President: 03/13/2008 - 110th Congress (2007-2008) Treaty Topic: Taxation Latest Senate Action: 09/23/2008 - 110th Congress (2007-2008) - Resolution of advice and consent to ratification agreed to in Senate by Division Vote. (All Actions) "/>
    <s v="63"/>
    <s v="Protocol Amending 1980 Tax Convention with Canada"/>
    <s v="110-15"/>
    <s v="03/13/2008 - 110th Congress (2007-2008)"/>
    <s v="110th"/>
    <s v="Taxation"/>
    <s v="09/23/2008 - 110th Congress (2007-2008) - Resolution of advice and consent to ratification agreed to in Senate by Division Vote. (All Actions) "/>
    <x v="4"/>
    <s v="Resolution of advice and consent to ratification agreed to in Senate by Division Vote. (All Actions) "/>
    <x v="0"/>
    <x v="0"/>
  </r>
  <r>
    <s v="64. Extradition Treaty with Estonia Senate Consideration of Treaty Document 109-16 Text of Treaty Document: TXT | PDF Date Received from President: 09/29/2006 - 109th Congress (2005-2006) Treaty Topic: Extradition and Criminal Assistance Latest Senate Action: 09/23/2008 - 110th Congress (2007-2008) - Resolution of advice and consent to ratification agreed to in Senate by Division Vote. (All Actions) "/>
    <s v="64"/>
    <s v="Extradition Treaty with Estonia"/>
    <s v="109-16"/>
    <s v="09/29/2006 - 109th Congress (2005-2006)"/>
    <s v="109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65. Extradition Treaty with Malta Senate Consideration of Treaty Document 109-17 Text of Treaty Document: TXT | PDF Date Received from President: 09/29/2006 - 109th Congress (2005-2006) Treaty Topic: Extradition and Criminal Assistance Latest Senate Action: 09/23/2008 - 110th Congress (2007-2008) - Resolution of advice and consent to ratification agreed to in Senate by Division Vote. (All Actions) "/>
    <s v="65"/>
    <s v="Extradition Treaty with Malta"/>
    <s v="109-17"/>
    <s v="09/29/2006 - 109th Congress (2005-2006)"/>
    <s v="109th"/>
    <s v="Extradition and Criminal Assistance"/>
    <s v="09/23/2008 - 110th Congress (2007-2008) - Resolution of advice and consent to ratification agreed to in Senate by Division Vote. (All Actions) "/>
    <x v="4"/>
    <s v="Resolution of advice and consent to ratification agreed to in Senate by Division Vote. (All Actions) "/>
    <x v="0"/>
    <x v="0"/>
  </r>
  <r>
    <s v="66. Partial Revision (1992) of Radio Regulations (Geneva 1979) Senate Consideration of Treaty Document 107-17 Text of Treaty Document: TXT | PDF Date Received from President: 09/30/2002 - 107th Congress (2001-2002) Treaty Topic: Investment Latest Senate Action: 09/23/2008 - 110th Congress (2007-2008) - Resolution of advice and consent to ratification agreed to in Senate by Division Vote. (All Actions) "/>
    <s v="66"/>
    <s v="Partial Revision (1992) of Radio Regulations (Geneva 1979)"/>
    <s v="107-17"/>
    <s v="09/30/2002 - 107th Congress (2001-2002)"/>
    <s v="107th"/>
    <s v="Investment"/>
    <s v="09/23/2008 - 110th Congress (2007-2008) - Resolution of advice and consent to ratification agreed to in Senate by Division Vote. (All Actions) "/>
    <x v="4"/>
    <s v="Resolution of advice and consent to ratification agreed to in Senate by Division Vote. (All Actions) "/>
    <x v="0"/>
    <x v="0"/>
  </r>
  <r>
    <s v="67. Tax Convention with Iceland Senate Consideration of Treaty Document 110-17 Text of Treaty Document: TXT | PDF Date Received from President: 05/06/2008 - 110th Congress (2007-2008) Treaty Topic: Taxation Latest Senate Action: 09/23/2008 - 110th Congress (2007-2008) - Resolution of advice and consent to ratification agreed to in Senate by Division Vote. (All Actions) "/>
    <s v="67"/>
    <s v="Tax Convention with Iceland"/>
    <s v="110-17"/>
    <s v="05/06/2008 - 110th Congress (2007-2008)"/>
    <s v="110th"/>
    <s v="Taxation"/>
    <s v="09/23/2008 - 110th Congress (2007-2008) - Resolution of advice and consent to ratification agreed to in Senate by Division Vote. (All Actions) "/>
    <x v="4"/>
    <s v="Resolution of advice and consent to ratification agreed to in Senate by Division Vote. (All Actions) "/>
    <x v="0"/>
    <x v="0"/>
  </r>
  <r>
    <s v="68. Tax Convention with Bulgaria with Proposed Protocol of Amendment Senate Consideration of Treaty Document 110-18 Text of Treaty Document: TXT | PDF Date Received from President: 06/04/2008 - 110th Congress (2007-2008) Treaty Topic: Taxation Latest Senate Action: 09/23/2008 - 110th Congress (2007-2008) - Resolution of advice and consent to ratification agreed to in Senate by Division Vote. (All Actions) "/>
    <s v="68"/>
    <s v="Tax Convention with Bulgaria with Proposed Protocol of Amendment"/>
    <s v="110-18"/>
    <s v="06/04/2008 - 110th Congress (2007-2008)"/>
    <s v="110th"/>
    <s v="Taxation"/>
    <s v="09/23/2008 - 110th Congress (2007-2008) - Resolution of advice and consent to ratification agreed to in Senate by Division Vote. (All Actions) "/>
    <x v="4"/>
    <s v="Resolution of advice and consent to ratification agreed to in Senate by Division Vote. (All Actions) "/>
    <x v="0"/>
    <x v="0"/>
  </r>
  <r>
    <s v="69. Treaty with Malaysia on Mutual Legal Assistance Senate Consideration of Treaty Document 109-22 Text of Treaty Document: TXT | PDF Date Received from President: 11/14/2006 - 109th Congress (2005-2006) Latest Senate Action: 09/23/2008 - 110th Congress (2007-2008) - Resolution of advice and consent to ratification agreed to in Senate by Division Vote. (All Actions) "/>
    <s v="69"/>
    <s v="Treaty with Malaysia on Mutual Legal Assistance"/>
    <s v="109-22"/>
    <s v="11/14/2006 - 109th Congress (2005-2006)"/>
    <s v="109th"/>
    <m/>
    <s v="09/23/2008 - 110th Congress (2007-2008) - Resolution of advice and consent to ratification agreed to in Senate by Division Vote. (All Actions) "/>
    <x v="4"/>
    <s v="Resolution of advice and consent to ratification agreed to in Senate by Division Vote. (All Actions) "/>
    <x v="0"/>
    <x v="0"/>
  </r>
  <r>
    <s v="70. 1995 Revision of Radio Regulations Senate Consideration of Treaty Document 108-28 Text of Treaty Document: TXT | PDF Date Received from President: 12/07/2004 - 108th Congress (2003-2004) Treaty Topic: Telecommunications Latest Senate Action: 09/23/2008 - 110th Congress (2007-2008) - Resolution of advice and consent to ratification agreed to in Senate by Division Vote. (All Actions) "/>
    <s v="70"/>
    <s v="1995 Revision of Radio Regulations"/>
    <s v="108-28"/>
    <s v="12/07/2004 - 108th Congress (2003-2004)"/>
    <s v="108th"/>
    <s v="Telecommunications"/>
    <s v="09/23/2008 - 110th Congress (2007-2008) - Resolution of advice and consent to ratification agreed to in Senate by Division Vote. (All Actions) "/>
    <x v="4"/>
    <s v="Resolution of advice and consent to ratification agreed to in Senate by Division Vote. (All Actions) "/>
    <x v="0"/>
    <x v="0"/>
  </r>
  <r>
    <s v="71. Protocol of Amendments to Convention on International Hydrographic Organization Senate Consideration of Treaty Document 110-9 Text of Treaty Document: TXT | PDF Date Received from President: 10/23/2007 - 110th Congress (2007-2008) Treaty Topic: International Law and Organization Latest Senate Action: 07/21/2008 - 110th Congress (2007-2008) - Resolution of advice and consent to ratification agreed to in Senate by Division Vote. (All Actions) "/>
    <s v="71"/>
    <s v="Protocol of Amendments to Convention on International Hydrographic Organization"/>
    <s v="110-9"/>
    <s v="10/23/2007 - 110th Congress (2007-2008)"/>
    <s v="110th"/>
    <s v="International Law and Organization"/>
    <s v="07/21/2008 - 110th Congress (2007-2008) - Resolution of advice and consent to ratification agreed to in Senate by Division Vote. (All Actions) "/>
    <x v="4"/>
    <s v="Resolution of advice and consent to ratification agreed to in Senate by Division Vote. (All Actions) "/>
    <x v="0"/>
    <x v="0"/>
  </r>
  <r>
    <s v="72. International Convention Against Doping in Sport Senate Consideration of Treaty Document 110-14 Text of Treaty Document: TXT | PDF Date Received from President: 02/06/2008 - 110th Congress (2007-2008) Treaty Topic: Drugs/Illegal Substances Latest Senate Action: 07/21/2008 - 110th Congress (2007-2008) - Resolution of advice and consent to ratification agreed to in Senate by Division Vote. (All Actions) "/>
    <s v="72"/>
    <s v="International Convention Against Doping in Sport"/>
    <s v="110-14"/>
    <s v="02/06/2008 - 110th Congress (2007-2008)"/>
    <s v="110th"/>
    <s v="Drugs/Illegal Substances"/>
    <s v="07/21/2008 - 110th Congress (2007-2008) - Resolution of advice and consent to ratification agreed to in Senate by Division Vote. (All Actions) "/>
    <x v="4"/>
    <s v="Resolution of advice and consent to ratification agreed to in Senate by Division Vote. (All Actions) "/>
    <x v="0"/>
    <x v="0"/>
  </r>
  <r>
    <s v="73. The Hague Convention and the Hague Protocol Senate Consideration of Treaty Document 106-1 Text of Treaty Document: TXT | PDF Date Received from President: 01/06/1999 - 106th Congress (1999-2000) Treaty Topic: International Law Latest Senate Action: 04/15/2008 - 110th Congress (2007-2008) - Committee on Foreign Relations. Treaty divided into 2 treaties. 106-1A - the Hague Covention and 106-1B the Hague Protocol. (All Actions) "/>
    <s v="73"/>
    <s v="The Hague Convention and the Hague Protocol"/>
    <s v="106-1"/>
    <s v="01/06/1999 - 106th Congress (1999-2000)"/>
    <s v="106th"/>
    <s v="International Law"/>
    <s v="04/15/2008 - 110th Congress (2007-2008) - Committee on Foreign Relations. Treaty divided into 2 treaties. 106-1A - the Hague Covention and 106-1B the Hague Protocol. (All Actions) "/>
    <x v="4"/>
    <s v="Committee on Foreign Relations. Treaty divided into 2 treaties. 106-1A - the Hague Covention and 106-1B the Hague Protocol. (All Actions) "/>
    <x v="2"/>
    <x v="0"/>
  </r>
  <r>
    <s v="74. Tax Convention with Belgium Senate Consideration of Treaty Document 110-3 Text of Treaty Document: TXT | PDF Date Received from President: 06/21/2007 - 110th Congress (2007-2008) Treaty Topic: Taxation Latest Senate Action: 12/14/2007 - 110th Congress (2007-2008) - Resolution of advice and consent to ratification agreed to in Senate by Division Vote. (All Actions) "/>
    <s v="74"/>
    <s v="Tax Convention with Belgium"/>
    <s v="110-3"/>
    <s v="06/21/2007 - 110th Congress (2007-2008)"/>
    <s v="110th"/>
    <s v="Taxation"/>
    <s v="12/14/2007 - 110th Congress (2007-2008) - Resolution of advice and consent to ratification agreed to in Senate by Division Vote. (All Actions) "/>
    <x v="4"/>
    <s v="Resolution of advice and consent to ratification agreed to in Senate by Division Vote. (All Actions) "/>
    <x v="0"/>
    <x v="0"/>
  </r>
  <r>
    <s v="75. Protocol Amending Tax Convention with Germany Senate Consideration of Treaty Document 109-20 Text of Treaty Document: TXT | PDF Date Received from President: 09/29/2006 - 109th Congress (2005-2006) Treaty Topic: Taxation Latest Senate Action: 12/14/2007 - 110th Congress (2007-2008) - Resolution of advice and consent to ratification agreed to in Senate by Division Vote. (All Actions) "/>
    <s v="75"/>
    <s v="Protocol Amending Tax Convention with Germany"/>
    <s v="109-20"/>
    <s v="09/29/2006 - 109th Congress (2005-2006)"/>
    <s v="109th"/>
    <s v="Taxation"/>
    <s v="12/14/2007 - 110th Congress (2007-2008) - Resolution of advice and consent to ratification agreed to in Senate by Division Vote. (All Actions) "/>
    <x v="4"/>
    <s v="Resolution of advice and consent to ratification agreed to in Senate by Division Vote. (All Actions) "/>
    <x v="0"/>
    <x v="0"/>
  </r>
  <r>
    <s v="76. Singapore Treaty on the Law of Trademarks Senate Consideration of Treaty Document 110-2 Text of Treaty Document: TXT | PDF Date Received from President: 05/03/2007 - 110th Congress (2007-2008) Treaty Topic: Trademarks/Patents Latest Senate Action: 12/07/2007 - 110th Congress (2007-2008) - Resolution of advice and consent to ratification agreed to in Senate by Division Vote. (All Actions) "/>
    <s v="76"/>
    <s v="Singapore Treaty on the Law of Trademarks"/>
    <s v="110-2"/>
    <s v="05/03/2007 - 110th Congress (2007-2008)"/>
    <s v="110th"/>
    <s v="Trademarks/Patents"/>
    <s v="12/07/2007 - 110th Congress (2007-2008) - Resolution of advice and consent to ratification agreed to in Senate by Division Vote. (All Actions) "/>
    <x v="4"/>
    <s v="Resolution of advice and consent to ratification agreed to in Senate by Division Vote. (All Actions) "/>
    <x v="0"/>
    <x v="0"/>
  </r>
  <r>
    <s v="77. Patent Law Treaty and Regulations Under Patent Law Treaty Senate Consideration of Treaty Document 109-12 Text of Treaty Document: TXT | PDF Date Received from President: 09/05/2006 - 109th Congress (2005-2006) Treaty Topic: Intellectual Property/Copyrights Latest Senate Action: 12/07/2007 - 110th Congress (2007-2008) - Resolution of advice and consent to ratification agreed to in Senate by Division Vote. (All Actions) "/>
    <s v="77"/>
    <s v="Patent Law Treaty and Regulations Under Patent Law Treaty"/>
    <s v="109-12"/>
    <s v="09/05/2006 - 109th Congress (2005-2006)"/>
    <s v="109th"/>
    <s v="Intellectual Property/Copyrights"/>
    <s v="12/07/2007 - 110th Congress (2007-2008) - Resolution of advice and consent to ratification agreed to in Senate by Division Vote. (All Actions) "/>
    <x v="4"/>
    <s v="Resolution of advice and consent to ratification agreed to in Senate by Division Vote. (All Actions) "/>
    <x v="0"/>
    <x v="0"/>
  </r>
  <r>
    <s v="78. Geneva Act of the Hague Agreement Concerning the International Registration of Industrial Designs Senate Consideration of Treaty Document 109-21 Text of Treaty Document: TXT | PDF Date Received from President: 11/13/2006 - 109th Congress (2005-2006) Treaty Topic: International Law Latest Senate Action: 12/07/2007 - 110th Congress (2007-2008) - Resolution of advice and consent to ratification agreed to in Senate by Division Vote. (All Actions) "/>
    <s v="78"/>
    <s v="Geneva Act of the Hague Agreement Concerning the International Registration of Industrial Designs"/>
    <s v="109-21"/>
    <s v="11/13/2006 - 109th Congress (2005-2006)"/>
    <s v="109th"/>
    <s v="International Law"/>
    <s v="12/07/2007 - 110th Congress (2007-2008) - Resolution of advice and consent to ratification agreed to in Senate by Division Vote. (All Actions) "/>
    <x v="4"/>
    <s v="Resolution of advice and consent to ratification agreed to in Senate by Division Vote. (All Actions) "/>
    <x v="0"/>
    <x v="0"/>
  </r>
  <r>
    <s v="79. Protocol Amending Tax Convention with Finland Senate Consideration of Treaty Document 109-18 Text of Treaty Document: TXT | PDF Date Received from President: 09/29/2006 - 109th Congress (2005-2006) Treaty Topic: Taxation Latest Senate Action: 11/16/2007 - 110th Congress (2007-2008) - Resolution of advice and consent to ratification agreed to in Senate by Division Vote. (All Actions) "/>
    <s v="79"/>
    <s v="Protocol Amending Tax Convention with Finland"/>
    <s v="109-18"/>
    <s v="09/29/2006 - 109th Congress (2005-2006)"/>
    <s v="109th"/>
    <s v="Taxation"/>
    <s v="11/16/2007 - 110th Congress (2007-2008) - Resolution of advice and consent to ratification agreed to in Senate by Division Vote. (All Actions) "/>
    <x v="4"/>
    <s v="Resolution of advice and consent to ratification agreed to in Senate by Division Vote. (All Actions) "/>
    <x v="0"/>
    <x v="0"/>
  </r>
  <r>
    <s v="80. Protocol Amending Tax Convention with Denmark Senate Consideration of Treaty Document 109-19 Text of Treaty Document: TXT | PDF Date Received from President: 09/29/2006 - 109th Congress (2005-2006) Treaty Topic: Taxation Latest Senate Action: 11/16/2007 - 110th Congress (2007-2008) - Resolution of advice and consent to ratification agreed to in Senate by Division Vote. (All Actions) "/>
    <s v="80"/>
    <s v="Protocol Amending Tax Convention with Denmark"/>
    <s v="109-19"/>
    <s v="09/29/2006 - 109th Congress (2005-2006)"/>
    <s v="109th"/>
    <s v="Taxation"/>
    <s v="11/16/2007 - 110th Congress (2007-2008) - Resolution of advice and consent to ratification agreed to in Senate by Division Vote. (All Actions) "/>
    <x v="4"/>
    <s v="Resolution of advice and consent to ratification agreed to in Senate by Division Vote. (All Actions) "/>
    <x v="0"/>
    <x v="0"/>
  </r>
  <r>
    <s v="81. Protocol to Treaty of Friendship, Commerce, and Navigation with Denmark Senate Consideration of Treaty Document 108-8 Text of Treaty Document: TXT | PDF Date Received from President: 09/02/2003 - 108th Congress (2003-2004) Treaty Topic: Intellectual Property/Copyrights Latest Senate Action: 10/19/2007 - 110th Congress (2007-2008) - Resolution of advice and consent to ratification agreed to in Senate by Division Vote. (All Actions) "/>
    <s v="81"/>
    <s v="Protocol to Treaty of Friendship, Commerce, and Navigation with Denmark"/>
    <s v="108-8"/>
    <s v="09/02/2003 - 108th Congress (2003-2004)"/>
    <s v="108th"/>
    <s v="Intellectual Property/Copyrights"/>
    <s v="10/19/2007 - 110th Congress (2007-2008) - Resolution of advice and consent to ratification agreed to in Senate by Division Vote. (All Actions) "/>
    <x v="4"/>
    <s v="Resolution of advice and consent to ratification agreed to in Senate by Division Vote. (All Actions) "/>
    <x v="0"/>
    <x v="0"/>
  </r>
  <r>
    <s v="82. Protocol Additional to the Geneva Conventions of 12 August 1949, and relating to the Adoption of an Additional Distinctive Emblem Senate Consideration of Treaty Document 109-10(A) Text of Treaty Document: TXT | PDF Date Received from President: 06/20/2006 - 109th Congress (2005-2006) Latest Senate Action: 09/29/2006 - 109th Congress (2005-2006) - Resolution of advice and consent to ratification agreed to in Senate by Division Vote. (All Actions) "/>
    <s v="82"/>
    <s v="Protocol Additional to the Geneva Conventions of 12 August 1949, and relating to the Adoption of an Additional Distinctive Emblem"/>
    <s v="109-10(A)"/>
    <s v="06/20/2006 - 109th Congress (2005-2006)"/>
    <s v="109th"/>
    <m/>
    <s v="09/29/2006 - 109th Congress (2005-2006) - Resolution of advice and consent to ratification agreed to in Senate by Division Vote. (All Actions) "/>
    <x v="5"/>
    <s v="Resolution of advice and consent to ratification agreed to in Senate by Division Vote. (All Actions) "/>
    <x v="0"/>
    <x v="1"/>
  </r>
  <r>
    <s v="83. Extradition Treaty with United Kingdom Senate Consideration of Treaty Document 108-23 Text of Treaty Document: TXT | PDF Date Received from President: 04/19/2004 - 108th Congress (2003-2004) Treaty Topic: Extradition and Criminal Assistance Latest Senate Action: 09/29/2006 - 109th Congress (2005-2006) - Resolution of advice and consent to ratification agreed to in Senate by Division Vote. (All Actions) "/>
    <s v="83"/>
    <s v="Extradition Treaty with United Kingdom"/>
    <s v="108-23"/>
    <s v="04/19/2004 - 108th Congress (2003-2004)"/>
    <s v="108th"/>
    <s v="Extradition and Criminal Assistance"/>
    <s v="09/29/2006 - 109th Congress (2005-2006) - Resolution of advice and consent to ratification agreed to in Senate by Division Vote. (All Actions) "/>
    <x v="5"/>
    <s v="Resolution of advice and consent to ratification agreed to in Senate by Division Vote. (All Actions) "/>
    <x v="0"/>
    <x v="1"/>
  </r>
  <r>
    <s v="84. Protocol III to 1949 Geneva Conventions and an Amendment and Protocol to 1980 Conventional Weapons Convention Senate Consideration of Treaty Document 109-10 Text of Treaty Document: TXT | PDF Date Received from President: 06/20/2006 - 109th Congress (2005-2006) Treaty Topic: International Law Latest Senate Action: 09/26/2006 - 109th Congress (2005-2006) - By unanimous consent agreement, treaty divided into 3 separate treaties: A, B, and C. (All Actions) "/>
    <s v="84"/>
    <s v="Protocol III to 1949 Geneva Conventions and an Amendment and Protocol to 1980 Conventional Weapons Convention"/>
    <s v="109-10"/>
    <s v="06/20/2006 - 109th Congress (2005-2006)"/>
    <s v="109th"/>
    <s v="International Law"/>
    <s v="09/26/2006 - 109th Congress (2005-2006) - By unanimous consent agreement, treaty divided into 3 separate treaties: A, B, and C. (All Actions) "/>
    <x v="5"/>
    <s v="By unanimous consent agreement, treaty divided into 3 separate treaties: A, B, and C. (All Actions) "/>
    <x v="2"/>
    <x v="1"/>
  </r>
  <r>
    <s v="85. Protocol Amending 1962 Extradition Convention with Israel Senate Consideration of Treaty Document 109-3 Text of Treaty Document: TXT | PDF Date Received from President: 09/13/2005 - 109th Congress (2005-2006) Treaty Topic: Extradition and Criminal Assistance Latest Senate Action: 09/15/2006 - 109th Congress (2005-2006) - Resolution of advice and consent to ratification agreed to in Senate by Division Vote. (All Actions) "/>
    <s v="85"/>
    <s v="Protocol Amending 1962 Extradition Convention with Israel"/>
    <s v="109-3"/>
    <s v="09/13/2005 - 109th Congress (2005-2006)"/>
    <s v="109th"/>
    <s v="Extradition and Criminal Assistance"/>
    <s v="09/15/2006 - 109th Congress (2005-2006) - Resolution of advice and consent to ratification agreed to in Senate by Division Vote. (All Actions) "/>
    <x v="5"/>
    <s v="Resolution of advice and consent to ratification agreed to in Senate by Division Vote. (All Actions) "/>
    <x v="0"/>
    <x v="1"/>
  </r>
  <r>
    <s v="86. U. N. Convention Against Corruption Senate Consideration of Treaty Document 109-6 Text of Treaty Document: TXT | PDF Date Received from President: 10/27/2005 - 109th Congress (2005-2006) Treaty Topic: Extradition and Criminal Assistance Latest Senate Action: 09/15/2006 - 109th Congress (2005-2006) - Resolution of advice and consent to ratification agreed to in Senate by Division Vote. (All Actions) "/>
    <s v="86"/>
    <s v="U. N. Convention Against Corruption"/>
    <s v="109-6"/>
    <s v="10/27/2005 - 109th Congress (2005-2006)"/>
    <s v="109th"/>
    <s v="Extradition and Criminal Assistance"/>
    <s v="09/15/2006 - 109th Congress (2005-2006) - Resolution of advice and consent to ratification agreed to in Senate by Division Vote. (All Actions) "/>
    <x v="5"/>
    <s v="Resolution of advice and consent to ratification agreed to in Senate by Division Vote. (All Actions) "/>
    <x v="0"/>
    <x v="1"/>
  </r>
  <r>
    <s v="87. Investment Treaty with Uruguay Senate Consideration of Treaty Document 109-9 Text of Treaty Document: TXT | PDF Date Received from President: 04/04/2006 - 109th Congress (2005-2006) Treaty Topic: Investment Latest Senate Action: 09/12/2006 - 109th Congress (2005-2006) - Resolution of advice and consent to ratification agreed to in Senate by Division Vote. (All Actions) "/>
    <s v="87"/>
    <s v="Investment Treaty with Uruguay"/>
    <s v="109-9"/>
    <s v="04/04/2006 - 109th Congress (2005-2006)"/>
    <s v="109th"/>
    <s v="Investment"/>
    <s v="09/12/2006 - 109th Congress (2005-2006) - Resolution of advice and consent to ratification agreed to in Senate by Division Vote. (All Actions) "/>
    <x v="5"/>
    <s v="Resolution of advice and consent to ratification agreed to in Senate by Division Vote. (All Actions) "/>
    <x v="0"/>
    <x v="1"/>
  </r>
  <r>
    <s v="88. Council of Europe Convention on Cybercrime Senate Consideration of Treaty Document 108-11 Text of Treaty Document: TXT | PDF Date Received from President: 11/17/2003 - 108th Congress (2003-2004) Treaty Topic: International Law and Organization Latest Senate Action: 08/03/2006 - 109th Congress (2005-2006) - Resolution of advice and consent to ratification agreed to in Senate by Division Vote. (All Actions) "/>
    <s v="88"/>
    <s v="Council of Europe Convention on Cybercrime"/>
    <s v="108-11"/>
    <s v="11/17/2003 - 108th Congress (2003-2004)"/>
    <s v="108th"/>
    <s v="International Law and Organization"/>
    <s v="08/03/2006 - 109th Congress (2005-2006) - Resolution of advice and consent to ratification agreed to in Senate by Division Vote. (All Actions) "/>
    <x v="5"/>
    <s v="Resolution of advice and consent to ratification agreed to in Senate by Division Vote. (All Actions) "/>
    <x v="0"/>
    <x v="1"/>
  </r>
  <r>
    <s v="89. Convention on Supplementary Compensation on Nuclear Damage Senate Consideration of Treaty Document 107-21 Text of Treaty Document: TXT | PDF Date Received from President: 11/15/2002 - 107th Congress (2001-2002) Treaty Topic: International Law and Organization Latest Senate Action: 08/03/2006 - 109th Congress (2005-2006) - Resolution of advice and consent to ratification agreed to in Senate by Division Vote. (All Actions) "/>
    <s v="89"/>
    <s v="Convention on Supplementary Compensation on Nuclear Damage"/>
    <s v="107-21"/>
    <s v="11/15/2002 - 107th Congress (2001-2002)"/>
    <s v="107th"/>
    <s v="International Law and Organization"/>
    <s v="08/03/2006 - 109th Congress (2005-2006) - Resolution of advice and consent to ratification agreed to in Senate by Division Vote. (All Actions) "/>
    <x v="5"/>
    <s v="Resolution of advice and consent to ratification agreed to in Senate by Division Vote. (All Actions) "/>
    <x v="0"/>
    <x v="1"/>
  </r>
  <r>
    <s v="90. Mutual Legal Assistance Treaty with Germany Senate Consideration of Treaty Document 108-27 Text of Treaty Document: TXT | PDF Date Received from President: 11/16/2004 - 108th Congress (2003-2004) Treaty Topic: International Law and Organization Latest Senate Action: 07/27/2006 - 109th Congress (2005-2006) - Resolution of advice and consent to ratification agreed to in Senate by Division Vote. (All Actions) "/>
    <s v="90"/>
    <s v="Mutual Legal Assistance Treaty with Germany"/>
    <s v="108-27"/>
    <s v="11/16/2004 - 108th Congress (2003-2004)"/>
    <s v="108th"/>
    <s v="International Law and Organization"/>
    <s v="07/27/2006 - 109th Congress (2005-2006) - Resolution of advice and consent to ratification agreed to in Senate by Division Vote. (All Actions) "/>
    <x v="5"/>
    <s v="Resolution of advice and consent to ratification agreed to in Senate by Division Vote. (All Actions) "/>
    <x v="0"/>
    <x v="1"/>
  </r>
  <r>
    <s v="91. Protocol of 1997 Amending MARPOL Convention Senate Consideration of Treaty Document 108-7 Text of Treaty Document: TXT | PDF Date Received from President: 05/15/2003 - 108th Congress (2003-2004) Treaty Topic: Shipping and Marine Pollution Latest Senate Action: 04/07/2006 - 109th Congress (2005-2006) - Resolution of advice and consent to ratification agreed to in Senate by Division Vote. (All Actions) "/>
    <s v="91"/>
    <s v="Protocol of 1997 Amending MARPOL Convention"/>
    <s v="108-7"/>
    <s v="05/15/2003 - 108th Congress (2003-2004)"/>
    <s v="108th"/>
    <s v="Shipping and Marine Pollution"/>
    <s v="04/07/2006 - 109th Congress (2005-2006) - Resolution of advice and consent to ratification agreed to in Senate by Division Vote. (All Actions) "/>
    <x v="5"/>
    <s v="Resolution of advice and consent to ratification agreed to in Senate by Division Vote. (All Actions) "/>
    <x v="0"/>
    <x v="1"/>
  </r>
  <r>
    <s v="92. Mutual Legal Assistance Treaty with Japan Senate Consideration of Treaty Document 108-12 Text of Treaty Document: TXT | PDF Date Received from President: 11/24/2003 - 108th Congress (2003-2004) Treaty Topic: Extradition and Criminal Assistance Latest Senate Action: 04/07/2006 - 109th Congress (2005-2006) - Resolution of advice and consent to ratification agreed to in Senate by Division Vote. (All Actions) "/>
    <s v="92"/>
    <s v="Mutual Legal Assistance Treaty with Japan"/>
    <s v="108-12"/>
    <s v="11/24/2003 - 108th Congress (2003-2004)"/>
    <s v="108th"/>
    <s v="Extradition and Criminal Assistance"/>
    <s v="04/07/2006 - 109th Congress (2005-2006) - Resolution of advice and consent to ratification agreed to in Senate by Division Vote. (All Actions) "/>
    <x v="5"/>
    <s v="Resolution of advice and consent to ratification agreed to in Senate by Division Vote. (All Actions) "/>
    <x v="0"/>
    <x v="1"/>
  </r>
  <r>
    <s v="93. Protocol Amending the Tax Convention with France Senate Consideration of Treaty Document 109-4 Text of Treaty Document: TXT | PDF Date Received from President: 09/28/2005 - 109th Congress (2005-2006) Treaty Topic: Taxation Latest Senate Action: 03/31/2006 - 109th Congress (2005-2006) - Resolution of advice and consent to ratification agreed to in Senate by Division Vote. (All Actions) "/>
    <s v="93"/>
    <s v="Protocol Amending the Tax Convention with France"/>
    <s v="109-4"/>
    <s v="09/28/2005 - 109th Congress (2005-2006)"/>
    <s v="109th"/>
    <s v="Taxation"/>
    <s v="03/31/2006 - 109th Congress (2005-2006) - Resolution of advice and consent to ratification agreed to in Senate by Division Vote. (All Actions) "/>
    <x v="5"/>
    <s v="Resolution of advice and consent to ratification agreed to in Senate by Division Vote. (All Actions) "/>
    <x v="0"/>
    <x v="1"/>
  </r>
  <r>
    <s v="94. Tax Convention with Bangladesh Senate Consideration of Treaty Document 109-5 Text of Treaty Document: TXT | PDF Date Received from President: 10/27/2005 - 109th Congress (2005-2006) Treaty Topic: Taxation Latest Senate Action: 03/31/2006 - 109th Congress (2005-2006) - Resolution of advice and consent to ratification agreed to in Senate by Division Vote. (All Actions) "/>
    <s v="94"/>
    <s v="Tax Convention with Bangladesh"/>
    <s v="109-5"/>
    <s v="10/27/2005 - 109th Congress (2005-2006)"/>
    <s v="109th"/>
    <s v="Taxation"/>
    <s v="03/31/2006 - 109th Congress (2005-2006) - Resolution of advice and consent to ratification agreed to in Senate by Division Vote. (All Actions) "/>
    <x v="5"/>
    <s v="Resolution of advice and consent to ratification agreed to in Senate by Division Vote. (All Actions) "/>
    <x v="0"/>
    <x v="1"/>
  </r>
  <r>
    <s v="95. Protocol Amending Tax Convention on Inheritances with France Senate Consideration of Treaty Document 109-7 Text of Treaty Document: TXT | PDF Date Received from President: 11/04/2005 - 109th Congress (2005-2006) Treaty Topic: Taxation Latest Senate Action: 03/31/2006 - 109th Congress (2005-2006) - Resolution of advice and consent to ratification agreed to in Senate by Division Vote. (All Actions) "/>
    <s v="95"/>
    <s v="Protocol Amending Tax Convention on Inheritances with France"/>
    <s v="109-7"/>
    <s v="11/04/2005 - 109th Congress (2005-2006)"/>
    <s v="109th"/>
    <s v="Taxation"/>
    <s v="03/31/2006 - 109th Congress (2005-2006) - Resolution of advice and consent to ratification agreed to in Senate by Division Vote. (All Actions) "/>
    <x v="5"/>
    <s v="Resolution of advice and consent to ratification agreed to in Senate by Division Vote. (All Actions) "/>
    <x v="0"/>
    <x v="1"/>
  </r>
  <r>
    <s v="96. Protocol Amending the Convention with Sweden on Taxes on Income Senate Consideration of Treaty Document 109-8 Text of Treaty Document: TXT | PDF Date Received from President: 11/10/2005 - 109th Congress (2005-2006) Treaty Topic: Taxation Latest Senate Action: 03/31/2006 - 109th Congress (2005-2006) - Resolution of advice and consent to ratification agreed to in Senate by Division Vote. (All Actions) "/>
    <s v="96"/>
    <s v="Protocol Amending the Convention with Sweden on Taxes on Income"/>
    <s v="109-8"/>
    <s v="11/10/2005 - 109th Congress (2005-2006)"/>
    <s v="109th"/>
    <s v="Taxation"/>
    <s v="03/31/2006 - 109th Congress (2005-2006) - Resolution of advice and consent to ratification agreed to in Senate by Division Vote. (All Actions) "/>
    <x v="5"/>
    <s v="Resolution of advice and consent to ratification agreed to in Senate by Division Vote. (All Actions) "/>
    <x v="0"/>
    <x v="1"/>
  </r>
  <r>
    <s v="97. Convention Concerning Migratory Fish Stock in the Pacific Ocean Senate Consideration of Treaty Document 109-1 Text of Treaty Document: TXT | PDF Date Received from President: 05/16/2005 - 109th Congress (2005-2006) Treaty Topic: Fisheries and Wildlife Latest Senate Action: 11/18/2005 - 109th Congress (2005-2006) - Resolution of advice and consent to ratification agreed to in Senate by Division Vote. (All Actions) "/>
    <s v="97"/>
    <s v="Convention Concerning Migratory Fish Stock in the Pacific Ocean"/>
    <s v="109-1"/>
    <s v="05/16/2005 - 109th Congress (2005-2006)"/>
    <s v="109th"/>
    <s v="Fisheries and Wildlife"/>
    <s v="11/18/2005 - 109th Congress (2005-2006) - Resolution of advice and consent to ratification agreed to in Senate by Division Vote. (All Actions) "/>
    <x v="5"/>
    <s v="Resolution of advice and consent to ratification agreed to in Senate by Division Vote. (All Actions) "/>
    <x v="0"/>
    <x v="1"/>
  </r>
  <r>
    <s v="98. Convention Strengthening Inter-American Tuna Commission Senate Consideration of Treaty Document 109-2 Text of Treaty Document: TXT | PDF Date Received from President: 05/16/2005 - 109th Congress (2005-2006) Treaty Topic: Fisheries and Wildlife Latest Senate Action: 11/18/2005 - 109th Congress (2005-2006) - Resolution of advice and consent to ratification agreed to in Senate by Division Vote. (All Actions) "/>
    <s v="98"/>
    <s v="Convention Strengthening Inter-American Tuna Commission"/>
    <s v="109-2"/>
    <s v="05/16/2005 - 109th Congress (2005-2006)"/>
    <s v="109th"/>
    <s v="Fisheries and Wildlife"/>
    <s v="11/18/2005 - 109th Congress (2005-2006) - Resolution of advice and consent to ratification agreed to in Senate by Division Vote. (All Actions) "/>
    <x v="5"/>
    <s v="Resolution of advice and consent to ratification agreed to in Senate by Division Vote. (All Actions) "/>
    <x v="0"/>
    <x v="1"/>
  </r>
  <r>
    <s v="99. Agreement with Canada on Pacific Hake/Whiting Senate Consideration of Treaty Document 108-24 Text of Treaty Document: TXT | PDF Date Received from President: 06/16/2004 - 108th Congress (2003-2004) Treaty Topic: Fisheries and Wildlife Latest Senate Action: 11/18/2005 - 109th Congress (2005-2006) - Resolution of advice and consent to ratification agreed to in Senate by Division Vote. (All Actions) "/>
    <s v="99"/>
    <s v="Agreement with Canada on Pacific Hake/Whiting"/>
    <s v="108-24"/>
    <s v="06/16/2004 - 108th Congress (2003-2004)"/>
    <s v="108th"/>
    <s v="Fisheries and Wildlife"/>
    <s v="11/18/2005 - 109th Congress (2005-2006) - Resolution of advice and consent to ratification agreed to in Senate by Division Vote. (All Actions) "/>
    <x v="5"/>
    <s v="Resolution of advice and consent to ratification agreed to in Senate by Division Vote. (All Actions) "/>
    <x v="0"/>
    <x v="1"/>
  </r>
  <r>
    <s v="100. U.N. Convention Against Transnational Organized Crime Senate Consideration of Treaty Document 108-16 Text of Treaty Document: TXT | PDF Date Received from President: 02/23/2004 - 108th Congress (2003-2004) Treaty Topic: Human Rights Latest Senate Action: 10/07/2005 - 109th Congress (2005-2006) - Resolution of advice and consent to ratification agreed to in Senate by Division Vote. (All Actions) "/>
    <s v="100"/>
    <s v="U.N. Convention Against Transnational Organized Crime"/>
    <s v="108-16"/>
    <s v="02/23/2004 - 108th Congress (2003-2004)"/>
    <s v="108th"/>
    <s v="Human Rights"/>
    <s v="10/07/2005 - 109th Congress (2005-2006) - Resolution of advice and consent to ratification agreed to in Senate by Division Vote. (All Actions) "/>
    <x v="5"/>
    <s v="Resolution of advice and consent to ratification agreed to in Senate by Division Vote. (All Actions) "/>
    <x v="0"/>
    <x v="1"/>
  </r>
  <r>
    <s v="101. Inter-American Convention Against Terrorism Senate Consideration of Treaty Document 107-18 Text of Treaty Document: TXT | PDF Date Received from President: 11/12/2002 - 107th Congress (2001-2002) Treaty Topic: Terrorism Latest Senate Action: 10/07/2005 - 109th Congress (2005-2006) - Resolution of advice and consent to ratification agreed to in Senate by Division Vote. (All Actions) "/>
    <s v="101"/>
    <s v="Inter-American Convention Against Terrorism"/>
    <s v="107-18"/>
    <s v="11/12/2002 - 107th Congress (2001-2002)"/>
    <s v="107th"/>
    <s v="Terrorism"/>
    <s v="10/07/2005 - 109th Congress (2005-2006) - Resolution of advice and consent to ratification agreed to in Senate by Division Vote. (All Actions) "/>
    <x v="5"/>
    <s v="Resolution of advice and consent to ratification agreed to in Senate by Division Vote. (All Actions) "/>
    <x v="0"/>
    <x v="1"/>
  </r>
  <r>
    <s v="102. Protocol of Amendment to International Convention on Simplification and Harmonization of Customs Procedures Senate Consideration of Treaty Document 108-6 Text of Treaty Document: TXT | PDF Date Received from President: 04/30/2003 - 108th Congress (2003-2004) Treaty Topic: International Law and Organization Latest Senate Action: 09/26/2005 - 109th Congress (2005-2006) - Resolution of advice and consent to ratification agreed to in Senate by Yea-Nay Vote. 87 - 0. Record Vote Number: 244. (All Actions) "/>
    <s v="102"/>
    <s v="Protocol of Amendment to International Convention on Simplification and Harmonization of Customs Procedures"/>
    <s v="108-6"/>
    <s v="04/30/2003 - 108th Congress (2003-2004)"/>
    <s v="108th"/>
    <s v="International Law and Organization"/>
    <s v="09/26/2005 - 109th Congress (2005-2006) - Resolution of advice and consent to ratification agreed to in Senate by Yea-Nay Vote. 87 - 0. Record Vote Number: 244. (All Actions) "/>
    <x v="5"/>
    <s v="Resolution of advice and consent to ratification agreed to in Senate by Yea-Nay Vote. 87 - 0. Record Vote Number: 244. (All Actions) "/>
    <x v="0"/>
    <x v="1"/>
  </r>
  <r>
    <s v="103. Protocol Amending Tax Convention with the Netherlands Senate Consideration of Treaty Document 108-25 Text of Treaty Document: TXT | PDF Date Received from President: 07/16/2004 - 108th Congress (2003-2004) Treaty Topic: Taxation Latest Senate Action: 11/17/2004 - 108th Congress (2003-2004) - Resolution of advice and consent to ratification agreed to in Senate by Division Vote. (All Actions) "/>
    <s v="103"/>
    <s v="Protocol Amending Tax Convention with the Netherlands"/>
    <s v="108-25"/>
    <s v="07/16/2004 - 108th Congress (2003-2004)"/>
    <s v="108th"/>
    <s v="Taxation"/>
    <s v="11/17/2004 - 108th Congress (2003-2004) - Resolution of advice and consent to ratification agreed to in Senate by Division Vote. (All Actions) "/>
    <x v="6"/>
    <s v="Resolution of advice and consent to ratification agreed to in Senate by Division Vote. (All Actions) "/>
    <x v="0"/>
    <x v="1"/>
  </r>
  <r>
    <s v="104. 2nd Protocol Amending Tax Convention with Barbados Senate Consideration of Treaty Document 108-26 Text of Treaty Document: TXT | PDF Date Received from President: 09/13/2004 - 108th Congress (2003-2004) Treaty Topic: Taxation Latest Senate Action: 10/10/2004 - 108th Congress (2003-2004) - Resolution of advice and consent to ratification agreed to in Senate by Division Vote. (All Actions) "/>
    <s v="104"/>
    <s v="2nd Protocol Amending Tax Convention with Barbados"/>
    <s v="108-26"/>
    <s v="09/13/2004 - 108th Congress (2003-2004)"/>
    <s v="108th"/>
    <s v="Taxation"/>
    <s v="10/10/2004 - 108th Congress (2003-2004) - Resolution of advice and consent to ratification agreed to in Senate by Division Vote. (All Actions) "/>
    <x v="6"/>
    <s v="Resolution of advice and consent to ratification agreed to in Senate by Division Vote. (All Actions) "/>
    <x v="0"/>
    <x v="1"/>
  </r>
  <r>
    <s v="105. Convention on International Interests in Mobile Equipment and Protocol to Convention on International Interests in Mobile Equipment Senate Consideration of Treaty Document 108-10 Text of Treaty Document: TXT | PDF Date Received from President: 11/05/2003 - 108th Congress (2003-2004) Treaty Topic: Aviation Latest Senate Action: 07/21/2004 - 108th Congress (2003-2004) - Resolution of advice and consent to ratification agreed to in Senate by Division Vote. (All Actions) "/>
    <s v="105"/>
    <s v="Convention on International Interests in Mobile Equipment and Protocol to Convention on International Interests in Mobile Equipment"/>
    <s v="108-10"/>
    <s v="11/05/2003 - 108th Congress (2003-2004)"/>
    <s v="108th"/>
    <s v="Aviation"/>
    <s v="07/21/2004 - 108th Congress (2003-2004) - Resolution of advice and consent to ratification agreed to in Senate by Division Vote. (All Actions) "/>
    <x v="6"/>
    <s v="Resolution of advice and consent to ratification agreed to in Senate by Division Vote. (All Actions) "/>
    <x v="0"/>
    <x v="1"/>
  </r>
  <r>
    <s v="106. Additional Protocol to Investment Treaty with Romania Senate Consideration of Treaty Document 108-13 Text of Treaty Document: TXT | PDF Date Received from President: 12/09/2003 - 108th Congress (2003-2004) Treaty Topic: Intellectual Property/Copyrights Latest Senate Action: 05/06/2004 - 108th Congress (2003-2004) - Resolution of advice and consent to ratification agreed to in Senate by Division Vote. (All Actions) "/>
    <s v="106"/>
    <s v="Additional Protocol to Investment Treaty with Romania"/>
    <s v="108-13"/>
    <s v="12/09/2003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07. Additional Protocol Amending Investment Treaty with Bulgaria Senate Consideration of Treaty Document 108-15 Text of Treaty Document: TXT | PDF Date Received from President: 01/21/2004 - 108th Congress (2003-2004) Treaty Topic: Intellectual Property/Copyrights Latest Senate Action: 05/06/2004 - 108th Congress (2003-2004) - Resolution of advice and consent to ratification agreed to in Senate by Division Vote. (All Actions) "/>
    <s v="107"/>
    <s v="Additional Protocol Amending Investment Treaty with Bulgaria"/>
    <s v="108-15"/>
    <s v="01/21/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08. Investment Protocol with Estonia Senate Consideration of Treaty Document 108-17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08"/>
    <s v="Investment Protocol with Estonia"/>
    <s v="108-17"/>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09. Additional Investment Protocol with the Czech Republic Senate Consideration of Treaty Document 108-18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09"/>
    <s v="Additional Investment Protocol with the Czech Republic"/>
    <s v="108-18"/>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10. Additional Investment Protocol with the Slovak Republic Senate Consideration of Treaty Document 108-19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10"/>
    <s v="Additional Investment Protocol with the Slovak Republic"/>
    <s v="108-19"/>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11. Additional Investment Protocol with the Latvia Senate Consideration of Treaty Document 108-20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11"/>
    <s v="Additional Investment Protocol with the Latvia"/>
    <s v="108-20"/>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12. Additional Investment Protocol with Lithuania Senate Consideration of Treaty Document 108-21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12"/>
    <s v="Additional Investment Protocol with Lithuania"/>
    <s v="108-21"/>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13. Additional Protocol Concerning Business and Economic Relations with Poland Senate Consideration of Treaty Document 108-22 Text of Treaty Document: TXT | PDF Date Received from President: 03/12/2004 - 108th Congress (2003-2004) Treaty Topic: Intellectual Property/Copyrights Latest Senate Action: 05/06/2004 - 108th Congress (2003-2004) - Resolution of advice and consent to ratification agreed to in Senate by Division Vote. (All Actions) "/>
    <s v="113"/>
    <s v="Additional Protocol Concerning Business and Economic Relations with Poland"/>
    <s v="108-22"/>
    <s v="03/12/2004 - 108th Congress (2003-2004)"/>
    <s v="108th"/>
    <s v="Intellectual Property/Copyrights"/>
    <s v="05/06/2004 - 108th Congress (2003-2004) - Resolution of advice and consent to ratification agreed to in Senate by Division Vote. (All Actions) "/>
    <x v="6"/>
    <s v="Resolution of advice and consent to ratification agreed to in Senate by Division Vote. (All Actions) "/>
    <x v="0"/>
    <x v="1"/>
  </r>
  <r>
    <s v="114. The Protocol to the Agreement of the International Atomic Energy Agency Regarding Safeguards in the United States Senate Consideration of Treaty Document 107-7 Text of Treaty Document: TXT | PDF Date Received from President: 05/09/2002 - 107th Congress (2001-2002) Treaty Topic: Arms Control Latest Senate Action: 03/31/2004 - 108th Congress (2003-2004) - Resolution of advice and consent to ratification agreed to in Senate by Division Vote. (All Actions) "/>
    <s v="114"/>
    <s v="The Protocol to the Agreement of the International Atomic Energy Agency Regarding Safeguards in the United States"/>
    <s v="107-7"/>
    <s v="05/09/2002 - 107th Congress (2001-2002)"/>
    <s v="107th"/>
    <s v="Arms Control"/>
    <s v="03/31/2004 - 108th Congress (2003-2004) - Resolution of advice and consent to ratification agreed to in Senate by Division Vote. (All Actions) "/>
    <x v="6"/>
    <s v="Resolution of advice and consent to ratification agreed to in Senate by Division Vote. (All Actions) "/>
    <x v="0"/>
    <x v="1"/>
  </r>
  <r>
    <s v="115. Protocol Amending Tax Convention with Sri Lanka Senate Consideration of Treaty Document 108-9 Text of Treaty Document: TXT | PDF Date Received from President: 10/28/2003 - 108th Congress (2003-2004) Treaty Topic: Taxation Latest Senate Action: 03/25/2004 - 108th Congress (2003-2004) - Resolution of advice and consent to ratification agreed to in Senate by Division Vote. (All Actions) "/>
    <s v="115"/>
    <s v="Protocol Amending Tax Convention with Sri Lanka"/>
    <s v="108-9"/>
    <s v="10/28/2003 - 108th Congress (2003-2004)"/>
    <s v="108th"/>
    <s v="Taxation"/>
    <s v="03/25/2004 - 108th Congress (2003-2004) - Resolution of advice and consent to ratification agreed to in Senate by Division Vote. (All Actions) "/>
    <x v="6"/>
    <s v="Resolution of advice and consent to ratification agreed to in Senate by Division Vote. (All Actions) "/>
    <x v="0"/>
    <x v="1"/>
  </r>
  <r>
    <s v="116. INCOME TAX CONVENTION WITH SRI LANKA Senate Consideration of Treaty Document 99-10 Date Received from President: 10/02/1985 - 99th Congress (1985-1986) Treaty Topic: Taxation Latest Senate Action: 03/25/2004 - 108th Congress (2003-2004) - Resolution of advice and consent to ratification agreed to in Senate by Division Vote. (All Actions) "/>
    <s v="116"/>
    <s v="INCOME TAX CONVENTION WITH SRI LANKA"/>
    <s v="99-10"/>
    <s v="10/02/1985 - 99th Congress (1985-1986)"/>
    <s v="99th"/>
    <s v="Taxation"/>
    <s v="03/25/2004 - 108th Congress (2003-2004) - Resolution of advice and consent to ratification agreed to in Senate by Division Vote. (All Actions) "/>
    <x v="6"/>
    <s v="Resolution of advice and consent to ratification agreed to in Senate by Division Vote. (All Actions) "/>
    <x v="0"/>
    <x v="1"/>
  </r>
  <r>
    <s v="117. Taxation Convention with Japan Senate Consideration of Treaty Document 108-14 Text of Treaty Document: TXT | PDF Date Received from President: 12/09/2003 - 108th Congress (2003-2004) Treaty Topic: Taxation Latest Senate Action: 03/09/2004 - 108th Congress (2003-2004) - Resolution of advice and consent to ratification agreed to in Senate by Division Vote. (All Actions) "/>
    <s v="117"/>
    <s v="Taxation Convention with Japan"/>
    <s v="108-14"/>
    <s v="12/09/2003 - 108th Congress (2003-2004)"/>
    <s v="108th"/>
    <s v="Taxation"/>
    <s v="03/09/2004 - 108th Congress (2003-2004) - Resolution of advice and consent to ratification agreed to in Senate by Division Vote. (All Actions) "/>
    <x v="6"/>
    <s v="Resolution of advice and consent to ratification agreed to in Senate by Division Vote. (All Actions) "/>
    <x v="0"/>
    <x v="1"/>
  </r>
  <r>
    <s v="118. Agreement Amending Treaty with Canada Concerning Pacific Coast Albacore Tuna Vessels and Port Privileges Senate Consideration of Treaty Document 108-1 Text of Treaty Document: TXT | PDF Date Received from President: 01/09/2003 - 108th Congress (2003-2004) Treaty Topic: Fisheries and Wildlife Latest Senate Action: 07/31/2003 - 108th Congress (2003-2004) - Resolution of advice and consent to ratification agreed to in Senate by Division Vote. (All Actions) "/>
    <s v="118"/>
    <s v="Agreement Amending Treaty with Canada Concerning Pacific Coast Albacore Tuna Vessels and Port Privileges"/>
    <s v="108-1"/>
    <s v="01/09/2003 - 108th Congress (2003-2004)"/>
    <s v="108th"/>
    <s v="Fisheries and Wildlife"/>
    <s v="07/31/2003 - 108th Congress (2003-2004) - Resolution of advice and consent to ratification agreed to in Senate by Division Vote. (All Actions) "/>
    <x v="6"/>
    <s v="Resolution of advice and consent to ratification agreed to in Senate by Division Vote. (All Actions) "/>
    <x v="0"/>
    <x v="1"/>
  </r>
  <r>
    <s v="119. Amendments to the 1987 Treaty on Fisheries with Pacific Island States Senate Consideration of Treaty Document 108-2 Text of Treaty Document: TXT | PDF Date Received from President: 02/11/2003 - 108th Congress (2003-2004) Treaty Topic: Fisheries and Wildlife Latest Senate Action: 07/31/2003 - 108th Congress (2003-2004) - Resolution of advice and consent to ratification agreed to in Senate by Division Vote. (All Actions) "/>
    <s v="119"/>
    <s v="Amendments to the 1987 Treaty on Fisheries with Pacific Island States"/>
    <s v="108-2"/>
    <s v="02/11/2003 - 108th Congress (2003-2004)"/>
    <s v="108th"/>
    <s v="Fisheries and Wildlife"/>
    <s v="07/31/2003 - 108th Congress (2003-2004) - Resolution of advice and consent to ratification agreed to in Senate by Division Vote. (All Actions) "/>
    <x v="6"/>
    <s v="Resolution of advice and consent to ratification agreed to in Senate by Division Vote. (All Actions) "/>
    <x v="0"/>
    <x v="1"/>
  </r>
  <r>
    <s v="120. Agreement with Russian Federation concerning Polar Bear Population Senate Consideration of Treaty Document 107-10 Text of Treaty Document: TXT | PDF Date Received from President: 07/11/2002 - 107th Congress (2001-2002) Treaty Topic: Fisheries and Wildlife Latest Senate Action: 07/31/2003 - 108th Congress (2003-2004) - Resolution of advice and consent to ratification agreed to in Senate by Division Vote. (All Actions) "/>
    <s v="120"/>
    <s v="Agreement with Russian Federation concerning Polar Bear Population"/>
    <s v="107-10"/>
    <s v="07/11/2002 - 107th Congress (2001-2002)"/>
    <s v="107th"/>
    <s v="Fisheries and Wildlife"/>
    <s v="07/31/2003 - 108th Congress (2003-2004) - Resolution of advice and consent to ratification agreed to in Senate by Division Vote. (All Actions) "/>
    <x v="6"/>
    <s v="Resolution of advice and consent to ratification agreed to in Senate by Division Vote. (All Actions) "/>
    <x v="0"/>
    <x v="1"/>
  </r>
  <r>
    <s v="121. Protocol to Amend the Convention for Unification of Certain Rules Relating to International Carriage by Air Senate Consideration of Treaty Document 107-14 Text of Treaty Document: TXT | PDF Date Received from President: 07/31/2002 - 107th Congress (2001-2002) Treaty Topic: Aviation Latest Senate Action: 07/31/2003 - 108th Congress (2003-2004) - Resolution of advice and consent to ratification agreed to in Senate by Division Vote. (All Actions) "/>
    <s v="121"/>
    <s v="Protocol to Amend the Convention for Unification of Certain Rules Relating to International Carriage by Air"/>
    <s v="107-14"/>
    <s v="07/31/2002 - 107th Congress (2001-2002)"/>
    <s v="107th"/>
    <s v="Aviation"/>
    <s v="07/31/2003 - 108th Congress (2003-2004) - Resolution of advice and consent to ratification agreed to in Senate by Division Vote. (All Actions) "/>
    <x v="6"/>
    <s v="Resolution of advice and consent to ratification agreed to in Senate by Division Vote. (All Actions) "/>
    <x v="0"/>
    <x v="1"/>
  </r>
  <r>
    <s v="122. CONVENTION FOR INTERNATIONAL CARRIAGE BY AIR Senate Consideration of Treaty Document 106-45 Text of Treaty Document: TXT | PDF Date Received from President: 09/06/2000 - 106th Congress (1999-2000) Treaty Topic: Aviation Latest Senate Action: 07/31/2003 - 108th Congress (2003-2004) - Resolution of advice and consent to ratification agreed to in Senate by Division Vote. (All Actions) "/>
    <s v="122"/>
    <s v="CONVENTION FOR INTERNATIONAL CARRIAGE BY AIR"/>
    <s v="106-45"/>
    <s v="09/06/2000 - 106th Congress (1999-2000)"/>
    <s v="106th"/>
    <s v="Aviation"/>
    <s v="07/31/2003 - 108th Congress (2003-2004) - Resolution of advice and consent to ratification agreed to in Senate by Division Vote. (All Actions) "/>
    <x v="6"/>
    <s v="Resolution of advice and consent to ratification agreed to in Senate by Division Vote. (All Actions) "/>
    <x v="0"/>
    <x v="1"/>
  </r>
  <r>
    <s v="123. Stockholm Convention on Organic Pollutants Senate Consideration of Treaty Document 107-5 Text of Treaty Document: TXT | PDF Date Received from President: 05/06/2002 - 107th Congress (2001-2002) Treaty Topic: Environment Latest Senate Action: 06/17/2003 - 108th Congress (2003-2004) - Committee on Foreign Relations. Hearings held. Hearings printed: S.Hrg. in Ex. Rept. 108-8. (All Actions) "/>
    <s v="123"/>
    <s v="Stockholm Convention on Organic Pollutants"/>
    <s v="107-5"/>
    <s v="05/06/2002 - 107th Congress (2001-2002)"/>
    <s v="107th"/>
    <s v="Environment"/>
    <s v="06/17/2003 - 108th Congress (2003-2004) - Committee on Foreign Relations. Hearings held. Hearings printed: S.Hrg. in Ex. Rept. 108-8. (All Actions) "/>
    <x v="6"/>
    <s v="Committee on Foreign Relations. Hearings held. Hearings printed: S.Hrg. in Ex. Rept. 108-8. (All Actions) "/>
    <x v="1"/>
    <x v="1"/>
  </r>
  <r>
    <s v="124. Rotterdam Convention concerning Hazardous Chemicals and Pesticides in International Trade Senate Consideration of Treaty Document 106-21 Text of Treaty Document: TXT | PDF Date Received from President: 02/09/2000 - 106th Congress (1999-2000) Treaty Topic: International Law Latest Senate Action: 06/17/2003 - 108th Congress (2003-2004) - Committee on Foreign Relations. Hearings held. Hearings printed: S.Hrg. in Ex. Rept. 108-8. (All Actions) "/>
    <s v="124"/>
    <s v="Rotterdam Convention concerning Hazardous Chemicals and Pesticides in International Trade"/>
    <s v="106-21"/>
    <s v="02/09/2000 - 106th Congress (1999-2000)"/>
    <s v="106th"/>
    <s v="International Law"/>
    <s v="06/17/2003 - 108th Congress (2003-2004) - Committee on Foreign Relations. Hearings held. Hearings printed: S.Hrg. in Ex. Rept. 108-8. (All Actions) "/>
    <x v="6"/>
    <s v="Committee on Foreign Relations. Hearings held. Hearings printed: S.Hrg. in Ex. Rept. 108-8. (All Actions) "/>
    <x v="1"/>
    <x v="1"/>
  </r>
  <r>
    <s v="125. Protocols to North Atlantic Treaty of 1949 on Accession of Bulgaria, Estonia, Latvia, Lithuania, Romania, Slovakia, and Slovenia Senate Consideration of Treaty Document 108-4 Text of Treaty Document: TXT | PDF Date Received from President: 04/10/2003 - 108th Congress (2003-2004) Treaty Topic: International Law and Organization Latest Senate Action: 05/08/2003 - 108th Congress (2003-2004) - Resolution of advice and consent to ratification agreed to in Senate by Yea-Nay Vote. 96 - 0. Record Vote Number: 142. (All Actions) "/>
    <s v="125"/>
    <s v="Protocols to North Atlantic Treaty of 1949 on Accession of Bulgaria, Estonia, Latvia, Lithuania, Romania, Slovakia, and Slovenia"/>
    <s v="108-4"/>
    <s v="04/10/2003 - 108th Congress (2003-2004)"/>
    <s v="108th"/>
    <s v="International Law and Organization"/>
    <s v="05/08/2003 - 108th Congress (2003-2004) - Resolution of advice and consent to ratification agreed to in Senate by Yea-Nay Vote. 96 - 0. Record Vote Number: 142. (All Actions) "/>
    <x v="6"/>
    <s v="Resolution of advice and consent to ratification agreed to in Senate by Yea-Nay Vote. 96 - 0. Record Vote Number: 142. (All Actions) "/>
    <x v="0"/>
    <x v="1"/>
  </r>
  <r>
    <s v="126. Joint Convention on Safety of Spent Fuel and Radioactive Waste Management Senate Consideration of Treaty Document 106-48 Text of Treaty Document: TXT | PDF Date Received from President: 09/13/2000 - 106th Congress (1999-2000) Treaty Topic: International Law Latest Senate Action: 04/02/2003 - 108th Congress (2003-2004) - Resolution of advice and consent to ratification agreed to in Senate by Division Vote. (All Actions) "/>
    <s v="126"/>
    <s v="Joint Convention on Safety of Spent Fuel and Radioactive Waste Management"/>
    <s v="106-48"/>
    <s v="09/13/2000 - 106th Congress (1999-2000)"/>
    <s v="106th"/>
    <s v="International Law"/>
    <s v="04/02/2003 - 108th Congress (2003-2004) - Resolution of advice and consent to ratification agreed to in Senate by Division Vote. (All Actions) "/>
    <x v="6"/>
    <s v="Resolution of advice and consent to ratification agreed to in Senate by Division Vote. (All Actions) "/>
    <x v="0"/>
    <x v="1"/>
  </r>
  <r>
    <s v="127. Second Additional Protocol Modifying Convention with Mexico Regarding Double Taxation and Prevention of Fiscal Evasion Senate Consideration of Treaty Document 108-3 Text of Treaty Document: TXT | PDF Date Received from President: 02/25/2003 - 108th Congress (2003-2004) Treaty Topic: Taxation Latest Senate Action: 03/13/2003 - 108th Congress (2003-2004) - Resolution of advice and consent to ratification agreed to in Senate by Division Vote. (All Actions) "/>
    <s v="127"/>
    <s v="Second Additional Protocol Modifying Convention with Mexico Regarding Double Taxation and Prevention of Fiscal Evasion"/>
    <s v="108-3"/>
    <s v="02/25/2003 - 108th Congress (2003-2004)"/>
    <s v="108th"/>
    <s v="Taxation"/>
    <s v="03/13/2003 - 108th Congress (2003-2004) - Resolution of advice and consent to ratification agreed to in Senate by Division Vote. (All Actions) "/>
    <x v="6"/>
    <s v="Resolution of advice and consent to ratification agreed to in Senate by Division Vote. (All Actions) "/>
    <x v="0"/>
    <x v="1"/>
  </r>
  <r>
    <s v="128. Convention with Great Britain and Northern Ireland regarding Double Taxation and Prevention of Fiscal Evasion Senate Consideration of Treaty Document 107-19 Text of Treaty Document: TXT | PDF Date Received from President: 11/14/2002 - 107th Congress (2001-2002) Treaty Topic: Taxation Latest Senate Action: 03/13/2003 - 108th Congress (2003-2004) - Resolution of advice and consent to ratification agreed to in Senate by Division Vote. (All Actions) "/>
    <s v="128"/>
    <s v="Convention with Great Britain and Northern Ireland regarding Double Taxation and Prevention of Fiscal Evasion"/>
    <s v="107-19"/>
    <s v="11/14/2002 - 107th Congress (2001-2002)"/>
    <s v="107th"/>
    <s v="Taxation"/>
    <s v="03/13/2003 - 108th Congress (2003-2004) - Resolution of advice and consent to ratification agreed to in Senate by Division Vote. (All Actions) "/>
    <x v="6"/>
    <s v="Resolution of advice and consent to ratification agreed to in Senate by Division Vote. (All Actions) "/>
    <x v="0"/>
    <x v="1"/>
  </r>
  <r>
    <s v="129. Protocol Amending Convention with Australia Regarding Double Taxation and Prevention of Fiscal Evasion Senate Consideration of Treaty Document 107-20 Text of Treaty Document: TXT | PDF Date Received from President: 11/14/2002 - 107th Congress (2001-2002) Treaty Topic: Taxation Latest Senate Action: 03/13/2003 - 108th Congress (2003-2004) - Resolution of advice and consent to ratification agreed to in Senate by Division Vote. (All Actions) "/>
    <s v="129"/>
    <s v="Protocol Amending Convention with Australia Regarding Double Taxation and Prevention of Fiscal Evasion"/>
    <s v="107-20"/>
    <s v="11/14/2002 - 107th Congress (2001-2002)"/>
    <s v="107th"/>
    <s v="Taxation"/>
    <s v="03/13/2003 - 108th Congress (2003-2004) - Resolution of advice and consent to ratification agreed to in Senate by Division Vote. (All Actions) "/>
    <x v="6"/>
    <s v="Resolution of advice and consent to ratification agreed to in Senate by Division Vote. (All Actions) "/>
    <x v="0"/>
    <x v="1"/>
  </r>
  <r>
    <s v="130. The Moscow Treaty Senate Consideration of Treaty Document 107-8 Text of Treaty Document: TXT | PDF Date Received from President: 06/20/2002 - 107th Congress (2001-2002) Treaty Topic: Arms Control Latest Senate Action: 03/06/2003 - 108th Congress (2003-2004) - Resolution of advice and consent to ratification agreed to in Senate by Yea-Nay Vote. 95 - 0. Record Vote Number: 43. (All Actions) "/>
    <s v="130"/>
    <s v="The Moscow Treaty"/>
    <s v="107-8"/>
    <s v="06/20/2002 - 107th Congress (2001-2002)"/>
    <s v="107th"/>
    <s v="Arms Control"/>
    <s v="03/06/2003 - 108th Congress (2003-2004) - Resolution of advice and consent to ratification agreed to in Senate by Yea-Nay Vote. 95 - 0. Record Vote Number: 43. (All Actions) "/>
    <x v="6"/>
    <s v="Resolution of advice and consent to ratification agreed to in Senate by Yea-Nay Vote. 95 - 0. Record Vote Number: 43. (All Actions) "/>
    <x v="0"/>
    <x v="1"/>
  </r>
  <r>
    <s v="131. Convention on the Elimination of All Forms of Discrimination Against Women Senate Consideration of Treaty Document 96-53 Date Received from President: 11/12/1980 - 96th Congress (1979-1980) Treaty Topic: Human Rights Latest Senate Action: 11/20/2002 - 107th Congress (2001-2002) - No further action at sine die adjournment of the 107 Congress; automatically rereferred to the Committee on Foreign Relations under the provisions of Rule XXX, section 2, of the Standing Rules of the Senate. (All Actions) "/>
    <s v="131"/>
    <s v="Convention on the Elimination of All Forms of Discrimination Against Women"/>
    <s v="96-53"/>
    <s v="11/12/1980 - 96th Congress (1979-1980)"/>
    <s v="96th"/>
    <s v="Human Rights"/>
    <s v="11/20/2002 - 107th Congress (2001-2002) - No further action at sine die adjournment of the 107 Congress; automatically rereferred to the Committee on Foreign Relations under the provisions of Rule XXX, section 2, of the Standing Rules of the Senate. (All Actions) "/>
    <x v="7"/>
    <s v="No further action at sine die adjournment of the 107 Congress; automatically rereferred to the Committee on Foreign Relations under the provisions of Rule XXX, section 2, of the Standing Rules of the Senate. (All Actions) "/>
    <x v="1"/>
    <x v="0"/>
  </r>
  <r>
    <s v="132. Treaty with India on Mutual Legal Assistance In Criminal Matters Senate Consideration of Treaty Document 107-3 Text of Treaty Document: TXT | PDF Date Received from President: 04/08/2002 - 107th Congress (2001-2002) Treaty Topic: Extradition and Criminal Assistance Latest Senate Action: 11/14/2002 - 107th Congress (2001-2002) - Resolution of advice and consent to ratification agreed to in Senate by Division Vote. (All Actions) "/>
    <s v="132"/>
    <s v="Treaty with India on Mutual Legal Assistance In Criminal Matters"/>
    <s v="107-3"/>
    <s v="04/08/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3. Extradition Treaty with Lithuania Senate Consideration of Treaty Document 107-4 Text of Treaty Document: TXT | PDF Date Received from President: 05/06/2002 - 107th Congress (2001-2002) Treaty Topic: Extradition and Criminal Assistance Latest Senate Action: 11/14/2002 - 107th Congress (2001-2002) - Resolution of advice and consent to ratification agreed to in Senate by Division Vote. (All Actions) "/>
    <s v="133"/>
    <s v="Extradition Treaty with Lithuania"/>
    <s v="107-4"/>
    <s v="05/06/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4. Extradition Treaty with Peru Senate Consideration of Treaty Document 107-6 Text of Treaty Document: TXT | PDF Date Received from President: 05/08/2002 - 107th Congress (2001-2002) Treaty Topic: Extradition and Criminal Assistance Latest Senate Action: 11/14/2002 - 107th Congress (2001-2002) - Resolution of advice and consent to ratification agreed to in Senate by Division Vote. (All Actions) "/>
    <s v="134"/>
    <s v="Extradition Treaty with Peru"/>
    <s v="107-6"/>
    <s v="05/08/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5. Treaty with Ireland on Mutual Legal Assistance in Criminal Matters Senate Consideration of Treaty Document 107-9 Text of Treaty Document: TXT | PDF Date Received from President: 07/11/2002 - 107th Congress (2001-2002) Treaty Topic: Extradition and Criminal Assistance Latest Senate Action: 11/14/2002 - 107th Congress (2001-2002) - Resolution of advice and consent to ratification agreed to in Senate by Division Vote. (All Actions) "/>
    <s v="135"/>
    <s v="Treaty with Ireland on Mutual Legal Assistance in Criminal Matters"/>
    <s v="107-9"/>
    <s v="07/11/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6. Second Protocol Amending Extradition Treaty with Canada Senate Consideration of Treaty Document 107-11 Text of Treaty Document: TXT | PDF Date Received from President: 07/11/2002 - 107th Congress (2001-2002) Treaty Topic: Extradition and Criminal Assistance Latest Senate Action: 11/14/2002 - 107th Congress (2001-2002) - Resolution of advice and consent to ratification agreed to in Senate by Division Vote. (All Actions) "/>
    <s v="136"/>
    <s v="Second Protocol Amending Extradition Treaty with Canada"/>
    <s v="107-11"/>
    <s v="07/11/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7. Treaty with Belize on Mutual Legal Assistance in Criminal Matters Senate Consideration of Treaty Document 107-13 Text of Treaty Document: TXT | PDF Date Received from President: 07/15/2002 - 107th Congress (2001-2002) Treaty Topic: Extradition and Criminal Assistance Latest Senate Action: 11/14/2002 - 107th Congress (2001-2002) - Resolution of advice and consent to ratification agreed to in Senate by Division Vote. (All Actions) "/>
    <s v="137"/>
    <s v="Treaty with Belize on Mutual Legal Assistance in Criminal Matters"/>
    <s v="107-13"/>
    <s v="07/15/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8. Treaty with Honduras for Return of Stolen, Robbed, and Embezzled Vehicles and Aircraft, with Annexes and Exchange of Notes Senate Consideration of Treaty Document 107-15 Text of Treaty Document: TXT | PDF Date Received from President: 09/03/2002 - 107th Congress (2001-2002) Treaty Topic: Extradition and Criminal Assistance Latest Senate Action: 11/14/2002 - 107th Congress (2001-2002) - Resolution of advice and consent to ratification agreed to in Senate by Division Vote. (All Actions) "/>
    <s v="138"/>
    <s v="Treaty with Honduras for Return of Stolen, Robbed, and Embezzled Vehicles and Aircraft, with Annexes and Exchange of Notes"/>
    <s v="107-15"/>
    <s v="09/03/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39. Treaty with Liechtenstein on Mutual Legal Assistance in Criminal Matters Senate Consideration of Treaty Document 107-16 Text of Treaty Document: TXT | PDF Date Received from President: 09/05/2002 - 107th Congress (2001-2002) Treaty Topic: Extradition and Criminal Assistance Latest Senate Action: 11/14/2002 - 107th Congress (2001-2002) - Resolution of advice and consent to ratification agreed to in Senate by Division Vote. (All Actions) "/>
    <s v="139"/>
    <s v="Treaty with Liechtenstein on Mutual Legal Assistance in Criminal Matters"/>
    <s v="107-16"/>
    <s v="09/05/2002 - 107th Congress (2001-2002)"/>
    <s v="107th"/>
    <s v="Extradition and Criminal Assistance"/>
    <s v="11/14/2002 - 107th Congress (2001-2002) - Resolution of advice and consent to ratification agreed to in Senate by Division Vote. (All Actions) "/>
    <x v="7"/>
    <s v="Resolution of advice and consent to ratification agreed to in Senate by Division Vote. (All Actions) "/>
    <x v="0"/>
    <x v="0"/>
  </r>
  <r>
    <s v="140. Protocol Relating to the Madrid Agreement Senate Consideration of Treaty Document 106-41 Text of Treaty Document: TXT | PDF Date Received from President: 09/05/2000 - 106th Congress (1999-2000) Treaty Topic: International Law Latest Senate Action: 10/17/2002 - 107th Congress (2001-2002) - Resolution of advice and consent to ratification agreed to in Senate by Division Vote. (All Actions) "/>
    <s v="140"/>
    <s v="Protocol Relating to the Madrid Agreement"/>
    <s v="106-41"/>
    <s v="09/05/2000 - 106th Congress (1999-2000)"/>
    <s v="106th"/>
    <s v="International Law"/>
    <s v="10/17/2002 - 107th Congress (2001-2002) - Resolution of advice and consent to ratification agreed to in Senate by Division Vote. (All Actions) "/>
    <x v="7"/>
    <s v="Resolution of advice and consent to ratification agreed to in Senate by Division Vote. (All Actions) "/>
    <x v="0"/>
    <x v="0"/>
  </r>
  <r>
    <s v="141. 1997 AMENDMENT TO MONTREAL PROTOCOL Senate Consideration of Treaty Document 106-10 Text of Treaty Document: TXT | PDF Date Received from President: 09/16/1999 - 106th Congress (1999-2000) Treaty Topic: International Law Latest Senate Action: 10/09/2002 - 107th Congress (2001-2002) - Resolution of advice and consent to ratification agreed to in Senate by Voice Vote. (All Actions) "/>
    <s v="141"/>
    <s v="1997 AMENDMENT TO MONTREAL PROTOCOL"/>
    <s v="106-10"/>
    <s v="09/16/1999 - 106th Congress (1999-2000)"/>
    <s v="106th"/>
    <s v="International Law"/>
    <s v="10/09/2002 - 107th Congress (2001-2002) - Resolution of advice and consent to ratification agreed to in Senate by Voice Vote. (All Actions) "/>
    <x v="7"/>
    <s v="Resolution of advice and consent to ratification agreed to in Senate by Voice Vote. (All Actions) "/>
    <x v="0"/>
    <x v="0"/>
  </r>
  <r>
    <s v="142. Amendment to Montreal Protocol (&quot;Beijing Amendment&quot;) Senate Consideration of Treaty Document 106-32 Text of Treaty Document: TXT | PDF Date Received from President: 06/22/2000 - 106th Congress (1999-2000) Treaty Topic: International Law and Organization Latest Senate Action: 10/09/2002 - 107th Congress (2001-2002) - Resolution of advice and consent to ratification agreed to in Senate by Voice Vote. (All Actions) "/>
    <s v="142"/>
    <s v="Amendment to Montreal Protocol (&quot;Beijing Amendment&quot;)"/>
    <s v="106-32"/>
    <s v="06/22/2000 - 106th Congress (1999-2000)"/>
    <s v="106th"/>
    <s v="International Law and Organization"/>
    <s v="10/09/2002 - 107th Congress (2001-2002) - Resolution of advice and consent to ratification agreed to in Senate by Voice Vote. (All Actions) "/>
    <x v="7"/>
    <s v="Resolution of advice and consent to ratification agreed to in Senate by Voice Vote. (All Actions) "/>
    <x v="0"/>
    <x v="0"/>
  </r>
  <r>
    <s v="143. Protocol Amending 1949 Convention of Inter-American Tropical Tuna Commission Senate Consideration of Treaty Document 107-2 Text of Treaty Document: TXT | PDF Date Received from President: 01/08/2001 - 107th Congress (2001-2002) Treaty Topic: Fisheries and Wildlife Latest Senate Action: 09/05/2002 - 107th Congress (2001-2002) - Resolution of advice and consent to ratification agreed to in Senate by Division Vote. (All Actions) "/>
    <s v="143"/>
    <s v="Protocol Amending 1949 Convention of Inter-American Tropical Tuna Commission"/>
    <s v="107-2"/>
    <s v="01/08/2001 - 107th Congress (2001-2002)"/>
    <s v="107th"/>
    <s v="Fisheries and Wildlife"/>
    <s v="09/05/2002 - 107th Congress (2001-2002) - Resolution of advice and consent to ratification agreed to in Senate by Division Vote. (All Actions) "/>
    <x v="7"/>
    <s v="Resolution of advice and consent to ratification agreed to in Senate by Division Vote. (All Actions) "/>
    <x v="0"/>
    <x v="0"/>
  </r>
  <r>
    <s v="144. 1990 PROTOCOL TO THE 1983 MARITIME ENVIRONMENT OF THE WIDER CARIBBEAN REGION CONVENTION Senate Consideration of Treaty Document 103-5 Date Received from President: 04/20/1993 - 103rd Congress (1993-1994) Treaty Topic: Fisheries and Wildlife Latest Senate Action: 09/05/2002 - 107th Congress (2001-2002) - Resolution of advice and consent to ratification agreed to in Senate by Division Vote. (All Actions) "/>
    <s v="144"/>
    <s v="1990 PROTOCOL TO THE 1983 MARITIME ENVIRONMENT OF THE WIDER CARIBBEAN REGION CONVENTION"/>
    <s v="103-5"/>
    <s v="04/20/1993 - 103rd Congress (1993-1994)"/>
    <s v="103rd"/>
    <s v="Fisheries and Wildlife"/>
    <s v="09/05/2002 - 107th Congress (2001-2002) - Resolution of advice and consent to ratification agreed to in Senate by Division Vote. (All Actions) "/>
    <x v="7"/>
    <s v="Resolution of advice and consent to ratification agreed to in Senate by Division Vote. (All Actions) "/>
    <x v="0"/>
    <x v="0"/>
  </r>
  <r>
    <s v="145. SOUTH PACIFIC ENVIRONMENT PROGRAMME AGREEMENT Senate Consideration of Treaty Document 105-32 Text of Treaty Document: TXT | PDF Date Received from President: 11/07/1997 - 105th Congress (1997-1998) Treaty Topic: International Law Latest Senate Action: 09/05/2002 - 107th Congress (2001-2002) - Resolution of advice and consent to ratification agreed to in Senate by Division Vote. (All Actions) "/>
    <s v="145"/>
    <s v="SOUTH PACIFIC ENVIRONMENT PROGRAMME AGREEMENT"/>
    <s v="105-32"/>
    <s v="11/07/1997 - 105th Congress (1997-1998)"/>
    <s v="105th"/>
    <s v="International Law"/>
    <s v="09/05/2002 - 107th Congress (2001-2002) - Resolution of advice and consent to ratification agreed to in Senate by Division Vote. (All Actions) "/>
    <x v="7"/>
    <s v="Resolution of advice and consent to ratification agreed to in Senate by Division Vote. (All Actions) "/>
    <x v="0"/>
    <x v="0"/>
  </r>
  <r>
    <s v="146. Treaty with Niue on Delimitation of a Maritime Boundary Senate Consideration of Treaty Document 105-53 Text of Treaty Document: TXT | PDF Date Received from President: 06/23/1998 - 105th Congress (1997-1998) Treaty Topic: Maritime Boundaries and Claims Latest Senate Action: 08/01/2002 - 107th Congress (2001-2002) - Resolution of advice and consent to ratification agreed to in Senate by Division Vote. (All Actions) "/>
    <s v="146"/>
    <s v="Treaty with Niue on Delimitation of a Maritime Boundary"/>
    <s v="105-53"/>
    <s v="06/23/1998 - 105th Congress (1997-1998)"/>
    <s v="105th"/>
    <s v="Maritime Boundaries and Claims"/>
    <s v="08/01/2002 - 107th Congress (2001-2002) - Resolution of advice and consent to ratification agreed to in Senate by Division Vote. (All Actions) "/>
    <x v="7"/>
    <s v="Resolution of advice and consent to ratification agreed to in Senate by Division Vote. (All Actions) "/>
    <x v="0"/>
    <x v="0"/>
  </r>
  <r>
    <s v="147. Optional Protocol No. 1 to Convention on Rights of the Child on Involvement of Children in Armed Conflict Senate Consideration of Treaty Document 106-37(A) Text of Treaty Document: TXT | PDF Date Received from President: 07/25/2000 - 106th Congress (1999-2000) Treaty Topic: Human Rights Latest Senate Action: 06/18/2002 - 107th Congress (2001-2002) - Resolution of advice and consent to ratification agreed to in Senate by Division Vote. (All Actions) "/>
    <s v="147"/>
    <s v="Optional Protocol No. 1 to Convention on Rights of the Child on Involvement of Children in Armed Conflict"/>
    <s v="106-37(A)"/>
    <s v="07/25/2000 - 106th Congress (1999-2000)"/>
    <s v="106th"/>
    <s v="Human Rights"/>
    <s v="06/18/2002 - 107th Congress (2001-2002) - Resolution of advice and consent to ratification agreed to in Senate by Division Vote. (All Actions) "/>
    <x v="7"/>
    <s v="Resolution of advice and consent to ratification agreed to in Senate by Division Vote. (All Actions) "/>
    <x v="0"/>
    <x v="0"/>
  </r>
  <r>
    <s v="148. Optional Protocol No. 2 to Convention on the Rights of the Child on the Sale of Children, Child Prostitution and Child Pornography Senate Consideration of Treaty Document 106-37(B) Text of Treaty Document: TXT | PDF Date Received from President: 07/25/2000 - 106th Congress (1999-2000) Treaty Topic: Human Rights Latest Senate Action: 06/18/2002 - 107th Congress (2001-2002) - Resolution of advice and consent to ratification agreed to in Senate by Division Vote. (All Actions) "/>
    <s v="148"/>
    <s v="Optional Protocol No. 2 to Convention on the Rights of the Child on the Sale of Children, Child Prostitution and Child Pornography"/>
    <s v="106-37(B)"/>
    <s v="07/25/2000 - 106th Congress (1999-2000)"/>
    <s v="106th"/>
    <s v="Human Rights"/>
    <s v="06/18/2002 - 107th Congress (2001-2002) - Resolution of advice and consent to ratification agreed to in Senate by Division Vote. (All Actions) "/>
    <x v="7"/>
    <s v="Resolution of advice and consent to ratification agreed to in Senate by Division Vote. (All Actions) "/>
    <x v="0"/>
    <x v="0"/>
  </r>
  <r>
    <s v="149. Protocols to the Convention on the Rights of the Child Senate Consideration of Treaty Document 106-37 Text of Treaty Document: TXT | PDF Date Received from President: 07/25/2000 - 106th Congress (1999-2000) Treaty Topic: Human Rights Latest Senate Action: 06/12/2002 - 107th Congress (2001-2002) - Treaty divided and reported under Ex. Rept. 107-4 with Protocol 's No. 1 and No. 2 each having separate resolutions of ratification thus creating Treaty Docs. 106-37A and 106-37B. See those documents for further action. (All Actions) "/>
    <s v="149"/>
    <s v="Protocols to the Convention on the Rights of the Child"/>
    <s v="106-37"/>
    <s v="07/25/2000 - 106th Congress (1999-2000)"/>
    <s v="106th"/>
    <s v="Human Rights"/>
    <s v="06/12/2002 - 107th Congress (2001-2002) - Treaty divided and reported under Ex. Rept. 107-4 with Protocol 's No. 1 and No. 2 each having separate resolutions of ratification thus creating Treaty Docs. 106-37A and 106-37B. See those documents for further action. (All Actions) "/>
    <x v="7"/>
    <s v="Treaty divided and reported under Ex. Rept. 107-4 with Protocol 's No. 1 and No. 2 each having separate resolutions of ratification thus creating Treaty Docs. 106-37A and 106-37B. See those documents for further action. (All Actions) "/>
    <x v="2"/>
    <x v="0"/>
  </r>
  <r>
    <s v="150. Treaty with Russia on Mutual Legal Assistance in Criminal Matters Senate Consideration of Treaty Document 106-22 Text of Treaty Document: TXT | PDF Date Received from President: 02/10/2000 - 106th Congress (1999-2000) Treaty Topic: Extradition and Criminal Assistance Latest Senate Action: 12/19/2001 - 107th Congress (2001-2002) - Resolution of advice and consent to ratification agreed to in Senate by Division Vote. (All Actions) "/>
    <s v="150"/>
    <s v="Treaty with Russia on Mutual Legal Assistance in Criminal Matters"/>
    <s v="106-22"/>
    <s v="02/10/2000 - 106th Congress (1999-2000)"/>
    <s v="106th"/>
    <s v="Extradition and Criminal Assistance"/>
    <s v="12/19/2001 - 107th Congress (2001-2002) - Resolution of advice and consent to ratification agreed to in Senate by Division Vote. (All Actions) "/>
    <x v="7"/>
    <s v="Resolution of advice and consent to ratification agreed to in Senate by Division Vote. (All Actions) "/>
    <x v="0"/>
    <x v="0"/>
  </r>
  <r>
    <s v="151. International Convention for the Suppression of Terrorist Bombings Senate Consideration of Treaty Document 106-6 Text of Treaty Document: TXT | PDF Date Received from President: 09/08/1999 - 106th Congress (1999-2000) Treaty Topic: Extradition and Criminal Assistance Latest Senate Action: 12/05/2001 - 107th Congress (2001-2002) - Resolution of advice and consent to ratification agreed to in Senate by Division Vote. (All Actions) "/>
    <s v="151"/>
    <s v="International Convention for the Suppression of Terrorist Bombings"/>
    <s v="106-6"/>
    <s v="09/08/1999 - 106th Congress (1999-2000)"/>
    <s v="106th"/>
    <s v="Extradition and Criminal Assistance"/>
    <s v="12/05/2001 - 107th Congress (2001-2002) - Resolution of advice and consent to ratification agreed to in Senate by Division Vote. (All Actions) "/>
    <x v="7"/>
    <s v="Resolution of advice and consent to ratification agreed to in Senate by Division Vote. (All Actions) "/>
    <x v="0"/>
    <x v="0"/>
  </r>
  <r>
    <s v="152. International Convention for Suppression of Financing Terrorism Senate Consideration of Treaty Document 106-49 Text of Treaty Document: TXT | PDF Date Received from President: 10/12/2000 - 106th Congress (1999-2000) Treaty Topic: International Law Latest Senate Action: 12/05/2001 - 107th Congress (2001-2002) - Resolution of advice and consent to ratification agreed to in Senate by Division Vote. (All Actions) "/>
    <s v="152"/>
    <s v="International Convention for Suppression of Financing Terrorism"/>
    <s v="106-49"/>
    <s v="10/12/2000 - 106th Congress (1999-2000)"/>
    <s v="106th"/>
    <s v="International Law"/>
    <s v="12/05/2001 - 107th Congress (2001-2002) - Resolution of advice and consent to ratification agreed to in Senate by Division Vote. (All Actions) "/>
    <x v="7"/>
    <s v="Resolution of advice and consent to ratification agreed to in Senate by Division Vote. (All Actions) "/>
    <x v="0"/>
    <x v="0"/>
  </r>
  <r>
    <s v="153. Convention on Safety of UN and Associated Personnel Senate Consideration of Treaty Document 107-1 Text of Treaty Document: TXT | PDF Date Received from President: 01/03/2001 - 107th Congress (2001-2002) Treaty Topic: United Nations Latest Senate Action: 01/03/2001 - 107th Congress (2001-2002) - Received in the Senate and referred to the Committee on Foreign Relations by unanimous consent. (All Actions) "/>
    <s v="153"/>
    <s v="Convention on Safety of UN and Associated Personnel"/>
    <s v="107-1"/>
    <s v="01/03/2001 - 107th Congress (2001-2002)"/>
    <s v="107th"/>
    <s v="United Nations"/>
    <s v="01/03/2001 - 107th Congress (2001-2002) - Received in the Senate and referred to the Committee on Foreign Relations by unanimous consent. (All Actions) "/>
    <x v="7"/>
    <s v="Received in the Senate and referred to the Committee on Foreign Relations by unanimous consent. (All Actions) "/>
    <x v="1"/>
    <x v="0"/>
  </r>
  <r>
    <s v="154. COMPREHENSIVE NUCLEAR TEST-BAN TREATY Senate Consideration of Treaty Document 105-28 Text of Treaty Document: TXT | PDF Date Received from President: 09/23/1997 - 105th Congress (1997-1998) Treaty Topic: Arms Control Latest Senate Action: 12/15/2000 - 106th Congress (1999-2000) - No further action at sine die adjournment of the 106th Congress; automatically rereferred to the Committee on Foreign Relations under the provisions of Rule XXX, section 2, of the Standing Rules of the Senate. (All Actions) "/>
    <s v="154"/>
    <s v="COMPREHENSIVE NUCLEAR TEST-BAN TREATY"/>
    <s v="105-28"/>
    <s v="09/23/1997 - 105th Congress (1997-1998)"/>
    <s v="105th"/>
    <s v="Arms Control"/>
    <s v="12/15/2000 - 106th Congress (1999-2000) - No further action at sine die adjournment of the 106th Congress; automatically rereferred to the Committee on Foreign Relations under the provisions of Rule XXX, section 2, of the Standing Rules of the Senate. (All Actions) "/>
    <x v="8"/>
    <s v="No further action at sine die adjournment of the 106th Congress; automatically rereferred to the Committee on Foreign Relations under the provisions of Rule XXX, section 2, of the Standing Rules of the Senate. (All Actions) "/>
    <x v="1"/>
    <x v="0"/>
  </r>
  <r>
    <s v="155. EXTRADITION TREATY WITH PARAGUAY Senate Consideration of Treaty Document 106-4 Text of Treaty Document: TXT | PDF Date Received from President: 07/13/1999 - 106th Congress (1999-2000) Treaty Topic: Extradition and Criminal Assistance Latest Senate Action: 10/18/2000 - 106th Congress (1999-2000) - Resolution of advice and consent to ratification agreed to in Senate by Division Vote. (All Actions) "/>
    <s v="155"/>
    <s v="EXTRADITION TREATY WITH PARAGUAY"/>
    <s v="106-4"/>
    <s v="07/13/1999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56. TREATY WITH DOMINICAN REPUBLIC FOR THE RETURN OF STOLEN OR EMBEZZLED VEHICLES Senate Consideration of Treaty Document 106-7 Text of Treaty Document: TXT | PDF Date Received from President: 09/08/1999 - 106th Congress (1999-2000) Treaty Topic: Extradition and Criminal Assistance Latest Senate Action: 10/18/2000 - 106th Congress (1999-2000) - Resolution of advice and consent to ratification agreed to in Senate by Division Vote. (All Actions) "/>
    <s v="156"/>
    <s v="TREATY WITH DOMINICAN REPUBLIC FOR THE RETURN OF STOLEN OR EMBEZZLED VEHICLES"/>
    <s v="106-7"/>
    <s v="09/08/1999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57. Treaty with Ukraine on Mutual Legal Assistance in Criminal Matters Senate Consideration of Treaty Document 106-16 Text of Treaty Document: TXT | PDF Date Received from President: 11/10/1999 - 106th Congress (1999-2000) Treaty Topic: Extradition and Criminal Assistance Latest Senate Action: 10/18/2000 - 106th Congress (1999-2000) - Resolution of advice and consent to ratification agreed to in Senate by Division Vote. (All Actions) "/>
    <s v="157"/>
    <s v="Treaty with Ukraine on Mutual Legal Assistance in Criminal Matters"/>
    <s v="106-16"/>
    <s v="11/10/1999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58. Treaty with France on Mutual Legal Assistance in Criminal Matters Senate Consideration of Treaty Document 106-17 Text of Treaty Document: TXT | PDF Date Received from President: 01/31/2000 - 106th Congress (1999-2000) Treaty Topic: Extradition and Criminal Assistance Latest Senate Action: 10/18/2000 - 106th Congress (1999-2000) - Resolution of advice and consent to ratification agreed to in Senate by Division Vote. (All Actions) "/>
    <s v="158"/>
    <s v="Treaty with France on Mutual Legal Assistance in Criminal Matters"/>
    <s v="106-17"/>
    <s v="01/31/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59. Treaty with Greece on Mutual Legal Assistance in Criminal Matters Senate Consideration of Treaty Document 106-18 Text of Treaty Document: TXT | PDF Date Received from President: 02/01/2000 - 106th Congress (1999-2000) Treaty Topic: Extradition and Criminal Assistance Latest Senate Action: 10/18/2000 - 106th Congress (1999-2000) - Resolution of advice and consent to ratification agreed to in Senate by Division Vote. (All Actions) "/>
    <s v="159"/>
    <s v="Treaty with Greece on Mutual Legal Assistance in Criminal Matters"/>
    <s v="106-18"/>
    <s v="02/01/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0. Treaty With Egypt on Mutual Legal Assistance in Criminal Matters Senate Consideration of Treaty Document 106-19 Text of Treaty Document: TXT | PDF Date Received from President: 02/02/2000 - 106th Congress (1999-2000) Treaty Topic: Extradition and Criminal Assistance Latest Senate Action: 10/18/2000 - 106th Congress (1999-2000) - Resolution of advice and consent to ratification agreed to in Senate by Division Vote. (All Actions) "/>
    <s v="160"/>
    <s v="Treaty With Egypt on Mutual Legal Assistance in Criminal Matters"/>
    <s v="106-19"/>
    <s v="02/02/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1. Treaty with Romania on Mutual Legal Assistance in Criminal Matters Senate Consideration of Treaty Document 106-20 Text of Treaty Document: TXT | PDF Date Received from President: 02/03/2000 - 106th Congress (1999-2000) Treaty Topic: Extradition and Criminal Assistance Latest Senate Action: 10/18/2000 - 106th Congress (1999-2000) - Resolution of advice and consent to ratification agreed to in Senate by Division Vote. (All Actions) "/>
    <s v="161"/>
    <s v="Treaty with Romania on Mutual Legal Assistance in Criminal Matters"/>
    <s v="106-20"/>
    <s v="02/03/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2. International Plant Protection Convention (IPPC) Senate Consideration of Treaty Document 106-23 Text of Treaty Document: TXT | PDF Date Received from President: 03/23/2000 - 106th Congress (1999-2000) Treaty Topic: Agriculture Latest Senate Action: 10/18/2000 - 106th Congress (1999-2000) - Resolution of advice and consent to ratification agreed to in Senate by Division Vote. (All Actions) "/>
    <s v="162"/>
    <s v="International Plant Protection Convention (IPPC)"/>
    <s v="106-23"/>
    <s v="03/23/2000 - 106th Congress (1999-2000)"/>
    <s v="106th"/>
    <s v="Agriculture"/>
    <s v="10/18/2000 - 106th Congress (1999-2000) - Resolution of advice and consent to ratification agreed to in Senate by Division Vote. (All Actions) "/>
    <x v="8"/>
    <s v="Resolution of advice and consent to ratification agreed to in Senate by Division Vote. (All Actions) "/>
    <x v="0"/>
    <x v="0"/>
  </r>
  <r>
    <s v="163. Extradition Treaty With South Africa Senate Consideration of Treaty Document 106-24 Text of Treaty Document: TXT | PDF Date Received from President: 05/18/2000 - 106th Congress (1999-2000) Treaty Topic: Extradition and Criminal Assistance Latest Senate Action: 10/18/2000 - 106th Congress (1999-2000) - Resolution of advice and consent to ratification agreed to in Senate by Division Vote. (All Actions) "/>
    <s v="163"/>
    <s v="Extradition Treaty With South Africa"/>
    <s v="106-24"/>
    <s v="05/18/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4. INVESTMENT TREATY WITH UZBEKISTAN Senate Consideration of Treaty Document 104-25 Text of Treaty Document: TXT | PDF Date Received from President: 02/28/1996 - 104th Congress (1995-1996) Treaty Topic: Commercial Latest Senate Action: 10/18/2000 - 106th Congress (1999-2000) - Resolution of advice and consent to ratification agreed to in Senate by Division Vote. (All Actions) "/>
    <s v="164"/>
    <s v="INVESTMENT TREATY WITH UZBEKISTAN"/>
    <s v="104-25"/>
    <s v="02/28/1996 - 104th Congress (1995-1996)"/>
    <s v="104th"/>
    <s v="Commercial"/>
    <s v="10/18/2000 - 106th Congress (1999-2000) - Resolution of advice and consent to ratification agreed to in Senate by Division Vote. (All Actions) "/>
    <x v="8"/>
    <s v="Resolution of advice and consent to ratification agreed to in Senate by Division Vote. (All Actions) "/>
    <x v="0"/>
    <x v="0"/>
  </r>
  <r>
    <s v="165. INTER-AMERICAN CONVENTION ON MUTUAL ASSISTANCE IN CRIMINAL MATTERS WITH RELATED OPTIONAL PROTOCOL Senate Consideration of Treaty Document 105-25 Text of Treaty Document: TXT | PDF Date Received from President: 09/03/1997 - 105th Congress (1997-1998) Treaty Topic: Extradition and Criminal Assistance Latest Senate Action: 10/18/2000 - 106th Congress (1999-2000) - Resolution of advice and consent to ratification agreed to in Senate by Division Vote. (All Actions) "/>
    <s v="165"/>
    <s v="INTER-AMERICAN CONVENTION ON MUTUAL ASSISTANCE IN CRIMINAL MATTERS WITH RELATED OPTIONAL PROTOCOL"/>
    <s v="105-25"/>
    <s v="09/03/1997 - 105th Congress (1997-1998)"/>
    <s v="105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6. Investment Treaty with Bahrain Senate Consideration of Treaty Document 106-25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66"/>
    <s v="Investment Treaty with Bahrain"/>
    <s v="106-25"/>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67. Investment Treaty with Bolivia Senate Consideration of Treaty Document 106-26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67"/>
    <s v="Investment Treaty with Bolivia"/>
    <s v="106-26"/>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68. TREATY WITH NIGERIA ON MUTUAL LEGAL ASSISTANCE IN CRIMINAL MATTERS Senate Consideration of Treaty Document 102-26 Date Received from President: 04/01/1992 - 102nd Congress (1991-1992) Treaty Topic: Extradition and Criminal Assistance Latest Senate Action: 10/18/2000 - 106th Congress (1999-2000) - Resolution of advice and consent to ratification agreed to in Senate by Division Vote. (All Actions) "/>
    <s v="168"/>
    <s v="TREATY WITH NIGERIA ON MUTUAL LEGAL ASSISTANCE IN CRIMINAL MATTERS"/>
    <s v="102-26"/>
    <s v="04/01/1992 - 102nd Congress (1991-1992)"/>
    <s v="102nd"/>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69. Investment Treaty with Honduras Senate Consideration of Treaty Document 106-27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69"/>
    <s v="Investment Treaty with Honduras"/>
    <s v="106-27"/>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70. Investment Treaty with El Salvador Senate Consideration of Treaty Document 106-28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70"/>
    <s v="Investment Treaty with El Salvador"/>
    <s v="106-28"/>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71. UNITED NATIONS CONVENTION TO COMBAT DESERTIFICATION IN COUNTRIES EXPERIENCING DROUGHT, PARTICULARLY IN AFRICA, WITH ANNEXES Senate Consideration of Treaty Document 104-29 Text of Treaty Document: TXT | PDF Date Received from President: 08/02/1996 - 104th Congress (1995-1996) Treaty Topic: International Law and Organization Latest Senate Action: 10/18/2000 - 106th Congress (1999-2000) - Resolution of advice and consent to ratification agreed to in Senate by Division Vote. (All Actions) "/>
    <s v="171"/>
    <s v="UNITED NATIONS CONVENTION TO COMBAT DESERTIFICATION IN COUNTRIES EXPERIENCING DROUGHT, PARTICULARLY IN AFRICA, WITH ANNEXES"/>
    <s v="104-29"/>
    <s v="08/02/1996 - 104th Congress (1995-1996)"/>
    <s v="104th"/>
    <s v="International Law and Organization"/>
    <s v="10/18/2000 - 106th Congress (1999-2000) - Resolution of advice and consent to ratification agreed to in Senate by Division Vote. (All Actions) "/>
    <x v="8"/>
    <s v="Resolution of advice and consent to ratification agreed to in Senate by Division Vote. (All Actions) "/>
    <x v="0"/>
    <x v="0"/>
  </r>
  <r>
    <s v="172. Investment Treaty with Croatia Senate Consideration of Treaty Document 106-29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72"/>
    <s v="Investment Treaty with Croatia"/>
    <s v="106-29"/>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73. Investment Treaty with Jordan Senate Consideration of Treaty Document 106-30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73"/>
    <s v="Investment Treaty with Jordan"/>
    <s v="106-30"/>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74. Investment Treaty with Mozambique Senate Consideration of Treaty Document 106-31 Text of Treaty Document: TXT | PDF Date Received from President: 05/23/2000 - 106th Congress (1999-2000) Treaty Topic: Commercial Latest Senate Action: 10/18/2000 - 106th Congress (1999-2000) - Resolution of advice and consent to ratification agreed to in Senate by Division Vote. (All Actions) "/>
    <s v="174"/>
    <s v="Investment Treaty with Mozambique"/>
    <s v="106-31"/>
    <s v="05/23/2000 - 106th Congress (1999-2000)"/>
    <s v="106th"/>
    <s v="Commercial"/>
    <s v="10/18/2000 - 106th Congress (1999-2000) - Resolution of advice and consent to ratification agreed to in Senate by Division Vote. (All Actions) "/>
    <x v="8"/>
    <s v="Resolution of advice and consent to ratification agreed to in Senate by Division Vote. (All Actions) "/>
    <x v="0"/>
    <x v="0"/>
  </r>
  <r>
    <s v="175. Extradition Treaty with Sri Lanka Senate Consideration of Treaty Document 106-34 Text of Treaty Document: TXT | PDF Date Received from President: 06/27/2000 - 106th Congress (1999-2000) Treaty Topic: Extradition and Criminal Assistance Latest Senate Action: 10/18/2000 - 106th Congress (1999-2000) - Resolution of advice and consent to ratification agreed to in Senate by Division Vote. (All Actions) "/>
    <s v="175"/>
    <s v="Extradition Treaty with Sri Lanka"/>
    <s v="106-34"/>
    <s v="06/27/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76. INTER-AMERICAN CONVENTION ON SERVING CRIMINAL SENTENCES ABROAD Senate Consideration of Treaty Document 104-35 Text of Treaty Document: TXT | PDF Date Received from President: 09/30/1996 - 104th Congress (1995-1996) Treaty Topic: Extradition and Criminal Assistance Latest Senate Action: 10/18/2000 - 106th Congress (1999-2000) - Resolution of advice and consent to ratification agreed to in Senate by Division Vote. (All Actions) "/>
    <s v="176"/>
    <s v="INTER-AMERICAN CONVENTION ON SERVING CRIMINAL SENTENCES ABROAD"/>
    <s v="104-35"/>
    <s v="09/30/1996 - 104th Congress (1995-1996)"/>
    <s v="104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77. Treaty with Cyprus on Mutual Legal Assistance in Criminal Matters Senate Consideration of Treaty Document 106-35 Text of Treaty Document: TXT | PDF Date Received from President: 07/13/2000 - 106th Congress (1999-2000) Treaty Topic: Extradition and Criminal Assistance Latest Senate Action: 10/18/2000 - 106th Congress (1999-2000) - Resolution of advice and consent to ratification agreed to in Senate by Division Vote. (All Actions) "/>
    <s v="177"/>
    <s v="Treaty with Cyprus on Mutual Legal Assistance in Criminal Matters"/>
    <s v="106-35"/>
    <s v="07/13/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78. Treaty with South Africa on Mutual Legal Assistance in Criminal Matters Senate Consideration of Treaty Document 106-36 Text of Treaty Document: TXT | PDF Date Received from President: 07/13/2000 - 106th Congress (1999-2000) Treaty Topic: Extradition and Criminal Assistance Latest Senate Action: 10/18/2000 - 106th Congress (1999-2000) - Resolution of advice and consent to ratification agreed to in Senate by Division Vote. (All Actions) "/>
    <s v="178"/>
    <s v="Treaty with South Africa on Mutual Legal Assistance in Criminal Matters"/>
    <s v="106-36"/>
    <s v="07/13/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79. Extradition Treaty with Belize Senate Consideration of Treaty Document 106-38 Text of Treaty Document: TXT | PDF Date Received from President: 07/27/2000 - 106th Congress (1999-2000) Treaty Topic: Extradition and Criminal Assistance Latest Senate Action: 10/18/2000 - 106th Congress (1999-2000) - Resolution of advice and consent to ratification agreed to in Senate by Division Vote. (All Actions) "/>
    <s v="179"/>
    <s v="Extradition Treaty with Belize"/>
    <s v="106-38"/>
    <s v="07/27/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80. Treaty with Mexico on Delimitation of Continental Shelf Senate Consideration of Treaty Document 106-39 Text of Treaty Document: TXT | PDF Date Received from President: 07/27/2000 - 106th Congress (1999-2000) Treaty Topic: Extradition and Criminal Assistance Latest Senate Action: 10/18/2000 - 106th Congress (1999-2000) - Resolution of advice and consent to ratification agreed to in Senate by Division Vote. (All Actions) "/>
    <s v="180"/>
    <s v="Treaty with Mexico on Delimitation of Continental Shelf"/>
    <s v="106-39"/>
    <s v="07/27/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81. Treaty with Costa Rica on Return of Vehicles and Aircraft Senate Consideration of Treaty Document 106-40 Text of Treaty Document: TXT | PDF Date Received from President: 09/05/2000 - 106th Congress (1999-2000) Treaty Topic: Extradition and Criminal Assistance Latest Senate Action: 10/18/2000 - 106th Congress (1999-2000) - Resolution of advice and consent to ratification agreed to in Senate by Division Vote. (All Actions) "/>
    <s v="181"/>
    <s v="Treaty with Costa Rica on Return of Vehicles and Aircraft"/>
    <s v="106-40"/>
    <s v="09/05/2000 - 106th Congress (1999-2000)"/>
    <s v="106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82. Investment Treaty with Lithuania Senate Consideration of Treaty Document 106-42 Text of Treaty Document: TXT | PDF Date Received from President: 09/05/2000 - 106th Congress (1999-2000) Treaty Topic: International Law Latest Senate Action: 10/18/2000 - 106th Congress (1999-2000) - Resolution of advice and consent to ratification agreed to in Senate by Division Vote. (All Actions) "/>
    <s v="182"/>
    <s v="Investment Treaty with Lithuania"/>
    <s v="106-42"/>
    <s v="09/05/2000 - 106th Congress (1999-2000)"/>
    <s v="106th"/>
    <s v="International Law"/>
    <s v="10/18/2000 - 106th Congress (1999-2000) - Resolution of advice and consent to ratification agreed to in Senate by Division Vote. (All Actions) "/>
    <x v="8"/>
    <s v="Resolution of advice and consent to ratification agreed to in Senate by Division Vote. (All Actions) "/>
    <x v="0"/>
    <x v="0"/>
  </r>
  <r>
    <s v="183. Protocol Amending the 1950 Consular Convention with Ireland Senate Consideration of Treaty Document 106-43 Text of Treaty Document: TXT | PDF Date Received from President: 09/05/2000 - 106th Congress (1999-2000) Treaty Topic: Consular Latest Senate Action: 10/18/2000 - 106th Congress (1999-2000) - Resolution of advice and consent to ratification agreed to in Senate by Division Vote. (All Actions) "/>
    <s v="183"/>
    <s v="Protocol Amending the 1950 Consular Convention with Ireland"/>
    <s v="106-43"/>
    <s v="09/05/2000 - 106th Congress (1999-2000)"/>
    <s v="106th"/>
    <s v="Consular"/>
    <s v="10/18/2000 - 106th Congress (1999-2000) - Resolution of advice and consent to ratification agreed to in Senate by Division Vote. (All Actions) "/>
    <x v="8"/>
    <s v="Resolution of advice and consent to ratification agreed to in Senate by Division Vote. (All Actions) "/>
    <x v="0"/>
    <x v="0"/>
  </r>
  <r>
    <s v="184. Treaty with Panama on Return of Vehicles and Aircraft Senate Consideration of Treaty Document 106-44 Text of Treaty Document: TXT | PDF Date Received from President: 09/05/2000 - 106th Congress (1999-2000) Treaty Topic: International Law Latest Senate Action: 10/18/2000 - 106th Congress (1999-2000) - Resolution of advice and consent to ratification agreed to in Senate by Division Vote. (All Actions) "/>
    <s v="184"/>
    <s v="Treaty with Panama on Return of Vehicles and Aircraft"/>
    <s v="106-44"/>
    <s v="09/05/2000 - 106th Congress (1999-2000)"/>
    <s v="106th"/>
    <s v="International Law"/>
    <s v="10/18/2000 - 106th Congress (1999-2000) - Resolution of advice and consent to ratification agreed to in Senate by Division Vote. (All Actions) "/>
    <x v="8"/>
    <s v="Resolution of advice and consent to ratification agreed to in Senate by Division Vote. (All Actions) "/>
    <x v="0"/>
    <x v="0"/>
  </r>
  <r>
    <s v="185. Protocol Amending Investment Treaty with Panama Senate Consideration of Treaty Document 106-46 Text of Treaty Document: TXT | PDF Date Received from President: 09/12/2000 - 106th Congress (1999-2000) Treaty Topic: International Law Latest Senate Action: 10/18/2000 - 106th Congress (1999-2000) - Resolution of advice and consent to ratification agreed to in Senate by Division Vote. (All Actions) "/>
    <s v="185"/>
    <s v="Protocol Amending Investment Treaty with Panama"/>
    <s v="106-46"/>
    <s v="09/12/2000 - 106th Congress (1999-2000)"/>
    <s v="106th"/>
    <s v="International Law"/>
    <s v="10/18/2000 - 106th Congress (1999-2000) - Resolution of advice and consent to ratification agreed to in Senate by Division Vote. (All Actions) "/>
    <x v="8"/>
    <s v="Resolution of advice and consent to ratification agreed to in Senate by Division Vote. (All Actions) "/>
    <x v="0"/>
    <x v="0"/>
  </r>
  <r>
    <s v="186. Investment Treaty with Azerbaijan Senate Consideration of Treaty Document 106-47 Text of Treaty Document: TXT | PDF Date Received from President: 09/12/2000 - 106th Congress (1999-2000) Treaty Topic: International Law Latest Senate Action: 10/18/2000 - 106th Congress (1999-2000) - Resolution of advice and consent to ratification agreed to in Senate by Division Vote. (All Actions) "/>
    <s v="186"/>
    <s v="Investment Treaty with Azerbaijan"/>
    <s v="106-47"/>
    <s v="09/12/2000 - 106th Congress (1999-2000)"/>
    <s v="106th"/>
    <s v="International Law"/>
    <s v="10/18/2000 - 106th Congress (1999-2000) - Resolution of advice and consent to ratification agreed to in Senate by Division Vote. (All Actions) "/>
    <x v="8"/>
    <s v="Resolution of advice and consent to ratification agreed to in Senate by Division Vote. (All Actions) "/>
    <x v="0"/>
    <x v="0"/>
  </r>
  <r>
    <s v="187. TREATY WITH BELIZE FOR RETURN OF STOLEN VEHICLES Senate Consideration of Treaty Document 105-54 Text of Treaty Document: TXT | PDF Date Received from President: 06/23/1998 - 105th Congress (1997-1998) Treaty Topic: Extradition and Criminal Assistance Latest Senate Action: 10/18/2000 - 106th Congress (1999-2000) - Resolution of advice and consent to ratification agreed to in Senate by Division Vote. (All Actions) "/>
    <s v="187"/>
    <s v="TREATY WITH BELIZE FOR RETURN OF STOLEN VEHICLES"/>
    <s v="105-54"/>
    <s v="06/23/1998 - 105th Congress (1997-1998)"/>
    <s v="105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88. TREATY WITH GUATEMALA FOR RETURN OF STOLEN, ROBBED, EMBEZZLED OR APPROPRIATED VEHICLES AND AIRCRAFT Senate Consideration of Treaty Document 105-58 Text of Treaty Document: TXT | PDF Date Received from President: 08/31/1998 - 105th Congress (1997-1998) Treaty Topic: Extradition and Criminal Assistance Latest Senate Action: 10/18/2000 - 106th Congress (1999-2000) - Resolution of advice and consent to ratification agreed to in Senate by Division Vote. (All Actions) "/>
    <s v="188"/>
    <s v="TREATY WITH GUATEMALA FOR RETURN OF STOLEN, ROBBED, EMBEZZLED OR APPROPRIATED VEHICLES AND AIRCRAFT"/>
    <s v="105-58"/>
    <s v="08/31/1998 - 105th Congress (1997-1998)"/>
    <s v="105th"/>
    <s v="Extradition and Criminal Assistance"/>
    <s v="10/18/2000 - 106th Congress (1999-2000) - Resolution of advice and consent to ratification agreed to in Senate by Division Vote. (All Actions) "/>
    <x v="8"/>
    <s v="Resolution of advice and consent to ratification agreed to in Senate by Division Vote. (All Actions) "/>
    <x v="0"/>
    <x v="0"/>
  </r>
  <r>
    <s v="189. PROTOCOL AMENDING THE NORTH PACIFIC FUR SEALS CONVENTION Senate Consideration of Treaty Document 99-5 Date Received from President: 03/20/1985 - 99th Congress (1985-1986) Treaty Topic: Fisheries and Wildlife Latest Senate Action: 10/13/2000 - 106th Congress (1999-2000) - Returned to the President pursuant to S. Res. 267 agreed to in Senate on October 12, 2000. (All Actions) "/>
    <s v="189"/>
    <s v="PROTOCOL AMENDING THE NORTH PACIFIC FUR SEALS CONVENTION"/>
    <s v="99-5"/>
    <s v="03/20/1985 - 99th Congress (1985-1986)"/>
    <s v="99th"/>
    <s v="Fisheries and Wildlife"/>
    <s v="10/13/2000 - 106th Congress (1999-2000) - Returned to the President pursuant to S. Res. 267 agreed to in Senate on October 12, 2000. (All Actions) "/>
    <x v="8"/>
    <s v="Returned to the President pursuant to S. Res. 267 agreed to in Senate on October 12, 2000. (All Actions) "/>
    <x v="1"/>
    <x v="0"/>
  </r>
  <r>
    <s v="190. TREATY ON THE INTERNATIONAL REGISTRATION OF AUDIOVISUAL WORKS Senate Consideration of Treaty Document 101-8 Date Received from President: 01/24/1990 - 101st Congress (1989-1990) Treaty Topic: Commercial Latest Senate Action: 10/13/2000 - 106th Congress (1999-2000) - Returned to the President pursuant to S. Res. 267 agreed to in Senate on October 12, 2000. (All Actions) "/>
    <s v="190"/>
    <s v="TREATY ON THE INTERNATIONAL REGISTRATION OF AUDIOVISUAL WORKS"/>
    <s v="101-8"/>
    <s v="01/24/1990 - 101st Congress (1989-1990)"/>
    <s v="101st"/>
    <s v="Commercial"/>
    <s v="10/13/2000 - 106th Congress (1999-2000) - Returned to the President pursuant to S. Res. 267 agreed to in Senate on October 12, 2000. (All Actions) "/>
    <x v="8"/>
    <s v="Returned to the President pursuant to S. Res. 267 agreed to in Senate on October 12, 2000. (All Actions) "/>
    <x v="1"/>
    <x v="0"/>
  </r>
  <r>
    <s v="191. TRADEMARK REGISTRATION TREATY Senate Consideration of Treaty Document 94-8 Date Received from President: 09/03/1975 - 94th Congress (1975-1976) Treaty Topic: Commercial Latest Senate Action: 10/13/2000 - 106th Congress (1999-2000) - Returned to the President pursuant to S. Res. 267 agreed to in Senate on October 12, 2000. (All Actions) "/>
    <s v="191"/>
    <s v="TRADEMARK REGISTRATION TREATY"/>
    <s v="94-8"/>
    <s v="09/03/1975 - 94th Congress (1975-1976)"/>
    <s v="94th"/>
    <s v="Commercial"/>
    <s v="10/13/2000 - 106th Congress (1999-2000) - Returned to the President pursuant to S. Res. 267 agreed to in Senate on October 12, 2000. (All Actions) "/>
    <x v="8"/>
    <s v="Returned to the President pursuant to S. Res. 267 agreed to in Senate on October 12, 2000. (All Actions) "/>
    <x v="1"/>
    <x v="0"/>
  </r>
  <r>
    <s v="192. PROTOCOL TO AMEND THE 1980 TAX CONVENTION WITH DENMARK Senate Consideration of Treaty Document 98-12 Date Received from President: 11/16/1983 - 98th Congress (1983-1984) Treaty Topic: Taxation Latest Senate Action: 10/13/2000 - 106th Congress (1999-2000) - Returned to the President pursuant to S. Res. 267 agreed to in Senate on October 12, 2000. (All Actions) "/>
    <s v="192"/>
    <s v="PROTOCOL TO AMEND THE 1980 TAX CONVENTION WITH DENMARK"/>
    <s v="98-12"/>
    <s v="11/16/1983 - 98th Congress (1983-1984)"/>
    <s v="98th"/>
    <s v="Taxation"/>
    <s v="10/13/2000 - 106th Congress (1999-2000) - Returned to the President pursuant to S. Res. 267 agreed to in Senate on October 12, 2000. (All Actions) "/>
    <x v="8"/>
    <s v="Returned to the President pursuant to S. Res. 267 agreed to in Senate on October 12, 2000. (All Actions) "/>
    <x v="1"/>
    <x v="0"/>
  </r>
  <r>
    <s v="193. Law of the Sea--Optional Protocol Concerning the Compulsory Settlement of Disputes Senate Consideration of Treaty Document 86-14 Date Received from President: 09/09/1959 - 86th Congress (1959-1960) Treaty Topic: Dispute Settlement and Arbitration Latest Senate Action: 10/13/2000 - 106th Congress (1999-2000) - Returned to the President pursuant to S. Res. 267 agreed to in Senate on October 12, 2000. (All Actions) "/>
    <s v="193"/>
    <s v="Law of the Sea--Optional Protocol Concerning the Compulsory Settlement of Disputes"/>
    <s v="86-14"/>
    <s v="09/09/1959 - 86th Congress (1959-1960)"/>
    <s v="86th"/>
    <s v="Dispute Settlement and Arbitration"/>
    <s v="10/13/2000 - 106th Congress (1999-2000) - Returned to the President pursuant to S. Res. 267 agreed to in Senate on October 12, 2000. (All Actions) "/>
    <x v="8"/>
    <s v="Returned to the President pursuant to S. Res. 267 agreed to in Senate on October 12, 2000. (All Actions) "/>
    <x v="1"/>
    <x v="0"/>
  </r>
  <r>
    <s v="194. CONSULAR CONVENTION WITH SOUTH AFRICA Senate Consideration of Treaty Document 98-14 Date Received from President: 01/27/1984 - 98th Congress (1983-1984) Treaty Topic: Consular Latest Senate Action: 10/13/2000 - 106th Congress (1999-2000) - Returned to the President pursuant to S. Res. 267 agreed to in Senate on October 12, 2000. (All Actions) "/>
    <s v="194"/>
    <s v="CONSULAR CONVENTION WITH SOUTH AFRICA"/>
    <s v="98-14"/>
    <s v="01/27/1984 - 98th Congress (1983-1984)"/>
    <s v="98th"/>
    <s v="Consular"/>
    <s v="10/13/2000 - 106th Congress (1999-2000) - Returned to the President pursuant to S. Res. 267 agreed to in Senate on October 12, 2000. (All Actions) "/>
    <x v="8"/>
    <s v="Returned to the President pursuant to S. Res. 267 agreed to in Senate on October 12, 2000. (All Actions) "/>
    <x v="1"/>
    <x v="0"/>
  </r>
  <r>
    <s v="195. SUPPLEMENTARY EXTRADITION CONVENTION WITH SWEDEN Senate Consideration of Treaty Document 97-15 Date Received from President: 07/28/1981 - 97th Congress (1981-1982) Treaty Topic: Extradition and Criminal Assistance Latest Senate Action: 10/13/2000 - 106th Congress (1999-2000) - Returned to the President pursuant to S. Res. 267 agreed to in Senate on October 12, 2000. (All Actions) "/>
    <s v="195"/>
    <s v="SUPPLEMENTARY EXTRADITION CONVENTION WITH SWEDEN"/>
    <s v="97-15"/>
    <s v="07/28/1981 - 97th Congress (1981-1982)"/>
    <s v="97th"/>
    <s v="Extradition and Criminal Assistance"/>
    <s v="10/13/2000 - 106th Congress (1999-2000) - Returned to the President pursuant to S. Res. 267 agreed to in Senate on October 12, 2000. (All Actions) "/>
    <x v="8"/>
    <s v="Returned to the President pursuant to S. Res. 267 agreed to in Senate on October 12, 2000. (All Actions) "/>
    <x v="1"/>
    <x v="0"/>
  </r>
  <r>
    <s v="196. INVESTMENT TREATY WITH HAITI Senate Consideration of Treaty Document 99-16 Date Received from President: 03/25/1986 - 99th Congress (1985-1986) Treaty Topic: Commercial Latest Senate Action: 10/13/2000 - 106th Congress (1999-2000) - Returned to the President pursuant to S. Res. 267 agreed to in Senate on October 12, 2000. (All Actions) "/>
    <s v="196"/>
    <s v="INVESTMENT TREATY WITH HAITI"/>
    <s v="99-16"/>
    <s v="03/25/1986 - 99th Congress (1985-1986)"/>
    <s v="99th"/>
    <s v="Commercial"/>
    <s v="10/13/2000 - 106th Congress (1999-2000) - Returned to the President pursuant to S. Res. 267 agreed to in Senate on October 12, 2000. (All Actions) "/>
    <x v="8"/>
    <s v="Returned to the President pursuant to S. Res. 267 agreed to in Senate on October 12, 2000. (All Actions) "/>
    <x v="1"/>
    <x v="0"/>
  </r>
  <r>
    <s v="197. INTERNATIONAL CONVENTION ON CIVIL LIABILITY FOR OIL POLLUTION DAMAGE Senate Consideration of Treaty Document 91-17(B) Date Received from President: 05/20/1970 - 91st Congress (1969-1970) Treaty Topic: Shipping and Marine Pollution Latest Senate Action: 10/13/2000 - 106th Congress (1999-2000) - Returned to the President pursuant to S. Res. 267 agreed to in Senate on October 12, 2000. (All Actions) "/>
    <s v="197"/>
    <s v="INTERNATIONAL CONVENTION ON CIVIL LIABILITY FOR OIL POLLUTION DAMAGE"/>
    <s v="91-17"/>
    <s v="05/20/1970 - 91st Congress (1969-1970)"/>
    <s v="91st"/>
    <s v="Shipping and Marine Pollution"/>
    <s v="10/13/2000 - 106th Congress (1999-2000) - Returned to the President pursuant to S. Res. 267 agreed to in Senate on October 12, 2000. (All Actions) "/>
    <x v="8"/>
    <s v="Returned to the President pursuant to S. Res. 267 agreed to in Senate on October 12, 2000. (All Actions) "/>
    <x v="1"/>
    <x v="0"/>
  </r>
  <r>
    <s v="198. Convention on the Establishment of an International Fund for Compensation for Oil Pollution Damage and Amendments to the 1954 Prevention of Pollution of the Sea by Oil Convention Senate Consideration of Treaty Document 92-23 Date Received from President: 05/05/1972 - 92nd Congress (1971-1972) Treaty Topic: Shipping and Marine Pollution Latest Senate Action: 10/13/2000 - 106th Congress (1999-2000) - Returned to the President pursuant to S. Res. 267 agreed to in Senate on October 12, 2000. (All Actions) "/>
    <s v="198"/>
    <s v="Convention on the Establishment of an International Fund for Compensation for Oil Pollution Damage and Amendments to the 1954 Prevention of Pollution of the Sea by Oil Convention"/>
    <s v="92-23"/>
    <s v="05/05/1972 - 92nd Congress (1971-1972)"/>
    <s v="92nd"/>
    <s v="Shipping and Marine Pollution"/>
    <s v="10/13/2000 - 106th Congress (1999-2000) - Returned to the President pursuant to S. Res. 267 agreed to in Senate on October 12, 2000. (All Actions) "/>
    <x v="8"/>
    <s v="Returned to the President pursuant to S. Res. 267 agreed to in Senate on October 12, 2000. (All Actions) "/>
    <x v="1"/>
    <x v="0"/>
  </r>
  <r>
    <s v="199. TREATY ON THE LIMITATION OF STRATEGIC ARMS AND PROTOCOL THERETO (SALT II TREATY) Senate Consideration of Treaty Document 96-25 Date Received from President: 06/22/1979 - 96th Congress (1979-1980) Treaty Topic: Arms Control Latest Senate Action: 10/13/2000 - 106th Congress (1999-2000) - Returned to the President pursuant to S. Res. 267 agreed to in Senate on October 12, 2000. (All Actions) "/>
    <s v="199"/>
    <s v="TREATY ON THE LIMITATION OF STRATEGIC ARMS AND PROTOCOL THERETO (SALT II TREATY)"/>
    <s v="96-25"/>
    <s v="06/22/1979 - 96th Congress (1979-1980)"/>
    <s v="96th"/>
    <s v="Arms Control"/>
    <s v="10/13/2000 - 106th Congress (1999-2000) - Returned to the President pursuant to S. Res. 267 agreed to in Senate on October 12, 2000. (All Actions) "/>
    <x v="8"/>
    <s v="Returned to the President pursuant to S. Res. 267 agreed to in Senate on October 12, 2000. (All Actions) "/>
    <x v="1"/>
    <x v="0"/>
  </r>
  <r>
    <s v="200. PROTOCOL AMENDING THE TAX CONVENTION WITH CANADA Senate Consideration of Treaty Document 103-28 Date Received from President: 09/14/1994 - 103rd Congress (1993-1994) Treaty Topic: Taxation Latest Senate Action: 10/13/2000 - 106th Congress (1999-2000) - Returned to the President pursuant to S. Res. 267 agreed to in Senate on October 12, 2000. (All Actions) "/>
    <s v="200"/>
    <s v="PROTOCOL AMENDING THE TAX CONVENTION WITH CANADA"/>
    <s v="103-28"/>
    <s v="09/14/1994 - 103rd Congress (1993-1994)"/>
    <s v="103rd"/>
    <s v="Taxation"/>
    <s v="10/13/2000 - 106th Congress (1999-2000) - Returned to the President pursuant to S. Res. 267 agreed to in Senate on October 12, 2000. (All Actions) "/>
    <x v="8"/>
    <s v="Returned to the President pursuant to S. Res. 267 agreed to in Senate on October 12, 2000. (All Actions) "/>
    <x v="1"/>
    <x v="0"/>
  </r>
  <r>
    <s v="201. TAX CONVENTION WITH DENMARK Senate Consideration of Treaty Document 96-52 Date Received from President: 09/04/1980 - 96th Congress (1979-1980) Treaty Topic: Taxation Latest Senate Action: 10/13/2000 - 106th Congress (1999-2000) - Returned to the President pursuant to S. Res. 267 agreed to in Senate on October 12, 2000. (All Actions) "/>
    <s v="201"/>
    <s v="TAX CONVENTION WITH DENMARK"/>
    <s v="96-52"/>
    <s v="09/04/1980 - 96th Congress (1979-1980)"/>
    <s v="96th"/>
    <s v="Taxation"/>
    <s v="10/13/2000 - 106th Congress (1999-2000) - Returned to the President pursuant to S. Res. 267 agreed to in Senate on October 12, 2000. (All Actions) "/>
    <x v="8"/>
    <s v="Returned to the President pursuant to S. Res. 267 agreed to in Senate on October 12, 2000. (All Actions) "/>
    <x v="1"/>
    <x v="0"/>
  </r>
  <r>
    <s v="202. CONVENTION ON THE RECOGNITION OF STUDIES, DIPLOMAS, AND DEGREES CONCERNING HIGHER EDUCATION IN THE STATES BELONGING TO THE EUROPE REGION Senate Consideration of Treaty Document 96-57 Date Received from President: 11/13/1980 - 96th Congress (1979-1980) Treaty Topic: International Law and Organization Latest Senate Action: 10/13/2000 - 106th Congress (1999-2000) - Returned to the President pursuant to S. Res. 267 agreed to in Senate on October 12, 2000. (All Actions) "/>
    <s v="202"/>
    <s v="CONVENTION ON THE RECOGNITION OF STUDIES, DIPLOMAS, AND DEGREES CONCERNING HIGHER EDUCATION IN THE STATES BELONGING TO THE EUROPE REGION"/>
    <s v="96-57"/>
    <s v="11/13/1980 - 96th Congress (1979-1980)"/>
    <s v="96th"/>
    <s v="International Law and Organization"/>
    <s v="10/13/2000 - 106th Congress (1999-2000) - Returned to the President pursuant to S. Res. 267 agreed to in Senate on October 12, 2000. (All Actions) "/>
    <x v="8"/>
    <s v="Returned to the President pursuant to S. Res. 267 agreed to in Senate on October 12, 2000. (All Actions) "/>
    <x v="1"/>
    <x v="0"/>
  </r>
  <r>
    <s v="203. PROTOCOL AMENDING THE 1916 CONVENTION WITH CANADA FOR THE PROTECTION OF MIGRATORY BIRDS Senate Consideration of Treaty Document 96-58 Date Received from President: 11/24/1980 - 96th Congress (1979-1980) Treaty Topic: Fisheries and Wildlife Latest Senate Action: 10/13/2000 - 106th Congress (1999-2000) - Returned to the President pursuant to S. Res. 267 agreed to in Senate on October 12, 2000. (All Actions) "/>
    <s v="203"/>
    <s v="PROTOCOL AMENDING THE 1916 CONVENTION WITH CANADA FOR THE PROTECTION OF MIGRATORY BIRDS"/>
    <s v="96-58"/>
    <s v="11/24/1980 - 96th Congress (1979-1980)"/>
    <s v="96th"/>
    <s v="Fisheries and Wildlife"/>
    <s v="10/13/2000 - 106th Congress (1999-2000) - Returned to the President pursuant to S. Res. 267 agreed to in Senate on October 12, 2000. (All Actions) "/>
    <x v="8"/>
    <s v="Returned to the President pursuant to S. Res. 267 agreed to in Senate on October 12, 2000. (All Actions) "/>
    <x v="1"/>
    <x v="0"/>
  </r>
  <r>
    <s v="204. CONSULAR CONVENTION WITH YUGOSLAVIA Senate Consideration of Treaty Document 101-3 Date Received from President: 03/13/1989 - 101st Congress (1989-1990) Treaty Topic: Consular Latest Senate Action: 10/12/2000 - 106th Congress (1999-2000) - Returned to the President pursuant to S. Res. 267 agreed to in Senate on October 12, 2000. (All Actions) "/>
    <s v="204"/>
    <s v="CONSULAR CONVENTION WITH YUGOSLAVIA"/>
    <s v="101-3"/>
    <s v="03/13/1989 - 101st Congress (1989-1990)"/>
    <s v="101st"/>
    <s v="Consular"/>
    <s v="10/12/2000 - 106th Congress (1999-2000) - Returned to the President pursuant to S. Res. 267 agreed to in Senate on October 12, 2000. (All Actions) "/>
    <x v="8"/>
    <s v="Returned to the President pursuant to S. Res. 267 agreed to in Senate on October 12, 2000. (All Actions) "/>
    <x v="1"/>
    <x v="0"/>
  </r>
  <r>
    <s v="205. 1984 PROTOCOLS AMENDING THE CIVIL LIABILITY AND FUND CONVENTIONS ON OIL POLLUTION DAMAGE Senate Consideration of Treaty Document 99-12 Date Received from President: 11/05/1985 - 99th Congress (1985-1986) Treaty Topic: Shipping and Marine Pollution Latest Senate Action: 10/12/2000 - 106th Congress (1999-2000) - Returned to the President pursuant to S. Res. 267 agreed to in Senate on October 12, 2000. (All Actions) "/>
    <s v="205"/>
    <s v="1984 PROTOCOLS AMENDING THE CIVIL LIABILITY AND FUND CONVENTIONS ON OIL POLLUTION DAMAGE"/>
    <s v="99-12"/>
    <s v="11/05/1985 - 99th Congress (1985-1986)"/>
    <s v="99th"/>
    <s v="Shipping and Marine Pollution"/>
    <s v="10/12/2000 - 106th Congress (1999-2000) - Returned to the President pursuant to S. Res. 267 agreed to in Senate on October 12, 2000. (All Actions) "/>
    <x v="8"/>
    <s v="Returned to the President pursuant to S. Res. 267 agreed to in Senate on October 12, 2000. (All Actions) "/>
    <x v="1"/>
    <x v="0"/>
  </r>
  <r>
    <s v="206. PROTOCOL OF 1984 TO THE CIVIL LIABILITY CONVENTION FOR OIL POLLUTION DAMAGE Senate Consideration of Treaty Document 99-12(A) Date Received from President: 11/05/1985 - 99th Congress (1985-1986) Treaty Topic: Shipping and Marine Pollution Latest Senate Action: 10/12/2000 - 106th Congress (1999-2000) - Returned to the President pursuant to S. Res. 267 . (All Actions) "/>
    <s v="206"/>
    <s v="PROTOCOL OF 1984 TO THE CIVIL LIABILITY CONVENTION FOR OIL POLLUTION DAMAGE"/>
    <s v="99-12"/>
    <s v="11/05/1985 - 99th Congress (1985-1986)"/>
    <s v="99th"/>
    <s v="Shipping and Marine Pollution"/>
    <s v="10/12/2000 - 106th Congress (1999-2000) - Returned to the President pursuant to S. Res. 267 . (All Actions) "/>
    <x v="8"/>
    <s v="Returned to the President pursuant to S. Res. 267 . (All Actions) "/>
    <x v="1"/>
    <x v="0"/>
  </r>
  <r>
    <s v="207. PROTOCOL OF 1984 TO AMEND THE INTERNATIONAL FUND CONVENTION FOR COMPENSATION FOR OIL POLLUTION DAMAGE Senate Consideration of Treaty Document 99-12(B) Date Received from President: 11/05/1985 - 99th Congress (1985-1986) Treaty Topic: Shipping and Marine Pollution Latest Senate Action: 10/12/2000 - 106th Congress (1999-2000) - Returned to the President pursuant to S. Res. 267. (All Actions) "/>
    <s v="207"/>
    <s v="PROTOCOL OF 1984 TO AMEND THE INTERNATIONAL FUND CONVENTION FOR COMPENSATION FOR OIL POLLUTION DAMAGE"/>
    <s v="99-12"/>
    <s v="11/05/1985 - 99th Congress (1985-1986)"/>
    <s v="99th"/>
    <s v="Shipping and Marine Pollution"/>
    <s v="10/12/2000 - 106th Congress (1999-2000) - Returned to the President pursuant to S. Res. 267. (All Actions) "/>
    <x v="8"/>
    <s v="Returned to the President pursuant to S. Res. 267. (All Actions) "/>
    <x v="1"/>
    <x v="0"/>
  </r>
  <r>
    <s v="208. CONVENTION ON THE ESTABLISHMENT OF AN INTERNTIONAL FUND FOR COMPENSATION FOR OIL POLLUTION DAMAGE Senate Consideration of Treaty Document 92-23(A) Date Received from President: 05/05/1972 - 92nd Congress (1971-1972) Treaty Topic: Shipping and Marine Pollution Latest Senate Action: 10/12/2000 - 106th Congress (1999-2000) - Returned to the President pursuant to S. Res. 267. (All Actions) "/>
    <s v="208"/>
    <s v="CONVENTION ON THE ESTABLISHMENT OF AN INTERNTIONAL FUND FOR COMPENSATION FOR OIL POLLUTION DAMAGE"/>
    <s v="92-23"/>
    <s v="05/05/1972 - 92nd Congress (1971-1972)"/>
    <s v="92nd"/>
    <s v="Shipping and Marine Pollution"/>
    <s v="10/12/2000 - 106th Congress (1999-2000) - Returned to the President pursuant to S. Res. 267. (All Actions) "/>
    <x v="8"/>
    <s v="Returned to the President pursuant to S. Res. 267. (All Actions) "/>
    <x v="1"/>
    <x v="0"/>
  </r>
  <r>
    <s v="209. AMENDMENTS TO THE 1954 PREVENTION OF POLLUTION OF THE SEA BY OIL CONVENTION Senate Consideration of Treaty Document 92-23(B) Date Received from President: 05/05/1972 - 92nd Congress (1971-1972) Treaty Topic: Shipping and Marine Pollution Latest Senate Action: 10/12/2000 - 106th Congress (1999-2000) - Returned to the President pursuant to S. Res. 267, Executive Resolution resolving to return certain treaties to the President. (All Actions) "/>
    <s v="209"/>
    <s v="AMENDMENTS TO THE 1954 PREVENTION OF POLLUTION OF THE SEA BY OIL CONVENTION"/>
    <s v="92-23"/>
    <s v="05/05/1972 - 92nd Congress (1971-1972)"/>
    <s v="92nd"/>
    <s v="Shipping and Marine Pollution"/>
    <s v="10/12/2000 - 106th Congress (1999-2000) - Returned to the President pursuant to S. Res. 267, Executive Resolution resolving to return certain treaties to the President. (All Actions) "/>
    <x v="8"/>
    <s v="Returned to the President pursuant to S. Res. 267, Executive Resolution resolving to return certain treaties to the President. (All Actions) "/>
    <x v="1"/>
    <x v="0"/>
  </r>
  <r>
    <s v="210. CONVENTION (No. 176) CONCERNING SAFETY AND HEALTH IN MINES Senate Consideration of Treaty Document 106-8 Text of Treaty Document: TXT | PDF Date Received from President: 09/09/1999 - 106th Congress (1999-2000) Treaty Topic: Labor Latest Senate Action: 09/20/2000 - 106th Congress (1999-2000) - Resolution of advice and consent to ratification agreed to in Senate by Division Vote. (All Actions) "/>
    <s v="210"/>
    <s v="CONVENTION (No. 176) CONCERNING SAFETY AND HEALTH IN MINES"/>
    <s v="106-8"/>
    <s v="09/09/1999 - 106th Congress (1999-2000)"/>
    <s v="106th"/>
    <s v="Labor"/>
    <s v="09/20/2000 - 106th Congress (1999-2000) - Resolution of advice and consent to ratification agreed to in Senate by Division Vote. (All Actions) "/>
    <x v="8"/>
    <s v="Resolution of advice and consent to ratification agreed to in Senate by Division Vote. (All Actions) "/>
    <x v="0"/>
    <x v="0"/>
  </r>
  <r>
    <s v="211. FOOD AID CONVENTION 1999 Senate Consideration of Treaty Document 106-14 Text of Treaty Document: TXT | PDF Date Received from President: 10/13/1999 - 106th Congress (1999-2000) Treaty Topic: Commercial Latest Senate Action: 09/20/2000 - 106th Congress (1999-2000) - Resolution of advice and consent to ratification agreed to in Senate by Division Vote. (All Actions) "/>
    <s v="211"/>
    <s v="FOOD AID CONVENTION 1999"/>
    <s v="106-14"/>
    <s v="10/13/1999 - 106th Congress (1999-2000)"/>
    <s v="106th"/>
    <s v="Commercial"/>
    <s v="09/20/2000 - 106th Congress (1999-2000) - Resolution of advice and consent to ratification agreed to in Senate by Division Vote. (All Actions) "/>
    <x v="8"/>
    <s v="Resolution of advice and consent to ratification agreed to in Senate by Division Vote. (All Actions) "/>
    <x v="0"/>
    <x v="0"/>
  </r>
  <r>
    <s v="212. INTER-AMERICAN CONVENTION ON SEA TURTLES Senate Consideration of Treaty Document 105-48 Text of Treaty Document: TXT | PDF Date Received from President: 05/22/1998 - 105th Congress (1997-1998) Treaty Topic: Fisheries and Wildlife Latest Senate Action: 09/20/2000 - 106th Congress (1999-2000) - Resolution of advice and consent to ratification agreed to in Senate by Division Vote. (All Actions) "/>
    <s v="212"/>
    <s v="INTER-AMERICAN CONVENTION ON SEA TURTLES"/>
    <s v="105-48"/>
    <s v="05/22/1998 - 105th Congress (1997-1998)"/>
    <s v="105th"/>
    <s v="Fisheries and Wildlife"/>
    <s v="09/20/2000 - 106th Congress (1999-2000) - Resolution of advice and consent to ratification agreed to in Senate by Division Vote. (All Actions) "/>
    <x v="8"/>
    <s v="Resolution of advice and consent to ratification agreed to in Senate by Division Vote. (All Actions) "/>
    <x v="0"/>
    <x v="0"/>
  </r>
  <r>
    <s v="213. Convention On Protection of Children and Co-operation In Respect of Intercountry Adoption Senate Consideration of Treaty Document 105-51 Text of Treaty Document: TXT | PDF Date Received from President: 06/11/1998 - 105th Congress (1997-1998) Treaty Topic: Human Rights Latest Senate Action: 09/20/2000 - 106th Congress (1999-2000) - Resolution of advice and consent to ratification agreed to in Senate by Division Vote. (All Actions) "/>
    <s v="213"/>
    <s v="Convention On Protection of Children and Co-operation In Respect of Intercountry Adoption"/>
    <s v="105-51"/>
    <s v="06/11/1998 - 105th Congress (1997-1998)"/>
    <s v="105th"/>
    <s v="Human Rights"/>
    <s v="09/20/2000 - 106th Congress (1999-2000) - Resolution of advice and consent to ratification agreed to in Senate by Division Vote. (All Actions) "/>
    <x v="8"/>
    <s v="Resolution of advice and consent to ratification agreed to in Senate by Division Vote. (All Actions) "/>
    <x v="0"/>
    <x v="0"/>
  </r>
  <r>
    <s v="214. INTER-AMERICAN CONVENTION AGAINST CORRUPTION Senate Consideration of Treaty Document 105-39 Text of Treaty Document: TXT | PDF Date Received from President: 04/01/1998 - 105th Congress (1997-1998) Treaty Topic: Extradition and Criminal Assistance Latest Senate Action: 07/27/2000 - 106th Congress (1999-2000) - Resolution of advice and consent to ratification agreed to in Senate by Division Vote. (All Actions) "/>
    <s v="214"/>
    <s v="INTER-AMERICAN CONVENTION AGAINST CORRUPTION"/>
    <s v="105-39"/>
    <s v="04/01/1998 - 105th Congress (1997-1998)"/>
    <s v="105th"/>
    <s v="Extradition and Criminal Assistance"/>
    <s v="07/27/2000 - 106th Congress (1999-2000) - Resolution of advice and consent to ratification agreed to in Senate by Division Vote. (All Actions) "/>
    <x v="8"/>
    <s v="Resolution of advice and consent to ratification agreed to in Senate by Division Vote. (All Actions) "/>
    <x v="0"/>
    <x v="0"/>
  </r>
  <r>
    <s v="215. Investment Treaty with Nicaragua Senate Consideration of Treaty Document 106-33 Text of Treaty Document: TXT | PDF Date Received from President: 06/26/2000 - 106th Congress (1999-2000) Treaty Topic: International Law Latest Senate Action: 06/26/2000 - 106th Congress (1999-2000) - Received in the Senate and referred to the Committee on Foreign Relations by unanimous consent. (All Actions) "/>
    <s v="215"/>
    <s v="Investment Treaty with Nicaragua"/>
    <s v="106-33"/>
    <s v="06/26/2000 - 106th Congress (1999-2000)"/>
    <s v="106th"/>
    <s v="International Law"/>
    <s v="06/26/2000 - 106th Congress (1999-2000) - Received in the Senate and referred to the Committee on Foreign Relations by unanimous consent. (All Actions) "/>
    <x v="8"/>
    <s v="Received in the Senate and referred to the Committee on Foreign Relations by unanimous consent. (All Actions) "/>
    <x v="1"/>
    <x v="0"/>
  </r>
  <r>
    <s v="216. EXTRADITION TREATY WITH THE REPUBLIC OF KOREA Senate Consideration of Treaty Document 106-2 Text of Treaty Document: TXT | PDF Date Received from President: 03/02/1999 - 106th Congress (1999-2000) Treaty Topic: Extradition and Criminal Assistance Latest Senate Action: 11/05/1999 - 106th Congress (1999-2000) - Resolution of advice and consent to ratification agreed to in Senate by Division vote. (All Actions) "/>
    <s v="216"/>
    <s v="EXTRADITION TREATY WITH THE REPUBLIC OF KOREA"/>
    <s v="106-2"/>
    <s v="03/02/1999 - 106th Congress (1999-2000)"/>
    <s v="106th"/>
    <s v="Extradition and Criminal Assistance"/>
    <s v="11/05/1999 - 106th Congress (1999-2000) - Resolution of advice and consent to ratification agreed to in Senate by Division vote. (All Actions) "/>
    <x v="8"/>
    <s v="Resolution of advice and consent to ratification agreed to in Senate by Division vote. (All Actions) "/>
    <x v="0"/>
    <x v="0"/>
  </r>
  <r>
    <s v="217. Tax Convention with Venezuela Senate Consideration of Treaty Document 106-3 Text of Treaty Document: TXT | PDF Date Received from President: 06/29/1999 - 106th Congress (1999-2000) Treaty Topic: Taxation Latest Senate Action: 11/05/1999 - 106th Congress (1999-2000) - Resolution of advice and consent to ratification agreed to in Senate by Division vote. (All Actions) "/>
    <s v="217"/>
    <s v="Tax Convention with Venezuela"/>
    <s v="106-3"/>
    <s v="06/29/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18. CONVENTION (No. 182) FOR ELIMINATION OF THE WORST FORMS OF CHILD LABOR Senate Consideration of Treaty Document 106-5 Text of Treaty Document: TXT | PDF Date Received from President: 08/05/1999 - 106th Congress (1999-2000) Treaty Topic: Labor Latest Senate Action: 11/05/1999 - 106th Congress (1999-2000) - Resolution of advice and consent to ratification agreed to in Senate by Division vote. (All Actions) "/>
    <s v="218"/>
    <s v="CONVENTION (No. 182) FOR ELIMINATION OF THE WORST FORMS OF CHILD LABOR"/>
    <s v="106-5"/>
    <s v="08/05/1999 - 106th Congress (1999-2000)"/>
    <s v="106th"/>
    <s v="Labor"/>
    <s v="11/05/1999 - 106th Congress (1999-2000) - Resolution of advice and consent to ratification agreed to in Senate by Division vote. (All Actions) "/>
    <x v="8"/>
    <s v="Resolution of advice and consent to ratification agreed to in Senate by Division vote. (All Actions) "/>
    <x v="0"/>
    <x v="0"/>
  </r>
  <r>
    <s v="219. TAX CONVENTION WITH SLOVENIA Senate Consideration of Treaty Document 106-9 Text of Treaty Document: TXT | PDF Date Received from President: 09/13/1999 - 106th Congress (1999-2000) Treaty Topic: Taxation Latest Senate Action: 11/05/1999 - 106th Congress (1999-2000) - Resolution of advice and consent to ratification agreed to in Senate by Division vote. (All Actions) "/>
    <s v="219"/>
    <s v="TAX CONVENTION WITH SLOVENIA"/>
    <s v="106-9"/>
    <s v="09/13/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20. TAX CONVENTION WITH ITALY Senate Consideration of Treaty Document 106-11 Text of Treaty Document: TXT | PDF Date Received from President: 09/21/1999 - 106th Congress (1999-2000) Treaty Topic: Taxation Latest Senate Action: 11/05/1999 - 106th Congress (1999-2000) - Resolution of advice and consent to ratification agreed to in Senate by Division vote. (All Actions) "/>
    <s v="220"/>
    <s v="TAX CONVENTION WITH ITALY"/>
    <s v="106-11"/>
    <s v="09/21/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21. TAX CONVENTION DENMARK Senate Consideration of Treaty Document 106-12 Text of Treaty Document: TXT | PDF Date Received from President: 09/21/1999 - 106th Congress (1999-2000) Treaty Topic: Taxation Latest Senate Action: 11/05/1999 - 106th Congress (1999-2000) - Resolution of advice and consent to ratification agreed to in Senate by Division vote. (All Actions) "/>
    <s v="221"/>
    <s v="TAX CONVENTION DENMARK"/>
    <s v="106-12"/>
    <s v="09/21/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22. PROTOCOL AMENDING THE TAX CONVENTION WITH GERMANY Senate Consideration of Treaty Document 106-13 Text of Treaty Document: TXT | PDF Date Received from President: 09/21/1999 - 106th Congress (1999-2000) Treaty Topic: Taxation Latest Senate Action: 11/05/1999 - 106th Congress (1999-2000) - Resolution of advice and consent to ratification agreed to in Senate by Division vote. (All Actions) "/>
    <s v="222"/>
    <s v="PROTOCOL AMENDING THE TAX CONVENTION WITH GERMANY"/>
    <s v="106-13"/>
    <s v="09/21/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23. Tax Convention with Ireland Senate Consideration of Treaty Document 106-15 Text of Treaty Document: TXT | PDF Date Received from President: 10/29/1999 - 106th Congress (1999-2000) Treaty Topic: Taxation Latest Senate Action: 11/05/1999 - 106th Congress (1999-2000) - Resolution of advice and consent to ratification agreed to in Senate by Division vote. (All Actions) "/>
    <s v="223"/>
    <s v="Tax Convention with Ireland"/>
    <s v="106-15"/>
    <s v="10/29/1999 - 106th Congress (1999-2000)"/>
    <s v="106th"/>
    <s v="Taxation"/>
    <s v="11/05/1999 - 106th Congress (1999-2000) - Resolution of advice and consent to ratification agreed to in Senate by Division vote. (All Actions) "/>
    <x v="8"/>
    <s v="Resolution of advice and consent to ratification agreed to in Senate by Division vote. (All Actions) "/>
    <x v="0"/>
    <x v="0"/>
  </r>
  <r>
    <s v="224. TAX CONVENTION WITH ESTONIA Senate Consideration of Treaty Document 105-55 Text of Treaty Document: TXT | PDF Date Received from President: 06/26/1998 - 105th Congress (1997-1998) Treaty Topic: Taxation Latest Senate Action: 11/05/1999 - 106th Congress (1999-2000) - Resolution of advice and consent to ratification agreed to in Senate by Division vote. (All Actions) "/>
    <s v="224"/>
    <s v="TAX CONVENTION WITH ESTONIA"/>
    <s v="105-55"/>
    <s v="06/26/1998 - 105th Congress (1997-1998)"/>
    <s v="105th"/>
    <s v="Taxation"/>
    <s v="11/05/1999 - 106th Congress (1999-2000) - Resolution of advice and consent to ratification agreed to in Senate by Division vote. (All Actions) "/>
    <x v="8"/>
    <s v="Resolution of advice and consent to ratification agreed to in Senate by Division vote. (All Actions) "/>
    <x v="0"/>
    <x v="0"/>
  </r>
  <r>
    <s v="225. TAX CONVENTION WITH LITHUANIA Senate Consideration of Treaty Document 105-56 Text of Treaty Document: TXT | PDF Date Received from President: 06/26/1998 - 105th Congress (1997-1998) Treaty Topic: Taxation Latest Senate Action: 11/05/1999 - 106th Congress (1999-2000) - Resolution of advice and consent to ratification agreed to in Senate by Division vote. (All Actions) "/>
    <s v="225"/>
    <s v="TAX CONVENTION WITH LITHUANIA"/>
    <s v="105-56"/>
    <s v="06/26/1998 - 105th Congress (1997-1998)"/>
    <s v="105th"/>
    <s v="Taxation"/>
    <s v="11/05/1999 - 106th Congress (1999-2000) - Resolution of advice and consent to ratification agreed to in Senate by Division vote. (All Actions) "/>
    <x v="8"/>
    <s v="Resolution of advice and consent to ratification agreed to in Senate by Division vote. (All Actions) "/>
    <x v="0"/>
    <x v="0"/>
  </r>
  <r>
    <s v="226. Tax Convention with Latvia Senate Consideration of Treaty Document 105-57 Text of Treaty Document: TXT | PDF Date Received from President: 06/26/1998 - 105th Congress (1997-1998) Treaty Topic: Taxation Latest Senate Action: 11/05/1999 - 106th Congress (1999-2000) - Resolution of advice and consent to ratification agreed to in Senate by Division vote. (All Actions) "/>
    <s v="226"/>
    <s v="Tax Convention with Latvia"/>
    <s v="105-57"/>
    <s v="06/26/1998 - 105th Congress (1997-1998)"/>
    <s v="105th"/>
    <s v="Taxation"/>
    <s v="11/05/1999 - 106th Congress (1999-2000) - Resolution of advice and consent to ratification agreed to in Senate by Division vote. (All Actions) "/>
    <x v="8"/>
    <s v="Resolution of advice and consent to ratification agreed to in Senate by Division vote. (All Actions) "/>
    <x v="0"/>
    <x v="0"/>
  </r>
  <r>
    <s v="227. AMENDED MINES PROTOCOL Senate Consideration of Treaty Document 105-1(A) Text of Treaty Document: TXT | PDF Date Received from President: 01/07/1997 - 105th Congress (1997-1998) Treaty Topic: Arms Control Latest Senate Action: 05/20/1999 - 106th Congress (1999-2000) - Resolution of advice and consent to ratification agreed to in Senate by Division vote. (All Actions) "/>
    <s v="227"/>
    <s v="AMENDED MINES PROTOCOL"/>
    <s v="105-1(A)"/>
    <s v="01/07/1997 - 105th Congress (1997-1998)"/>
    <s v="105th"/>
    <s v="Arms Control"/>
    <s v="05/20/1999 - 106th Congress (1999-2000) - Resolution of advice and consent to ratification agreed to in Senate by Division vote. (All Actions) "/>
    <x v="8"/>
    <s v="Resolution of advice and consent to ratification agreed to in Senate by Division vote. (All Actions) "/>
    <x v="0"/>
    <x v="0"/>
  </r>
  <r>
    <s v="228. CONVENTION ON NUCLEAR SAFETY Senate Consideration of Treaty Document 104-6 Text of Treaty Document: TXT | PDF Date Received from President: 05/11/1995 - 104th Congress (1995-1996) Treaty Topic: International Law and Organization Latest Senate Action: 03/25/1999 - 106th Congress (1999-2000) - Resolution of advice and consent to ratification agreed to in Senate by Division vote. (All Actions) "/>
    <s v="228"/>
    <s v="CONVENTION ON NUCLEAR SAFETY"/>
    <s v="104-6"/>
    <s v="05/11/1995 - 104th Congress (1995-1996)"/>
    <s v="104th"/>
    <s v="International Law and Organization"/>
    <s v="03/25/1999 - 106th Congress (1999-2000) - Resolution of advice and consent to ratification agreed to in Senate by Division vote. (All Actions) "/>
    <x v="8"/>
    <s v="Resolution of advice and consent to ratification agreed to in Senate by Division vote. (All Actions) "/>
    <x v="0"/>
    <x v="0"/>
  </r>
  <r>
    <s v="229. The Hague Protocol Senate Consideration of Treaty Document 106-1(B) Text of Treaty Document: TXT | PDF Date Received from President: 01/06/1999 - 106th Congress (1999-2000) Treaty Topic: International Law Latest Senate Action: 01/06/1999 - 106th Congress (1999-2000) - Received in the Senate and referred to the Committee on Foreign Relations by unanimous consent removing the injunction of secrecy. (All Actions) "/>
    <s v="229"/>
    <s v="The Hague Protocol"/>
    <s v="106-1(B)"/>
    <s v="01/06/1999 - 106th Congress (1999-2000)"/>
    <s v="106th"/>
    <s v="International Law"/>
    <s v="01/06/1999 - 106th Congress (1999-2000) - Received in the Senate and referred to the Committee on Foreign Relations by unanimous consent removing the injunction of secrecy. (All Actions) "/>
    <x v="8"/>
    <s v="Received in the Senate and referred to the Committee on Foreign Relations by unanimous consent removing the injunction of secrecy. (All Actions) "/>
    <x v="1"/>
    <x v="0"/>
  </r>
  <r>
    <s v="230. AGREEMENT WITH HONG KONG ON MUTUAL LEGAL ASSISTANCE IN CRIMINAL MATTERS, WITH ANNEX Senate Consideration of Treaty Document 105-6 Text of Treaty Document: TXT | PDF Date Received from President: 05/05/1997 - 105th Congress (1997-1998) Treaty Topic: Extradition and Criminal Assistance Latest Senate Action: 10/21/1998 - 105th Congress (1997-1998) - Resolution of advice and consent to ratification agreed to in Senate by Division vote. (All Actions) "/>
    <s v="230"/>
    <s v="AGREEMENT WITH HONG KONG ON MUTUAL LEGAL ASSISTANCE IN CRIMINAL MATTERS, WITH ANNEX"/>
    <s v="105-6"/>
    <s v="05/05/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1. AGREEMENT WITH HONG KONG ON TRANSFER OF SENTENCED PERSONS Senate Consideration of Treaty Document 105-7 Text of Treaty Document: TXT | PDF Date Received from President: 05/05/1997 - 105th Congress (1997-1998) Treaty Topic: Extradition and Criminal Assistance Latest Senate Action: 10/21/1998 - 105th Congress (1997-1998) - Resolution of advice and consent to ratification agreed to in Senate by Division vote. (All Actions) "/>
    <s v="231"/>
    <s v="AGREEMENT WITH HONG KONG ON TRANSFER OF SENTENCED PERSONS"/>
    <s v="105-7"/>
    <s v="05/05/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2. EXTRADITION TREATY WITH LUXEMBOURG Senate Consideration of Treaty Document 105-10 Text of Treaty Document: TXT | PDF Date Received from President: 07/08/1997 - 105th Congress (1997-1998) Treaty Topic: Extradition and Criminal Assistance Latest Senate Action: 10/21/1998 - 105th Congress (1997-1998) - Resolution of advice and consent to ratification agreed to in Senate by Division vote. (All Actions) "/>
    <s v="232"/>
    <s v="EXTRADITION TREATY WITH LUXEMBOURG"/>
    <s v="105-10"/>
    <s v="07/08/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3. MUTUAL LEGAL ASSISTANCE TREATY WITH LUXEMBOURG Senate Consideration of Treaty Document 105-11 Text of Treaty Document: TXT | PDF Date Received from President: 07/08/1997 - 105th Congress (1997-1998) Treaty Topic: Extradition and Criminal Assistance Latest Senate Action: 10/21/1998 - 105th Congress (1997-1998) - Resolution of advice and consent to ratification agreed to in Senate by Division vote. (All Actions) "/>
    <s v="233"/>
    <s v="MUTUAL LEGAL ASSISTANCE TREATY WITH LUXEMBOURG"/>
    <s v="105-11"/>
    <s v="07/08/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4. MUTUAL LEGAL ASSISTANCE TREATY WITH POLAND Senate Consideration of Treaty Document 105-12 Text of Treaty Document: TXT | PDF Date Received from President: 07/08/1997 - 105th Congress (1997-1998) Treaty Topic: Extradition and Criminal Assistance Latest Senate Action: 10/21/1998 - 105th Congress (1997-1998) - Resolution of advice and consent to ratification agreed to in Senate by Division vote. (All Actions) "/>
    <s v="234"/>
    <s v="MUTUAL LEGAL ASSISTANCE TREATY WITH POLAND"/>
    <s v="105-12"/>
    <s v="07/08/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5. EXTRADITION TREATY WITH FRANCE Senate Consideration of Treaty Document 105-13 Text of Treaty Document: TXT | PDF Date Received from President: 07/09/1997 - 105th Congress (1997-1998) Treaty Topic: Extradition and Criminal Assistance Latest Senate Action: 10/21/1998 - 105th Congress (1997-1998) - Resolution of advice and consent to ratification agreed to in Senate by Division vote. (All Actions) "/>
    <s v="235"/>
    <s v="EXTRADITION TREATY WITH FRANCE"/>
    <s v="105-13"/>
    <s v="07/09/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6. EXTRADITION TREATY WITH POLAND Senate Consideration of Treaty Document 105-14 Text of Treaty Document: TXT | PDF Date Received from President: 07/09/1997 - 105th Congress (1997-1998) Treaty Topic: Extradition and Criminal Assistance Latest Senate Action: 10/21/1998 - 105th Congress (1997-1998) - Resolution of advice and consent to ratification agreed to in Senate by Division vote. (All Actions) "/>
    <s v="236"/>
    <s v="EXTRADITION TREATY WITH POLAND"/>
    <s v="105-14"/>
    <s v="07/09/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7. THIRD SUPPLEMENTARY EXTRADITION TREATY WITH SPAIN Senate Consideration of Treaty Document 105-15 Text of Treaty Document: TXT | PDF Date Received from President: 07/10/1997 - 105th Congress (1997-1998) Treaty Topic: Extradition and Criminal Assistance Latest Senate Action: 10/21/1998 - 105th Congress (1997-1998) - Resolution of advice and consent to ratification agreed to in Senate by Division vote. (All Actions) "/>
    <s v="237"/>
    <s v="THIRD SUPPLEMENTARY EXTRADITION TREATY WITH SPAIN"/>
    <s v="105-15"/>
    <s v="07/10/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8. EXTRADITION TREATY WITH CYPRUS Senate Consideration of Treaty Document 105-16 Text of Treaty Document: TXT | PDF Date Received from President: 07/28/1997 - 105th Congress (1997-1998) Treaty Topic: Extradition and Criminal Assistance Latest Senate Action: 10/21/1998 - 105th Congress (1997-1998) - Resolution of advice and consent to ratification agreed to in Senate by Division vote. (All Actions) "/>
    <s v="238"/>
    <s v="EXTRADITION TREATY WITH CYPRUS"/>
    <s v="105-16"/>
    <s v="07/28/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39. WIPO COPYRIGHT TREATY (WCT)(1996) AND WIPO PERFORMANCES AND PHONOGRAMS TREATY(WPPT)(1996) Senate Consideration of Treaty Document 105-17 Text of Treaty Document: TXT | PDF Date Received from President: 07/28/1997 - 105th Congress (1997-1998) Treaty Topic: International Law Latest Senate Action: 10/21/1998 - 105th Congress (1997-1998) - Resolution of advice and consent to ratification agreed to in Senate by Division vote. (All Actions) "/>
    <s v="239"/>
    <s v="WIPO COPYRIGHT TREATY (WCT)(1996) AND WIPO PERFORMANCES AND PHONOGRAMS TREATY(WPPT)(1996)"/>
    <s v="105-17"/>
    <s v="07/28/1997 - 105th Congress (1997-1998)"/>
    <s v="105th"/>
    <s v="International Law"/>
    <s v="10/21/1998 - 105th Congress (1997-1998) - Resolution of advice and consent to ratification agreed to in Senate by Division vote. (All Actions) "/>
    <x v="9"/>
    <s v="Resolution of advice and consent to ratification agreed to in Senate by Division vote. (All Actions) "/>
    <x v="0"/>
    <x v="0"/>
  </r>
  <r>
    <s v="240. EXTRADITION TREATY WITH ARGENTINA Senate Consideration of Treaty Document 105-18 Text of Treaty Document: TXT | PDF Date Received from President: 07/30/1997 - 105th Congress (1997-1998) Treaty Topic: Extradition and Criminal Assistance Latest Senate Action: 10/21/1998 - 105th Congress (1997-1998) - Resolution of advice and consent to ratification agreed to in Senate by Division vote. (All Actions) "/>
    <s v="240"/>
    <s v="EXTRADITION TREATY WITH ARGENTINA"/>
    <s v="105-18"/>
    <s v="07/30/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1. EXTRADITION TREATY WITH ORGANIZATION OF EASTERN CARIBBEAN STATES Senate Consideration of Treaty Document 105-19 Text of Treaty Document: TXT | PDF Date Received from President: 07/30/1997 - 105th Congress (1997-1998) Treaty Topic: Extradition and Criminal Assistance Latest Senate Action: 10/21/1998 - 105th Congress (1997-1998) - Resolution of advice and consent to ratification agreed to in Senate by Division vote. (All Actions) "/>
    <s v="241"/>
    <s v="EXTRADITION TREATY WITH ORGANIZATION OF EASTERN CARIBBEAN STATES"/>
    <s v="105-19"/>
    <s v="07/30/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2. EXTRADITION TREATY WITH BARBADOS Senate Consideration of Treaty Document 105-20 Text of Treaty Document: TXT | PDF Date Received from President: 07/31/1997 - 105th Congress (1997-1998) Treaty Topic: Extradition and Criminal Assistance Latest Senate Action: 10/21/1998 - 105th Congress (1997-1998) - Resolution of advice and consent to ratification agreed to in Senate by Division vote. (All Actions) "/>
    <s v="242"/>
    <s v="EXTRADITION TREATY WITH BARBADOS"/>
    <s v="105-20"/>
    <s v="07/31/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3. EXTRADITION TREATY WITH TRINIDAD AND TOBAGO Senate Consideration of Treaty Document 105-21 Text of Treaty Document: TXT | PDF Date Received from President: 07/31/1997 - 105th Congress (1997-1998) Treaty Topic: Extradition and Criminal Assistance Latest Senate Action: 10/21/1998 - 105th Congress (1997-1998) - Resolution of advice and consent to ratification agreed to in Senate by Division vote. (All Actions) "/>
    <s v="243"/>
    <s v="EXTRADITION TREATY WITH TRINIDAD AND TOBAGO"/>
    <s v="105-21"/>
    <s v="07/31/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4. MUTUAL LEGAL ASSISTANCE IN CRIMINAL MATTERS WITH TRINIDAD AND TOBAGO Senate Consideration of Treaty Document 105-22 Text of Treaty Document: TXT | PDF Date Received from President: 09/03/1997 - 105th Congress (1997-1998) Treaty Topic: Extradition and Criminal Assistance Latest Senate Action: 10/21/1998 - 105th Congress (1997-1998) - Resolution of advice and consent to ratification agreed to in Senate by Division vote. (All Actions) "/>
    <s v="244"/>
    <s v="MUTUAL LEGAL ASSISTANCE IN CRIMINAL MATTERS WITH TRINIDAD AND TOBAGO"/>
    <s v="105-22"/>
    <s v="09/03/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5. MUTUAL LEGAL ASSISTANCE IN CRIMINAL MATTERS WITH BARBADOS Senate Consideration of Treaty Document 105-23 Text of Treaty Document: TXT | PDF Date Received from President: 09/03/1997 - 105th Congress (1997-1998) Treaty Topic: Extradition and Criminal Assistance Latest Senate Action: 10/21/1998 - 105th Congress (1997-1998) - Resolution of advice and consent to ratification agreed to in Senate by Division vote. (All Actions) "/>
    <s v="245"/>
    <s v="MUTUAL LEGAL ASSISTANCE IN CRIMINAL MATTERS WITH BARBADOS"/>
    <s v="105-23"/>
    <s v="09/03/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6. MUTUAL LEGAL ASSISTANCE IN CRIMINAL MATTERS WITH ANTIGUA AND BARBUDA, DOMINICA, GRENADA AND ST. LUCIA Senate Consideration of Treaty Document 105-24 Text of Treaty Document: TXT | PDF Date Received from President: 09/03/1997 - 105th Congress (1997-1998) Treaty Topic: Extradition and Criminal Assistance Latest Senate Action: 10/21/1998 - 105th Congress (1997-1998) - Resolution of advice and consent to ratification agreed to in Senate by Division vote. (All Actions) "/>
    <s v="246"/>
    <s v="MUTUAL LEGAL ASSISTANCE IN CRIMINAL MATTERS WITH ANTIGUA AND BARBUDA, DOMINICA, GRENADA AND ST. LUCIA"/>
    <s v="105-24"/>
    <s v="09/03/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7. TREATY WITH AUSTRALIA ON MUTUAL ASSISTANCE IN CRIMINAL MATTERS Senate Consideration of Treaty Document 105-27 Text of Treaty Document: TXT | PDF Date Received from President: 09/18/1997 - 105th Congress (1997-1998) Treaty Topic: Extradition and Criminal Assistance Latest Senate Action: 10/21/1998 - 105th Congress (1997-1998) - Resolution of advice and consent to ratification agreed to in Senate by Division vote. (All Actions) "/>
    <s v="247"/>
    <s v="TREATY WITH AUSTRALIA ON MUTUAL ASSISTANCE IN CRIMINAL MATTERS"/>
    <s v="105-27"/>
    <s v="09/18/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8. EXTRADITION TREATY WITH INDIA Senate Consideration of Treaty Document 105-30 Text of Treaty Document: TXT | PDF Date Received from President: 09/23/1997 - 105th Congress (1997-1998) Treaty Topic: Extradition and Criminal Assistance Latest Senate Action: 10/21/1998 - 105th Congress (1997-1998) - Resolution of advice and consent to ratification agreed to in Senate by Division vote. (All Actions) "/>
    <s v="248"/>
    <s v="EXTRADITION TREATY WITH INDIA"/>
    <s v="105-30"/>
    <s v="09/23/1997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49. EXTRADITION TREATY WITH ZIMBABWE Senate Consideration of Treaty Document 105-33 Text of Treaty Document: TXT | PDF Date Received from President: 01/28/1998 - 105th Congress (1997-1998) Treaty Topic: Extradition and Criminal Assistance Latest Senate Action: 10/21/1998 - 105th Congress (1997-1998) - Resolution of advice and consent to ratification agreed to in Senate by Division vote. (All Actions) "/>
    <s v="249"/>
    <s v="EXTRADITION TREATY WITH ZIMBABWE"/>
    <s v="105-33"/>
    <s v="01/28/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0. TREATY WITH LATVIA ON MUTUAL LEGAL ASSISTANCE IN CRIMINAL MATTERS Senate Consideration of Treaty Document 105-34 Text of Treaty Document: TXT | PDF Date Received from President: 01/28/1998 - 105th Congress (1997-1998) Treaty Topic: Extradition and Criminal Assistance Latest Senate Action: 10/21/1998 - 105th Congress (1997-1998) - Resolution of advice and consent to ratification agreed to in Senate by Division vote. (All Actions) "/>
    <s v="250"/>
    <s v="TREATY WITH LATVIA ON MUTUAL LEGAL ASSISTANCE IN CRIMINAL MATTERS"/>
    <s v="105-34"/>
    <s v="01/28/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1. TREATY WITH SAINT KITTS AND NEVIS ON MUTUAL LEGAL ASSISTANCE IN CRIMINAL MATTERS Senate Consideration of Treaty Document 105-37 Text of Treaty Document: TXT | PDF Date Received from President: 03/20/1998 - 105th Congress (1997-1998) Treaty Topic: Extradition and Criminal Assistance Latest Senate Action: 10/21/1998 - 105th Congress (1997-1998) - Resolution of advice and consent to ratification agreed to in Senate by Division vote. (All Actions) "/>
    <s v="251"/>
    <s v="TREATY WITH SAINT KITTS AND NEVIS ON MUTUAL LEGAL ASSISTANCE IN CRIMINAL MATTERS"/>
    <s v="105-37"/>
    <s v="03/20/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2. TREATY WITH VENEZUELA ON MUTUAL LEGAL ASSISTANCE IN CRIMINAL MATTERS Senate Consideration of Treaty Document 105-38 Text of Treaty Document: TXT | PDF Date Received from President: 03/27/1998 - 105th Congress (1997-1998) Treaty Topic: Extradition and Criminal Assistance Latest Senate Action: 10/21/1998 - 105th Congress (1997-1998) - Resolution of advice and consent to ratification agreed to in Senate by Division vote. (All Actions) "/>
    <s v="252"/>
    <s v="TREATY WITH VENEZUELA ON MUTUAL LEGAL ASSISTANCE IN CRIMINAL MATTERS"/>
    <s v="105-38"/>
    <s v="03/27/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3. TREATY WITH ISRAEL ON MUTUAL LEGAL ASSISTANCE IN CRIMINAL MATTERS Senate Consideration of Treaty Document 105-40 Text of Treaty Document: TXT | PDF Date Received from President: 04/02/1998 - 105th Congress (1997-1998) Treaty Topic: Extradition and Criminal Assistance Latest Senate Action: 10/21/1998 - 105th Congress (1997-1998) - Resolution of advice and consent to ratification agreed to in Senate by Division vote. (All Actions) "/>
    <s v="253"/>
    <s v="TREATY WITH ISRAEL ON MUTUAL LEGAL ASSISTANCE IN CRIMINAL MATTERS"/>
    <s v="105-40"/>
    <s v="04/02/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4. TREATY WITH LITHUANIA ON MUTUAL LEGAL ASSISTANCE IN CRIMINAL MAATTERS Senate Consideration of Treaty Document 105-41 Text of Treaty Document: TXT | PDF Date Received from President: 04/20/1998 - 105th Congress (1997-1998) Treaty Topic: Extradition and Criminal Assistance Latest Senate Action: 10/21/1998 - 105th Congress (1997-1998) - Resolution of advice and consent to ratification agreed to in Senate by Division vote. (All Actions) "/>
    <s v="254"/>
    <s v="TREATY WITH LITHUANIA ON MUTUAL LEGAL ASSISTANCE IN CRIMINAL MAATTERS"/>
    <s v="105-41"/>
    <s v="04/20/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5. TREATY WITH BRAZIL ON MUTUAL LEGAL ASSISTANCE IN CRIMINAL MATTERS Senate Consideration of Treaty Document 105-42 Text of Treaty Document: TXT | PDF Date Received from President: 04/28/1998 - 105th Congress (1997-1998) Treaty Topic: Extradition and Criminal Assistance Latest Senate Action: 10/21/1998 - 105th Congress (1997-1998) - Resolution of advice and consent to ratification agreed to in Senate by Division vote. (All Actions) "/>
    <s v="255"/>
    <s v="TREATY WITH BRAZIL ON MUTUAL LEGAL ASSISTANCE IN CRIMINAL MATTERS"/>
    <s v="105-42"/>
    <s v="04/28/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6. TREATY WITH ST. VINCENT AND THE GRENADINES ON MUTUAL LEGAL ASSISTANCE IN CRIMINAL MATTERS Senate Consideration of Treaty Document 105-44 Text of Treaty Document: TXT | PDF Date Received from President: 05/13/1998 - 105th Congress (1997-1998) Treaty Topic: Extradition and Criminal Assistance Latest Senate Action: 10/21/1998 - 105th Congress (1997-1998) - Resolution of advice and consent to ratification agreed to in Senate by Division vote. (All Actions) "/>
    <s v="256"/>
    <s v="TREATY WITH ST. VINCENT AND THE GRENADINES ON MUTUAL LEGAL ASSISTANCE IN CRIMINAL MATTERS"/>
    <s v="105-44"/>
    <s v="05/13/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7. PROTOCOL TO EXTRADITION TREATY WITH MEXICO Senate Consideration of Treaty Document 105-46 Text of Treaty Document: TXT | PDF Date Received from President: 05/21/1998 - 105th Congress (1997-1998) Treaty Topic: Extradition and Criminal Assistance Latest Senate Action: 10/21/1998 - 105th Congress (1997-1998) - Resolution of advice and consent to ratification agreed to in Senate by Division vote. (All Actions) "/>
    <s v="257"/>
    <s v="PROTOCOL TO EXTRADITION TREATY WITH MEXICO"/>
    <s v="105-46"/>
    <s v="05/21/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8. TREATY WITH CZECH REPUBLIC ON MUTUAL LEGAL ASSISTANCE IN CRIMINAL MATTERS Senate Consideration of Treaty Document 105-47 Text of Treaty Document: TXT | PDF Date Received from President: 05/22/1998 - 105th Congress (1997-1998) Treaty Topic: Extradition and Criminal Assistance Latest Senate Action: 10/21/1998 - 105th Congress (1997-1998) - Resolution of advice and consent to ratification agreed to in Senate by Division vote. (All Actions) "/>
    <s v="258"/>
    <s v="TREATY WITH CZECH REPUBLIC ON MUTUAL LEGAL ASSISTANCE IN CRIMINAL MATTERS"/>
    <s v="105-47"/>
    <s v="05/22/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59. Extradition Treaty With Austria Senate Consideration of Treaty Document 105-50 Text of Treaty Document: TXT | PDF Date Received from President: 06/11/1998 - 105th Congress (1997-1998) Treaty Topic: Extradition and Criminal Assistance Latest Senate Action: 10/21/1998 - 105th Congress (1997-1998) - Resolution of advice and consent to ratification agreed to in Senate by Division vote. (All Actions) "/>
    <s v="259"/>
    <s v="Extradition Treaty With Austria"/>
    <s v="105-50"/>
    <s v="06/11/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60. TREATY WITH ESTONIA ON MUTUAL LEGAL ASSISTANCE IN CRIMINAL MATTERS Senate Consideration of Treaty Document 105-52 Text of Treaty Document: TXT Date Received from President: 06/19/1998 - 105th Congress (1997-1998) Treaty Topic: Extradition and Criminal Assistance Latest Senate Action: 10/21/1998 - 105th Congress (1997-1998) - Resolution of advice and consent to ratification agreed to in Senate by Division vote. (All Actions) "/>
    <s v="260"/>
    <s v="TREATY WITH ESTONIA ON MUTUAL LEGAL ASSISTANCE IN CRIMINAL MATTERS"/>
    <s v="105-52"/>
    <s v="06/19/1998 - 105th Congress (1997-1998)"/>
    <s v="105th"/>
    <s v="Extradition and Criminal Assistance"/>
    <s v="10/21/1998 - 105th Congress (1997-1998) - Resolution of advice and consent to ratification agreed to in Senate by Division vote. (All Actions) "/>
    <x v="9"/>
    <s v="Resolution of advice and consent to ratification agreed to in Senate by Division vote. (All Actions) "/>
    <x v="0"/>
    <x v="0"/>
  </r>
  <r>
    <s v="261. MONTREAL PROTOCOL NO. 3 Senate Consideration of Treaty Document 95-2(A) Date Received from President: 01/14/1977 - 95th Congress (1977-1978) Treaty Topic: Aviation Latest Senate Action: 09/28/1998 - 105th Congress (1997-1998) - Protocol No. 3 was returned to the President under proviso No. 2 of the resolution of ratification of T. Doc. 95-2(B). (All Actions) "/>
    <s v="261"/>
    <s v="MONTREAL PROTOCOL NO. 3"/>
    <s v="95-2("/>
    <s v="01/14/1977 - 95th Congress (1977-1978)"/>
    <s v="95th"/>
    <s v="Aviation"/>
    <s v="09/28/1998 - 105th Congress (1997-1998) - Protocol No. 3 was returned to the President under proviso No. 2 of the resolution of ratification of T. Doc. 95-2(B). (All Actions) "/>
    <x v="9"/>
    <s v="Protocol No. 3 was returned to the President under proviso No. 2 of the resolution of ratification of T. Doc. 95-2(B). (All Actions) "/>
    <x v="1"/>
    <x v="0"/>
  </r>
  <r>
    <s v="262. MONTREAL PROTOCOL NO. 4 Senate Consideration of Treaty Document 95-2(B) Date Received from President: 01/14/1977 - 95th Congress (1977-1978) Treaty Topic: Aviation Latest Senate Action: 09/28/1998 - 105th Congress (1997-1998) - Resolution of advice and consent to ratification agreed to in Senate by Division vote. (All Actions) "/>
    <s v="262"/>
    <s v="MONTREAL PROTOCOL NO. 4"/>
    <s v="95-2("/>
    <s v="01/14/1977 - 95th Congress (1977-1978)"/>
    <s v="95th"/>
    <s v="Aviation"/>
    <s v="09/28/1998 - 105th Congress (1997-1998) - Resolution of advice and consent to ratification agreed to in Senate by Division vote. (All Actions) "/>
    <x v="9"/>
    <s v="Resolution of advice and consent to ratification agreed to in Senate by Division vote. (All Actions) "/>
    <x v="0"/>
    <x v="0"/>
  </r>
  <r>
    <s v="263. TWO RELATED PROTOCOLS TO THE CONVENTION FOR THE UNIFICATION OF CERTAIN RULES RELATING TO INTERNATIONAL CARRIAGE BY AIR, AS AMENDED Senate Consideration of Treaty Document 95-2 Date Received from President: 01/14/1977 - 95th Congress (1977-1978) Treaty Topic: Aviation Latest Senate Action: 08/25/1998 - 105th Congress (1997-1998) - Treaty reported by Committee on Foreign Relations as a divided treaty, TD95-2B. Proviso (2) in the resolution of ratification directed the return of TD 95-2A. (All Actions) "/>
    <s v="263"/>
    <s v="TWO RELATED PROTOCOLS TO THE CONVENTION FOR THE UNIFICATION OF CERTAIN RULES RELATING TO INTERNATIONAL CARRIAGE BY AIR, AS AMENDED"/>
    <s v="95-2"/>
    <s v="01/14/1977 - 95th Congress (1977-1978)"/>
    <s v="95th"/>
    <s v="Aviation"/>
    <s v="08/25/1998 - 105th Congress (1997-1998) - Treaty reported by Committee on Foreign Relations as a divided treaty, TD95-2B. Proviso (2) in the resolution of ratification directed the return of TD 95-2A. (All Actions) "/>
    <x v="9"/>
    <s v="Treaty reported by Committee on Foreign Relations as a divided treaty, TD95-2B. Proviso (2) in the resolution of ratification directed the return of TD 95-2A. (All Actions) "/>
    <x v="1"/>
    <x v="0"/>
  </r>
  <r>
    <s v="264. CONVENTION ON COMBATING BRIBERY OF FOREIGN PUBLIC OFFICIALS IN INTERNATIONAL BUSINESS TRANSACTIONS Senate Consideration of Treaty Document 105-43 Text of Treaty Document: TXT | PDF Date Received from President: 05/01/1998 - 105th Congress (1997-1998) Treaty Topic: Extradition and Criminal Assistance Latest Senate Action: 07/31/1998 - 105th Congress (1997-1998) - Resolution of advice and consent to ratification agreed to in Senate by Division vote. (All Actions) "/>
    <s v="264"/>
    <s v="CONVENTION ON COMBATING BRIBERY OF FOREIGN PUBLIC OFFICIALS IN INTERNATIONAL BUSINESS TRANSACTIONS"/>
    <s v="105-43"/>
    <s v="05/01/1998 - 105th Congress (1997-1998)"/>
    <s v="105th"/>
    <s v="Extradition and Criminal Assistance"/>
    <s v="07/31/1998 - 105th Congress (1997-1998) - Resolution of advice and consent to ratification agreed to in Senate by Division vote. (All Actions) "/>
    <x v="9"/>
    <s v="Resolution of advice and consent to ratification agreed to in Senate by Division vote. (All Actions) "/>
    <x v="0"/>
    <x v="0"/>
  </r>
  <r>
    <s v="265. INTERNATIONAL GRAINS AGREEMENT, 1995 Senate Consideration of Treaty Document 105-4 Text of Treaty Document: TXT | PDF Date Received from President: 04/07/1997 - 105th Congress (1997-1998) Treaty Topic: Commercial Latest Senate Action: 06/26/1998 - 105th Congress (1997-1998) - Resolution of advice and consent to ratification agreed to in Senate by Division vote. (All Actions) "/>
    <s v="265"/>
    <s v="INTERNATIONAL GRAINS AGREEMENT, 1995"/>
    <s v="105-4"/>
    <s v="04/07/1997 - 105th Congress (1997-1998)"/>
    <s v="105th"/>
    <s v="Commercial"/>
    <s v="06/26/1998 - 105th Congress (1997-1998) - Resolution of advice and consent to ratification agreed to in Senate by Division vote. (All Actions) "/>
    <x v="9"/>
    <s v="Resolution of advice and consent to ratification agreed to in Senate by Division vote. (All Actions) "/>
    <x v="0"/>
    <x v="0"/>
  </r>
  <r>
    <s v="266. CONVENTION FOR THE PROTECTION OF PLANTS Senate Consideration of Treaty Document 104-17 Text of Treaty Document: TXT | PDF Date Received from President: 09/05/1995 - 104th Congress (1995-1996) Treaty Topic: Fisheries and Wildlife Latest Senate Action: 06/26/1998 - 105th Congress (1997-1998) - Resolution of advice and consent to ratification agreed to in Senate by Division vote. (All Actions) "/>
    <s v="266"/>
    <s v="CONVENTION FOR THE PROTECTION OF PLANTS"/>
    <s v="104-17"/>
    <s v="09/05/1995 - 104th Congress (1995-1996)"/>
    <s v="104th"/>
    <s v="Fisheries and Wildlife"/>
    <s v="06/26/1998 - 105th Congress (1997-1998) - Resolution of advice and consent to ratification agreed to in Senate by Division vote. (All Actions) "/>
    <x v="9"/>
    <s v="Resolution of advice and consent to ratification agreed to in Senate by Division vote. (All Actions) "/>
    <x v="0"/>
    <x v="0"/>
  </r>
  <r>
    <s v="267. TRADEMARK LAW TREATY AND REGULATIONS Senate Consideration of Treaty Document 105-35 Text of Treaty Document: TXT | PDF Date Received from President: 01/29/1998 - 105th Congress (1997-1998) Treaty Topic: Commercial Latest Senate Action: 06/26/1998 - 105th Congress (1997-1998) - Resolution of advice and consent to ratification agreed to in Senate by Division vote. (All Actions) "/>
    <s v="267"/>
    <s v="TRADEMARK LAW TREATY AND REGULATIONS"/>
    <s v="105-35"/>
    <s v="01/29/1998 - 105th Congress (1997-1998)"/>
    <s v="105th"/>
    <s v="Commercial"/>
    <s v="06/26/1998 - 105th Congress (1997-1998) - Resolution of advice and consent to ratification agreed to in Senate by Division vote. (All Actions) "/>
    <x v="9"/>
    <s v="Resolution of advice and consent to ratification agreed to in Senate by Division vote. (All Actions) "/>
    <x v="0"/>
    <x v="0"/>
  </r>
  <r>
    <s v="268. CONVENTION ON THE INTERNATIONAL MARITIME ORGANIZATION Senate Consideration of Treaty Document 104-36 Text of Treaty Document: TXT | PDF Date Received from President: 10/01/1996 - 104th Congress (1995-1996) Treaty Topic: Maritime Boundaries and Claims Latest Senate Action: 06/26/1998 - 105th Congress (1997-1998) - Resolution of advice and consent to ratification agreed to in Senate by Division vote. (All Actions) "/>
    <s v="268"/>
    <s v="CONVENTION ON THE INTERNATIONAL MARITIME ORGANIZATION"/>
    <s v="104-36"/>
    <s v="10/01/1996 - 104th Congress (1995-1996)"/>
    <s v="104th"/>
    <s v="Maritime Boundaries and Claims"/>
    <s v="06/26/1998 - 105th Congress (1997-1998) - Resolution of advice and consent to ratification agreed to in Senate by Division vote. (All Actions) "/>
    <x v="9"/>
    <s v="Resolution of advice and consent to ratification agreed to in Senate by Division vote. (All Actions) "/>
    <x v="0"/>
    <x v="0"/>
  </r>
  <r>
    <s v="269. INTER-AMERICAN CONVENTION AGAINST ILLICIT MANUFACTURING AND TRAFFICKING OF FIREARMS, AMMUNITION, EXPLOSIVES, AND OTHER RELATED MATERIALS Senate Consideration of Treaty Document 105-49 Text of Treaty Document: TXT | PDF Date Received from President: 06/09/1998 - 105th Congress (1997-1998) Treaty Topic: Extradition and Criminal Assistance Latest Senate Action: 06/09/1998 - 105th Congress (1997-1998) - Received in the Senate and referred to the Committee on Foreign Relations by unanimous consent. (All Actions) "/>
    <s v="269"/>
    <s v="INTER-AMERICAN CONVENTION AGAINST ILLICIT MANUFACTURING AND TRAFFICKING OF FIREARMS, AMMUNITION, EXPLOSIVES, AND OTHER RELATED MATERIALS"/>
    <s v="105-49"/>
    <s v="06/09/1998 - 105th Congress (1997-1998)"/>
    <s v="105th"/>
    <s v="Extradition and Criminal Assistance"/>
    <s v="06/09/1998 - 105th Congress (1997-1998) - Received in the Senate and referred to the Committee on Foreign Relations by unanimous consent. (All Actions) "/>
    <x v="9"/>
    <s v="Received in the Senate and referred to the Committee on Foreign Relations by unanimous consent. (All Actions) "/>
    <x v="1"/>
    <x v="0"/>
  </r>
  <r>
    <s v="270. ILO CONVENTION (NO. 111) CONCERNING DISCRIMINATION (EMPLOYMENT AND OCCUPATION) Senate Consideration of Treaty Document 105-45 Text of Treaty Document: TXT | PDF Date Received from President: 05/18/1998 - 105th Congress (1997-1998) Treaty Topic: Human Rights Latest Senate Action: 05/18/1998 - 105th Congress (1997-1998) - Received in the Senate and referred to the Committee on Foreign Relations by unanimous consent. (All Actions) "/>
    <s v="270"/>
    <s v="ILO CONVENTION (NO. 111) CONCERNING DISCRIMINATION (EMPLOYMENT AND OCCUPATION)"/>
    <s v="105-45"/>
    <s v="05/18/1998 - 105th Congress (1997-1998)"/>
    <s v="105th"/>
    <s v="Human Rights"/>
    <s v="05/18/1998 - 105th Congress (1997-1998) - Received in the Senate and referred to the Committee on Foreign Relations by unanimous consent. (All Actions) "/>
    <x v="9"/>
    <s v="Received in the Senate and referred to the Committee on Foreign Relations by unanimous consent. (All Actions) "/>
    <x v="1"/>
    <x v="0"/>
  </r>
  <r>
    <s v="271. PROTOCOLS TO THE NORTH ATLANTIC TREATY OF 1949 ON ACCESSION OF PO LAND, HUNGARY, AND CZECH REPUBLIC Senate Consideration of Treaty Document 105-36 Text of Treaty Document: TXT | PDF Date Received from President: 02/11/1998 - 105th Congress (1997-1998) Treaty Topic: International Law and Organization Latest Senate Action: 04/30/1998 - 105th Congress (1997-1998) - Resolution of advice and consent to ratification agreed to in Senate by Yea-Nay vote. 80-19. Record Vote No: 117 EX. (All Actions) "/>
    <s v="271"/>
    <s v="PROTOCOLS TO THE NORTH ATLANTIC TREATY OF 1949 ON ACCESSION OF PO LAND, HUNGARY, AND CZECH REPUBLIC"/>
    <s v="105-36"/>
    <s v="02/11/1998 - 105th Congress (1997-1998)"/>
    <s v="105th"/>
    <s v="International Law and Organization"/>
    <s v="04/30/1998 - 105th Congress (1997-1998) - Resolution of advice and consent to ratification agreed to in Senate by Yea-Nay vote. 80-19. Record Vote No: 117 EX. (All Actions) "/>
    <x v="9"/>
    <s v="Resolution of advice and consent to ratification agreed to in Senate by Yea-Nay vote. 80-19. Record Vote No: 117 EX. (All Actions) "/>
    <x v="0"/>
    <x v="0"/>
  </r>
  <r>
    <s v="272. PROTOCOLS TO THE 1980 CONVENTIONAL WEAPONS CONVENTION Senate Consideration of Treaty Document 105-1 Text of Treaty Document: TXT | PDF Date Received from President: 01/07/1997 - 105th Congress (1997-1998) Treaty Topic: Arms Control Latest Senate Action: 02/03/1998 - 105th Congress (1997-1998) - Committee on Foreign Relations. Treaty divided into 3 treaties. Created 105-1A: Amended Mines Protocol and 105-1B: Incendiary Weapons Protocol and 105-1C:Protocol on Blinding Laser Weapons. (All Actions) "/>
    <s v="272"/>
    <s v="PROTOCOLS TO THE 1980 CONVENTIONAL WEAPONS CONVENTION"/>
    <s v="105-1"/>
    <s v="01/07/1997 - 105th Congress (1997-1998)"/>
    <s v="105th"/>
    <s v="Arms Control"/>
    <s v="02/03/1998 - 105th Congress (1997-1998) - Committee on Foreign Relations. Treaty divided into 3 treaties. Created 105-1A: Amended Mines Protocol and 105-1B: Incendiary Weapons Protocol and 105-1C:Protocol on Blinding Laser Weapons. (All Actions) "/>
    <x v="9"/>
    <s v="Committee on Foreign Relations. Treaty divided into 3 treaties. Created 105-1A: Amended Mines Protocol and 105-1B: Incendiary Weapons Protocol and 105-1C:Protocol on Blinding Laser Weapons. (All Actions) "/>
    <x v="2"/>
    <x v="0"/>
  </r>
  <r>
    <s v="273. TAXATION CONVENTION WITH THAILAND Senate Consideration of Treaty Document 105-2 Text of Treaty Document: TXT | PDF Date Received from President: 01/28/1997 - 105th Congress (1997-1998) Treaty Topic: Taxation Latest Senate Action: 10/31/1997 - 105th Congress (1997-1998) - Resolution of advice and consent to ratification agreed to in Senate by Division vote. (All Actions) "/>
    <s v="273"/>
    <s v="TAXATION CONVENTION WITH THAILAND"/>
    <s v="105-2"/>
    <s v="01/28/1997 - 105th Congress (1997-1998)"/>
    <s v="105th"/>
    <s v="Taxation"/>
    <s v="10/31/1997 - 105th Congress (1997-1998) - Resolution of advice and consent to ratification agreed to in Senate by Division vote. (All Actions) "/>
    <x v="9"/>
    <s v="Resolution of advice and consent to ratification agreed to in Senate by Division vote. (All Actions) "/>
    <x v="0"/>
    <x v="0"/>
  </r>
  <r>
    <s v="274. TAX CONVENTION WITH SWISS CONFEDERATION Senate Consideration of Treaty Document 105-8 Text of Treaty Document: TXT | PDF Date Received from President: 06/25/1997 - 105th Congress (1997-1998) Treaty Topic: Taxation Latest Senate Action: 10/31/1997 - 105th Congress (1997-1998) - Resolution of advice and consent to ratification agreed to in Senate by Division vote. (All Actions) "/>
    <s v="274"/>
    <s v="TAX CONVENTION WITH SWISS CONFEDERATION"/>
    <s v="105-8"/>
    <s v="06/25/1997 - 105th Congress (1997-1998)"/>
    <s v="105th"/>
    <s v="Taxation"/>
    <s v="10/31/1997 - 105th Congress (1997-1998) - Resolution of advice and consent to ratification agreed to in Senate by Division vote. (All Actions) "/>
    <x v="9"/>
    <s v="Resolution of advice and consent to ratification agreed to in Senate by Division vote. (All Actions) "/>
    <x v="0"/>
    <x v="0"/>
  </r>
  <r>
    <s v="275. TAX CONVENTION WITH SOUTH AFRICA Senate Consideration of Treaty Document 105-9 Text of Treaty Document: TXT | PDF Date Received from President: 06/26/1997 - 105th Congress (1997-1998) Treaty Topic: Taxation Latest Senate Action: 10/31/1997 - 105th Congress (1997-1998) - Resolution of advice and consent to ratification agreed to in Senate by Division vote. (All Actions) "/>
    <s v="275"/>
    <s v="TAX CONVENTION WITH SOUTH AFRICA"/>
    <s v="105-9"/>
    <s v="06/26/1997 - 105th Congress (1997-1998)"/>
    <s v="105th"/>
    <s v="Taxation"/>
    <s v="10/31/1997 - 105th Congress (1997-1998) - Resolution of advice and consent to ratification agreed to in Senate by Division vote. (All Actions) "/>
    <x v="9"/>
    <s v="Resolution of advice and consent to ratification agreed to in Senate by Division vote. (All Actions) "/>
    <x v="0"/>
    <x v="0"/>
  </r>
  <r>
    <s v="276. PROTOCOL AMENDING TAX CONVENTION WITH CANADA Senate Consideration of Treaty Document 105-29 Text of Treaty Document: TXT | PDF Date Received from President: 09/23/1997 - 105th Congress (1997-1998) Treaty Topic: Taxation Latest Senate Action: 10/31/1997 - 105th Congress (1997-1998) - Resolution of advice and consent to ratification agreed to in Senate by Division vote. (All Actions) "/>
    <s v="276"/>
    <s v="PROTOCOL AMENDING TAX CONVENTION WITH CANADA"/>
    <s v="105-29"/>
    <s v="09/23/1997 - 105th Congress (1997-1998)"/>
    <s v="105th"/>
    <s v="Taxation"/>
    <s v="10/31/1997 - 105th Congress (1997-1998) - Resolution of advice and consent to ratification agreed to in Senate by Division vote. (All Actions) "/>
    <x v="9"/>
    <s v="Resolution of advice and consent to ratification agreed to in Senate by Division vote. (All Actions) "/>
    <x v="0"/>
    <x v="0"/>
  </r>
  <r>
    <s v="277. TAXATION AGREEMENT WITH TURKEY Senate Consideration of Treaty Document 104-30 Text of Treaty Document: TXT | PDF Date Received from President: 09/03/1996 - 104th Congress (1995-1996) Treaty Topic: Taxation Latest Senate Action: 10/31/1997 - 105th Congress (1997-1998) - Resolution of advice and consent to ratification agreed to in Senate by Division vote. (All Actions) "/>
    <s v="277"/>
    <s v="TAXATION AGREEMENT WITH TURKEY"/>
    <s v="104-30"/>
    <s v="09/03/1996 - 104th Congress (1995-1996)"/>
    <s v="104th"/>
    <s v="Taxation"/>
    <s v="10/31/1997 - 105th Congress (1997-1998) - Resolution of advice and consent to ratification agreed to in Senate by Division vote. (All Actions) "/>
    <x v="9"/>
    <s v="Resolution of advice and consent to ratification agreed to in Senate by Division vote. (All Actions) "/>
    <x v="0"/>
    <x v="0"/>
  </r>
  <r>
    <s v="278. TAXATION CONVENTION WITH AUSTRIA Senate Consideration of Treaty Document 104-31 Text of Treaty Document: TXT | PDF Date Received from President: 09/04/1996 - 104th Congress (1995-1996) Treaty Topic: Taxation Latest Senate Action: 10/31/1997 - 105th Congress (1997-1998) - Resolution of advice and consent to ratification agreed to in Senate by Division vote. (All Actions) "/>
    <s v="278"/>
    <s v="TAXATION CONVENTION WITH AUSTRIA"/>
    <s v="104-31"/>
    <s v="09/04/1996 - 104th Congress (1995-1996)"/>
    <s v="104th"/>
    <s v="Taxation"/>
    <s v="10/31/1997 - 105th Congress (1997-1998) - Resolution of advice and consent to ratification agreed to in Senate by Division vote. (All Actions) "/>
    <x v="9"/>
    <s v="Resolution of advice and consent to ratification agreed to in Senate by Division vote. (All Actions) "/>
    <x v="0"/>
    <x v="0"/>
  </r>
  <r>
    <s v="279. TAX CONVENTION WITH IRELAND Senate Consideration of Treaty Document 105-31 Text of Treaty Document: TXT | PDF Date Received from President: 09/24/1997 - 105th Congress (1997-1998) Treaty Topic: Taxation Latest Senate Action: 10/31/1997 - 105th Congress (1997-1998) - Resolution of advice and consent to ratification agreed to in Senate by Division vote. (All Actions) "/>
    <s v="279"/>
    <s v="TAX CONVENTION WITH IRELAND"/>
    <s v="105-31"/>
    <s v="09/24/1997 - 105th Congress (1997-1998)"/>
    <s v="105th"/>
    <s v="Taxation"/>
    <s v="10/31/1997 - 105th Congress (1997-1998) - Resolution of advice and consent to ratification agreed to in Senate by Division vote. (All Actions) "/>
    <x v="9"/>
    <s v="Resolution of advice and consent to ratification agreed to in Senate by Division vote. (All Actions) "/>
    <x v="0"/>
    <x v="0"/>
  </r>
  <r>
    <s v="280. TAXATION CONVENTION WITH LUXEMBOURG Senate Consideration of Treaty Document 104-33 Text of Treaty Document: TXT | PDF Date Received from President: 09/04/1996 - 104th Congress (1995-1996) Treaty Topic: Taxation Latest Senate Action: 10/31/1997 - 105th Congress (1997-1998) - Resolution of advice and consent to ratification agreed to in Senate by Division vote. (All Actions) "/>
    <s v="280"/>
    <s v="TAXATION CONVENTION WITH LUXEMBOURG"/>
    <s v="104-33"/>
    <s v="09/04/1996 - 104th Congress (1995-1996)"/>
    <s v="104th"/>
    <s v="Taxation"/>
    <s v="10/31/1997 - 105th Congress (1997-1998) - Resolution of advice and consent to ratification agreed to in Senate by Division vote. (All Actions) "/>
    <x v="9"/>
    <s v="Resolution of advice and consent to ratification agreed to in Senate by Division vote. (All Actions) "/>
    <x v="0"/>
    <x v="0"/>
  </r>
  <r>
    <s v="281. AGREEMENT WITH HONG KONG FOR THE SURRENDER OF FUGITIVE OFFENDERS Senate Consideration of Treaty Document 105-3 Text of Treaty Document: TXT | PDF Date Received from President: 03/03/1997 - 105th Congress (1997-1998) Treaty Topic: International Law Latest Senate Action: 10/23/1997 - 105th Congress (1997-1998) - Resolution of advice and consent to ratification agreed to in Senate by Division vote. (All Actions) "/>
    <s v="281"/>
    <s v="AGREEMENT WITH HONG KONG FOR THE SURRENDER OF FUGITIVE OFFENDERS"/>
    <s v="105-3"/>
    <s v="03/03/1997 - 105th Congress (1997-1998)"/>
    <s v="105th"/>
    <s v="International Law"/>
    <s v="10/23/1997 - 105th Congress (1997-1998) - Resolution of advice and consent to ratification agreed to in Senate by Division vote. (All Actions) "/>
    <x v="9"/>
    <s v="Resolution of advice and consent to ratification agreed to in Senate by Division vote. (All Actions) "/>
    <x v="0"/>
    <x v="0"/>
  </r>
  <r>
    <s v="282. MARITIME BOUNDARY TREATY WITH MEXICO Senate Consideration of Treaty Document 96-6 Date Received from President: 01/19/1979 - 96th Congress (1979-1980) Treaty Topic: Maritime Boundaries and Claims Latest Senate Action: 10/23/1997 - 105th Congress (1997-1998) - Resolution of advice and consent to ratification agreed to in Senate by Division vote. (All Actions) "/>
    <s v="282"/>
    <s v="MARITIME BOUNDARY TREATY WITH MEXICO"/>
    <s v="96-6"/>
    <s v="01/19/1979 - 96th Congress (1979-1980)"/>
    <s v="96th"/>
    <s v="Maritime Boundaries and Claims"/>
    <s v="10/23/1997 - 105th Congress (1997-1998) - Resolution of advice and consent to ratification agreed to in Senate by Division vote. (All Actions) "/>
    <x v="9"/>
    <s v="Resolution of advice and consent to ratification agreed to in Senate by Division vote. (All Actions) "/>
    <x v="0"/>
    <x v="0"/>
  </r>
  <r>
    <s v="283. PROTOCOL WITH MEXICO AMENDING CONVENTION FOR PROTECTION OF MIGRATORY BIRDS AND GAME MAMMALS Senate Consideration of Treaty Document 105-26 Text of Treaty Document: TXT | PDF Date Received from President: 09/15/1997 - 105th Congress (1997-1998) Treaty Topic: Fisheries and Wildlife Latest Senate Action: 10/23/1997 - 105th Congress (1997-1998) - Resolution of advice and consent to ratification agreed to in Senate by Division vote. (All Actions) "/>
    <s v="283"/>
    <s v="PROTOCOL WITH MEXICO AMENDING CONVENTION FOR PROTECTION OF MIGRATORY BIRDS AND GAME MAMMALS"/>
    <s v="105-26"/>
    <s v="09/15/1997 - 105th Congress (1997-1998)"/>
    <s v="105th"/>
    <s v="Fisheries and Wildlife"/>
    <s v="10/23/1997 - 105th Congress (1997-1998) - Resolution of advice and consent to ratification agreed to in Senate by Division vote. (All Actions) "/>
    <x v="9"/>
    <s v="Resolution of advice and consent to ratification agreed to in Senate by Division vote. (All Actions) "/>
    <x v="0"/>
    <x v="0"/>
  </r>
  <r>
    <s v="284. PROTOCOL AMENDING THE 1916 CONVENTION FOR THE PROTECTION OF MIGRATORY BIRDS Senate Consideration of Treaty Document 104-28 Text of Treaty Document: TXT | PDF Date Received from President: 08/02/1996 - 104th Congress (1995-1996) Treaty Topic: Fisheries and Wildlife Latest Senate Action: 10/23/1997 - 105th Congress (1997-1998) - Resolution of advice and consent to ratification agreed to in Senate by Division vote. (All Actions) "/>
    <s v="284"/>
    <s v="PROTOCOL AMENDING THE 1916 CONVENTION FOR THE PROTECTION OF MIGRATORY BIRDS"/>
    <s v="104-28"/>
    <s v="08/02/1996 - 104th Congress (1995-1996)"/>
    <s v="104th"/>
    <s v="Fisheries and Wildlife"/>
    <s v="10/23/1997 - 105th Congress (1997-1998) - Resolution of advice and consent to ratification agreed to in Senate by Division vote. (All Actions) "/>
    <x v="9"/>
    <s v="Resolution of advice and consent to ratification agreed to in Senate by Division vote. (All Actions) "/>
    <x v="0"/>
    <x v="0"/>
  </r>
  <r>
    <s v="285. CONSTITUTION AND CONVENTION OF THE INTERNATIONAL TELECOMMUNICATION UNION Senate Consideration of Treaty Document 104-34 Text of Treaty Document: TXT | PDF Date Received from President: 09/13/1996 - 104th Congress (1995-1996) Treaty Topic: International Law and Organization Latest Senate Action: 10/23/1997 - 105th Congress (1997-1998) - Resolution of advice and consent to ratification agreed to in Senate by Division vote. (All Actions) "/>
    <s v="285"/>
    <s v="CONSTITUTION AND CONVENTION OF THE INTERNATIONAL TELECOMMUNICATION UNION"/>
    <s v="104-34"/>
    <s v="09/13/1996 - 104th Congress (1995-1996)"/>
    <s v="104th"/>
    <s v="International Law and Organization"/>
    <s v="10/23/1997 - 105th Congress (1997-1998) - Resolution of advice and consent to ratification agreed to in Senate by Division vote. (All Actions) "/>
    <x v="9"/>
    <s v="Resolution of advice and consent to ratification agreed to in Senate by Division vote. (All Actions) "/>
    <x v="0"/>
    <x v="0"/>
  </r>
  <r>
    <s v="286. FLANK DOCUMENT AGREEMENT TO THE CFE TREATY Senate Consideration of Treaty Document 105-5 Text of Treaty Document: TXT | PDF Date Received from President: 04/07/1997 - 105th Congress (1997-1998) Treaty Topic: Arms Control Latest Senate Action: 05/14/1997 - 105th Congress (1997-1998) - Resolution of advice and consent to ratification agreed to in Senate by Yea-Nay vote. 100-0. Record Vote No: 67 EX. (All Actions) "/>
    <s v="286"/>
    <s v="FLANK DOCUMENT AGREEMENT TO THE CFE TREATY"/>
    <s v="105-5"/>
    <s v="04/07/1997 - 105th Congress (1997-1998)"/>
    <s v="105th"/>
    <s v="Arms Control"/>
    <s v="05/14/1997 - 105th Congress (1997-1998) - Resolution of advice and consent to ratification agreed to in Senate by Yea-Nay vote. 100-0. Record Vote No: 67 EX. (All Actions) "/>
    <x v="9"/>
    <s v="Resolution of advice and consent to ratification agreed to in Senate by Yea-Nay vote. 100-0. Record Vote No: 67 EX. (All Actions) "/>
    <x v="0"/>
    <x v="0"/>
  </r>
  <r>
    <s v="287. CHEMICAL WEAPONS CONVENTION Senate Consideration of Treaty Document 103-21 Date Received from President: 11/23/1993 - 103rd Congress (1993-1994) Treaty Topic: Arms Control Latest Senate Action: 04/24/1997 - 105th Congress (1997-1998) - Resolution of advice and consent to ratification agreed to in Senate by Yea-Nay Vote. 74 - 26. Record Vote Number: 51. (All Actions) "/>
    <s v="287"/>
    <s v="CHEMICAL WEAPONS CONVENTION"/>
    <s v="103-21"/>
    <s v="11/23/1993 - 103rd Congress (1993-1994)"/>
    <s v="103rd"/>
    <s v="Arms Control"/>
    <s v="04/24/1997 - 105th Congress (1997-1998) - Resolution of advice and consent to ratification agreed to in Senate by Yea-Nay Vote. 74 - 26. Record Vote Number: 51. (All Actions) "/>
    <x v="9"/>
    <s v="Resolution of advice and consent to ratification agreed to in Senate by Yea-Nay Vote. 74 - 26. Record Vote Number: 51. (All Actions) "/>
    <x v="0"/>
    <x v="0"/>
  </r>
  <r>
    <s v="288. EXCHANGE OF NOTES RELATING TO THE TAX CONVENTION WITH KAZAKHSTAN Senate Consideration of Treaty Document 104-15 Text of Treaty Document: TXT | PDF Date Received from President: 08/03/1995 - 104th Congress (1995-1996) Treaty Topic: Taxation Latest Senate Action: 09/28/1996 - 104th Congress (1995-1996) - Resolution of advice and consent to ratification agreed to in Senate by Division vote. (All Actions) "/>
    <s v="288"/>
    <s v="EXCHANGE OF NOTES RELATING TO THE TAX CONVENTION WITH KAZAKHSTAN"/>
    <s v="104-15"/>
    <s v="08/03/1995 - 104th Congress (1995-1996)"/>
    <s v="104th"/>
    <s v="Taxation"/>
    <s v="09/28/1996 - 104th Congress (1995-1996) - Resolution of advice and consent to ratification agreed to in Senate by Division vote. (All Actions) "/>
    <x v="10"/>
    <s v="Resolution of advice and consent to ratification agreed to in Senate by Division vote. (All Actions) "/>
    <x v="0"/>
    <x v="0"/>
  </r>
  <r>
    <s v="289. PROTOCOL AMENDING ARTICLE VIII OF THE 1948 TAX CONVENTION WITH RESPECT TO THE NETHERLANDS ANTILLES Senate Consideration of Treaty Document 104-23 Text of Treaty Document: TXT | PDF Date Received from President: 01/03/1996 - 104th Congress (1995-1996) Treaty Topic: Taxation Latest Senate Action: 09/28/1996 - 104th Congress (1995-1996) - Resolution of advice and consent to ratification agreed to in Senate by Division vote. (All Actions) "/>
    <s v="289"/>
    <s v="PROTOCOL AMENDING ARTICLE VIII OF THE 1948 TAX CONVENTION WITH RESPECT TO THE NETHERLANDS ANTILLES"/>
    <s v="104-23"/>
    <s v="01/03/1996 - 104th Congress (1995-1996)"/>
    <s v="104th"/>
    <s v="Taxation"/>
    <s v="09/28/1996 - 104th Congress (1995-1996) - Resolution of advice and consent to ratification agreed to in Senate by Division vote. (All Actions) "/>
    <x v="10"/>
    <s v="Resolution of advice and consent to ratification agreed to in Senate by Division vote. (All Actions) "/>
    <x v="0"/>
    <x v="0"/>
  </r>
  <r>
    <s v="290. TAXATION PROTOCOL AMENDING CONVENTION WITH INDONESIA Senate Consideration of Treaty Document 104-32 Text of Treaty Document: TXT | PDF Date Received from President: 09/04/1996 - 104th Congress (1995-1996) Treaty Topic: Taxation Latest Senate Action: 09/28/1996 - 104th Congress (1995-1996) - Resolution of advice and consent to ratification agreed to in Senate by Division vote. (All Actions) "/>
    <s v="290"/>
    <s v="TAXATION PROTOCOL AMENDING CONVENTION WITH INDONESIA"/>
    <s v="104-32"/>
    <s v="09/04/1996 - 104th Congress (1995-1996)"/>
    <s v="104th"/>
    <s v="Taxation"/>
    <s v="09/28/1996 - 104th Congress (1995-1996) - Resolution of advice and consent to ratification agreed to in Senate by Division vote. (All Actions) "/>
    <x v="10"/>
    <s v="Resolution of advice and consent to ratification agreed to in Senate by Division vote. (All Actions) "/>
    <x v="0"/>
    <x v="0"/>
  </r>
  <r>
    <s v="291. TAX CONVENTION WITH THE REPUBLIC OF KAZAKHSTAN Senate Consideration of Treaty Document 103-33 Date Received from President: 09/15/1994 - 103rd Congress (1993-1994) Treaty Topic: Taxation Latest Senate Action: 09/28/1996 - 104th Congress (1995-1996) - Resolution of advice and consent to ratification agreed to in Senate by Division vote. (All Actions) "/>
    <s v="291"/>
    <s v="TAX CONVENTION WITH THE REPUBLIC OF KAZAKHSTAN"/>
    <s v="103-33"/>
    <s v="09/15/1994 - 103rd Congress (1993-1994)"/>
    <s v="103rd"/>
    <s v="Taxation"/>
    <s v="09/28/1996 - 104th Congress (1995-1996) - Resolution of advice and consent to ratification agreed to in Senate by Division vote. (All Actions) "/>
    <x v="10"/>
    <s v="Resolution of advice and consent to ratification agreed to in Senate by Division vote. (All Actions) "/>
    <x v="0"/>
    <x v="0"/>
  </r>
  <r>
    <s v="292. INTERNATIONAL NATURAL RUBBER AGREEMENT Senate Consideration of Treaty Document 104-27 Text of Treaty Document: TXT | PDF Date Received from President: 06/18/1996 - 104th Congress (1995-1996) Treaty Topic: Commercial Latest Senate Action: 09/25/1996 - 104th Congress (1995-1996) - Resolution of advice and consent to ratification agreed to in Senate by Division vote. (All Actions) "/>
    <s v="292"/>
    <s v="INTERNATIONAL NATURAL RUBBER AGREEMENT"/>
    <s v="104-27"/>
    <s v="06/18/1996 - 104th Congress (1995-1996)"/>
    <s v="104th"/>
    <s v="Commercial"/>
    <s v="09/25/1996 - 104th Congress (1995-1996) - Resolution of advice and consent to ratification agreed to in Senate by Division vote. (All Actions) "/>
    <x v="10"/>
    <s v="Resolution of advice and consent to ratification agreed to in Senate by Division vote. (All Actions) "/>
    <x v="0"/>
    <x v="0"/>
  </r>
  <r>
    <s v="293. TREATY WITH THE REPUBLIC OF KOREA ON MUTUAL LEGAL ASSISTANCE IN CRIMINAL MATTERS Senate Consideration of Treaty Document 104-1 Text of Treaty Document: TXT | PDF Date Received from President: 01/12/1995 - 104th Congress (1995-1996) Treaty Topic: Extradition and Criminal Assistance Latest Senate Action: 08/02/1996 - 104th Congress (1995-1996) - Resolution of advice and consent to ratification agreed to in Senate by Division vote. (All Actions) "/>
    <s v="293"/>
    <s v="TREATY WITH THE REPUBLIC OF KOREA ON MUTUAL LEGAL ASSISTANCE IN CRIMINAL MATTERS"/>
    <s v="104-1"/>
    <s v="01/12/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4. TREATY WITH THE UNITED KINGDOM ON MUTUAL LEGAL ASSISTANCE ON CRIMINAL MATTERS Senate Consideration of Treaty Document 104-2 Text of Treaty Document: TXT | PDF Date Received from President: 01/23/1995 - 104th Congress (1995-1996) Treaty Topic: Extradition and Criminal Assistance Latest Senate Action: 08/02/1996 - 104th Congress (1995-1996) - Resolution of advice and consent to ratification agreed to in Senate by Division vote. (All Actions) "/>
    <s v="294"/>
    <s v="TREATY WITH THE UNITED KINGDOM ON MUTUAL LEGAL ASSISTANCE ON CRIMINAL MATTERS"/>
    <s v="104-2"/>
    <s v="01/23/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5. EXTRADITION TREATY WITH HUNGARY Senate Consideration of Treaty Document 104-5 Text of Treaty Document: TXT | PDF Date Received from President: 05/08/1995 - 104th Congress (1995-1996) Treaty Topic: Extradition and Criminal Assistance Latest Senate Action: 08/02/1996 - 104th Congress (1995-1996) - Resolution of advice and consent to ratification agreed to in Senate by Division vote. (All Actions) "/>
    <s v="295"/>
    <s v="EXTRADITION TREATY WITH HUNGARY"/>
    <s v="104-5"/>
    <s v="05/08/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6. EXTRADITION TREATY WITH BELGIUM Senate Consideration of Treaty Document 104-7 Text of Treaty Document: TXT Date Received from President: 06/09/1995 - 104th Congress (1995-1996) Treaty Topic: Extradition and Criminal Assistance Latest Senate Action: 08/02/1996 - 104th Congress (1995-1996) - Resolution of advice and consent to ratification agreed to in Senate by Division vote. (All Actions) "/>
    <s v="296"/>
    <s v="EXTRADITION TREATY WITH BELGIUM"/>
    <s v="104-7"/>
    <s v="06/09/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7. SUPPLEMENTARY EXTRADITION TREATY WITH BELGIUM Senate Consideration of Treaty Document 104-8 Text of Treaty Document: TXT | PDF Date Received from President: 06/09/1995 - 104th Congress (1995-1996) Treaty Topic: Extradition and Criminal Assistance Latest Senate Action: 08/02/1996 - 104th Congress (1995-1996) - Resolution of advice and consent to ratification agreed to in Senate by Division vote. (All Actions) "/>
    <s v="297"/>
    <s v="SUPPLEMENTARY EXTRADITION TREATY WITH BELGIUM"/>
    <s v="104-8"/>
    <s v="06/09/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8. EXTRADITION TREATY WITH SWITZERLAND Senate Consideration of Treaty Document 104-9 Text of Treaty Document: TXT | PDF Date Received from President: 06/09/1995 - 104th Congress (1995-1996) Treaty Topic: Extradition and Criminal Assistance Latest Senate Action: 08/02/1996 - 104th Congress (1995-1996) - Resolution of advice and consent to ratification agreed to in Senate by Division vote. (All Actions) "/>
    <s v="298"/>
    <s v="EXTRADITION TREATY WITH SWITZERLAND"/>
    <s v="104-9"/>
    <s v="06/09/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299. EXTRADITION TREATY WITH THE PHILIPPINES Senate Consideration of Treaty Document 104-16 Text of Treaty Document: TXT | PDF Date Received from President: 09/05/1995 - 104th Congress (1995-1996) Treaty Topic: Extradition and Criminal Assistance Latest Senate Action: 08/02/1996 - 104th Congress (1995-1996) - Resolution of advice and consent to ratification agreed to in Senate by Division vote. (All Actions) "/>
    <s v="299"/>
    <s v="EXTRADITION TREATY WITH THE PHILIPPINES"/>
    <s v="104-16"/>
    <s v="09/05/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0. TREATY WITH THE PHILIPPINES ON MUTUAL LEGAL ASSISTANCE IN CRIMINAL MATTERS Senate Consideration of Treaty Document 104-18 Text of Treaty Document: TXT | PDF Date Received from President: 09/05/1995 - 104th Congress (1995-1996) Treaty Topic: Extradition and Criminal Assistance Latest Senate Action: 08/02/1996 - 104th Congress (1995-1996) - Resolution of advice and consent to ratification agreed to in Senate by Division vote. (All Actions) "/>
    <s v="300"/>
    <s v="TREATY WITH THE PHILIPPINES ON MUTUAL LEGAL ASSISTANCE IN CRIMINAL MATTERS"/>
    <s v="104-18"/>
    <s v="09/05/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1. TREATY WITH HUNGARY ON LEGAL ASSISTANCE IN CRIMINAL MATTERS Senate Consideration of Treaty Document 104-20 Text of Treaty Document: TXT | PDF Date Received from President: 09/06/1995 - 104th Congress (1995-1996) Treaty Topic: Extradition and Criminal Assistance Latest Senate Action: 08/02/1996 - 104th Congress (1995-1996) - Resolution of advice and consent to ratification agreed to in Senate by Division vote. (All Actions) "/>
    <s v="301"/>
    <s v="TREATY WITH HUNGARY ON LEGAL ASSISTANCE IN CRIMINAL MATTERS"/>
    <s v="104-20"/>
    <s v="09/06/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2. TREATY WITH AUSTRIA ON LEGAL ASSISTANCE IN CRIMINAL MATTERS Senate Consideration of Treaty Document 104-21 Text of Treaty Document: TXT | PDF Date Received from President: 09/06/1995 - 104th Congress (1995-1996) Treaty Topic: Extradition and Criminal Assistance Latest Senate Action: 08/02/1996 - 104th Congress (1995-1996) - Resolution of advice and consent to ratification agreed to in Senate by Division vote. (All Actions) "/>
    <s v="302"/>
    <s v="TREATY WITH AUSTRIA ON LEGAL ASSISTANCE IN CRIMINAL MATTERS"/>
    <s v="104-21"/>
    <s v="09/06/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3. EXTRADITION TREATY WITH BOLIVIA Senate Consideration of Treaty Document 104-22 Text of Treaty Document: TXT | PDF Date Received from President: 10/10/1995 - 104th Congress (1995-1996) Treaty Topic: Extradition and Criminal Assistance Latest Senate Action: 08/02/1996 - 104th Congress (1995-1996) - Resolution of advice and consent to ratification agreed to in Senate by Division vote. (All Actions) "/>
    <s v="303"/>
    <s v="EXTRADITION TREATY WITH BOLIVIA"/>
    <s v="104-22"/>
    <s v="10/10/1995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4. EXTRADITION TREATY WITH MALAYSIA Senate Consideration of Treaty Document 104-26 Text of Treaty Document: TXT | PDF Date Received from President: 05/17/1996 - 104th Congress (1995-1996) Treaty Topic: Extradition and Criminal Assistance Latest Senate Action: 08/02/1996 - 104th Congress (1995-1996) - Resolution of advice and consent to ratification agreed to in Senate by Division vote. (All Actions) "/>
    <s v="304"/>
    <s v="EXTRADITION TREATY WITH MALAYSIA"/>
    <s v="104-26"/>
    <s v="05/17/1996 - 104th Congress (1995-1996)"/>
    <s v="104th"/>
    <s v="Extradition and Criminal Assistance"/>
    <s v="08/02/1996 - 104th Congress (1995-1996) - Resolution of advice and consent to ratification agreed to in Senate by Division vote. (All Actions) "/>
    <x v="10"/>
    <s v="Resolution of advice and consent to ratification agreed to in Senate by Division vote. (All Actions) "/>
    <x v="0"/>
    <x v="0"/>
  </r>
  <r>
    <s v="305. INVESTMENT TREATY WITH MONGOLIA Senate Consideration of Treaty Document 104-10 Text of Treaty Document: TXT | PDF Date Received from President: 06/26/1995 - 104th Congress (1995-1996) Treaty Topic: Commercial Latest Senate Action: 06/27/1996 - 104th Congress (1995-1996) - Resolution of advice and consent to ratification agreed to in Senate by Division vote. (All Actions) "/>
    <s v="305"/>
    <s v="INVESTMENT TREATY WITH MONGOLIA"/>
    <s v="104-10"/>
    <s v="06/26/1995 - 104th Congress (1995-1996)"/>
    <s v="104th"/>
    <s v="Commercial"/>
    <s v="06/27/1996 - 104th Congress (1995-1996) - Resolution of advice and consent to ratification agreed to in Senate by Division vote. (All Actions) "/>
    <x v="10"/>
    <s v="Resolution of advice and consent to ratification agreed to in Senate by Division vote. (All Actions) "/>
    <x v="0"/>
    <x v="0"/>
  </r>
  <r>
    <s v="306. INVESTMENT TREATY WITH LATVIA Senate Consideration of Treaty Document 104-12 Text of Treaty Document: TXT | PDF Date Received from President: 07/10/1995 - 104th Congress (1995-1996) Treaty Topic: Commercial Latest Senate Action: 06/27/1996 - 104th Congress (1995-1996) - Resolution of advice and consent to ratification agreed to in Senate by Division vote. (All Actions) "/>
    <s v="306"/>
    <s v="INVESTMENT TREATY WITH LATVIA"/>
    <s v="104-12"/>
    <s v="07/10/1995 - 104th Congress (1995-1996)"/>
    <s v="104th"/>
    <s v="Commercial"/>
    <s v="06/27/1996 - 104th Congress (1995-1996) - Resolution of advice and consent to ratification agreed to in Senate by Division vote. (All Actions) "/>
    <x v="10"/>
    <s v="Resolution of advice and consent to ratification agreed to in Senate by Division vote. (All Actions) "/>
    <x v="0"/>
    <x v="0"/>
  </r>
  <r>
    <s v="307. INVESTMENT TREATY WITH GEORGIA Senate Consideration of Treaty Document 104-13 Text of Treaty Document: TXT | PDF Date Received from President: 07/10/1995 - 104th Congress (1995-1996) Treaty Topic: Commercial Latest Senate Action: 06/27/1996 - 104th Congress (1995-1996) - Resolution of advice and consent to ratification agreed to in Senate by Division vote. (All Actions) "/>
    <s v="307"/>
    <s v="INVESTMENT TREATY WITH GEORGIA"/>
    <s v="104-13"/>
    <s v="07/10/1995 - 104th Congress (1995-1996)"/>
    <s v="104th"/>
    <s v="Commercial"/>
    <s v="06/27/1996 - 104th Congress (1995-1996) - Resolution of advice and consent to ratification agreed to in Senate by Division vote. (All Actions) "/>
    <x v="10"/>
    <s v="Resolution of advice and consent to ratification agreed to in Senate by Division vote. (All Actions) "/>
    <x v="0"/>
    <x v="0"/>
  </r>
  <r>
    <s v="308. INVESTMENT TREATY WITH TRINIDAD AND TOBAGO Senate Consideration of Treaty Document 104-14 Text of Treaty Document: TXT | PDF Date Received from President: 07/11/1995 - 104th Congress (1995-1996) Treaty Topic: Commercial Latest Senate Action: 06/27/1996 - 104th Congress (1995-1996) - Resolution of advice and consent to ratification agreed to in Senate by Division vote. (All Actions) "/>
    <s v="308"/>
    <s v="INVESTMENT TREATY WITH TRINIDAD AND TOBAGO"/>
    <s v="104-14"/>
    <s v="07/11/1995 - 104th Congress (1995-1996)"/>
    <s v="104th"/>
    <s v="Commercial"/>
    <s v="06/27/1996 - 104th Congress (1995-1996) - Resolution of advice and consent to ratification agreed to in Senate by Division vote. (All Actions) "/>
    <x v="10"/>
    <s v="Resolution of advice and consent to ratification agreed to in Senate by Division vote. (All Actions) "/>
    <x v="0"/>
    <x v="0"/>
  </r>
  <r>
    <s v="309. INVESTMENT TREATY WITH ALBANIA Senate Consideration of Treaty Document 104-19 Text of Treaty Document: TXT | PDF Date Received from President: 09/06/1995 - 104th Congress (1995-1996) Treaty Topic: Commercial Latest Senate Action: 06/27/1996 - 104th Congress (1995-1996) - Resolution of advice and consent to ratification agreed to in Senate by Division vote. (All Actions) "/>
    <s v="309"/>
    <s v="INVESTMENT TREATY WITH ALBANIA"/>
    <s v="104-19"/>
    <s v="09/06/1995 - 104th Congress (1995-1996)"/>
    <s v="104th"/>
    <s v="Commercial"/>
    <s v="06/27/1996 - 104th Congress (1995-1996) - Resolution of advice and consent to ratification agreed to in Senate by Division vote. (All Actions) "/>
    <x v="10"/>
    <s v="Resolution of advice and consent to ratification agreed to in Senate by Division vote. (All Actions) "/>
    <x v="0"/>
    <x v="0"/>
  </r>
  <r>
    <s v="310. AGREEMENT FOR THE IMPLEMENTATION OF THE UNITED NATIONS CONVENTION OF THE LAW OF THE SEA OF 10 DECEMBER 1982 RELATING TO FISH STOCKS Senate Consideration of Treaty Document 104-24 Text of Treaty Document: TXT | PDF Date Received from President: 02/20/1996 - 104th Congress (1995-1996) Treaty Topic: International Law and Organization Latest Senate Action: 06/27/1996 - 104th Congress (1995-1996) - Resolution of advice and consent to ratification agreed to in Senate by Division vote. (All Actions) "/>
    <s v="310"/>
    <s v="AGREEMENT FOR THE IMPLEMENTATION OF THE UNITED NATIONS CONVENTION OF THE LAW OF THE SEA OF 10 DECEMBER 1982 RELATING TO FISH STOCKS"/>
    <s v="104-24"/>
    <s v="02/20/1996 - 104th Congress (1995-1996)"/>
    <s v="104th"/>
    <s v="International Law and Organization"/>
    <s v="06/27/1996 - 104th Congress (1995-1996) - Resolution of advice and consent to ratification agreed to in Senate by Division vote. (All Actions) "/>
    <x v="10"/>
    <s v="Resolution of advice and consent to ratification agreed to in Senate by Division vote. (All Actions) "/>
    <x v="0"/>
    <x v="0"/>
  </r>
  <r>
    <s v="311. INVESTMENT TREATY WITH JAMAICA Senate Consideration of Treaty Document 103-35 Date Received from President: 09/19/1994 - 103rd Congress (1993-1994) Treaty Topic: Commercial Latest Senate Action: 06/27/1996 - 104th Congress (1995-1996) - Resolution of advice and consent to ratification agreed to in Senate by Division vote. (All Actions) "/>
    <s v="311"/>
    <s v="INVESTMENT TREATY WITH JAMAICA"/>
    <s v="103-35"/>
    <s v="09/19/1994 - 103rd Congress (1993-1994)"/>
    <s v="103rd"/>
    <s v="Commercial"/>
    <s v="06/27/1996 - 104th Congress (1995-1996) - Resolution of advice and consent to ratification agreed to in Senate by Division vote. (All Actions) "/>
    <x v="10"/>
    <s v="Resolution of advice and consent to ratification agreed to in Senate by Division vote. (All Actions) "/>
    <x v="0"/>
    <x v="0"/>
  </r>
  <r>
    <s v="312. ENCOURAGEMENT RECIPROCAL INVESTMENT TREATY WITH REPUBLIC OF BELARUS Senate Consideration of Treaty Document 103-36 Date Received from President: 09/23/1994 - 103rd Congress (1993-1994) Treaty Topic: Commercial Latest Senate Action: 06/27/1996 - 104th Congress (1995-1996) - Resolution of advice and consent to ratification agreed to in Senate by Division vote. (All Actions) "/>
    <s v="312"/>
    <s v="ENCOURAGEMENT RECIPROCAL INVESTMENT TREATY WITH REPUBLIC OF BELARUS"/>
    <s v="103-36"/>
    <s v="09/23/1994 - 103rd Congress (1993-1994)"/>
    <s v="103rd"/>
    <s v="Commercial"/>
    <s v="06/27/1996 - 104th Congress (1995-1996) - Resolution of advice and consent to ratification agreed to in Senate by Division vote. (All Actions) "/>
    <x v="10"/>
    <s v="Resolution of advice and consent to ratification agreed to in Senate by Division vote. (All Actions) "/>
    <x v="0"/>
    <x v="0"/>
  </r>
  <r>
    <s v="313. INVESTMENT TREATY WITH UKRAINE Senate Consideration of Treaty Document 103-37 Date Received from President: 09/26/1994 - 103rd Congress (1993-1994) Treaty Topic: Commercial Latest Senate Action: 06/27/1996 - 104th Congress (1995-1996) - Resolution of advice and consent to ratification agreed to in Senate by Division vote. (All Actions) "/>
    <s v="313"/>
    <s v="INVESTMENT TREATY WITH UKRAINE"/>
    <s v="103-37"/>
    <s v="09/26/1994 - 103rd Congress (1993-1994)"/>
    <s v="103rd"/>
    <s v="Commercial"/>
    <s v="06/27/1996 - 104th Congress (1995-1996) - Resolution of advice and consent to ratification agreed to in Senate by Division vote. (All Actions) "/>
    <x v="10"/>
    <s v="Resolution of advice and consent to ratification agreed to in Senate by Division vote. (All Actions) "/>
    <x v="0"/>
    <x v="0"/>
  </r>
  <r>
    <s v="314. INVESTMENT TREATY WITH THE REPUBLIC OF ESTONIA Senate Consideration of Treaty Document 103-38 Date Received from President: 09/26/1994 - 103rd Congress (1993-1994) Treaty Topic: Commercial Latest Senate Action: 06/27/1996 - 104th Congress (1995-1996) - Resolution of advice and consent to ratification agreed to in Senate by Division vote. (All Actions) "/>
    <s v="314"/>
    <s v="INVESTMENT TREATY WITH THE REPUBLIC OF ESTONIA"/>
    <s v="103-38"/>
    <s v="09/26/1994 - 103rd Congress (1993-1994)"/>
    <s v="103rd"/>
    <s v="Commercial"/>
    <s v="06/27/1996 - 104th Congress (1995-1996) - Resolution of advice and consent to ratification agreed to in Senate by Division vote. (All Actions) "/>
    <x v="10"/>
    <s v="Resolution of advice and consent to ratification agreed to in Senate by Division vote. (All Actions) "/>
    <x v="0"/>
    <x v="0"/>
  </r>
  <r>
    <s v="315. TREATY WITH THE RUSSIAN FEDERATION ON FURTHER REDUCTION AND LIMITATION OF STRATEGIC OFFENSIVE ARMS (THE START II TREATY) Senate Consideration of Treaty Document 103-1 Date Received from President: 01/15/1993 - 103rd Congress (1993-1994) Treaty Topic: Arms Control Latest Senate Action: 01/26/1996 - 104th Congress (1995-1996) - Resolution of advice and consent to ratification agreed to in Senate by Yea-Nay vote. 87-4. Record Vote No: 6 EX. (All Actions) "/>
    <s v="315"/>
    <s v="TREATY WITH THE RUSSIAN FEDERATION ON FURTHER REDUCTION AND LIMITATION OF STRATEGIC OFFENSIVE ARMS (THE START II TREATY)"/>
    <s v="103-1"/>
    <s v="01/15/1993 - 103rd Congress (1993-1994)"/>
    <s v="103rd"/>
    <s v="Arms Control"/>
    <s v="01/26/1996 - 104th Congress (1995-1996) - Resolution of advice and consent to ratification agreed to in Senate by Yea-Nay vote. 87-4. Record Vote No: 6 EX. (All Actions) "/>
    <x v="10"/>
    <s v="Resolution of advice and consent to ratification agreed to in Senate by Yea-Nay vote. 87-4. Record Vote No: 6 EX. (All Actions) "/>
    <x v="0"/>
    <x v="0"/>
  </r>
  <r>
    <s v="316. A REVISED PROTOCOL AMENDING THE 1980 TAX CONVENTION WITH CANADA. Senate Consideration of Treaty Document 104-4 Text of Treaty Document: TXT | PDF Date Received from President: 04/24/1995 - 104th Congress (1995-1996) Treaty Topic: Taxation Latest Senate Action: 08/11/1995 - 104th Congress (1995-1996) - Resolution of advice and consent to ratification agreed to in Senate by Division vote. (All Actions) "/>
    <s v="316"/>
    <s v="A REVISED PROTOCOL AMENDING THE 1980 TAX CONVENTION WITH CANADA."/>
    <s v="104-4"/>
    <s v="04/24/1995 - 104th Congress (1995-1996)"/>
    <s v="104th"/>
    <s v="Taxation"/>
    <s v="08/11/1995 - 104th Congress (1995-1996) - Resolution of advice and consent to ratification agreed to in Senate by Division vote. (All Actions) "/>
    <x v="10"/>
    <s v="Resolution of advice and consent to ratification agreed to in Senate by Division vote. (All Actions) "/>
    <x v="0"/>
    <x v="0"/>
  </r>
  <r>
    <s v="317. EXCHANGE OF NOTES RELATING TO THE TAX CONVENTION WITH UKRAINE Senate Consideration of Treaty Document 104-11 Text of Treaty Document: TXT | PDF Date Received from President: 06/28/1995 - 104th Congress (1995-1996) Treaty Topic: Taxation Latest Senate Action: 08/11/1995 - 104th Congress (1995-1996) - Resolution of advice and consent to ratification agreed to in Senate by Division vote. (All Actions) "/>
    <s v="317"/>
    <s v="EXCHANGE OF NOTES RELATING TO THE TAX CONVENTION WITH UKRAINE"/>
    <s v="104-11"/>
    <s v="06/28/1995 - 104th Congress (1995-1996)"/>
    <s v="104th"/>
    <s v="Taxation"/>
    <s v="08/11/1995 - 104th Congress (1995-1996) - Resolution of advice and consent to ratification agreed to in Senate by Division vote. (All Actions) "/>
    <x v="10"/>
    <s v="Resolution of advice and consent to ratification agreed to in Senate by Division vote. (All Actions) "/>
    <x v="0"/>
    <x v="0"/>
  </r>
  <r>
    <s v="318. TAX CONVENTION WITH SWEDEN Senate Consideration of Treaty Document 103-29 Date Received from President: 09/14/1994 - 103rd Congress (1993-1994) Treaty Topic: Taxation Latest Senate Action: 08/11/1995 - 104th Congress (1995-1996) - Resolution of advice and consent to ratification agreed to in Senate by Division vote. (All Actions) "/>
    <s v="318"/>
    <s v="TAX CONVENTION WITH SWEDEN"/>
    <s v="103-29"/>
    <s v="09/14/1994 - 103rd Congress (1993-1994)"/>
    <s v="103rd"/>
    <s v="Taxation"/>
    <s v="08/11/1995 - 104th Congress (1995-1996) - Resolution of advice and consent to ratification agreed to in Senate by Division vote. (All Actions) "/>
    <x v="10"/>
    <s v="Resolution of advice and consent to ratification agreed to in Senate by Division vote. (All Actions) "/>
    <x v="0"/>
    <x v="0"/>
  </r>
  <r>
    <s v="319. TAX CONVENTION WITH UKRAINE Senate Consideration of Treaty Document 103-30 Date Received from President: 09/14/1994 - 103rd Congress (1993-1994) Treaty Topic: Taxation Latest Senate Action: 08/11/1995 - 104th Congress (1995-1996) - Resolution of advice and consent to ratification agreed to in Senate by Division vote. (All Actions) "/>
    <s v="319"/>
    <s v="TAX CONVENTION WITH UKRAINE"/>
    <s v="103-30"/>
    <s v="09/14/1994 - 103rd Congress (1993-1994)"/>
    <s v="103rd"/>
    <s v="Taxation"/>
    <s v="08/11/1995 - 104th Congress (1995-1996) - Resolution of advice and consent to ratification agreed to in Senate by Division vote. (All Actions) "/>
    <x v="10"/>
    <s v="Resolution of advice and consent to ratification agreed to in Senate by Division vote. (All Actions) "/>
    <x v="0"/>
    <x v="0"/>
  </r>
  <r>
    <s v="320. Additional Protocol Modifying the Tax Convention with Mexico Senate Consideration of Treaty Document 103-31 Date Received from President: 09/15/1994 - 103rd Congress (1993-1994) Treaty Topic: Taxation Latest Senate Action: 08/11/1995 - 104th Congress (1995-1996) - Resolution of advice and consent to ratification agreed to in Senate by Division vote. (All Actions) "/>
    <s v="320"/>
    <s v="Additional Protocol Modifying the Tax Convention with Mexico"/>
    <s v="103-31"/>
    <s v="09/15/1994 - 103rd Congress (1993-1994)"/>
    <s v="103rd"/>
    <s v="Taxation"/>
    <s v="08/11/1995 - 104th Congress (1995-1996) - Resolution of advice and consent to ratification agreed to in Senate by Division vote. (All Actions) "/>
    <x v="10"/>
    <s v="Resolution of advice and consent to ratification agreed to in Senate by Division vote. (All Actions) "/>
    <x v="0"/>
    <x v="0"/>
  </r>
  <r>
    <s v="321. TAX CONVENTION WITH THE FRENCH REPUBLIC Senate Consideration of Treaty Document 103-32 Date Received from President: 09/15/1994 - 103rd Congress (1993-1994) Treaty Topic: Taxation Latest Senate Action: 08/11/1995 - 104th Congress (1995-1996) - Resolution of advice and consent to ratification agreed to in Senate by Division vote. (All Actions) "/>
    <s v="321"/>
    <s v="TAX CONVENTION WITH THE FRENCH REPUBLIC"/>
    <s v="103-32"/>
    <s v="09/15/1994 - 103rd Congress (1993-1994)"/>
    <s v="103rd"/>
    <s v="Taxation"/>
    <s v="08/11/1995 - 104th Congress (1995-1996) - Resolution of advice and consent to ratification agreed to in Senate by Division vote. (All Actions) "/>
    <x v="10"/>
    <s v="Resolution of advice and consent to ratification agreed to in Senate by Division vote. (All Actions) "/>
    <x v="0"/>
    <x v="0"/>
  </r>
  <r>
    <s v="322. TAX CONVENTION WITH THE PORTUGUESE REPUBLIC Senate Consideration of Treaty Document 103-34 Date Received from President: 09/15/1994 - 103rd Congress (1993-1994) Treaty Topic: Taxation Latest Senate Action: 08/11/1995 - 104th Congress (1995-1996) - Resolution of advice and consent to ratification agreed to in Senate by Division vote. (All Actions) "/>
    <s v="322"/>
    <s v="TAX CONVENTION WITH THE PORTUGUESE REPUBLIC"/>
    <s v="103-34"/>
    <s v="09/15/1994 - 103rd Congress (1993-1994)"/>
    <s v="103rd"/>
    <s v="Taxation"/>
    <s v="08/11/1995 - 104th Congress (1995-1996) - Resolution of advice and consent to ratification agreed to in Senate by Division vote. (All Actions) "/>
    <x v="10"/>
    <s v="Resolution of advice and consent to ratification agreed to in Senate by Division vote. (All Actions) "/>
    <x v="0"/>
    <x v="0"/>
  </r>
  <r>
    <s v="323. TREATY WITH PANAMA ON MUTUAL ASSISTANCE IN CRIMINAL MATTERS Senate Consideration of Treaty Document 102-15 Date Received from President: 10/24/1991 - 102nd Congress (1991-1992) Treaty Topic: Extradition and Criminal Assistance Latest Senate Action: 05/16/1995 - 104th Congress (1995-1996) - Resolution of advice and consent to ratification agreed to in Senate by Division vote. (All Actions) "/>
    <s v="323"/>
    <s v="TREATY WITH PANAMA ON MUTUAL ASSISTANCE IN CRIMINAL MATTERS"/>
    <s v="102-15"/>
    <s v="10/24/1991 - 102nd Congress (1991-1992)"/>
    <s v="102nd"/>
    <s v="Extradition and Criminal Assistance"/>
    <s v="05/16/1995 - 104th Congress (1995-1996) - Resolution of advice and consent to ratification agreed to in Senate by Division vote. (All Actions) "/>
    <x v="10"/>
    <s v="Resolution of advice and consent to ratification agreed to in Senate by Division vote. (All Actions) "/>
    <x v="0"/>
    <x v="0"/>
  </r>
  <r>
    <s v="324. EXTRADITION TREATY WITH JORDAN Senate Consideration of Treaty Document 104-3 Text of Treaty Document: TXT | PDF Date Received from President: 04/24/1995 - 104th Congress (1995-1996) Treaty Topic: Extradition and Criminal Assistance Latest Senate Action: 05/03/1995 - 104th Congress (1995-1996) - Resolution of advice and consent to ratification agreed to in Senate by Division vote. (All Actions) "/>
    <s v="324"/>
    <s v="EXTRADITION TREATY WITH JORDAN"/>
    <s v="104-3"/>
    <s v="04/24/1995 - 104th Congress (1995-1996)"/>
    <s v="104th"/>
    <s v="Extradition and Criminal Assistance"/>
    <s v="05/03/1995 - 104th Congress (1995-1996) - Resolution of advice and consent to ratification agreed to in Senate by Division vote. (All Actions) "/>
    <x v="10"/>
    <s v="Resolution of advice and consent to ratification agreed to in Senate by Division vote. (All Actions) "/>
    <x v="0"/>
    <x v="0"/>
  </r>
  <r>
    <s v="325. CONVENTION ON PROHIBITIONS OR RESTRICTIONS ON THE USE OF CERTAIN CONVENTIONAL WEAPONS Senate Consideration of Treaty Document 103-25 Date Received from President: 05/12/1994 - 103rd Congress (1993-1994) Treaty Topic: Arms Control Latest Senate Action: 03/24/1995 - 104th Congress (1995-1996) - Resolution of advice and consent to ratification agreed to in Senate by Division vote. (All Actions) "/>
    <s v="325"/>
    <s v="CONVENTION ON PROHIBITIONS OR RESTRICTIONS ON THE USE OF CERTAIN CONVENTIONAL WEAPONS"/>
    <s v="103-25"/>
    <s v="05/12/1994 - 103rd Congress (1993-1994)"/>
    <s v="103rd"/>
    <s v="Arms Control"/>
    <s v="03/24/1995 - 104th Congress (1995-1996) - Resolution of advice and consent to ratification agreed to in Senate by Division vote. (All Actions) "/>
    <x v="10"/>
    <s v="Resolution of advice and consent to ratification agreed to in Senate by Division vote. (All Actions) "/>
    <x v="0"/>
    <x v="0"/>
  </r>
  <r>
    <s v="326. CONVENTION ON BIOLOGICAL DIVERSITY Senate Consideration of Treaty Document 103-20 Date Received from President: 11/20/1993 - 103rd Congress (1993-1994) Treaty Topic: Fisheries and Wildlife Latest Senate Action: 12/01/1994 - 103rd Congress (1993-1994) - No further action at sine die adjournment of the 103 Congress; automatically rereferred to the Committee on Foreign Relations under the provisions of Rule XXX, section 2, of the Standing Rules of the Senate. (All Actions) "/>
    <s v="326"/>
    <s v="CONVENTION ON BIOLOGICAL DIVERSITY"/>
    <s v="103-20"/>
    <s v="11/20/1993 - 103rd Congress (1993-1994)"/>
    <s v="103rd"/>
    <s v="Fisheries and Wildlife"/>
    <s v="12/01/1994 - 103rd Congress (1993-1994) - No further action at sine die adjournment of the 103 Congress; automatically rereferred to the Committee on Foreign Relations under the provisions of Rule XXX, section 2, of the Standing Rules of the Senate. (All Actions) "/>
    <x v="11"/>
    <s v="No further action at sine die adjournment of the 103 Congress; automatically rereferred to the Committee on Foreign Relations under the provisions of Rule XXX, section 2, of the Standing Rules of the Senate. (All Actions) "/>
    <x v="1"/>
    <x v="1"/>
  </r>
  <r>
    <s v="327. TWO TREATIES WITH THE UNITED KINGDOM ESTABLISHING CARIBBEAN MARITIME BOUNDARIES Senate Consideration of Treaty Document 103-23 Date Received from President: 03/09/1994 - 103rd Congress (1993-1994) Treaty Topic: Maritime Boundaries and Claims Latest Senate Action: 10/07/1994 - 103rd Congress (1993-1994) - Resolution of advice and consent to ratification agreed to in Senate by Division vote. (All Actions) "/>
    <s v="327"/>
    <s v="TWO TREATIES WITH THE UNITED KINGDOM ESTABLISHING CARIBBEAN MARITIME BOUNDARIES"/>
    <s v="103-23"/>
    <s v="03/09/1994 - 103rd Congress (1993-1994)"/>
    <s v="103rd"/>
    <s v="Maritime Boundaries and Claims"/>
    <s v="10/07/1994 - 103rd Congress (1993-1994) - Resolution of advice and consent to ratification agreed to in Senate by Division vote. (All Actions) "/>
    <x v="11"/>
    <s v="Resolution of advice and consent to ratification agreed to in Senate by Division vote. (All Actions) "/>
    <x v="0"/>
    <x v="1"/>
  </r>
  <r>
    <s v="328. AGREEMENT TO PROMOTE COMPLIANCE WITH INTERNATIONAL CONSERVATION AND MANAGEMENT MEASURES BY FISHING VESSELS ON THE HIGH SEAS Senate Consideration of Treaty Document 103-24 Date Received from President: 04/25/1994 - 103rd Congress (1993-1994) Treaty Topic: Fisheries and Wildlife Latest Senate Action: 10/07/1994 - 103rd Congress (1993-1994) - Resolution of advice and consent to ratification agreed to in Senate by Division vote. (All Actions) "/>
    <s v="328"/>
    <s v="AGREEMENT TO PROMOTE COMPLIANCE WITH INTERNATIONAL CONSERVATION AND MANAGEMENT MEASURES BY FISHING VESSELS ON THE HIGH SEAS"/>
    <s v="103-24"/>
    <s v="04/25/1994 - 103rd Congress (1993-1994)"/>
    <s v="103rd"/>
    <s v="Fisheries and Wildlife"/>
    <s v="10/07/1994 - 103rd Congress (1993-1994) - Resolution of advice and consent to ratification agreed to in Senate by Division vote. (All Actions) "/>
    <x v="11"/>
    <s v="Resolution of advice and consent to ratification agreed to in Senate by Division vote. (All Actions) "/>
    <x v="0"/>
    <x v="1"/>
  </r>
  <r>
    <s v="329. ILO CONVENTION (NO. 150) CONCERNING LABOR ADMINISTRATION Senate Consideration of Treaty Document 103-26 Date Received from President: 07/26/1994 - 103rd Congress (1993-1994) Treaty Topic: Labor Latest Senate Action: 10/07/1994 - 103rd Congress (1993-1994) - Resolution of advice and consent to ratification agreed to in Senate by Division vote. (All Actions) "/>
    <s v="329"/>
    <s v="ILO CONVENTION (NO. 150) CONCERNING LABOR ADMINISTRATION"/>
    <s v="103-26"/>
    <s v="07/26/1994 - 103rd Congress (1993-1994)"/>
    <s v="103rd"/>
    <s v="Labor"/>
    <s v="10/07/1994 - 103rd Congress (1993-1994) - Resolution of advice and consent to ratification agreed to in Senate by Division vote. (All Actions) "/>
    <x v="11"/>
    <s v="Resolution of advice and consent to ratification agreed to in Senate by Division vote. (All Actions) "/>
    <x v="0"/>
    <x v="1"/>
  </r>
  <r>
    <s v="330. CONVENTION ON THE CONSERVATION AND MANAGEMENT OF POLLOCK RESOURCES IN THE CENTRAL BERING SEA Senate Consideration of Treaty Document 103-27 Date Received from President: 08/09/1994 - 103rd Congress (1993-1994) Treaty Topic: Fisheries and Wildlife Latest Senate Action: 10/07/1994 - 103rd Congress (1993-1994) - Resolution of advice and consent to ratification agreed to in Senate by Division vote. (All Actions) "/>
    <s v="330"/>
    <s v="CONVENTION ON THE CONSERVATION AND MANAGEMENT OF POLLOCK RESOURCES IN THE CENTRAL BERING SEA"/>
    <s v="103-27"/>
    <s v="08/09/1994 - 103rd Congress (1993-1994)"/>
    <s v="103rd"/>
    <s v="Fisheries and Wildlife"/>
    <s v="10/07/1994 - 103rd Congress (1993-1994) - Resolution of advice and consent to ratification agreed to in Senate by Division vote. (All Actions) "/>
    <x v="11"/>
    <s v="Resolution of advice and consent to ratification agreed to in Senate by Division vote. (All Actions) "/>
    <x v="0"/>
    <x v="1"/>
  </r>
  <r>
    <s v="331. HEADQUARTERS AGREEMENT WITH THE ORGANIZATION OF AMERICAN STATES Senate Consideration of Treaty Document 102-40 Date Received from President: 09/21/1992 - 102nd Congress (1991-1992) Treaty Topic: International Law and Organization Latest Senate Action: 10/07/1994 - 103rd Congress (1993-1994) - Resolution of advice and consent to ratification agreed to in Senate by Division vote. (All Actions) "/>
    <s v="331"/>
    <s v="HEADQUARTERS AGREEMENT WITH THE ORGANIZATION OF AMERICAN STATES"/>
    <s v="102-40"/>
    <s v="09/21/1992 - 102nd Congress (1991-1992)"/>
    <s v="102nd"/>
    <s v="International Law and Organization"/>
    <s v="10/07/1994 - 103rd Congress (1993-1994) - Resolution of advice and consent to ratification agreed to in Senate by Division vote. (All Actions) "/>
    <x v="11"/>
    <s v="Resolution of advice and consent to ratification agreed to in Senate by Division vote. (All Actions) "/>
    <x v="0"/>
    <x v="1"/>
  </r>
  <r>
    <s v="332. SECOND PROTOCOL AMENDING THE 1975 TAX CONVENTION WITH ISRAEL Senate Consideration of Treaty Document 103-16 Date Received from President: 10/19/1993 - 103rd Congress (1993-1994) Treaty Topic: Taxation Latest Senate Action: 09/23/1994 - 103rd Congress (1993-1994) - Resolution of advice and consent to ratification agreed to in Senate by Division vote. (All Actions) "/>
    <s v="332"/>
    <s v="SECOND PROTOCOL AMENDING THE 1975 TAX CONVENTION WITH ISRAEL"/>
    <s v="103-16"/>
    <s v="10/19/1993 - 103rd Congress (1993-1994)"/>
    <s v="103rd"/>
    <s v="Taxation"/>
    <s v="09/23/1994 - 103rd Congress (1993-1994) - Resolution of advice and consent to ratification agreed to in Senate by Division vote. (All Actions) "/>
    <x v="11"/>
    <s v="Resolution of advice and consent to ratification agreed to in Senate by Division vote. (All Actions) "/>
    <x v="0"/>
    <x v="1"/>
  </r>
  <r>
    <s v="333. INTERNATIONAL CONVENTION ON THE ELIMINATION OF ALL FORMS OF RACIAL DISCRIMINATION Senate Consideration of Treaty Document 95-18 Date Received from President: 02/23/1978 - 95th Congress (1977-1978) Treaty Topic: Human Rights Latest Senate Action: 06/24/1994 - 103rd Congress (1993-1994) - Resolution of advice and consent to ratification agreed to in Senate by Division Vote. (All Actions) "/>
    <s v="333"/>
    <s v="INTERNATIONAL CONVENTION ON THE ELIMINATION OF ALL FORMS OF RACIAL DISCRIMINATION"/>
    <s v="95-18"/>
    <s v="02/23/1978 - 95th Congress (1977-1978)"/>
    <s v="95th"/>
    <s v="Human Rights"/>
    <s v="06/24/1994 - 103rd Congress (1993-1994) - Resolution of advice and consent to ratification agreed to in Senate by Division Vote. (All Actions) "/>
    <x v="11"/>
    <s v="Resolution of advice and consent to ratification agreed to in Senate by Division Vote. (All Actions) "/>
    <x v="0"/>
    <x v="1"/>
  </r>
  <r>
    <s v="334. TWO PROTOCOLS AMENDING THE OAS CHARTER Senate Consideration of Treaty Document 103-22 Date Received from President: 01/26/1994 - 103rd Congress (1993-1994) Treaty Topic: International Law Latest Senate Action: 05/17/1994 - 103rd Congress (1993-1994) - Resolution of advice and consent to ratification agreed to in Senate by Division Vote. (All Actions) "/>
    <s v="334"/>
    <s v="TWO PROTOCOLS AMENDING THE OAS CHARTER"/>
    <s v="103-22"/>
    <s v="01/26/1994 - 103rd Congress (1993-1994)"/>
    <s v="103rd"/>
    <s v="International Law"/>
    <s v="05/17/1994 - 103rd Congress (1993-1994) - Resolution of advice and consent to ratification agreed to in Senate by Division Vote. (All Actions) "/>
    <x v="11"/>
    <s v="Resolution of advice and consent to ratification agreed to in Senate by Division Vote. (All Actions) "/>
    <x v="0"/>
    <x v="1"/>
  </r>
  <r>
    <s v="335. 1992 Protocol to the 1966 Conservation of Atlantic Tunas Convention Senate Consideration of Treaty Document 103-4 Date Received from President: 04/20/1993 - 103rd Congress (1993-1994) Treaty Topic: Fisheries and Wildlife Latest Senate Action: 11/20/1993 - 103rd Congress (1993-1994) - Resolution of advice and consent to ratification agreed to in Senate by Division Vote. (All Actions) "/>
    <s v="335"/>
    <s v="1992 Protocol to the 1966 Conservation of Atlantic Tunas Convention"/>
    <s v="103-4"/>
    <s v="04/20/1993 - 103rd Congress (1993-1994)"/>
    <s v="103rd"/>
    <s v="Fisheries and Wildlife"/>
    <s v="11/20/1993 - 103rd Congress (1993-1994) - Resolution of advice and consent to ratification agreed to in Senate by Division Vote. (All Actions) "/>
    <x v="11"/>
    <s v="Resolution of advice and consent to ratification agreed to in Senate by Division Vote. (All Actions) "/>
    <x v="0"/>
    <x v="1"/>
  </r>
  <r>
    <s v="336. TAX CONVENTION WITH THE NETHERLANDS Senate Consideration of Treaty Document 103-6 Date Received from President: 05/12/1993 - 103rd Congress (1993-1994) Treaty Topic: Taxation Latest Senate Action: 11/20/1993 - 103rd Congress (1993-1994) - Resolution of advice and consent to ratification agreed to in Senate by Division Vote. (All Actions) "/>
    <s v="336"/>
    <s v="TAX CONVENTION WITH THE NETHERLANDS"/>
    <s v="103-6"/>
    <s v="05/12/1993 - 103rd Congress (1993-1994)"/>
    <s v="103rd"/>
    <s v="Taxation"/>
    <s v="11/20/1993 - 103rd Congress (1993-1994) - Resolution of advice and consent to ratification agreed to in Senate by Division Vote. (All Actions) "/>
    <x v="11"/>
    <s v="Resolution of advice and consent to ratification agreed to in Senate by Division Vote. (All Actions) "/>
    <x v="0"/>
    <x v="1"/>
  </r>
  <r>
    <s v="337. TAX CONVENTION WITH MEXICO Senate Consideration of Treaty Document 103-7 Date Received from President: 05/20/1993 - 103rd Congress (1993-1994) Treaty Topic: Taxation Latest Senate Action: 11/20/1993 - 103rd Congress (1993-1994) - Resolution of advice and consent to ratification agreed to in Senate with an amendment by Division Vote. (All Actions) "/>
    <s v="337"/>
    <s v="TAX CONVENTION WITH MEXICO"/>
    <s v="103-7"/>
    <s v="05/20/1993 - 103rd Congress (1993-1994)"/>
    <s v="103rd"/>
    <s v="Taxation"/>
    <s v="11/20/1993 - 103rd Congress (1993-1994) - Resolution of advice and consent to ratification agreed to in Senate with an amendment by Division Vote. (All Actions) "/>
    <x v="11"/>
    <s v="Resolution of advice and consent to ratification agreed to in Senate with an amendment by Division Vote. (All Actions) "/>
    <x v="0"/>
    <x v="1"/>
  </r>
  <r>
    <s v="338. CONVENTION ON THE MARKING OF PLASTIC EXPLOSIVES FOR THE PURPOSE OF DETECTION Senate Consideration of Treaty Document 103-8 Date Received from President: 06/29/1993 - 103rd Congress (1993-1994) Treaty Topic: Arms Control Latest Senate Action: 11/20/1993 - 103rd Congress (1993-1994) - Resolution of advice and consent to ratification agreed to in Senate by Division Vote. (All Actions) "/>
    <s v="338"/>
    <s v="CONVENTION ON THE MARKING OF PLASTIC EXPLOSIVES FOR THE PURPOSE OF DETECTION"/>
    <s v="103-8"/>
    <s v="06/29/1993 - 103rd Congress (1993-1994)"/>
    <s v="103rd"/>
    <s v="Arms Control"/>
    <s v="11/20/1993 - 103rd Congress (1993-1994) - Resolution of advice and consent to ratification agreed to in Senate by Division Vote. (All Actions) "/>
    <x v="11"/>
    <s v="Resolution of advice and consent to ratification agreed to in Senate by Division Vote. (All Actions) "/>
    <x v="0"/>
    <x v="1"/>
  </r>
  <r>
    <s v="339. AMENDMENT TO THE MONTREAL PROTOCOL ON SUBSTANCES THAT DEPLETE THE OZONE LAYER Senate Consideration of Treaty Document 103-9 Date Received from President: 07/20/1993 - 103rd Congress (1993-1994) Treaty Topic: International Law and Organization Latest Senate Action: 11/20/1993 - 103rd Congress (1993-1994) - Resolution of advice and consent to ratification agreed to in Senate by Division Vote. (All Actions) "/>
    <s v="339"/>
    <s v="AMENDMENT TO THE MONTREAL PROTOCOL ON SUBSTANCES THAT DEPLETE THE OZONE LAYER"/>
    <s v="103-9"/>
    <s v="07/20/1993 - 103rd Congress (1993-1994)"/>
    <s v="103rd"/>
    <s v="International Law and Organization"/>
    <s v="11/20/1993 - 103rd Congress (1993-1994) - Resolution of advice and consent to ratification agreed to in Senate by Division Vote. (All Actions) "/>
    <x v="11"/>
    <s v="Resolution of advice and consent to ratification agreed to in Senate by Division Vote. (All Actions) "/>
    <x v="0"/>
    <x v="1"/>
  </r>
  <r>
    <s v="340. CONVENTION ON THE LIMITATION PERIOD IN THE INTERNATIONAL SALE OF GOODS, WITH PROTOCOL Senate Consideration of Treaty Document 103-10 Date Received from President: 08/06/1993 - 103rd Congress (1993-1994) Treaty Topic: Commercial Latest Senate Action: 11/20/1993 - 103rd Congress (1993-1994) - Resolution of advice and consent to ratification agreed to in Senate by Division Vote. (All Actions) "/>
    <s v="340"/>
    <s v="CONVENTION ON THE LIMITATION PERIOD IN THE INTERNATIONAL SALE OF GOODS, WITH PROTOCOL"/>
    <s v="103-10"/>
    <s v="08/06/1993 - 103rd Congress (1993-1994)"/>
    <s v="103rd"/>
    <s v="Commercial"/>
    <s v="11/20/1993 - 103rd Congress (1993-1994) - Resolution of advice and consent to ratification agreed to in Senate by Division Vote. (All Actions) "/>
    <x v="11"/>
    <s v="Resolution of advice and consent to ratification agreed to in Senate by Division Vote. (All Actions) "/>
    <x v="0"/>
    <x v="1"/>
  </r>
  <r>
    <s v="341. TAX CONVENTION WITH THE CZECH REPUBLIC Senate Consideration of Treaty Document 103-17 Date Received from President: 10/21/1993 - 103rd Congress (1993-1994) Treaty Topic: Taxation Latest Senate Action: 11/20/1993 - 103rd Congress (1993-1994) - Resolution of advice and consent to ratification agreed to in Senate by Division Vote. (All Actions) "/>
    <s v="341"/>
    <s v="TAX CONVENTION WITH THE CZECH REPUBLIC"/>
    <s v="103-17"/>
    <s v="10/21/1993 - 103rd Congress (1993-1994)"/>
    <s v="103rd"/>
    <s v="Taxation"/>
    <s v="11/20/1993 - 103rd Congress (1993-1994) - Resolution of advice and consent to ratification agreed to in Senate by Division Vote. (All Actions) "/>
    <x v="11"/>
    <s v="Resolution of advice and consent to ratification agreed to in Senate by Division Vote. (All Actions) "/>
    <x v="0"/>
    <x v="1"/>
  </r>
  <r>
    <s v="342. TAX CONVENTION WITH THE SLOVAK REPUBLIC Senate Consideration of Treaty Document 103-18 Date Received from President: 10/21/1993 - 103rd Congress (1993-1994) Treaty Topic: Taxation Latest Senate Action: 11/20/1993 - 103rd Congress (1993-1994) - Resolution of advice and consent to ratification agreed to in Senate by Division Vote. (All Actions) "/>
    <s v="342"/>
    <s v="TAX CONVENTION WITH THE SLOVAK REPUBLIC"/>
    <s v="103-18"/>
    <s v="10/21/1993 - 103rd Congress (1993-1994)"/>
    <s v="103rd"/>
    <s v="Taxation"/>
    <s v="11/20/1993 - 103rd Congress (1993-1994) - Resolution of advice and consent to ratification agreed to in Senate by Division Vote. (All Actions) "/>
    <x v="11"/>
    <s v="Resolution of advice and consent to ratification agreed to in Senate by Division Vote. (All Actions) "/>
    <x v="0"/>
    <x v="1"/>
  </r>
  <r>
    <s v="343. PROTOCOL AMENDING THE TAX CONVENTION WITH THE KINGDOM OF THE NETHERLANDS Senate Consideration of Treaty Document 103-19 Date Received from President: 10/22/1993 - 103rd Congress (1993-1994) Treaty Topic: Taxation Latest Senate Action: 11/20/1993 - 103rd Congress (1993-1994) - Resolution of advice and consent to ratification agreed to in Senate by Division Vote. (All Actions) "/>
    <s v="343"/>
    <s v="PROTOCOL AMENDING THE TAX CONVENTION WITH THE KINGDOM OF THE NETHERLANDS"/>
    <s v="103-19"/>
    <s v="10/22/1993 - 103rd Congress (1993-1994)"/>
    <s v="103rd"/>
    <s v="Taxation"/>
    <s v="11/20/1993 - 103rd Congress (1993-1994) - Resolution of advice and consent to ratification agreed to in Senate by Division Vote. (All Actions) "/>
    <x v="11"/>
    <s v="Resolution of advice and consent to ratification agreed to in Senate by Division Vote. (All Actions) "/>
    <x v="0"/>
    <x v="1"/>
  </r>
  <r>
    <s v="344. INCOME TAX CONVENTION WITH THE RUSSIAN FEDERATION Senate Consideration of Treaty Document 102-39 Date Received from President: 09/08/1992 - 102nd Congress (1991-1992) Treaty Topic: Taxation Latest Senate Action: 11/20/1993 - 103rd Congress (1993-1994) - Resolution of advice and consent to ratification agreed to in Senate by Division Vote. (All Actions) "/>
    <s v="344"/>
    <s v="INCOME TAX CONVENTION WITH THE RUSSIAN FEDERATION"/>
    <s v="102-39"/>
    <s v="09/08/1992 - 102nd Congress (1991-1992)"/>
    <s v="102nd"/>
    <s v="Taxation"/>
    <s v="11/20/1993 - 103rd Congress (1993-1994) - Resolution of advice and consent to ratification agreed to in Senate by Division Vote. (All Actions) "/>
    <x v="11"/>
    <s v="Resolution of advice and consent to ratification agreed to in Senate by Division Vote. (All Actions) "/>
    <x v="0"/>
    <x v="1"/>
  </r>
  <r>
    <s v="345. PROTOCOL AMENDING THE 1984 INCOME TAX CONVENTION WITH BARBADOS Senate Consideration of Treaty Document 102-41 Date Received from President: 09/30/1992 - 102nd Congress (1991-1992) Treaty Topic: Taxation Latest Senate Action: 11/20/1993 - 103rd Congress (1993-1994) - Resolution of advice and consent to ratification agreed to in Senate by Division Vote. (All Actions) "/>
    <s v="345"/>
    <s v="PROTOCOL AMENDING THE 1984 INCOME TAX CONVENTION WITH BARBADOS"/>
    <s v="102-41"/>
    <s v="09/30/1992 - 102nd Congress (1991-1992)"/>
    <s v="102nd"/>
    <s v="Taxation"/>
    <s v="11/20/1993 - 103rd Congress (1993-1994) - Resolution of advice and consent to ratification agreed to in Senate by Division Vote. (All Actions) "/>
    <x v="11"/>
    <s v="Resolution of advice and consent to ratification agreed to in Senate by Division Vote. (All Actions) "/>
    <x v="0"/>
    <x v="1"/>
  </r>
  <r>
    <s v="346. TREATY WITH ARGENTINA CONCERNING THE RECIPROCAL ENCOURAGEMENT AND PROTECTION OF INVESTMENT Senate Consideration of Treaty Document 103-2 Date Received from President: 01/19/1993 - 103rd Congress (1993-1994) Treaty Topic: Commercial Latest Senate Action: 11/17/1993 - 103rd Congress (1993-1994) - Resolution of advice and consent to ratification agreed to in Senate by Division Vote. (All Actions) "/>
    <s v="346"/>
    <s v="TREATY WITH ARGENTINA CONCERNING THE RECIPROCAL ENCOURAGEMENT AND PROTECTION OF INVESTMENT"/>
    <s v="103-2"/>
    <s v="01/19/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47. TREATY WITH BULGARIA CONCERNING THE ENCOURAGEMENT AND PRECIPROCAL PROTECTION OF INVESTMENT Senate Consideration of Treaty Document 103-3 Date Received from President: 01/19/1993 - 103rd Congress (1993-1994) Treaty Topic: Commercial Latest Senate Action: 11/17/1993 - 103rd Congress (1993-1994) - Resolution of advice and consent to ratification agreed to in Senate by Division Vote. (All Actions) "/>
    <s v="347"/>
    <s v="TREATY WITH BULGARIA CONCERNING THE ENCOURAGEMENT AND PRECIPROCAL PROTECTION OF INVESTMENT"/>
    <s v="103-3"/>
    <s v="01/19/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48. INVESTMENT TREATY WITH THE REPUBLIC OF ARMENIA Senate Consideration of Treaty Document 103-11 Date Received from President: 09/07/1993 - 103rd Congress (1993-1994) Treaty Topic: Commercial Latest Senate Action: 11/17/1993 - 103rd Congress (1993-1994) - Resolution of advice and consent to ratification agreed to in Senate by Division Vote. (All Actions) "/>
    <s v="348"/>
    <s v="INVESTMENT TREATY WITH THE REPUBLIC OF ARMENIA"/>
    <s v="103-11"/>
    <s v="09/07/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49. INVESTMENT TREATY WITH THE REPUBLIC OF KYRGYZSTAN Senate Consideration of Treaty Document 103-13 Date Received from President: 09/07/1993 - 103rd Congress (1993-1994) Treaty Topic: Commercial Latest Senate Action: 11/17/1993 - 103rd Congress (1993-1994) - Resolution of advice and consent to ratification agreed to in Senate by Division Vote. (All Actions) "/>
    <s v="349"/>
    <s v="INVESTMENT TREATY WITH THE REPUBLIC OF KYRGYZSTAN"/>
    <s v="103-13"/>
    <s v="09/07/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50. INVESTMENT TREATY WITH THE REPUBLIC OF MOLDOVA Senate Consideration of Treaty Document 103-14 Date Received from President: 09/07/1993 - 103rd Congress (1993-1994) Treaty Topic: Commercial Latest Senate Action: 11/17/1993 - 103rd Congress (1993-1994) - Resolution of advice and consent to ratification agreed to in Senate by Division Vote. (All Actions) "/>
    <s v="350"/>
    <s v="INVESTMENT TREATY WITH THE REPUBLIC OF MOLDOVA"/>
    <s v="103-14"/>
    <s v="09/07/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51. INVESTMENT TREATY WITH THE REPUBLIC OF ECUADOR Senate Consideration of Treaty Document 103-15 Date Received from President: 09/10/1993 - 103rd Congress (1993-1994) Treaty Topic: Commercial Latest Senate Action: 11/17/1993 - 103rd Congress (1993-1994) - Resolution of advice and consent to ratification agreed to in Senate by Division Vote. (All Actions) "/>
    <s v="351"/>
    <s v="INVESTMENT TREATY WITH THE REPUBLIC OF ECUADOR"/>
    <s v="103-15"/>
    <s v="09/10/1993 - 103rd Congress (1993-1994)"/>
    <s v="103rd"/>
    <s v="Commercial"/>
    <s v="11/17/1993 - 103rd Congress (1993-1994) - Resolution of advice and consent to ratification agreed to in Senate by Division Vote. (All Actions) "/>
    <x v="11"/>
    <s v="Resolution of advice and consent to ratification agreed to in Senate by Division Vote. (All Actions) "/>
    <x v="0"/>
    <x v="1"/>
  </r>
  <r>
    <s v="352. TREATY WITH ROMANIA CONCERNING THE RECIPROCAL ENCOURAGEMENT AND PROTECTION OF INVESTMENT Senate Consideration of Treaty Document 102-36 Date Received from President: 08/03/1992 - 102nd Congress (1991-1992) Treaty Topic: Commercial Latest Senate Action: 11/17/1993 - 103rd Congress (1993-1994) - Resolution of advice and consent to ratification agreed to in Senate by Division Vote. (All Actions) "/>
    <s v="352"/>
    <s v="TREATY WITH ROMANIA CONCERNING THE RECIPROCAL ENCOURAGEMENT AND PROTECTION OF INVESTMENT"/>
    <s v="102-36"/>
    <s v="08/03/1992 - 102nd Congress (1991-1992)"/>
    <s v="102nd"/>
    <s v="Commercial"/>
    <s v="11/17/1993 - 103rd Congress (1993-1994) - Resolution of advice and consent to ratification agreed to in Senate by Division Vote. (All Actions) "/>
    <x v="11"/>
    <s v="Resolution of advice and consent to ratification agreed to in Senate by Division Vote. (All Actions) "/>
    <x v="0"/>
    <x v="1"/>
  </r>
  <r>
    <s v="353. INVESTMENT TREATY WITH KAZAKHSTAN Senate Consideration of Treaty Document 103-12 Date Received from President: 09/07/1993 - 103rd Congress (1993-1994) Treaty Topic: Commercial Latest Senate Action: 10/21/1993 - 103rd Congress (1993-1994) - Resolution of advice and consent to ratification agreed to in Senate by Division Vote. (All Actions) "/>
    <s v="353"/>
    <s v="INVESTMENT TREATY WITH KAZAKHSTAN"/>
    <s v="103-12"/>
    <s v="09/07/1993 - 103rd Congress (1993-1994)"/>
    <s v="103rd"/>
    <s v="Commercial"/>
    <s v="10/21/1993 - 103rd Congress (1993-1994) - Resolution of advice and consent to ratification agreed to in Senate by Division Vote. (All Actions) "/>
    <x v="11"/>
    <s v="Resolution of advice and consent to ratification agreed to in Senate by Division Vote. (All Actions) "/>
    <x v="0"/>
    <x v="1"/>
  </r>
  <r>
    <s v="354. TREATY ON OPEN SKIES Senate Consideration of Treaty Document 102-37 Date Received from President: 08/12/1992 - 102nd Congress (1991-1992) Treaty Topic: Aviation Latest Senate Action: 08/06/1993 - 103rd Congress (1993-1994) - Resolution of advice and consent to ratification agreed to in Senate by Division Vote. (All Actions) "/>
    <s v="354"/>
    <s v="TREATY ON OPEN SKIES"/>
    <s v="102-37"/>
    <s v="08/12/1992 - 102nd Congress (1991-1992)"/>
    <s v="102nd"/>
    <s v="Aviation"/>
    <s v="08/06/1993 - 103rd Congress (1993-1994) - Resolution of advice and consent to ratification agreed to in Senate by Division Vote. (All Actions) "/>
    <x v="11"/>
    <s v="Resolution of advice and consent to ratification agreed to in Senate by Division Vote. (All Actions) "/>
    <x v="0"/>
    <x v="1"/>
  </r>
  <r>
    <s v="355. PROTOCOL ON ENVIRONMENTAL PROTECTION TO THE ANTARCTIC TREATY Senate Consideration of Treaty Document 102-22 Date Received from President: 02/14/1992 - 102nd Congress (1991-1992) Treaty Topic: International Law Latest Senate Action: 10/07/1992 - 102nd Congress (1991-1992) - Resolution of advice and consent to ratification agreed to in Senate by Division Vote. (All Actions) "/>
    <s v="355"/>
    <s v="PROTOCOL ON ENVIRONMENTAL PROTECTION TO THE ANTARCTIC TREATY"/>
    <s v="102-22"/>
    <s v="02/14/1992 - 102nd Congress (1991-1992)"/>
    <s v="102nd"/>
    <s v="International Law"/>
    <s v="10/07/1992 - 102nd Congress (1991-1992) - Resolution of advice and consent to ratification agreed to in Senate by Division Vote. (All Actions) "/>
    <x v="12"/>
    <s v="Resolution of advice and consent to ratification agreed to in Senate by Division Vote. (All Actions) "/>
    <x v="0"/>
    <x v="0"/>
  </r>
  <r>
    <s v="356. UNITED NATIONS FRAMEWORK CONVENTION ON CLIMATE CHANGE Senate Consideration of Treaty Document 102-38 Date Received from President: 09/08/1992 - 102nd Congress (1991-1992) Treaty Topic: International Law and Organization Latest Senate Action: 10/07/1992 - 102nd Congress (1991-1992) - Resolution of advice and consent to ratification agreed to in Senate by Division Vote. (All Actions) "/>
    <s v="356"/>
    <s v="UNITED NATIONS FRAMEWORK CONVENTION ON CLIMATE CHANGE"/>
    <s v="102-38"/>
    <s v="09/08/1992 - 102nd Congress (1991-1992)"/>
    <s v="102nd"/>
    <s v="International Law and Organization"/>
    <s v="10/07/1992 - 102nd Congress (1991-1992) - Resolution of advice and consent to ratification agreed to in Senate by Division Vote. (All Actions) "/>
    <x v="12"/>
    <s v="Resolution of advice and consent to ratification agreed to in Senate by Division Vote. (All Actions) "/>
    <x v="0"/>
    <x v="0"/>
  </r>
  <r>
    <s v="357. TREATY WITH THE UNION OF SOVIET SOCIALIST REPUBLICS ON THE REDUCTION AND LIMITATION OF STRATEGIC OFFENSIVE ARMS (THE START TREATY) Senate Consideration of Treaty Document 102-20 Date Received from President: 11/25/1991 - 102nd Congress (1991-1992) Treaty Topic: Arms Control Latest Senate Action: 10/01/1992 - 102nd Congress (1991-1992) - Resolution of advice and consent to ratification agreed to in Senate with amendments by Yea-Nay Vote. 93 - 6. Record Vote Number: 253. (All Actions) "/>
    <s v="357"/>
    <s v="TREATY WITH THE UNION OF SOVIET SOCIALIST REPUBLICS ON THE REDUCTION AND LIMITATION OF STRATEGIC OFFENSIVE ARMS (THE START TREATY)"/>
    <s v="102-20"/>
    <s v="11/25/1991 - 102nd Congress (1991-1992)"/>
    <s v="102nd"/>
    <s v="Arms Control"/>
    <s v="10/01/1992 - 102nd Congress (1991-1992) - Resolution of advice and consent to ratification agreed to in Senate with amendments by Yea-Nay Vote. 93 - 6. Record Vote Number: 253. (All Actions) "/>
    <x v="12"/>
    <s v="Resolution of advice and consent to ratification agreed to in Senate with amendments by Yea-Nay Vote. 93 - 6. Record Vote Number: 253. (All Actions) "/>
    <x v="0"/>
    <x v="0"/>
  </r>
  <r>
    <s v="358. PROTOCOL TO THE TREATY WITH THE UNION OF SOVIET SOCIALIST REPUBLICS ON THE REDUCTION AND LIMITATION OF STRATEGIC OFFENSIVE ARMS Senate Consideration of Treaty Document 102-32 Date Received from President: 06/19/1992 - 102nd Congress (1991-1992) Treaty Topic: Arms Control Latest Senate Action: 10/01/1992 - 102nd Congress (1991-1992) - Resolution of advice and consent to ratification agreed to in Senate with amendments by Yea-Nay Vote. 93 - 6. Record Vote Number: 253. (All Actions) "/>
    <s v="358"/>
    <s v="PROTOCOL TO THE TREATY WITH THE UNION OF SOVIET SOCIALIST REPUBLICS ON THE REDUCTION AND LIMITATION OF STRATEGIC OFFENSIVE ARMS"/>
    <s v="102-32"/>
    <s v="06/19/1992 - 102nd Congress (1991-1992)"/>
    <s v="102nd"/>
    <s v="Arms Control"/>
    <s v="10/01/1992 - 102nd Congress (1991-1992) - Resolution of advice and consent to ratification agreed to in Senate with amendments by Yea-Nay Vote. 93 - 6. Record Vote Number: 253. (All Actions) "/>
    <x v="12"/>
    <s v="Resolution of advice and consent to ratification agreed to in Senate with amendments by Yea-Nay Vote. 93 - 6. Record Vote Number: 253. (All Actions) "/>
    <x v="0"/>
    <x v="0"/>
  </r>
  <r>
    <s v="359. TREATY WITH THE PEOPLE'S REPUBLIC OF THE CONGO CONCERNING THE RECIPROCAL ENCOURAGEMENT AND PROTECTION OF INVESTMENT Senate Consideration of Treaty Document 102-1 Date Received from President: 03/19/1991 - 102nd Congress (1991-1992) Treaty Topic: Commercial Latest Senate Action: 08/11/1992 - 102nd Congress (1991-1992) - Resolution of advice and consent to ratification agreed to in Senate by Division Vote. (All Actions) "/>
    <s v="359"/>
    <s v="TREATY WITH THE PEOPLE'S REPUBLIC OF THE CONGO CONCERNING THE RECIPROCAL ENCOURAGEMENT AND PROTECTION OF INVESTMENT"/>
    <s v="102-1"/>
    <s v="03/19/1991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0. BASEL CONVENTION ON THE CONTROL OF TRANSBOUNDARY MOVEMENTS OF HAZARDOUS WASTES AND THEIR DISPOSAL Senate Consideration of Treaty Document 102-5 Date Received from President: 05/17/1991 - 102nd Congress (1991-1992) Treaty Topic: International Law Latest Senate Action: 08/11/1992 - 102nd Congress (1991-1992) - Resolution of advice and consent to ratification agreed to in Senate with understandings by Division Vote. (All Actions) "/>
    <s v="360"/>
    <s v="BASEL CONVENTION ON THE CONTROL OF TRANSBOUNDARY MOVEMENTS OF HAZARDOUS WASTES AND THEIR DISPOSAL"/>
    <s v="102-5"/>
    <s v="05/17/1991 - 102nd Congress (1991-1992)"/>
    <s v="102nd"/>
    <s v="International Law"/>
    <s v="08/11/1992 - 102nd Congress (1991-1992) - Resolution of advice and consent to ratification agreed to in Senate with understandings by Division Vote. (All Actions) "/>
    <x v="12"/>
    <s v="Resolution of advice and consent to ratification agreed to in Senate with understandings by Division Vote. (All Actions) "/>
    <x v="0"/>
    <x v="0"/>
  </r>
  <r>
    <s v="361. TREATY WITH TUNISIA CONCERNING THE RECIPROCAL ENCOURAGEMENT AND PROTECTION OF INVESTMENT Senate Consideration of Treaty Document 102-6 Date Received from President: 05/17/1991 - 102nd Congress (1991-1992) Treaty Topic: Commercial Latest Senate Action: 08/11/1992 - 102nd Congress (1991-1992) - Resolution of advice and consent to ratification agreed to in Senate by Division Vote. (All Actions) "/>
    <s v="361"/>
    <s v="TREATY WITH TUNISIA CONCERNING THE RECIPROCAL ENCOURAGEMENT AND PROTECTION OF INVESTMENT"/>
    <s v="102-6"/>
    <s v="05/17/1991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2. TREATY WITH SRI LANKA CONCERNING THE ENCOURAGEMENT AND RECIPROCAL PROTECTION OF INVESTMENT Senate Consideration of Treaty Document 102-25 Date Received from President: 03/24/1992 - 102nd Congress (1991-1992) Treaty Topic: Commercial Latest Senate Action: 08/11/1992 - 102nd Congress (1991-1992) - Resolution of advice and consent to ratification agreed to in Senate by Division Vote. (All Actions) "/>
    <s v="362"/>
    <s v="TREATY WITH SRI LANKA CONCERNING THE ENCOURAGEMENT AND RECIPROCAL PROTECTION OF INVESTMENT"/>
    <s v="102-25"/>
    <s v="03/24/1992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3. CONVENTION FOR THE CONSERVATION OF ANADROMOUS STOCKS IN THE NORTH PACIFIC OCEAN Senate Consideration of Treaty Document 102-30 Date Received from President: 05/19/1992 - 102nd Congress (1991-1992) Treaty Topic: Fisheries and Wildlife Latest Senate Action: 08/11/1992 - 102nd Congress (1991-1992) - Resolution of advice and consent to ratification agreed to in Senate by Division Vote. (All Actions) "/>
    <s v="363"/>
    <s v="CONVENTION FOR THE CONSERVATION OF ANADROMOUS STOCKS IN THE NORTH PACIFIC OCEAN"/>
    <s v="102-30"/>
    <s v="05/19/1992 - 102nd Congress (1991-1992)"/>
    <s v="102nd"/>
    <s v="Fisheries and Wildlife"/>
    <s v="08/11/1992 - 102nd Congress (1991-1992) - Resolution of advice and consent to ratification agreed to in Senate by Division Vote. (All Actions) "/>
    <x v="12"/>
    <s v="Resolution of advice and consent to ratification agreed to in Senate by Division Vote. (All Actions) "/>
    <x v="0"/>
    <x v="0"/>
  </r>
  <r>
    <s v="364. TREATY WITH THE CZECH AND SLOVAK FEDERAL REPUBLIC CONCERNING THE RECIPROCAL ENCOURAGEMENT AND PROTECTION OF INVESTMENT Senate Consideration of Treaty Document 102-31 Date Received from President: 06/02/1992 - 102nd Congress (1991-1992) Treaty Topic: Commercial Latest Senate Action: 08/11/1992 - 102nd Congress (1991-1992) - Resolution of advice and consent to ratification agreed to in Senate by Division Vote. (All Actions) "/>
    <s v="364"/>
    <s v="TREATY WITH THE CZECH AND SLOVAK FEDERAL REPUBLIC CONCERNING THE RECIPROCAL ENCOURAGEMENT AND PROTECTION OF INVESTMENT"/>
    <s v="102-31"/>
    <s v="06/02/1992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5. TREATY WITH THE RUSSIAN FEDERATION CONCERNING THE ENCOURAGEMENT AND RECIPROCAL PROTECTION OF INVESTMENT Senate Consideration of Treaty Document 102-33 Date Received from President: 07/28/1992 - 102nd Congress (1991-1992) Treaty Topic: Commercial Latest Senate Action: 08/11/1992 - 102nd Congress (1991-1992) - Resolution of advice and consent to ratification agreed to in Senate by Division Vote. (All Actions) "/>
    <s v="365"/>
    <s v="TREATY WITH THE RUSSIAN FEDERATION CONCERNING THE ENCOURAGEMENT AND RECIPROCAL PROTECTION OF INVESTMENT"/>
    <s v="102-33"/>
    <s v="07/28/1992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6. PROTOCOL TO THE TREATY OF FRIENDSHIP, COMMERCE AND CONSULAR RIGHTS WITH THE REPUBLIC OF FINLAND Senate Consideration of Treaty Document 102-34 Date Received from President: 07/30/1992 - 102nd Congress (1991-1992) Treaty Topic: Commercial Latest Senate Action: 08/11/1992 - 102nd Congress (1991-1992) - Resolution of advice and consent to ratification agreed to in Senate by Division Vote. (All Actions) "/>
    <s v="366"/>
    <s v="PROTOCOL TO THE TREATY OF FRIENDSHIP, COMMERCE AND CONSULAR RIGHTS WITH THE REPUBLIC OF FINLAND"/>
    <s v="102-34"/>
    <s v="07/30/1992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7. PROTOCOL TO THE TREATY OF FRIENDSHIP, COMMERCE AMD NAVIGATION WITH IRELAND Senate Consideration of Treaty Document 102-35 Date Received from President: 07/30/1992 - 102nd Congress (1991-1992) Treaty Topic: Commercial Latest Senate Action: 08/11/1992 - 102nd Congress (1991-1992) - Resolution of advice and consent to ratification agreed to in Senate by Division Vote. (All Actions) "/>
    <s v="367"/>
    <s v="PROTOCOL TO THE TREATY OF FRIENDSHIP, COMMERCE AMD NAVIGATION WITH IRELAND"/>
    <s v="102-35"/>
    <s v="07/30/1992 - 102nd Congress (1991-1992)"/>
    <s v="102nd"/>
    <s v="Commercial"/>
    <s v="08/11/1992 - 102nd Congress (1991-1992) - Resolution of advice and consent to ratification agreed to in Senate by Division Vote. (All Actions) "/>
    <x v="12"/>
    <s v="Resolution of advice and consent to ratification agreed to in Senate by Division Vote. (All Actions) "/>
    <x v="0"/>
    <x v="0"/>
  </r>
  <r>
    <s v="368. 1983 PARTIAL REVISION OF THE RADIO REGULATIONS (GENEVA, 1979) AND A FINAL PROTOCOL Senate Consideration of Treaty Document 99-1 Date Received from President: 01/04/1985 - 99th Congress (1985-1986) Treaty Topic: Commercial Latest Senate Action: 08/06/1992 - 102nd Congress (1991-1992) - Resolution of advice and consent to ratification agreed to in Senate by Division Vote. (All Actions) "/>
    <s v="368"/>
    <s v="1983 PARTIAL REVISION OF THE RADIO REGULATIONS (GENEVA, 1979) AND A FINAL PROTOCOL"/>
    <s v="99-1"/>
    <s v="01/04/1985 - 99th Congress (1985-1986)"/>
    <s v="99th"/>
    <s v="Commercial"/>
    <s v="08/06/1992 - 102nd Congress (1991-1992) - Resolution of advice and consent to ratification agreed to in Senate by Division Vote. (All Actions) "/>
    <x v="12"/>
    <s v="Resolution of advice and consent to ratification agreed to in Senate by Division Vote. (All Actions) "/>
    <x v="0"/>
    <x v="0"/>
  </r>
  <r>
    <s v="369. AGREEMENT FOR THE MEDIUM FREQUENCY BROADCASTING SERVICE IN REGION 2 Senate Consideration of Treaty Document 100-7 Date Received from President: 06/26/1987 - 100th Congress (1987-1988) Treaty Topic: Commercial Latest Senate Action: 08/06/1992 - 102nd Congress (1991-1992) - Resolution of advice and consent to ratification agreed to in Senate by Division Vote. (All Actions) "/>
    <s v="369"/>
    <s v="AGREEMENT FOR THE MEDIUM FREQUENCY BROADCASTING SERVICE IN REGION 2"/>
    <s v="100-7"/>
    <s v="06/26/1987 - 100th Congress (1987-1988)"/>
    <s v="100th"/>
    <s v="Commercial"/>
    <s v="08/06/1992 - 102nd Congress (1991-1992) - Resolution of advice and consent to ratification agreed to in Senate by Division Vote. (All Actions) "/>
    <x v="12"/>
    <s v="Resolution of advice and consent to ratification agreed to in Senate by Division Vote. (All Actions) "/>
    <x v="0"/>
    <x v="0"/>
  </r>
  <r>
    <s v="370. REGIONAL AGREEMENT ON BROADCASTING SERVICE EXPANSION IN THE WESTERN HEMISPHERE Senate Consideration of Treaty Document 102-10 Date Received from President: 07/30/1991 - 102nd Congress (1991-1992) Treaty Topic: Commercial Latest Senate Action: 08/06/1992 - 102nd Congress (1991-1992) - Resolution of advice and consent to ratification agreed to in Senate by Division Vote. (All Actions) "/>
    <s v="370"/>
    <s v="REGIONAL AGREEMENT ON BROADCASTING SERVICE EXPANSION IN THE WESTERN HEMISPHERE"/>
    <s v="102-10"/>
    <s v="07/30/1991 - 102nd Congress (1991-1992)"/>
    <s v="102nd"/>
    <s v="Commercial"/>
    <s v="08/06/1992 - 102nd Congress (1991-1992) - Resolution of advice and consent to ratification agreed to in Senate by Division Vote. (All Actions) "/>
    <x v="12"/>
    <s v="Resolution of advice and consent to ratification agreed to in Senate by Division Vote. (All Actions) "/>
    <x v="0"/>
    <x v="0"/>
  </r>
  <r>
    <s v="371. INTERNATIONAL TELECOMMUNICATION REGULATIONS (MELBOURNE, 1988) Senate Consideration of Treaty Document 102-13 Date Received from President: 09/11/1991 - 102nd Congress (1991-1992) Treaty Topic: International Law and Organization Latest Senate Action: 08/06/1992 - 102nd Congress (1991-1992) - Resolution of advice and consent to ratification agreed to in Senate by Division Vote. (All Actions) "/>
    <s v="371"/>
    <s v="INTERNATIONAL TELECOMMUNICATION REGULATIONS (MELBOURNE, 1988)"/>
    <s v="102-13"/>
    <s v="09/11/1991 - 102nd Congress (1991-1992)"/>
    <s v="102nd"/>
    <s v="International Law and Organization"/>
    <s v="08/06/1992 - 102nd Congress (1991-1992) - Resolution of advice and consent to ratification agreed to in Senate by Division Vote. (All Actions) "/>
    <x v="12"/>
    <s v="Resolution of advice and consent to ratification agreed to in Senate by Division Vote. (All Actions) "/>
    <x v="0"/>
    <x v="0"/>
  </r>
  <r>
    <s v="372. PARTIAL REVISION (1988), RADIO REGULATIONS, RELATING TO SPACE RADIOCOMMUNICATIONS SERVICES Senate Consideration of Treaty Document 102-27 Date Received from President: 04/02/1992 - 102nd Congress (1991-1992) Treaty Topic: International Law and Organization Latest Senate Action: 08/06/1992 - 102nd Congress (1991-1992) - Resolution of advice and consent to ratification agreed to in Senate by Division Vote. (All Actions) "/>
    <s v="372"/>
    <s v="PARTIAL REVISION (1988), RADIO REGULATIONS, RELATING TO SPACE RADIOCOMMUNICATIONS SERVICES"/>
    <s v="102-27"/>
    <s v="04/02/1992 - 102nd Congress (1991-1992)"/>
    <s v="102nd"/>
    <s v="International Law and Organization"/>
    <s v="08/06/1992 - 102nd Congress (1991-1992) - Resolution of advice and consent to ratification agreed to in Senate by Division Vote. (All Actions) "/>
    <x v="12"/>
    <s v="Resolution of advice and consent to ratification agreed to in Senate by Division Vote. (All Actions) "/>
    <x v="0"/>
    <x v="0"/>
  </r>
  <r>
    <s v="373. PARTIAL REVISION (1985), RADIO REGULATIONS, RELATING TO BROADCASTING-SATELLITE SERVICE IN REGION 2 Senate Consideration of Treaty Document 102-28 Date Received from President: 04/02/1992 - 102nd Congress (1991-1992) Treaty Topic: International Law and Organization Latest Senate Action: 08/06/1992 - 102nd Congress (1991-1992) - Resolution of advice and consent to ratification agreed to in Senate by Division Vote. (All Actions) "/>
    <s v="373"/>
    <s v="PARTIAL REVISION (1985), RADIO REGULATIONS, RELATING TO BROADCASTING-SATELLITE SERVICE IN REGION 2"/>
    <s v="102-28"/>
    <s v="04/02/1992 - 102nd Congress (1991-1992)"/>
    <s v="102nd"/>
    <s v="International Law and Organization"/>
    <s v="08/06/1992 - 102nd Congress (1991-1992) - Resolution of advice and consent to ratification agreed to in Senate by Division Vote. (All Actions) "/>
    <x v="12"/>
    <s v="Resolution of advice and consent to ratification agreed to in Senate by Division Vote. (All Actions) "/>
    <x v="0"/>
    <x v="0"/>
  </r>
  <r>
    <s v="374. PARTIAL REVISION OF THE RADIO REGULATIONS (GENEVA, 1979) RELATING TO MOBILE SERVICES Senate Consideration of Treaty Document 102-29 Date Received from President: 05/12/1992 - 102nd Congress (1991-1992) Treaty Topic: International Law and Organization Latest Senate Action: 08/06/1992 - 102nd Congress (1991-1992) - Resolution of advice and consent to ratification agreed to in Senate by Division Vote. (All Actions) "/>
    <s v="374"/>
    <s v="PARTIAL REVISION OF THE RADIO REGULATIONS (GENEVA, 1979) RELATING TO MOBILE SERVICES"/>
    <s v="102-29"/>
    <s v="05/12/1992 - 102nd Congress (1991-1992)"/>
    <s v="102nd"/>
    <s v="International Law and Organization"/>
    <s v="08/06/1992 - 102nd Congress (1991-1992) - Resolution of advice and consent to ratification agreed to in Senate by Division Vote. (All Actions) "/>
    <x v="12"/>
    <s v="Resolution of advice and consent to ratification agreed to in Senate by Division Vote. (All Actions) "/>
    <x v="0"/>
    <x v="0"/>
  </r>
  <r>
    <s v="375. TREATY ON MUTUAL LEGAL ASSISTANCE IN CRIMINAL MATTERS Senate Consideration of Treaty Document 102-16 Date Received from President: 10/25/1991 - 102nd Congress (1991-1992) Treaty Topic: Extradition and Criminal Assistance Latest Senate Action: 07/02/1992 - 102nd Congress (1991-1992) - Resolution of advice and consent to ratification agreed to in Senate by Division Vote. (All Actions) "/>
    <s v="375"/>
    <s v="TREATY ON MUTUAL LEGAL ASSISTANCE IN CRIMINAL MATTERS"/>
    <s v="102-16"/>
    <s v="10/25/1991 - 102nd Congress (1991-1992)"/>
    <s v="102nd"/>
    <s v="Extradition and Criminal Assistance"/>
    <s v="07/02/1992 - 102nd Congress (1991-1992) - Resolution of advice and consent to ratification agreed to in Senate by Division Vote. (All Actions) "/>
    <x v="12"/>
    <s v="Resolution of advice and consent to ratification agreed to in Senate by Division Vote. (All Actions) "/>
    <x v="0"/>
    <x v="0"/>
  </r>
  <r>
    <s v="376. TREATY WITH ARGENTINA ON MUTUAL LEGAL ASSISTANCE IN CRIMINAL MATTERS Senate Consideration of Treaty Document 102-18 Date Received from President: 10/31/1991 - 102nd Congress (1991-1992) Treaty Topic: Extradition and Criminal Assistance Latest Senate Action: 07/02/1992 - 102nd Congress (1991-1992) - Resolution of advice and consent to ratification agreed to in Senate by Division Vote. (All Actions) "/>
    <s v="376"/>
    <s v="TREATY WITH ARGENTINA ON MUTUAL LEGAL ASSISTANCE IN CRIMINAL MATTERS"/>
    <s v="102-18"/>
    <s v="10/31/1991 - 102nd Congress (1991-1992)"/>
    <s v="102nd"/>
    <s v="Extradition and Criminal Assistance"/>
    <s v="07/02/1992 - 102nd Congress (1991-1992) - Resolution of advice and consent to ratification agreed to in Senate by Division Vote. (All Actions) "/>
    <x v="12"/>
    <s v="Resolution of advice and consent to ratification agreed to in Senate by Division Vote. (All Actions) "/>
    <x v="0"/>
    <x v="0"/>
  </r>
  <r>
    <s v="377. TREATY WITH URUGUAY ON MUTUAL LEGAL ASSISTANCE IN CRIMINAL MATTERS Senate Consideration of Treaty Document 102-19 Date Received from President: 11/13/1991 - 102nd Congress (1991-1992) Treaty Topic: Extradition and Criminal Assistance Latest Senate Action: 07/02/1992 - 102nd Congress (1991-1992) - Resolution of advice and consent to ratification agreed to in Senate by Division Vote. (All Actions) "/>
    <s v="377"/>
    <s v="TREATY WITH URUGUAY ON MUTUAL LEGAL ASSISTANCE IN CRIMINAL MATTERS"/>
    <s v="102-19"/>
    <s v="11/13/1991 - 102nd Congress (1991-1992)"/>
    <s v="102nd"/>
    <s v="Extradition and Criminal Assistance"/>
    <s v="07/02/1992 - 102nd Congress (1991-1992) - Resolution of advice and consent to ratification agreed to in Senate by Division Vote. (All Actions) "/>
    <x v="12"/>
    <s v="Resolution of advice and consent to ratification agreed to in Senate by Division Vote. (All Actions) "/>
    <x v="0"/>
    <x v="0"/>
  </r>
  <r>
    <s v="378. TREATY WITH SPAIN ON MUTUAL LEGAL ASSISTANCE IN CRIMINAL MATTERS Senate Consideration of Treaty Document 102-21 Date Received from President: 01/22/1992 - 102nd Congress (1991-1992) Treaty Topic: Extradition and Criminal Assistance Latest Senate Action: 07/02/1992 - 102nd Congress (1991-1992) - Resolution of advice and consent to ratification agreed to in Senate by Division Vote. (All Actions) "/>
    <s v="378"/>
    <s v="TREATY WITH SPAIN ON MUTUAL LEGAL ASSISTANCE IN CRIMINAL MATTERS"/>
    <s v="102-21"/>
    <s v="01/22/1992 - 102nd Congress (1991-1992)"/>
    <s v="102nd"/>
    <s v="Extradition and Criminal Assistance"/>
    <s v="07/02/1992 - 102nd Congress (1991-1992) - Resolution of advice and consent to ratification agreed to in Senate by Division Vote. (All Actions) "/>
    <x v="12"/>
    <s v="Resolution of advice and consent to ratification agreed to in Senate by Division Vote. (All Actions) "/>
    <x v="0"/>
    <x v="0"/>
  </r>
  <r>
    <s v="379. SUPPLEMENTARY EXTRADITION TREATY WITH THE FEDERAL REPUBLIC OF GERMANY Senate Consideration of Treaty Document 100-6 Date Received from President: 06/25/1987 - 100th Congress (1987-1988) Treaty Topic: Extradition and Criminal Assistance Latest Senate Action: 05/13/1992 - 102nd Congress (1991-1992) - Resolution of advice and consent to ratification agreed to in Senate by Division Vote. (All Actions) "/>
    <s v="379"/>
    <s v="SUPPLEMENTARY EXTRADITION TREATY WITH THE FEDERAL REPUBLIC OF GERMANY"/>
    <s v="100-6"/>
    <s v="06/25/1987 - 100th Congress (1987-1988)"/>
    <s v="100th"/>
    <s v="Extradition and Criminal Assistance"/>
    <s v="05/13/1992 - 102nd Congress (1991-1992) - Resolution of advice and consent to ratification agreed to in Senate by Division Vote. (All Actions) "/>
    <x v="12"/>
    <s v="Resolution of advice and consent to ratification agreed to in Senate by Division Vote. (All Actions) "/>
    <x v="0"/>
    <x v="0"/>
  </r>
  <r>
    <s v="380. CONSULAR CONVENTION WITH THE REPUBLIC OF TUNISIA Senate Consideration of Treaty Document 101-12 Date Received from President: 02/23/1990 - 101st Congress (1989-1990) Treaty Topic: Consular Latest Senate Action: 05/13/1992 - 102nd Congress (1991-1992) - Resolution of advice and consent to ratification agreed to in Senate by Division Vote. (All Actions) "/>
    <s v="380"/>
    <s v="CONSULAR CONVENTION WITH THE REPUBLIC OF TUNISIA"/>
    <s v="101-12"/>
    <s v="02/23/1990 - 101st Congress (1989-1990)"/>
    <s v="101st"/>
    <s v="Consular"/>
    <s v="05/13/1992 - 102nd Congress (1991-1992) - Resolution of advice and consent to ratification agreed to in Senate by Division Vote. (All Actions) "/>
    <x v="12"/>
    <s v="Resolution of advice and consent to ratification agreed to in Senate by Division Vote. (All Actions) "/>
    <x v="0"/>
    <x v="0"/>
  </r>
  <r>
    <s v="381. CONSULAR CONVENTION WITH THE DEMOCRATIC AND POPULAR REPUBLIC OF ALGERIA Senate Consideration of Treaty Document 101-13 Date Received from President: 02/27/1990 - 101st Congress (1989-1990) Treaty Topic: Consular Latest Senate Action: 05/13/1992 - 102nd Congress (1991-1992) - Resolution of advice and consent to ratification agreed to in Senate by Division Vote. (All Actions) "/>
    <s v="381"/>
    <s v="CONSULAR CONVENTION WITH THE DEMOCRATIC AND POPULAR REPUBLIC OF ALGERIA"/>
    <s v="101-13"/>
    <s v="02/27/1990 - 101st Congress (1989-1990)"/>
    <s v="101st"/>
    <s v="Consular"/>
    <s v="05/13/1992 - 102nd Congress (1991-1992) - Resolution of advice and consent to ratification agreed to in Senate by Division Vote. (All Actions) "/>
    <x v="12"/>
    <s v="Resolution of advice and consent to ratification agreed to in Senate by Division Vote. (All Actions) "/>
    <x v="0"/>
    <x v="0"/>
  </r>
  <r>
    <s v="382. CONSULAR CONVENTION WITH THE MONGOLIAN PEOPLE'S REPUBLIC Senate Consideration of Treaty Document 102-14 Date Received from President: 09/13/1991 - 102nd Congress (1991-1992) Treaty Topic: Consular Latest Senate Action: 05/13/1992 - 102nd Congress (1991-1992) - Resolution of advice and consent to ratification agreed to in Senate by Division Vote. (All Actions) "/>
    <s v="382"/>
    <s v="CONSULAR CONVENTION WITH THE MONGOLIAN PEOPLE'S REPUBLIC"/>
    <s v="102-14"/>
    <s v="09/13/1991 - 102nd Congress (1991-1992)"/>
    <s v="102nd"/>
    <s v="Consular"/>
    <s v="05/13/1992 - 102nd Congress (1991-1992) - Resolution of advice and consent to ratification agreed to in Senate by Division Vote. (All Actions) "/>
    <x v="12"/>
    <s v="Resolution of advice and consent to ratification agreed to in Senate by Division Vote. (All Actions) "/>
    <x v="0"/>
    <x v="0"/>
  </r>
  <r>
    <s v="383. EXTRADITION TREATY WITH THE BAHAMAS Senate Consideration of Treaty Document 102-17 Date Received from President: 10/28/1991 - 102nd Congress (1991-1992) Treaty Topic: Extradition and Criminal Assistance Latest Senate Action: 05/13/1992 - 102nd Congress (1991-1992) - Resolution of advice and consent to ratification agreed to in Senate by Division Vote. (All Actions) "/>
    <s v="383"/>
    <s v="EXTRADITION TREATY WITH THE BAHAMAS"/>
    <s v="102-17"/>
    <s v="10/28/1991 - 102nd Congress (1991-1992)"/>
    <s v="102nd"/>
    <s v="Extradition and Criminal Assistance"/>
    <s v="05/13/1992 - 102nd Congress (1991-1992) - Resolution of advice and consent to ratification agreed to in Senate by Division Vote. (All Actions) "/>
    <x v="12"/>
    <s v="Resolution of advice and consent to ratification agreed to in Senate by Division Vote. (All Actions) "/>
    <x v="0"/>
    <x v="0"/>
  </r>
  <r>
    <s v="384. PROTOCOL AMENDING THE 1974 EXTRADITION TREATY WITH AUSTRALIA Senate Consideration of Treaty Document 102-23 Date Received from President: 02/19/1992 - 102nd Congress (1991-1992) Treaty Topic: Extradition and Criminal Assistance Latest Senate Action: 05/13/1992 - 102nd Congress (1991-1992) - Resolution of advice and consent to ratification agreed to in Senate by Division Vote. (All Actions) "/>
    <s v="384"/>
    <s v="PROTOCOL AMENDING THE 1974 EXTRADITION TREATY WITH AUSTRALIA"/>
    <s v="102-23"/>
    <s v="02/19/1992 - 102nd Congress (1991-1992)"/>
    <s v="102nd"/>
    <s v="Extradition and Criminal Assistance"/>
    <s v="05/13/1992 - 102nd Congress (1991-1992) - Resolution of advice and consent to ratification agreed to in Senate by Division Vote. (All Actions) "/>
    <x v="12"/>
    <s v="Resolution of advice and consent to ratification agreed to in Senate by Division Vote. (All Actions) "/>
    <x v="0"/>
    <x v="0"/>
  </r>
  <r>
    <s v="385. SECOND SUPPLEMENTARY EXTRADITION TREATY WITH SPAIN Senate Consideration of Treaty Document 102-24 Date Received from President: 03/03/1992 - 102nd Congress (1991-1992) Treaty Topic: Extradition and Criminal Assistance Latest Senate Action: 05/13/1992 - 102nd Congress (1991-1992) - Resolution of advice and consent to ratification agreed to in Senate by Division Vote. (All Actions) "/>
    <s v="385"/>
    <s v="SECOND SUPPLEMENTARY EXTRADITION TREATY WITH SPAIN"/>
    <s v="102-24"/>
    <s v="03/03/1992 - 102nd Congress (1991-1992)"/>
    <s v="102nd"/>
    <s v="Extradition and Criminal Assistance"/>
    <s v="05/13/1992 - 102nd Congress (1991-1992) - Resolution of advice and consent to ratification agreed to in Senate by Division Vote. (All Actions) "/>
    <x v="12"/>
    <s v="Resolution of advice and consent to ratification agreed to in Senate by Division Vote. (All Actions) "/>
    <x v="0"/>
    <x v="0"/>
  </r>
  <r>
    <s v="386. INTERNATIONAL COVENANT ON CIVIL AND POLITICAL RIGHTS Senate Consideration of Treaty Document 95-20 Date Received from President: 02/23/1978 - 95th Congress (1977-1978) Treaty Topic: Human Rights Latest Senate Action: 04/02/1992 - 102nd Congress (1991-1992) - Resolution of advice and consent to ratification agreed to in Senate by Division Vote. (All Actions) "/>
    <s v="386"/>
    <s v="INTERNATIONAL COVENANT ON CIVIL AND POLITICAL RIGHTS"/>
    <s v="95-20"/>
    <s v="02/23/1978 - 95th Congress (1977-1978)"/>
    <s v="95th"/>
    <s v="Human Rights"/>
    <s v="04/02/1992 - 102nd Congress (1991-1992) - Resolution of advice and consent to ratification agreed to in Senate by Division Vote. (All Actions) "/>
    <x v="12"/>
    <s v="Resolution of advice and consent to ratification agreed to in Senate by Division Vote. (All Actions) "/>
    <x v="0"/>
    <x v="0"/>
  </r>
  <r>
    <s v="387. AMENDMENT TO THE MONTREAL PROTOCOL ON SUBSTANCES THAT DEPLETE THE OZONE LAYER Senate Consideration of Treaty Document 102-4 Date Received from President: 05/14/1991 - 102nd Congress (1991-1992) Treaty Topic: International Law Latest Senate Action: 11/26/1991 - 102nd Congress (1991-1992) - Resolution of advice and consent to ratification agreed to in Senate by Division vote. (All Actions) "/>
    <s v="387"/>
    <s v="AMENDMENT TO THE MONTREAL PROTOCOL ON SUBSTANCES THAT DEPLETE THE OZONE LAYER"/>
    <s v="102-4"/>
    <s v="05/14/1991 - 102nd Congress (1991-1992)"/>
    <s v="102nd"/>
    <s v="International Law"/>
    <s v="11/26/1991 - 102nd Congress (1991-1992) - Resolution of advice and consent to ratification agreed to in Senate by Division vote. (All Actions) "/>
    <x v="12"/>
    <s v="Resolution of advice and consent to ratification agreed to in Senate by Division vote. (All Actions) "/>
    <x v="0"/>
    <x v="0"/>
  </r>
  <r>
    <s v="388. CONVENTION FOR THE PROHIBITION OF FISHING WITH LONG DRIFTNETS IN THE SOUTH PACIFIC Senate Consideration of Treaty Document 102-7 Date Received from President: 05/21/1991 - 102nd Congress (1991-1992) Treaty Topic: Fisheries and Wildlife Latest Senate Action: 11/26/1991 - 102nd Congress (1991-1992) - Resolution of advice and consent to ratification agreed to in Senate by Division vote. (All Actions) "/>
    <s v="388"/>
    <s v="CONVENTION FOR THE PROHIBITION OF FISHING WITH LONG DRIFTNETS IN THE SOUTH PACIFIC"/>
    <s v="102-7"/>
    <s v="05/21/1991 - 102nd Congress (1991-1992)"/>
    <s v="102nd"/>
    <s v="Fisheries and Wildlife"/>
    <s v="11/26/1991 - 102nd Congress (1991-1992) - Resolution of advice and consent to ratification agreed to in Senate by Division vote. (All Actions) "/>
    <x v="12"/>
    <s v="Resolution of advice and consent to ratification agreed to in Senate by Division vote. (All Actions) "/>
    <x v="0"/>
    <x v="0"/>
  </r>
  <r>
    <s v="389. TREATY ON CONVENTIONAL ARMED FORCES IN EUROPE (CFE) Senate Consideration of Treaty Document 102-8 Date Received from President: 07/09/1991 - 102nd Congress (1991-1992) Treaty Topic: Arms Control Latest Senate Action: 11/25/1991 - 102nd Congress (1991-1992) - Resolution of advice and consent to ratification agreed to in Senate by Yea-Nay vote. 90-4. Record Vote No: 273. (All Actions) "/>
    <s v="389"/>
    <s v="TREATY ON CONVENTIONAL ARMED FORCES IN EUROPE (CFE)"/>
    <s v="102-8"/>
    <s v="07/09/1991 - 102nd Congress (1991-1992)"/>
    <s v="102nd"/>
    <s v="Arms Control"/>
    <s v="11/25/1991 - 102nd Congress (1991-1992) - Resolution of advice and consent to ratification agreed to in Senate by Yea-Nay vote. 90-4. Record Vote No: 273. (All Actions) "/>
    <x v="12"/>
    <s v="Resolution of advice and consent to ratification agreed to in Senate by Yea-Nay vote. 90-4. Record Vote No: 273. (All Actions) "/>
    <x v="0"/>
    <x v="0"/>
  </r>
  <r>
    <s v="390. CONVENTION FOR A NORTH PACIFIC MARINE SCIENCE ORGANIZATION (PICES) Senate Consideration of Treaty Document 102-9 Date Received from President: 07/09/1991 - 102nd Congress (1991-1992) Treaty Topic: International Law and Organization Latest Senate Action: 10/29/1991 - 102nd Congress (1991-1992) - Resolution of advice and consent to ratification agreed to in Senate by Division Vote. (All Actions) "/>
    <s v="390"/>
    <s v="CONVENTION FOR A NORTH PACIFIC MARINE SCIENCE ORGANIZATION (PICES)"/>
    <s v="102-9"/>
    <s v="07/09/1991 - 102nd Congress (1991-1992)"/>
    <s v="102nd"/>
    <s v="International Law and Organization"/>
    <s v="10/29/1991 - 102nd Congress (1991-1992) - Resolution of advice and consent to ratification agreed to in Senate by Division Vote. (All Actions) "/>
    <x v="12"/>
    <s v="Resolution of advice and consent to ratification agreed to in Senate by Division Vote. (All Actions) "/>
    <x v="0"/>
    <x v="0"/>
  </r>
  <r>
    <s v="391. INTERNATIONAL CONVENTION ON OIL POLLUTION PREPAREDNESS, RESPONSE AND CO-OPERATION, 1990 Senate Consideration of Treaty Document 102-11 Date Received from President: 08/01/1991 - 102nd Congress (1991-1992) Treaty Topic: Shipping and Marine Pollution Latest Senate Action: 10/29/1991 - 102nd Congress (1991-1992) - Resolution of advice and consent to ratification agreed to in Senate by Division Vote. (All Actions) "/>
    <s v="391"/>
    <s v="INTERNATIONAL CONVENTION ON OIL POLLUTION PREPAREDNESS, RESPONSE AND CO-OPERATION, 1990"/>
    <s v="102-11"/>
    <s v="08/01/1991 - 102nd Congress (1991-1992)"/>
    <s v="102nd"/>
    <s v="Shipping and Marine Pollution"/>
    <s v="10/29/1991 - 102nd Congress (1991-1992) - Resolution of advice and consent to ratification agreed to in Senate by Division Vote. (All Actions) "/>
    <x v="12"/>
    <s v="Resolution of advice and consent to ratification agreed to in Senate by Division Vote. (All Actions) "/>
    <x v="0"/>
    <x v="0"/>
  </r>
  <r>
    <s v="392. INTERNATIONAL CONVENTION ON SALVAGE, 1989 Senate Consideration of Treaty Document 102-12 Date Received from President: 09/11/1991 - 102nd Congress (1991-1992) Treaty Topic: Maritime Boundaries and Claims Latest Senate Action: 10/29/1991 - 102nd Congress (1991-1992) - Resolution of advice and consent to ratification agreed to in Senate by Division Vote. (All Actions) "/>
    <s v="392"/>
    <s v="INTERNATIONAL CONVENTION ON SALVAGE, 1989"/>
    <s v="102-12"/>
    <s v="09/11/1991 - 102nd Congress (1991-1992)"/>
    <s v="102nd"/>
    <s v="Maritime Boundaries and Claims"/>
    <s v="10/29/1991 - 102nd Congress (1991-1992) - Resolution of advice and consent to ratification agreed to in Senate by Division Vote. (All Actions) "/>
    <x v="12"/>
    <s v="Resolution of advice and consent to ratification agreed to in Senate by Division Vote. (All Actions) "/>
    <x v="0"/>
    <x v="0"/>
  </r>
  <r>
    <s v="393. AGREEMENT WITH THE UNION OF SOVIET SOCIALIST REPUBLICS ON THE MARITIME BOUNDARY Senate Consideration of Treaty Document 101-22 Date Received from President: 09/26/1990 - 101st Congress (1989-1990) Treaty Topic: Maritime Boundaries and Claims Latest Senate Action: 09/16/1991 - 102nd Congress (1991-1992) - Resolution of advice and consent to ratification agreed to in Senate by Yea-Nay Vote. 86 - 6. Record Vote Number: 192. (All Actions) "/>
    <s v="393"/>
    <s v="AGREEMENT WITH THE UNION OF SOVIET SOCIALIST REPUBLICS ON THE MARITIME BOUNDARY"/>
    <s v="101-22"/>
    <s v="09/26/1990 - 101st Congress (1989-1990)"/>
    <s v="101st"/>
    <s v="Maritime Boundaries and Claims"/>
    <s v="09/16/1991 - 102nd Congress (1991-1992) - Resolution of advice and consent to ratification agreed to in Senate by Yea-Nay Vote. 86 - 6. Record Vote Number: 192. (All Actions) "/>
    <x v="12"/>
    <s v="Resolution of advice and consent to ratification agreed to in Senate by Yea-Nay Vote. 86 - 6. Record Vote Number: 192. (All Actions) "/>
    <x v="0"/>
    <x v="0"/>
  </r>
  <r>
    <s v="394. PROTOCOL RELATING TO AN AMENDMENT TO ARTICLE 56 OF THE CONVENTION ON INTERNATIONAL CIVIL AVIATION Senate Consideration of Treaty Document 101-14 Date Received from President: 02/28/1990 - 101st Congress (1989-1990) Treaty Topic: Aviation Latest Senate Action: 08/02/1991 - 102nd Congress (1991-1992) - Passed Senate without amendment by Division. (All Actions) "/>
    <s v="394"/>
    <s v="PROTOCOL RELATING TO AN AMENDMENT TO ARTICLE 56 OF THE CONVENTION ON INTERNATIONAL CIVIL AVIATION"/>
    <s v="101-14"/>
    <s v="02/28/1990 - 101st Congress (1989-1990)"/>
    <s v="101st"/>
    <s v="Aviation"/>
    <s v="08/02/1991 - 102nd Congress (1991-1992) - Passed Senate without amendment by Division. (All Actions) "/>
    <x v="12"/>
    <s v="Passed Senate without amendment by Division. (All Actions) "/>
    <x v="0"/>
    <x v="0"/>
  </r>
  <r>
    <s v="395. AMENDMENTS TO THE 1928 CONVENTION CONCERNING INTERNATIONAL EXPOSITIONS, AS AMENDED Senate Consideration of Treaty Document 101-15 Date Received from President: 03/20/1990 - 101st Congress (1989-1990) Treaty Topic: International Law and Organization Latest Senate Action: 08/02/1991 - 102nd Congress (1991-1992) - Passed Senate without amendment by Division. (All Actions) "/>
    <s v="395"/>
    <s v="AMENDMENTS TO THE 1928 CONVENTION CONCERNING INTERNATIONAL EXPOSITIONS, AS AMENDED"/>
    <s v="101-15"/>
    <s v="03/20/1990 - 101st Congress (1989-1990)"/>
    <s v="101st"/>
    <s v="International Law and Organization"/>
    <s v="08/02/1991 - 102nd Congress (1991-1992) - Passed Senate without amendment by Division. (All Actions) "/>
    <x v="12"/>
    <s v="Passed Senate without amendment by Division. (All Actions) "/>
    <x v="0"/>
    <x v="0"/>
  </r>
  <r>
    <s v="396. PROTOCOL AMENDING THE EXTRADITION TREATY WITH CANADA Senate Consideration of Treaty Document 101-17 Date Received from President: 04/24/1990 - 101st Congress (1989-1990) Treaty Topic: Extradition and Criminal Assistance Latest Senate Action: 08/02/1991 - 102nd Congress (1991-1992) - Passed Senate without amendment by Division. (All Actions) "/>
    <s v="396"/>
    <s v="PROTOCOL AMENDING THE EXTRADITION TREATY WITH CANADA"/>
    <s v="101-17"/>
    <s v="04/24/1990 - 101st Congress (1989-1990)"/>
    <s v="101st"/>
    <s v="Extradition and Criminal Assistance"/>
    <s v="08/02/1991 - 102nd Congress (1991-1992) - Passed Senate without amendment by Division. (All Actions) "/>
    <x v="12"/>
    <s v="Passed Senate without amendment by Division. (All Actions) "/>
    <x v="0"/>
    <x v="0"/>
  </r>
  <r>
    <s v="397. CONVENTION PROVIDING A UNIFORM LAW ON THE FORM OF AN INTERNATIONAL WILL Senate Consideration of Treaty Document 99-29 Date Received from President: 07/02/1986 - 99th Congress (1985-1986) Treaty Topic: International Law Latest Senate Action: 08/02/1991 - 102nd Congress (1991-1992) - Passed Senate without amendment by Division. (All Actions) "/>
    <s v="397"/>
    <s v="CONVENTION PROVIDING A UNIFORM LAW ON THE FORM OF AN INTERNATIONAL WILL"/>
    <s v="99-29"/>
    <s v="07/02/1986 - 99th Congress (1985-1986)"/>
    <s v="99th"/>
    <s v="International Law"/>
    <s v="08/02/1991 - 102nd Congress (1991-1992) - Passed Senate without amendment by Division. (All Actions) "/>
    <x v="12"/>
    <s v="Passed Senate without amendment by Division. (All Actions) "/>
    <x v="0"/>
    <x v="0"/>
  </r>
  <r>
    <s v="398. AMENDMENTS TO ANNEX II REGULATIONS OF THE 1966 INTERNATIONAL CONVENTION ON LOAD LINES Senate Consideration of Treaty Document 100-12 Date Received from President: 01/26/1988 - 100th Congress (1987-1988) Treaty Topic: Shipping and Marine Pollution Latest Senate Action: 06/12/1991 - 102nd Congress (1991-1992) - Treaty returned to the President. (All Actions) "/>
    <s v="398"/>
    <s v="AMENDMENTS TO ANNEX II REGULATIONS OF THE 1966 INTERNATIONAL CONVENTION ON LOAD LINES"/>
    <s v="100-12"/>
    <s v="01/26/1988 - 100th Congress (1987-1988)"/>
    <s v="100th"/>
    <s v="Shipping and Marine Pollution"/>
    <s v="06/12/1991 - 102nd Congress (1991-1992) - Treaty returned to the President. (All Actions) "/>
    <x v="12"/>
    <s v="Treaty returned to the President. (All Actions) "/>
    <x v="1"/>
    <x v="0"/>
  </r>
  <r>
    <s v="399. 1979 AMENDMENT TO A REGULATION OF ANNEX II OF THE INTERNATIONAL CONVENTION ON LOAD LINES, 1966 Senate Consideration of Treaty Document 97-14 Date Received from President: 07/27/1981 - 97th Congress (1981-1982) Treaty Topic: Shipping and Marine Pollution Latest Senate Action: 06/12/1991 - 102nd Congress (1991-1992) - Treaty returned to the President. (All Actions) "/>
    <s v="399"/>
    <s v="1979 AMENDMENT TO A REGULATION OF ANNEX II OF THE INTERNATIONAL CONVENTION ON LOAD LINES, 1966"/>
    <s v="97-14"/>
    <s v="07/27/1981 - 97th Congress (1981-1982)"/>
    <s v="97th"/>
    <s v="Shipping and Marine Pollution"/>
    <s v="06/12/1991 - 102nd Congress (1991-1992) - Treaty returned to the President. (All Actions) "/>
    <x v="12"/>
    <s v="Treaty returned to the President. (All Actions) "/>
    <x v="1"/>
    <x v="0"/>
  </r>
  <r>
    <s v="400. CONVENTION FOR THE PROTECTION OF THE NATURAL RESOURCES AND ENVIRONMENT OF THE SOUTH PACIFIC REGION, WITH ANNEX, AND A PROTOCOL Senate Consideration of Treaty Document 101-21 Date Received from President: 09/25/1990 - 101st Congress (1989-1990) Treaty Topic: Shipping and Marine Pollution Latest Senate Action: 05/24/1991 - 102nd Congress (1991-1992) - Resolution of advice and consent to ratification agreed to in Senate with amendments by Division Vote. (All Actions) "/>
    <s v="400"/>
    <s v="CONVENTION FOR THE PROTECTION OF THE NATURAL RESOURCES AND ENVIRONMENT OF THE SOUTH PACIFIC REGION, WITH ANNEX, AND A PROTOCOL"/>
    <s v="101-21"/>
    <s v="09/25/1990 - 101st Congress (1989-1990)"/>
    <s v="101st"/>
    <s v="Shipping and Marine Pollution"/>
    <s v="05/24/1991 - 102nd Congress (1991-1992) - Resolution of advice and consent to ratification agreed to in Senate with amendments by Division Vote. (All Actions) "/>
    <x v="12"/>
    <s v="Resolution of advice and consent to ratification agreed to in Senate with amendments by Division Vote. (All Actions) "/>
    <x v="0"/>
    <x v="0"/>
  </r>
  <r>
    <s v="401. 1988 PROTOCOLS RELATING TO THE SAFETY OF LIFE AT SEA AND LOAD LINE CONVENTIONS Senate Consideration of Treaty Document 102-2 Date Received from President: 03/19/1991 - 102nd Congress (1991-1992) Treaty Topic: Shipping and Marine Pollution Latest Senate Action: 05/14/1991 - 102nd Congress (1991-1992) - Resolution of advice and consent to ratification agreed to in Senate by Yea-Nay Vote. 97 - 0. Record Vote Number: 58. (All Actions) "/>
    <s v="401"/>
    <s v="1988 PROTOCOLS RELATING TO THE SAFETY OF LIFE AT SEA AND LOAD LINE CONVENTIONS"/>
    <s v="102-2"/>
    <s v="03/19/1991 - 102nd Congress (1991-1992)"/>
    <s v="102nd"/>
    <s v="Shipping and Marine Pollution"/>
    <s v="05/14/1991 - 102nd Congress (1991-1992) - Resolution of advice and consent to ratification agreed to in Senate by Yea-Nay Vote. 97 - 0. Record Vote Number: 58. (All Actions) "/>
    <x v="12"/>
    <s v="Resolution of advice and consent to ratification agreed to in Senate by Yea-Nay Vote. 97 - 0. Record Vote Number: 58. (All Actions) "/>
    <x v="0"/>
    <x v="0"/>
  </r>
  <r>
    <s v="402. ANNEX III TO THE 1973 CONVENTION FOR THE PREVENTION OF POLLUTION FROM SHIPS Senate Consideration of Treaty Document 101-7 Date Received from President: 11/09/1989 - 101st Congress (1989-1990) Treaty Topic: Shipping and Marine Pollution Latest Senate Action: 05/14/1991 - 102nd Congress (1991-1992) - Resolution of advice and consent to ratification agreed to in Senate by Yea-Nay Vote. 97 - 0. Record Vote Number: 57. (All Actions) "/>
    <s v="402"/>
    <s v="ANNEX III TO THE 1973 CONVENTION FOR THE PREVENTION OF POLLUTION FROM SHIPS"/>
    <s v="101-7"/>
    <s v="11/09/1989 - 101st Congress (1989-1990)"/>
    <s v="101st"/>
    <s v="Shipping and Marine Pollution"/>
    <s v="05/14/1991 - 102nd Congress (1991-1992) - Resolution of advice and consent to ratification agreed to in Senate by Yea-Nay Vote. 97 - 0. Record Vote Number: 57. (All Actions) "/>
    <x v="12"/>
    <s v="Resolution of advice and consent to ratification agreed to in Senate by Yea-Nay Vote. 97 - 0. Record Vote Number: 57. (All Actions) "/>
    <x v="0"/>
    <x v="0"/>
  </r>
  <r>
    <s v="403. Convention Concerning the Abolition of Forced Labor Senate Consideration of Treaty Document 88-11 Date Received from President: 07/22/1963 - 88th Congress (1963-1964) Treaty Topic: Labor Latest Senate Action: 05/14/1991 - 102nd Congress (1991-1992) - Resolution of advice and consent to ratification agreed to in Senate with amendments by Yea-Nay Vote. 97 - 0. Record Vote Number: 59. (All Actions) "/>
    <s v="403"/>
    <s v="Convention Concerning the Abolition of Forced Labor"/>
    <s v="88-11"/>
    <s v="07/22/1963 - 88th Congress (1963-1964)"/>
    <s v="88th"/>
    <s v="Labor"/>
    <s v="05/14/1991 - 102nd Congress (1991-1992) - Resolution of advice and consent to ratification agreed to in Senate with amendments by Yea-Nay Vote. 97 - 0. Record Vote Number: 59. (All Actions) "/>
    <x v="12"/>
    <s v="Resolution of advice and consent to ratification agreed to in Senate with amendments by Yea-Nay Vote. 97 - 0. Record Vote Number: 59. (All Actions) "/>
    <x v="0"/>
    <x v="0"/>
  </r>
  <r>
    <s v="404. INTERNATIONAL CONVENTION ON STANDARDS OF TRAINING, CERTIFICATION AND WATCHKEEPING FOR SEAFARERS, 1978 Senate Consideration of Treaty Document 96-31 Date Received from President: 09/05/1979 - 96th Congress (1979-1980) Treaty Topic: Shipping and Marine Pollution Latest Senate Action: 05/14/1991 - 102nd Congress (1991-1992) - Resolution of advice and consent to ratification agreed to in Senate by Yea-Nay Vote. 97 - 0. Record Vote Number: 56. (All Actions) "/>
    <s v="404"/>
    <s v="INTERNATIONAL CONVENTION ON STANDARDS OF TRAINING, CERTIFICATION AND WATCHKEEPING FOR SEAFARERS, 1978"/>
    <s v="96-31"/>
    <s v="09/05/1979 - 96th Congress (1979-1980)"/>
    <s v="96th"/>
    <s v="Shipping and Marine Pollution"/>
    <s v="05/14/1991 - 102nd Congress (1991-1992) - Resolution of advice and consent to ratification agreed to in Senate by Yea-Nay Vote. 97 - 0. Record Vote Number: 56. (All Actions) "/>
    <x v="12"/>
    <s v="Resolution of advice and consent to ratification agreed to in Senate by Yea-Nay Vote. 97 - 0. Record Vote Number: 56. (All Actions) "/>
    <x v="0"/>
    <x v="0"/>
  </r>
  <r>
    <s v="405. INVESTMENT TREATY WITH PANAMA Senate Consideration of Treaty Document 99-14 Date Received from President: 03/25/1986 - 99th Congress (1985-1986) Treaty Topic: Commercial Latest Senate Action: 10/28/1990 - 101st Congress (1989-1990) - Resolution of advice and consent to ratification agreed to in Senate by Division Vote. (All Actions) "/>
    <s v="405"/>
    <s v="INVESTMENT TREATY WITH PANAMA"/>
    <s v="99-14"/>
    <s v="03/25/1986 - 99th Congress (1985-1986)"/>
    <s v="99th"/>
    <s v="Commercial"/>
    <s v="10/28/1990 - 101st Congress (1989-1990) - Resolution of advice and consent to ratification agreed to in Senate by Division Vote. (All Actions) "/>
    <x v="13"/>
    <s v="Resolution of advice and consent to ratification agreed to in Senate by Division Vote. (All Actions) "/>
    <x v="0"/>
    <x v="0"/>
  </r>
  <r>
    <s v="406. TREATY WITH POLAND CONCERNING BUSINESS AND ECONOMIC RELATIONS Senate Consideration of Treaty Document 101-18 Date Received from President: 06/19/1990 - 101st Congress (1989-1990) Treaty Topic: Commercial Latest Senate Action: 10/28/1990 - 101st Congress (1989-1990) - Resolution of advice and consent to ratification agreed to in Senate by Division Vote. (All Actions) "/>
    <s v="406"/>
    <s v="TREATY WITH POLAND CONCERNING BUSINESS AND ECONOMIC RELATIONS"/>
    <s v="101-18"/>
    <s v="06/19/1990 - 101st Congress (1989-1990)"/>
    <s v="101st"/>
    <s v="Commercial"/>
    <s v="10/28/1990 - 101st Congress (1989-1990) - Resolution of advice and consent to ratification agreed to in Senate by Division Vote. (All Actions) "/>
    <x v="13"/>
    <s v="Resolution of advice and consent to ratification agreed to in Senate by Division Vote. (All Actions) "/>
    <x v="0"/>
    <x v="0"/>
  </r>
  <r>
    <s v="407. CONVENTION AGAINST TORTURE AND OTHER CRUEL, INHUMAN OR DEGRADING TREATMENT OR PUNISHMENT Senate Consideration of Treaty Document 100-20 Date Received from President: 05/20/1988 - 100th Congress (1987-1988) Treaty Topic: Human Rights Latest Senate Action: 10/27/1990 - 101st Congress (1989-1990) - Resolution of advice and consent to ratification agreed to in Senate with amendments by Division Vote. (All Actions) "/>
    <s v="407"/>
    <s v="CONVENTION AGAINST TORTURE AND OTHER CRUEL, INHUMAN OR DEGRADING TREATMENT OR PUNISHMENT"/>
    <s v="100-20"/>
    <s v="05/20/1988 - 100th Congress (1987-1988)"/>
    <s v="100th"/>
    <s v="Human Rights"/>
    <s v="10/27/1990 - 101st Congress (1989-1990) - Resolution of advice and consent to ratification agreed to in Senate with amendments by Division Vote. (All Actions) "/>
    <x v="13"/>
    <s v="Resolution of advice and consent to ratification agreed to in Senate with amendments by Division Vote. (All Actions) "/>
    <x v="0"/>
    <x v="0"/>
  </r>
  <r>
    <s v="408. TREATY ON THE FINAL SETTLEMENT WITH RESPECT TO GERMANY Senate Consideration of Treaty Document 101-20 Date Received from President: 09/25/1990 - 101st Congress (1989-1990) Treaty Topic: Dispute Settlement and Arbitration Latest Senate Action: 10/10/1990 - 101st Congress (1989-1990) - Resolution of advice and consent to ratification agreed to in Senate by Yea-Nay Vote. 98 - 0. Record Vote Number: 263. (All Actions) "/>
    <s v="408"/>
    <s v="TREATY ON THE FINAL SETTLEMENT WITH RESPECT TO GERMANY"/>
    <s v="101-20"/>
    <s v="09/25/1990 - 101st Congress (1989-1990)"/>
    <s v="101st"/>
    <s v="Dispute Settlement and Arbitration"/>
    <s v="10/10/1990 - 101st Congress (1989-1990) - Resolution of advice and consent to ratification agreed to in Senate by Yea-Nay Vote. 98 - 0. Record Vote Number: 263. (All Actions) "/>
    <x v="13"/>
    <s v="Resolution of advice and consent to ratification agreed to in Senate by Yea-Nay Vote. 98 - 0. Record Vote Number: 263. (All Actions) "/>
    <x v="0"/>
    <x v="0"/>
  </r>
  <r>
    <s v="409. PROTOCOLS TO THE THRESHOLD TEST BAN AND PEACEFUL NUCLEAR EXPLOSION TREATIES WITH THE UNION OF SOVIET SOCIALIST REPUBLICS Senate Consideration of Treaty Document 101-19 Date Received from President: 06/28/1990 - 101st Congress (1989-1990) Treaty Topic: Arms Control Latest Senate Action: 09/25/1990 - 101st Congress (1989-1990) - Resolution agreed to in Senate , this Protocol is included in Treaty Doc. Ex. N(A), 94-2 and Ex. N(B), 94-2 and recorded on roll calls No. 249 and 250. Without amendment by Yea-Nay. 98-0. Record Vote No: 249/250. (All Actions) "/>
    <s v="409"/>
    <s v="PROTOCOLS TO THE THRESHOLD TEST BAN AND PEACEFUL NUCLEAR EXPLOSION TREATIES WITH THE UNION OF SOVIET SOCIALIST REPUBLICS"/>
    <s v="101-19"/>
    <s v="06/28/1990 - 101st Congress (1989-1990)"/>
    <s v="101st"/>
    <s v="Arms Control"/>
    <s v="09/25/1990 - 101st Congress (1989-1990) - Resolution agreed to in Senate , this Protocol is included in Treaty Doc. Ex. N(A), 94-2 and Ex. N(B), 94-2 and recorded on roll calls No. 249 and 250. Without amendment by Yea-Nay. 98-0. Record Vote No: 249/250. (All Actions) "/>
    <x v="13"/>
    <s v="Resolution agreed to in Senate , this Protocol is included in Treaty Doc. Ex. N(A), 94-2 and Ex. N(B), 94-2 and recorded on roll calls No. 249 and 250. Without amendment by Yea-Nay. 98-0. Record Vote No: 249/250. (All Actions) "/>
    <x v="0"/>
    <x v="0"/>
  </r>
  <r>
    <s v="410. TREATY WITH THE UNION OF SOVIET SOCIALIST REPUBLICS ON THE LIMITATION OF UNDERGROUND NUCLEAR WEAPON TESTS Senate Consideration of Treaty Document 94-25(A) Date Received from President: 07/29/1976 - 94th Congress (1975-1976) Treaty Topic: Arms Control Latest Senate Action: 09/25/1990 - 101st Congress (1989-1990) - Resolution of advice and consent to ratification agreed to in Senate by Yea-Nay Vote. 98 - 0. Record Vote Number: 249. (All Actions) "/>
    <s v="410"/>
    <s v="TREATY WITH THE UNION OF SOVIET SOCIALIST REPUBLICS ON THE LIMITATION OF UNDERGROUND NUCLEAR WEAPON TESTS"/>
    <s v="94-25"/>
    <s v="07/29/1976 - 94th Congress (1975-1976)"/>
    <s v="94th"/>
    <s v="Arms Control"/>
    <s v="09/25/1990 - 101st Congress (1989-1990) - Resolution of advice and consent to ratification agreed to in Senate by Yea-Nay Vote. 98 - 0. Record Vote Number: 249. (All Actions) "/>
    <x v="13"/>
    <s v="Resolution of advice and consent to ratification agreed to in Senate by Yea-Nay Vote. 98 - 0. Record Vote Number: 249. (All Actions) "/>
    <x v="0"/>
    <x v="0"/>
  </r>
  <r>
    <s v="411. TREATY WITH THE UNION OF SOVIET SOCIALIST REPUBLICS ON UNDERGROUND NUCLEAR EXPLOSIONS FOR PEACEFUL PURPOSES Senate Consideration of Treaty Document 94-25(B) Date Received from President: 07/29/1976 - 94th Congress (1975-1976) Treaty Topic: Arms Control Latest Senate Action: 09/25/1990 - 101st Congress (1989-1990) - Resolution of advice and consent to ratification agreed to in Senate by Yea-Nay Vote. 98 - 0. Record Vote Number: 250. (All Actions) "/>
    <s v="411"/>
    <s v="TREATY WITH THE UNION OF SOVIET SOCIALIST REPUBLICS ON UNDERGROUND NUCLEAR EXPLOSIONS FOR PEACEFUL PURPOSES"/>
    <s v="94-25"/>
    <s v="07/29/1976 - 94th Congress (1975-1976)"/>
    <s v="94th"/>
    <s v="Arms Control"/>
    <s v="09/25/1990 - 101st Congress (1989-1990) - Resolution of advice and consent to ratification agreed to in Senate by Yea-Nay Vote. 98 - 0. Record Vote Number: 250. (All Actions) "/>
    <x v="13"/>
    <s v="Resolution of advice and consent to ratification agreed to in Senate by Yea-Nay Vote. 98 - 0. Record Vote Number: 250. (All Actions) "/>
    <x v="0"/>
    <x v="0"/>
  </r>
  <r>
    <s v="412. TAX CONVENTION WITH THE REPUBLIC OF INDIA Senate Consideration of Treaty Document 101-5 Date Received from President: 10/31/1989 - 101st Congress (1989-1990) Treaty Topic: Taxation Latest Senate Action: 09/18/1990 - 101st Congress (1989-1990) - Resolution of advice and consent to ratification agreed to in Senate by Yea-Nay Vote. 99 - 0. Record Vote Number: 238. (All Actions) "/>
    <s v="412"/>
    <s v="TAX CONVENTION WITH THE REPUBLIC OF INDIA"/>
    <s v="101-5"/>
    <s v="10/31/1989 - 101st Congress (1989-1990)"/>
    <s v="101st"/>
    <s v="Taxation"/>
    <s v="09/18/1990 - 101st Congress (1989-1990) - Resolution of advice and consent to ratification agreed to in Senate by Yea-Nay Vote. 99 - 0. Record Vote Number: 238. (All Actions) "/>
    <x v="13"/>
    <s v="Resolution of advice and consent to ratification agreed to in Senate by Yea-Nay Vote. 99 - 0. Record Vote Number: 238. (All Actions) "/>
    <x v="0"/>
    <x v="0"/>
  </r>
  <r>
    <s v="413. COUNCIL OF EUROPE-OECD CONVENTION ON MUTUAL ADMINISTRATIVE ASSISTANCE IN TAX MATTERS Senate Consideration of Treaty Document 101-6 Date Received from President: 11/08/1989 - 101st Congress (1989-1990) Treaty Topic: Taxation Latest Senate Action: 09/18/1990 - 101st Congress (1989-1990) - Resolution of advice and consent to ratification agreed to in Senate by Yea-Nay Vote. 99 - 0. Record Vote Number: 239. (All Actions) "/>
    <s v="413"/>
    <s v="COUNCIL OF EUROPE-OECD CONVENTION ON MUTUAL ADMINISTRATIVE ASSISTANCE IN TAX MATTERS"/>
    <s v="101-6"/>
    <s v="11/08/1989 - 101st Congress (1989-1990)"/>
    <s v="101st"/>
    <s v="Taxation"/>
    <s v="09/18/1990 - 101st Congress (1989-1990) - Resolution of advice and consent to ratification agreed to in Senate by Yea-Nay Vote. 99 - 0. Record Vote Number: 239. (All Actions) "/>
    <x v="13"/>
    <s v="Resolution of advice and consent to ratification agreed to in Senate by Yea-Nay Vote. 99 - 0. Record Vote Number: 239. (All Actions) "/>
    <x v="0"/>
    <x v="0"/>
  </r>
  <r>
    <s v="414. SUPPLEMENTARY PROTOCOL TO THE TAX CONVENTION WITH THE TUNISIAN REPUBLIC Senate Consideration of Treaty Document 101-9 Date Received from President: 01/24/1990 - 101st Congress (1989-1990) Treaty Topic: Taxation Latest Senate Action: 09/18/1990 - 101st Congress (1989-1990) - Resolution of advice and consent to ratification agreed to in Senate by Yea-Nay Vote. 99 - 0. Record Vote Number: 236. (All Actions) "/>
    <s v="414"/>
    <s v="SUPPLEMENTARY PROTOCOL TO THE TAX CONVENTION WITH THE TUNISIAN REPUBLIC"/>
    <s v="101-9"/>
    <s v="01/24/1990 - 101st Congress (1989-1990)"/>
    <s v="101st"/>
    <s v="Taxation"/>
    <s v="09/18/1990 - 101st Congress (1989-1990) - Resolution of advice and consent to ratification agreed to in Senate by Yea-Nay Vote. 99 - 0. Record Vote Number: 236. (All Actions) "/>
    <x v="13"/>
    <s v="Resolution of advice and consent to ratification agreed to in Senate by Yea-Nay Vote. 99 - 0. Record Vote Number: 236. (All Actions) "/>
    <x v="0"/>
    <x v="0"/>
  </r>
  <r>
    <s v="415. TAX CONVENTION WITH THE FEDERAL REPUBLIC OF GERMANY Senate Consideration of Treaty Document 101-10 Date Received from President: 02/05/1990 - 101st Congress (1989-1990) Treaty Topic: Taxation Latest Senate Action: 09/18/1990 - 101st Congress (1989-1990) - Resolution of advice and consent to ratification agreed to in Senate by Yea-Nay Vote. 99 - 0. Record Vote Number: 240. (All Actions) "/>
    <s v="415"/>
    <s v="TAX CONVENTION WITH THE FEDERAL REPUBLIC OF GERMANY"/>
    <s v="101-10"/>
    <s v="02/05/1990 - 101st Congress (1989-1990)"/>
    <s v="101st"/>
    <s v="Taxation"/>
    <s v="09/18/1990 - 101st Congress (1989-1990) - Resolution of advice and consent to ratification agreed to in Senate by Yea-Nay Vote. 99 - 0. Record Vote Number: 240. (All Actions) "/>
    <x v="13"/>
    <s v="Resolution of advice and consent to ratification agreed to in Senate by Yea-Nay Vote. 99 - 0. Record Vote Number: 240. (All Actions) "/>
    <x v="0"/>
    <x v="0"/>
  </r>
  <r>
    <s v="416. TAX CONVENTION WITH THE REPUBLIC OF FINLAND Senate Consideration of Treaty Document 101-11 Date Received from President: 02/05/1990 - 101st Congress (1989-1990) Treaty Topic: Taxation Latest Senate Action: 09/18/1990 - 101st Congress (1989-1990) - Resolution of advice and consent to ratification agreed to in Senate by Yea-Nay Vote. 99 - 0. Record Vote Number: 241. (All Actions) "/>
    <s v="416"/>
    <s v="TAX CONVENTION WITH THE REPUBLIC OF FINLAND"/>
    <s v="101-11"/>
    <s v="02/05/1990 - 101st Congress (1989-1990)"/>
    <s v="101st"/>
    <s v="Taxation"/>
    <s v="09/18/1990 - 101st Congress (1989-1990) - Resolution of advice and consent to ratification agreed to in Senate by Yea-Nay Vote. 99 - 0. Record Vote Number: 241. (All Actions) "/>
    <x v="13"/>
    <s v="Resolution of advice and consent to ratification agreed to in Senate by Yea-Nay Vote. 99 - 0. Record Vote Number: 241. (All Actions) "/>
    <x v="0"/>
    <x v="0"/>
  </r>
  <r>
    <s v="417. TAX CONVENTION WITH TUNISIA Senate Consideration of Treaty Document 99-13 Date Received from President: 03/13/1986 - 99th Congress (1985-1986) Treaty Topic: Taxation Latest Senate Action: 09/18/1990 - 101st Congress (1989-1990) - Resolution of advice and consent to ratification agreed to in Senate by Yea-Nay Vote. 99 - 0. Record Vote Number: 236. (All Actions) "/>
    <s v="417"/>
    <s v="TAX CONVENTION WITH TUNISIA"/>
    <s v="99-13"/>
    <s v="03/13/1986 - 99th Congress (1985-1986)"/>
    <s v="99th"/>
    <s v="Taxation"/>
    <s v="09/18/1990 - 101st Congress (1989-1990) - Resolution of advice and consent to ratification agreed to in Senate by Yea-Nay Vote. 99 - 0. Record Vote Number: 236. (All Actions) "/>
    <x v="13"/>
    <s v="Resolution of advice and consent to ratification agreed to in Senate by Yea-Nay Vote. 99 - 0. Record Vote Number: 236. (All Actions) "/>
    <x v="0"/>
    <x v="0"/>
  </r>
  <r>
    <s v="418. INCOME TAX CONVENTION WITH SPAIN, WITH PROTOCOL Senate Consideration of Treaty Document 101-16 Date Received from President: 04/18/1990 - 101st Congress (1989-1990) Treaty Topic: Taxation Latest Senate Action: 09/18/1990 - 101st Congress (1989-1990) - Resolution of advice and consent to ratification agreed to in Senate by Yea-Nay Vote. 99 - 0. Record Vote Number: 242. (All Actions) "/>
    <s v="418"/>
    <s v="INCOME TAX CONVENTION WITH SPAIN, WITH PROTOCOL"/>
    <s v="101-16"/>
    <s v="04/18/1990 - 101st Congress (1989-1990)"/>
    <s v="101st"/>
    <s v="Taxation"/>
    <s v="09/18/1990 - 101st Congress (1989-1990) - Resolution of advice and consent to ratification agreed to in Senate by Yea-Nay Vote. 99 - 0. Record Vote Number: 242. (All Actions) "/>
    <x v="13"/>
    <s v="Resolution of advice and consent to ratification agreed to in Senate by Yea-Nay Vote. 99 - 0. Record Vote Number: 242. (All Actions) "/>
    <x v="0"/>
    <x v="0"/>
  </r>
  <r>
    <s v="419. TAX CONVENTION WITH THE REPUBLIC OF INDONESIA Senate Consideration of Treaty Document 100-22 Date Received from President: 08/05/1988 - 100th Congress (1987-1988) Treaty Topic: Taxation Latest Senate Action: 09/18/1990 - 101st Congress (1989-1990) - Resolution of advice and consent to ratification agreed to in Senate by Yea-Nay Vote. 99 - 0. Record Vote Number: 237. (All Actions) "/>
    <s v="419"/>
    <s v="TAX CONVENTION WITH THE REPUBLIC OF INDONESIA"/>
    <s v="100-22"/>
    <s v="08/05/1988 - 100th Congress (1987-1988)"/>
    <s v="100th"/>
    <s v="Taxation"/>
    <s v="09/18/1990 - 101st Congress (1989-1990) - Resolution of advice and consent to ratification agreed to in Senate by Yea-Nay Vote. 99 - 0. Record Vote Number: 237. (All Actions) "/>
    <x v="13"/>
    <s v="Resolution of advice and consent to ratification agreed to in Senate by Yea-Nay Vote. 99 - 0. Record Vote Number: 237. (All Actions) "/>
    <x v="0"/>
    <x v="0"/>
  </r>
  <r>
    <s v="420. ILO CONVENTION (No. 160) CONCERNING LABOR STATISTICS Senate Consideration of Treaty Document 101-2 Date Received from President: 01/03/1989 - 101st Congress (1989-1990) Treaty Topic: Labor Latest Senate Action: 02/20/1990 - 101st Congress (1989-1990) - Resolution of advice and consent to ratification agreed to in Senate by Yea-Nay Vote. 94 - 0. Record Vote Number: 14. (All Actions) "/>
    <s v="420"/>
    <s v="ILO CONVENTION (No. 160) CONCERNING LABOR STATISTICS"/>
    <s v="101-2"/>
    <s v="01/03/1989 - 101st Congress (1989-1990)"/>
    <s v="101st"/>
    <s v="Labor"/>
    <s v="02/20/1990 - 101st Congress (1989-1990) - Resolution of advice and consent to ratification agreed to in Senate by Yea-Nay Vote. 94 - 0. Record Vote Number: 14. (All Actions) "/>
    <x v="13"/>
    <s v="Resolution of advice and consent to ratification agreed to in Senate by Yea-Nay Vote. 94 - 0. Record Vote Number: 14. (All Actions) "/>
    <x v="0"/>
    <x v="0"/>
  </r>
  <r>
    <s v="421. CONVENTION FOR THE SUPPRESSION OF UNLAWFUL ACTS AGAINST THE SAFETY OF MARITIME NAVIGATION, WITH RELATED PROTOCOL Senate Consideration of Treaty Document 101-1 Date Received from President: 01/03/1989 - 101st Congress (1989-1990) Treaty Topic: Shipping and Marine Pollution Latest Senate Action: 11/22/1989 - 101st Congress (1989-1990) - Resolution of advice and consent to ratification agreed to in Senate by Division Vote. (All Actions) "/>
    <s v="421"/>
    <s v="CONVENTION FOR THE SUPPRESSION OF UNLAWFUL ACTS AGAINST THE SAFETY OF MARITIME NAVIGATION, WITH RELATED PROTOCOL"/>
    <s v="101-1"/>
    <s v="01/03/1989 - 101st Congress (1989-1990)"/>
    <s v="101st"/>
    <s v="Shipping and Marine Pollution"/>
    <s v="11/22/1989 - 101st Congress (1989-1990) - Resolution of advice and consent to ratification agreed to in Senate by Division Vote. (All Actions) "/>
    <x v="13"/>
    <s v="Resolution of advice and consent to ratification agreed to in Senate by Division Vote. (All Actions) "/>
    <x v="0"/>
    <x v="0"/>
  </r>
  <r>
    <s v="422. UNITED NATIONS CONVENTION AGAINST ILLICIT TRAFFIC IN NARCOTIC DRUGS AND PSYCHOTROPIC SUBSTANCES Senate Consideration of Treaty Document 101-4 Date Received from President: 06/19/1989 - 101st Congress (1989-1990) Treaty Topic: Extradition and Criminal Assistance Latest Senate Action: 11/22/1989 - 101st Congress (1989-1990) - Resolution of advice and consent to ratification agreed to in Senate with understandings by Division Vote. (All Actions) "/>
    <s v="422"/>
    <s v="UNITED NATIONS CONVENTION AGAINST ILLICIT TRAFFIC IN NARCOTIC DRUGS AND PSYCHOTROPIC SUBSTANCES"/>
    <s v="101-4"/>
    <s v="06/19/1989 - 101st Congress (1989-1990)"/>
    <s v="101st"/>
    <s v="Extradition and Criminal Assistance"/>
    <s v="11/22/1989 - 101st Congress (1989-1990) - Resolution of advice and consent to ratification agreed to in Senate with understandings by Division Vote. (All Actions) "/>
    <x v="13"/>
    <s v="Resolution of advice and consent to ratification agreed to in Senate with understandings by Division Vote. (All Actions) "/>
    <x v="0"/>
    <x v="0"/>
  </r>
  <r>
    <s v="423. PROTOCOL FOR THE SUPPRESSION OF UNLAWFUL ACTS OF VIOLENCE AT AIRPORTS SERVING INTERNATIONAL CIVIL AVIATION Senate Consideration of Treaty Document 100-19 Date Received from President: 05/20/1988 - 100th Congress (1987-1988) Treaty Topic: Aviation Latest Senate Action: 11/22/1989 - 101st Congress (1989-1990) - Resolution of advice and consent to ratification agreed to in Senate by Division Vote. (All Actions) "/>
    <s v="423"/>
    <s v="PROTOCOL FOR THE SUPPRESSION OF UNLAWFUL ACTS OF VIOLENCE AT AIRPORTS SERVING INTERNATIONAL CIVIL AVIATION"/>
    <s v="100-19"/>
    <s v="05/20/1988 - 100th Congress (1987-1988)"/>
    <s v="100th"/>
    <s v="Aviation"/>
    <s v="11/22/1989 - 101st Congress (1989-1990) - Resolution of advice and consent to ratification agreed to in Senate by Division Vote. (All Actions) "/>
    <x v="13"/>
    <s v="Resolution of advice and consent to ratification agreed to in Senate by Division Vote. (All Actions) "/>
    <x v="0"/>
    <x v="0"/>
  </r>
  <r>
    <s v="424. TREATY WITH THE UNITED KINGDOM CONCERNING THE CAYMAN ISLANDS RELATING TO MUTUAL LEGAL ASSISTANCE IN CRIMINAL MATTERS Senate Consideration of Treaty Document 100-8 Date Received from President: 08/04/1987 - 100th Congress (1987-1988) Treaty Topic: Extradition and Criminal Assistance Latest Senate Action: 10/24/1989 - 101st Congress (1989-1990) - Resolution of advice and consent to ratification agreed to in Senate by Yea-Nay Vote. 99 - 0. Record Vote Number: 265. (All Actions) "/>
    <s v="424"/>
    <s v="TREATY WITH THE UNITED KINGDOM CONCERNING THE CAYMAN ISLANDS RELATING TO MUTUAL LEGAL ASSISTANCE IN CRIMINAL MATTERS"/>
    <s v="100-8"/>
    <s v="08/04/1987 - 100th Congress (1987-1988)"/>
    <s v="100th"/>
    <s v="Extradition and Criminal Assistance"/>
    <s v="10/24/1989 - 101st Congress (1989-1990) - Resolution of advice and consent to ratification agreed to in Senate by Yea-Nay Vote. 99 - 0. Record Vote Number: 265. (All Actions) "/>
    <x v="13"/>
    <s v="Resolution of advice and consent to ratification agreed to in Senate by Yea-Nay Vote. 99 - 0. Record Vote Number: 265. (All Actions) "/>
    <x v="0"/>
    <x v="0"/>
  </r>
  <r>
    <s v="425. MUTUAL LEGAL ASSISTANCE COOPERATION TREATY WITH MEXICO Senate Consideration of Treaty Document 100-13 Date Received from President: 02/11/1988 - 100th Congress (1987-1988) Treaty Topic: Extradition and Criminal Assistance Latest Senate Action: 10/24/1989 - 101st Congress (1989-1990) - Resolution of advice and consent to ratification agreed to in Senate by Yea-Nay Vote. 99 - 0. Record Vote Number: 266. (All Actions) "/>
    <s v="425"/>
    <s v="MUTUAL LEGAL ASSISTANCE COOPERATION TREATY WITH MEXICO"/>
    <s v="100-13"/>
    <s v="02/11/1988 - 100th Congress (1987-1988)"/>
    <s v="100th"/>
    <s v="Extradition and Criminal Assistance"/>
    <s v="10/24/1989 - 101st Congress (1989-1990) - Resolution of advice and consent to ratification agreed to in Senate by Yea-Nay Vote. 99 - 0. Record Vote Number: 266. (All Actions) "/>
    <x v="13"/>
    <s v="Resolution of advice and consent to ratification agreed to in Senate by Yea-Nay Vote. 99 - 0. Record Vote Number: 266. (All Actions) "/>
    <x v="0"/>
    <x v="0"/>
  </r>
  <r>
    <s v="426. TREATY WITH CANADA ON MUTUAL LEGAL ASSISTANCE IN CRIMINAL MATTERS Senate Consideration of Treaty Document 100-14 Date Received from President: 02/22/1988 - 100th Congress (1987-1988) Treaty Topic: Extradition and Criminal Assistance Latest Senate Action: 10/24/1989 - 101st Congress (1989-1990) - Resolution of advice and consent to ratification agreed to in Senate with amendments by Yea-Nay Vote. 99 - 0. Record Vote Number: 267. (All Actions) "/>
    <s v="426"/>
    <s v="TREATY WITH CANADA ON MUTUAL LEGAL ASSISTANCE IN CRIMINAL MATTERS"/>
    <s v="100-14"/>
    <s v="02/22/1988 - 100th Congress (1987-1988)"/>
    <s v="100th"/>
    <s v="Extradition and Criminal Assistance"/>
    <s v="10/24/1989 - 101st Congress (1989-1990) - Resolution of advice and consent to ratification agreed to in Senate with amendments by Yea-Nay Vote. 99 - 0. Record Vote Number: 267. (All Actions) "/>
    <x v="13"/>
    <s v="Resolution of advice and consent to ratification agreed to in Senate with amendments by Yea-Nay Vote. 99 - 0. Record Vote Number: 267. (All Actions) "/>
    <x v="0"/>
    <x v="0"/>
  </r>
  <r>
    <s v="427. TREATY WITH BELGIUM ON MUTUAL LEGAL ASSISTANCE IN CRIMINAL MATTERS Senate Consideration of Treaty Document 100-16 Date Received from President: 03/29/1988 - 100th Congress (1987-1988) Treaty Topic: Extradition and Criminal Assistance Latest Senate Action: 10/24/1989 - 101st Congress (1989-1990) - Resolution of advice and consent to ratification agreed to in Senate with amendments by Yea-Nay Vote. 99 - 0. Record Vote Number: 268. (All Actions) "/>
    <s v="427"/>
    <s v="TREATY WITH BELGIUM ON MUTUAL LEGAL ASSISTANCE IN CRIMINAL MATTERS"/>
    <s v="100-16"/>
    <s v="03/29/1988 - 100th Congress (1987-1988)"/>
    <s v="100th"/>
    <s v="Extradition and Criminal Assistance"/>
    <s v="10/24/1989 - 101st Congress (1989-1990) - Resolution of advice and consent to ratification agreed to in Senate with amendments by Yea-Nay Vote. 99 - 0. Record Vote Number: 268. (All Actions) "/>
    <x v="13"/>
    <s v="Resolution of advice and consent to ratification agreed to in Senate with amendments by Yea-Nay Vote. 99 - 0. Record Vote Number: 268. (All Actions) "/>
    <x v="0"/>
    <x v="0"/>
  </r>
  <r>
    <s v="428. TREATY WITH THE BAHAMAS ON MUTUAL ASSISTANCE IN CRIMINAL MATTERS Senate Consideration of Treaty Document 100-17 Date Received from President: 04/13/1988 - 100th Congress (1987-1988) Treaty Topic: Extradition and Criminal Assistance Latest Senate Action: 10/24/1989 - 101st Congress (1989-1990) - Resolution of advice and consent to ratification agreed to in Senate with amendments by Yea-Nay Vote. 99 - 0. Record Vote Number: 269. (All Actions) "/>
    <s v="428"/>
    <s v="TREATY WITH THE BAHAMAS ON MUTUAL ASSISTANCE IN CRIMINAL MATTERS"/>
    <s v="100-17"/>
    <s v="04/13/1988 - 100th Congress (1987-1988)"/>
    <s v="100th"/>
    <s v="Extradition and Criminal Assistance"/>
    <s v="10/24/1989 - 101st Congress (1989-1990) - Resolution of advice and consent to ratification agreed to in Senate with amendments by Yea-Nay Vote. 99 - 0. Record Vote Number: 269. (All Actions) "/>
    <x v="13"/>
    <s v="Resolution of advice and consent to ratification agreed to in Senate with amendments by Yea-Nay Vote. 99 - 0. Record Vote Number: 269. (All Actions) "/>
    <x v="0"/>
    <x v="0"/>
  </r>
  <r>
    <s v="429. TREATY WITH THAILAND ON MUTUAL ASSISTANCE IN CRIMINAL MATTERS Senate Consideration of Treaty Document 100-18 Date Received from President: 04/22/1988 - 100th Congress (1987-1988) Treaty Topic: Extradition and Criminal Assistance Latest Senate Action: 10/24/1989 - 101st Congress (1989-1990) - Resolution of advice and consent to ratification agreed to in Senate with amendments by Yea-Nay Vote. 99 - 0. Record Vote Number: 270. (All Actions) "/>
    <s v="429"/>
    <s v="TREATY WITH THAILAND ON MUTUAL ASSISTANCE IN CRIMINAL MATTERS"/>
    <s v="100-18"/>
    <s v="04/22/1988 - 100th Congress (1987-1988)"/>
    <s v="100th"/>
    <s v="Extradition and Criminal Assistance"/>
    <s v="10/24/1989 - 101st Congress (1989-1990) - Resolution of advice and consent to ratification agreed to in Senate with amendments by Yea-Nay Vote. 99 - 0. Record Vote Number: 270. (All Actions) "/>
    <x v="13"/>
    <s v="Resolution of advice and consent to ratification agreed to in Senate with amendments by Yea-Nay Vote. 99 - 0. Record Vote Number: 270. (All Actions) "/>
    <x v="0"/>
    <x v="0"/>
  </r>
  <r>
    <s v="430. SUPPLEMENTARY PROTOCOL TO THE 1970 TAX CONVENTION WITH BELGIUM Senate Consideration of Treaty Document 100-15 Date Received from President: 02/29/1988 - 100th Congress (1987-1988) Treaty Topic: Taxation Latest Senate Action: 10/22/1988 - 100th Congress (1987-1988) - Resolution of advice and consent to ratification agreed to in Senate by Division Vote. (All Actions) "/>
    <s v="430"/>
    <s v="SUPPLEMENTARY PROTOCOL TO THE 1970 TAX CONVENTION WITH BELGIUM"/>
    <s v="100-15"/>
    <s v="02/29/1988 - 100th Congress (1987-1988)"/>
    <s v="100th"/>
    <s v="Taxation"/>
    <s v="10/22/1988 - 100th Congress (1987-1988) - Resolution of advice and consent to ratification agreed to in Senate by Division Vote. (All Actions) "/>
    <x v="14"/>
    <s v="Resolution of advice and consent to ratification agreed to in Senate by Division Vote. (All Actions) "/>
    <x v="0"/>
    <x v="0"/>
  </r>
  <r>
    <s v="431. TAX CONVENTION WITH THE UNITED KINGDOM (ON BEHALF OF BERMUDA) Senate Consideration of Treaty Document 99-30 Date Received from President: 09/09/1986 - 99th Congress (1985-1986) Treaty Topic: Taxation Latest Senate Action: 10/22/1988 - 100th Congress (1987-1988) - Resolution of advice and consent to ratification agreed to in Senate by Division Vote. (All Actions) "/>
    <s v="431"/>
    <s v="TAX CONVENTION WITH THE UNITED KINGDOM (ON BEHALF OF BERMUDA)"/>
    <s v="99-30"/>
    <s v="09/09/1986 - 99th Congress (1985-1986)"/>
    <s v="99th"/>
    <s v="Taxation"/>
    <s v="10/22/1988 - 100th Congress (1987-1988) - Resolution of advice and consent to ratification agreed to in Senate by Division Vote. (All Actions) "/>
    <x v="14"/>
    <s v="Resolution of advice and consent to ratification agreed to in Senate by Division Vote. (All Actions) "/>
    <x v="0"/>
    <x v="0"/>
  </r>
  <r>
    <s v="432. PROTOCOL TO THE 1967 TAX CONVENTION WITH FRANCE Senate Consideration of Treaty Document 100-21 Date Received from President: 08/01/1988 - 100th Congress (1987-1988) Treaty Topic: Taxation Latest Senate Action: 10/21/1988 - 100th Congress (1987-1988) - Resolution of advice and consent to ratification agreed to in Senate by Division Vote. (All Actions) "/>
    <s v="432"/>
    <s v="PROTOCOL TO THE 1967 TAX CONVENTION WITH FRANCE"/>
    <s v="100-21"/>
    <s v="08/01/1988 - 100th Congress (1987-1988)"/>
    <s v="100th"/>
    <s v="Taxation"/>
    <s v="10/21/1988 - 100th Congress (1987-1988) - Resolution of advice and consent to ratification agreed to in Senate by Division Vote. (All Actions) "/>
    <x v="14"/>
    <s v="Resolution of advice and consent to ratification agreed to in Senate by Division Vote. (All Actions) "/>
    <x v="0"/>
    <x v="0"/>
  </r>
  <r>
    <s v="433. INVESTMENT TREATY WITH SENEGAL Senate Consideration of Treaty Document 99-15 Date Received from President: 03/25/1986 - 99th Congress (1985-1986) Treaty Topic: Commercial Latest Senate Action: 10/20/1988 - 100th Congress (1987-1988) - Resolution of advice and consent to ratification agreed to in Senate by Division Vote. (All Actions) "/>
    <s v="433"/>
    <s v="INVESTMENT TREATY WITH SENEGAL"/>
    <s v="99-15"/>
    <s v="03/25/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4. INVESTMENT TREATY WITH ZAIRE Senate Consideration of Treaty Document 99-17 Date Received from President: 03/25/1986 - 99th Congress (1985-1986) Treaty Topic: Commercial Latest Senate Action: 10/20/1988 - 100th Congress (1987-1988) - Resolution of advice and consent to ratification agreed to in Senate by Division Vote. (All Actions) "/>
    <s v="434"/>
    <s v="INVESTMENT TREATY WITH ZAIRE"/>
    <s v="99-17"/>
    <s v="03/25/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5. INVESTMENT TREATY WITH MOROCCO Senate Consideration of Treaty Document 99-18 Date Received from President: 03/25/1986 - 99th Congress (1985-1986) Treaty Topic: Commercial Latest Senate Action: 10/20/1988 - 100th Congress (1987-1988) - Resolution of advice and consent to ratification agreed to in Senate by Division Vote. (All Actions) "/>
    <s v="435"/>
    <s v="INVESTMENT TREATY WITH MOROCCO"/>
    <s v="99-18"/>
    <s v="03/25/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6. INVESTMENT TREATY WITH TURKEY Senate Consideration of Treaty Document 99-19 Date Received from President: 03/25/1986 - 99th Congress (1985-1986) Treaty Topic: Commercial Latest Senate Action: 10/20/1988 - 100th Congress (1987-1988) - Resolution of advice and consent to ratification agreed to in Senate by Division Vote. (All Actions) "/>
    <s v="436"/>
    <s v="INVESTMENT TREATY WITH TURKEY"/>
    <s v="99-19"/>
    <s v="03/25/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7. INVESTMENT TREATY WITH CAMEROON Senate Consideration of Treaty Document 99-22 Date Received from President: 05/28/1986 - 99th Congress (1985-1986) Treaty Topic: Commercial Latest Senate Action: 10/20/1988 - 100th Congress (1987-1988) - Resolution of advice and consent to ratification agreed to in Senate by Division Vote. (All Actions) "/>
    <s v="437"/>
    <s v="INVESTMENT TREATY WITH CAMEROON"/>
    <s v="99-22"/>
    <s v="05/28/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8. INVESTMENT TREATY WITH BANGLADESH Senate Consideration of Treaty Document 99-23 Date Received from President: 05/30/1986 - 99th Congress (1985-1986) Treaty Topic: Commercial Latest Senate Action: 10/20/1988 - 100th Congress (1987-1988) - Resolution of advice and consent to ratification agreed to in Senate by Division Vote. (All Actions) "/>
    <s v="438"/>
    <s v="INVESTMENT TREATY WITH BANGLADESH"/>
    <s v="99-23"/>
    <s v="05/30/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39. INVESTMENT TREATY WITH EGYPT Senate Consideration of Treaty Document 99-24 Date Received from President: 06/02/1986 - 99th Congress (1985-1986) Treaty Topic: Commercial Latest Senate Action: 10/20/1988 - 100th Congress (1987-1988) - Resolution of advice and consent to ratification agreed to in Senate by Division Vote. (All Actions) "/>
    <s v="439"/>
    <s v="INVESTMENT TREATY WITH EGYPT"/>
    <s v="99-24"/>
    <s v="06/02/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40. INVESTMENT TREATY WITH GRENADA Senate Consideration of Treaty Document 99-25 Date Received from President: 06/03/1986 - 99th Congress (1985-1986) Treaty Topic: Commercial Latest Senate Action: 10/20/1988 - 100th Congress (1987-1988) - Resolution of advice and consent to ratification agreed to in Senate by Division Vote. (All Actions) "/>
    <s v="440"/>
    <s v="INVESTMENT TREATY WITH GRENADA"/>
    <s v="99-25"/>
    <s v="06/03/1986 - 99th Congress (1985-1986)"/>
    <s v="99th"/>
    <s v="Commercial"/>
    <s v="10/20/1988 - 100th Congress (1987-1988) - Resolution of advice and consent to ratification agreed to in Senate by Division Vote. (All Actions) "/>
    <x v="14"/>
    <s v="Resolution of advice and consent to ratification agreed to in Senate by Division Vote. (All Actions) "/>
    <x v="0"/>
    <x v="0"/>
  </r>
  <r>
    <s v="441. BERNE CONVENTION FOR THE PROTECTION OF LITERARY AND ARTISTIC WORKS Senate Consideration of Treaty Document 99-27 Date Received from President: 06/18/1986 - 99th Congress (1985-1986) Treaty Topic: International Law Latest Senate Action: 10/20/1988 - 100th Congress (1987-1988) - Resolution of advice and consent to ratification agreed to in Senate by Division Vote. (All Actions) "/>
    <s v="441"/>
    <s v="BERNE CONVENTION FOR THE PROTECTION OF LITERARY AND ARTISTIC WORKS"/>
    <s v="99-27"/>
    <s v="06/18/1986 - 99th Congress (1985-1986)"/>
    <s v="99th"/>
    <s v="International Law"/>
    <s v="10/20/1988 - 100th Congress (1987-1988) - Resolution of advice and consent to ratification agreed to in Senate by Division Vote. (All Actions) "/>
    <x v="14"/>
    <s v="Resolution of advice and consent to ratification agreed to in Senate by Division Vote. (All Actions) "/>
    <x v="0"/>
    <x v="0"/>
  </r>
  <r>
    <s v="442. CONVENTION ON EARLY NOTIFICATION OF A NUCLEAR ACCIDENT Senate Consideration of Treaty Document 100-4(A) Date Received from President: 03/23/1987 - 100th Congress (1987-1988) Treaty Topic: International Law Latest Senate Action: 09/07/1988 - 100th Congress (1987-1988) - Resolution of advice and consent to ratification agreed to in Senate by Yea-Nay Vote. 97 - 0. Record Vote Number: 311. (All Actions) "/>
    <s v="442"/>
    <s v="CONVENTION ON EARLY NOTIFICATION OF A NUCLEAR ACCIDENT"/>
    <s v="100-4("/>
    <s v="03/23/1987 - 100th Congress (1987-1988)"/>
    <s v="100th"/>
    <s v="International Law"/>
    <s v="09/07/1988 - 100th Congress (1987-1988) - Resolution of advice and consent to ratification agreed to in Senate by Yea-Nay Vote. 97 - 0. Record Vote Number: 311. (All Actions) "/>
    <x v="14"/>
    <s v="Resolution of advice and consent to ratification agreed to in Senate by Yea-Nay Vote. 97 - 0. Record Vote Number: 311. (All Actions) "/>
    <x v="0"/>
    <x v="0"/>
  </r>
  <r>
    <s v="443. CONVENTION ON ASSISTANCE IN THE CASE OF A NUCLEAR ACCIDENT OR RADIOLOGICAL EMERGENCY Senate Consideration of Treaty Document 100-4(B) Date Received from President: 03/23/1987 - 100th Congress (1987-1988) Treaty Topic: International Law Latest Senate Action: 09/07/1988 - 100th Congress (1987-1988) - Resolution of advice and consent to ratification agreed to in Senate by Yea-Nay Vote. 97 - 0. Record Vote Number: 311. (All Actions) "/>
    <s v="443"/>
    <s v="CONVENTION ON ASSISTANCE IN THE CASE OF A NUCLEAR ACCIDENT OR RADIOLOGICAL EMERGENCY"/>
    <s v="100-4("/>
    <s v="03/23/1987 - 100th Congress (1987-1988)"/>
    <s v="100th"/>
    <s v="International Law"/>
    <s v="09/07/1988 - 100th Congress (1987-1988) - Resolution of advice and consent to ratification agreed to in Senate by Yea-Nay Vote. 97 - 0. Record Vote Number: 311. (All Actions) "/>
    <x v="14"/>
    <s v="Resolution of advice and consent to ratification agreed to in Senate by Yea-Nay Vote. 97 - 0. Record Vote Number: 311. (All Actions) "/>
    <x v="0"/>
    <x v="0"/>
  </r>
  <r>
    <s v="444. AMENDMENT TO THE STATUTE OF THE INTERNATIONAL ATOMIC ENERGY AGENCY Senate Consideration of Treaty Document 99-7 Date Received from President: 06/26/1985 - 99th Congress (1985-1986) Treaty Topic: International Law and Organization Latest Senate Action: 09/07/1988 - 100th Congress (1987-1988) - Resolution of advice and consent to ratification agreed to in Senate by Yea-Nay Vote. 97 - 0. Record Vote Number: 312. (All Actions) "/>
    <s v="444"/>
    <s v="AMENDMENT TO THE STATUTE OF THE INTERNATIONAL ATOMIC ENERGY AGENCY"/>
    <s v="99-7"/>
    <s v="06/26/1985 - 99th Congress (1985-1986)"/>
    <s v="99th"/>
    <s v="International Law and Organization"/>
    <s v="09/07/1988 - 100th Congress (1987-1988) - Resolution of advice and consent to ratification agreed to in Senate by Yea-Nay Vote. 97 - 0. Record Vote Number: 312. (All Actions) "/>
    <x v="14"/>
    <s v="Resolution of advice and consent to ratification agreed to in Senate by Yea-Nay Vote. 97 - 0. Record Vote Number: 312. (All Actions) "/>
    <x v="0"/>
    <x v="0"/>
  </r>
  <r>
    <s v="445. INTERNATIONAL NATURAL RUBBER AGREEMENT, 1987 Senate Consideration of Treaty Document 100-9 Date Received from President: 10/20/1987 - 100th Congress (1987-1988) Treaty Topic: Commercial Latest Senate Action: 09/07/1988 - 100th Congress (1987-1988) - Resolution of advice and consent to ratification agreed to in Senate by Yea-Nay Vote. 97 - 0. Record Vote Number: 313. (All Actions) "/>
    <s v="445"/>
    <s v="INTERNATIONAL NATURAL RUBBER AGREEMENT, 1987"/>
    <s v="100-9"/>
    <s v="10/20/1987 - 100th Congress (1987-1988)"/>
    <s v="100th"/>
    <s v="Commercial"/>
    <s v="09/07/1988 - 100th Congress (1987-1988) - Resolution of advice and consent to ratification agreed to in Senate by Yea-Nay Vote. 97 - 0. Record Vote Number: 313. (All Actions) "/>
    <x v="14"/>
    <s v="Resolution of advice and consent to ratification agreed to in Senate by Yea-Nay Vote. 97 - 0. Record Vote Number: 313. (All Actions) "/>
    <x v="0"/>
    <x v="0"/>
  </r>
  <r>
    <s v="446. TREATY BETWEEN THE UNITED STATES OF AMERICA AND THE UNION OF SOVIET SOCIALIST REPUBLICS ON THE ELIMINATION OF THEIR INTERMEDIATE-RANGE AND SHORTER-RANGE MISSILES Senate Consideration of Treaty Document 100-11 Date Received from President: 01/25/1988 - 100th Congress (1987-1988) Treaty Topic: Arms Control Latest Senate Action: 05/27/1988 - 100th Congress (1987-1988) - Resolution of advice and consent to ratification agreed to in Senate with amendments by Yea-Nay Vote. 93 - 5. Record Vote Number: 166. (All Actions) "/>
    <s v="446"/>
    <s v="TREATY BETWEEN THE UNITED STATES OF AMERICA AND THE UNION OF SOVIET SOCIALIST REPUBLICS ON THE ELIMINATION OF THEIR INTERMEDIATE-RANGE AND SHORTER-RANGE MISSILES"/>
    <s v="100-11"/>
    <s v="01/25/1988 - 100th Congress (1987-1988)"/>
    <s v="100th"/>
    <s v="Arms Control"/>
    <s v="05/27/1988 - 100th Congress (1987-1988) - Resolution of advice and consent to ratification agreed to in Senate with amendments by Yea-Nay Vote. 93 - 5. Record Vote Number: 166. (All Actions) "/>
    <x v="14"/>
    <s v="Resolution of advice and consent to ratification agreed to in Senate with amendments by Yea-Nay Vote. 93 - 5. Record Vote Number: 166. (All Actions) "/>
    <x v="0"/>
    <x v="0"/>
  </r>
  <r>
    <s v="447. MONTREAL PROTOCOL ON SUBSTANCES THAT DEPLETE THE OZONE LAYER Senate Consideration of Treaty Document 100-10 Date Received from President: 12/21/1987 - 100th Congress (1987-1988) Treaty Topic: International Law and Organization Latest Senate Action: 03/14/1988 - 100th Congress (1987-1988) - Resolution of advice and consent to ratification agreed to in Senate by Yea-Nay Vote. 83 - 0. Record Vote Number: 47. (All Actions) "/>
    <s v="447"/>
    <s v="MONTREAL PROTOCOL ON SUBSTANCES THAT DEPLETE THE OZONE LAYER"/>
    <s v="100-10"/>
    <s v="12/21/1987 - 100th Congress (1987-1988)"/>
    <s v="100th"/>
    <s v="International Law and Organization"/>
    <s v="03/14/1988 - 100th Congress (1987-1988) - Resolution of advice and consent to ratification agreed to in Senate by Yea-Nay Vote. 83 - 0. Record Vote Number: 47. (All Actions) "/>
    <x v="14"/>
    <s v="Resolution of advice and consent to ratification agreed to in Senate by Yea-Nay Vote. 83 - 0. Record Vote Number: 47. (All Actions) "/>
    <x v="0"/>
    <x v="0"/>
  </r>
  <r>
    <s v="448. ILO CONVENTION (NO. 144) CONCERNING TRIPARTITE CONSULTATIONS TO PROMOTE THE IMPLEMENTATION OF INTERNATIONAL LABOR STANDARDS Senate Consideration of Treaty Document 99-20 Date Received from President: 04/10/1986 - 99th Congress (1985-1986) Treaty Topic: Commercial Latest Senate Action: 02/01/1988 - 100th Congress (1987-1988) - Resolution of advice and consent to ratification agreed to in Senate by Yea-Nay Vote. 81 - 2. Record Vote Number: 13. (All Actions) "/>
    <s v="448"/>
    <s v="ILO CONVENTION (NO. 144) CONCERNING TRIPARTITE CONSULTATIONS TO PROMOTE THE IMPLEMENTATION OF INTERNATIONAL LABOR STANDARDS"/>
    <s v="99-20"/>
    <s v="04/10/1986 - 99th Congress (1985-1986)"/>
    <s v="99th"/>
    <s v="Commercial"/>
    <s v="02/01/1988 - 100th Congress (1987-1988) - Resolution of advice and consent to ratification agreed to in Senate by Yea-Nay Vote. 81 - 2. Record Vote Number: 13. (All Actions) "/>
    <x v="14"/>
    <s v="Resolution of advice and consent to ratification agreed to in Senate by Yea-Nay Vote. 81 - 2. Record Vote Number: 13. (All Actions) "/>
    <x v="0"/>
    <x v="0"/>
  </r>
  <r>
    <s v="449. ILO CONVENTION (NO. 147) CONCERNING MINIMUM STANDARDS IN MERCHANT SHIPS Senate Consideration of Treaty Document 99-21 Date Received from President: 04/10/1986 - 99th Congress (1985-1986) Treaty Topic: Commercial Latest Senate Action: 02/01/1988 - 100th Congress (1987-1988) - Resolution of advice and consent to ratification agreed to in Senate by Yea-Nay Vote. 84 - 0. Record Vote Number: 14. (All Actions) "/>
    <s v="449"/>
    <s v="ILO CONVENTION (NO. 147) CONCERNING MINIMUM STANDARDS IN MERCHANT SHIPS"/>
    <s v="99-21"/>
    <s v="04/10/1986 - 99th Congress (1985-1986)"/>
    <s v="99th"/>
    <s v="Commercial"/>
    <s v="02/01/1988 - 100th Congress (1987-1988) - Resolution of advice and consent to ratification agreed to in Senate by Yea-Nay Vote. 84 - 0. Record Vote Number: 14. (All Actions) "/>
    <x v="14"/>
    <s v="Resolution of advice and consent to ratification agreed to in Senate by Yea-Nay Vote. 84 - 0. Record Vote Number: 14. (All Actions) "/>
    <x v="0"/>
    <x v="0"/>
  </r>
  <r>
    <s v="450. INTERNATIONAL WHEAT AGREEMENT, 1986 Senate Consideration of Treaty Document 100-1 Date Received from President: 01/20/1987 - 100th Congress (1987-1988) Treaty Topic: Commercial Latest Senate Action: 11/17/1987 - 100th Congress (1987-1988) - Resolution of advice and consent to ratification agreed to in Senate by Yea-Nay Vote. 94 - 0. Record Vote Number: 378. (All Actions) "/>
    <s v="450"/>
    <s v="INTERNATIONAL WHEAT AGREEMENT, 1986"/>
    <s v="100-1"/>
    <s v="01/20/1987 - 100th Congress (1987-1988)"/>
    <s v="100th"/>
    <s v="Commercial"/>
    <s v="11/17/1987 - 100th Congress (1987-1988) - Resolution of advice and consent to ratification agreed to in Senate by Yea-Nay Vote. 94 - 0. Record Vote Number: 378. (All Actions) "/>
    <x v="14"/>
    <s v="Resolution of advice and consent to ratification agreed to in Senate by Yea-Nay Vote. 94 - 0. Record Vote Number: 378. (All Actions) "/>
    <x v="0"/>
    <x v="0"/>
  </r>
  <r>
    <s v="451. FISHERIES TREATY WITH CERTAIN PACIFIC ISLAND STATES Senate Consideration of Treaty Document 100-5 Date Received from President: 06/18/1987 - 100th Congress (1987-1988) Treaty Topic: Fisheries and Wildlife Latest Senate Action: 11/06/1987 - 100th Congress (1987-1988) - Resolution of advice and consent to ratification agreed to in Senate by Yea-Nay Vote. 89 - 0. Record Vote Number: 371. (All Actions) "/>
    <s v="451"/>
    <s v="FISHERIES TREATY WITH CERTAIN PACIFIC ISLAND STATES"/>
    <s v="100-5"/>
    <s v="06/18/1987 - 100th Congress (1987-1988)"/>
    <s v="100th"/>
    <s v="Fisheries and Wildlife"/>
    <s v="11/06/1987 - 100th Congress (1987-1988) - Resolution of advice and consent to ratification agreed to in Senate by Yea-Nay Vote. 89 - 0. Record Vote Number: 371. (All Actions) "/>
    <x v="14"/>
    <s v="Resolution of advice and consent to ratification agreed to in Senate by Yea-Nay Vote. 89 - 0. Record Vote Number: 371. (All Actions) "/>
    <x v="0"/>
    <x v="0"/>
  </r>
  <r>
    <s v="452. REGULATIONS FOR THE PREVENTION OF POLLUTION BY GARBAGE FROM SHIPS (ANNEX V OF MARPOL 73/78) Senate Consideration of Treaty Document 100-3 Date Received from President: 02/09/1987 - 100th Congress (1987-1988) Treaty Topic: Shipping and Marine Pollution Latest Senate Action: 11/05/1987 - 100th Congress (1987-1988) - Resolution of advice and consent to ratification agreed to in Senate with an amendment by Yea-Nay Vote. 93 - 0. Record Vote Number: 368. (All Actions) "/>
    <s v="452"/>
    <s v="REGULATIONS FOR THE PREVENTION OF POLLUTION BY GARBAGE FROM SHIPS (ANNEX V OF MARPOL 73/78)"/>
    <s v="100-3"/>
    <s v="02/09/1987 - 100th Congress (1987-1988)"/>
    <s v="100th"/>
    <s v="Shipping and Marine Pollution"/>
    <s v="11/05/1987 - 100th Congress (1987-1988) - Resolution of advice and consent to ratification agreed to in Senate with an amendment by Yea-Nay Vote. 93 - 0. Record Vote Number: 368. (All Actions) "/>
    <x v="14"/>
    <s v="Resolution of advice and consent to ratification agreed to in Senate with an amendment by Yea-Nay Vote. 93 - 0. Record Vote Number: 368. (All Actions) "/>
    <x v="0"/>
    <x v="0"/>
  </r>
  <r>
    <s v="453. PROTOCOL II ADDITIONAL TO THE 1949 GENEVA CONVENTIONS, AND RELATING TO THE PROTECTION OF VICTIMS OF NON-INTERNATIONAL ARMED CONFLICTS Senate Consideration of Treaty Document 100-2 Date Received from President: 01/29/1987 - 100th Congress (1987-1988) Treaty Topic: International Law Latest Senate Action: 01/29/1987 - 100th Congress (1987-1988) - Received in the Senate and referred to the Committee on Foreign Relations. (All Actions) "/>
    <s v="453"/>
    <s v="PROTOCOL II ADDITIONAL TO THE 1949 GENEVA CONVENTIONS, AND RELATING TO THE PROTECTION OF VICTIMS OF NON-INTERNATIONAL ARMED CONFLICTS"/>
    <s v="100-2"/>
    <s v="01/29/1987 - 100th Congress (1987-1988)"/>
    <s v="100th"/>
    <s v="International Law"/>
    <s v="01/29/1987 - 100th Congress (1987-1988) - Received in the Senate and referred to the Committee on Foreign Relations. (All Actions) "/>
    <x v="14"/>
    <s v="Received in the Senate and referred to the Committee on Foreign Relations. (All Actions) "/>
    <x v="1"/>
    <x v="0"/>
  </r>
  <r>
    <s v="454. UNITED NATIONS CONVENTION ON CONTRACTS FOR THE INTERNATIONAL SALE OF GOODS Senate Consideration of Treaty Document 98-9 Date Received from President: 09/21/1983 - 98th Congress (1983-1984) Treaty Topic: Commercial Latest Senate Action: 10/09/1986 - 99th Congress (1985-1986) - Approved 98-0 by a roll call vote (Record Vote No. 339). Calendar No. 14. (All Actions) "/>
    <s v="454"/>
    <s v="UNITED NATIONS CONVENTION ON CONTRACTS FOR THE INTERNATIONAL SALE OF GOODS"/>
    <s v="98-9"/>
    <s v="09/21/1983 - 98th Congress (1983-1984)"/>
    <s v="98th"/>
    <s v="Commercial"/>
    <s v="10/09/1986 - 99th Congress (1985-1986) - Approved 98-0 by a roll call vote (Record Vote No. 339). Calendar No. 14. (All Actions) "/>
    <x v="15"/>
    <s v="Approved 98-0 by a roll call vote (Record Vote No. 339). Calendar No. 14. (All Actions) "/>
    <x v="0"/>
    <x v="1"/>
  </r>
  <r>
    <s v="455. HAGUE CONVENTION ON THE CIVIL ASPECTS OF INTERNATIONAL CHILD ABDUCTION Senate Consideration of Treaty Document 99-11 Date Received from President: 10/30/1985 - 99th Congress (1985-1986) Treaty Topic: International Law Latest Senate Action: 10/09/1986 - 99th Congress (1985-1986) - Approved 98-0 by roll call vote (Record Vote No. 344). Calendar No. 19. (All Actions) "/>
    <s v="455"/>
    <s v="HAGUE CONVENTION ON THE CIVIL ASPECTS OF INTERNATIONAL CHILD ABDUCTION"/>
    <s v="99-11"/>
    <s v="10/30/1985 - 99th Congress (1985-1986)"/>
    <s v="99th"/>
    <s v="International Law"/>
    <s v="10/09/1986 - 99th Congress (1985-1986) - Approved 98-0 by roll call vote (Record Vote No. 344). Calendar No. 19. (All Actions) "/>
    <x v="15"/>
    <s v="Approved 98-0 by roll call vote (Record Vote No. 344). Calendar No. 19. (All Actions) "/>
    <x v="0"/>
    <x v="1"/>
  </r>
  <r>
    <s v="456. INTER-AMERICAN CONVENTION ON INTERNATIONAL COMMERCIAL ARBITRATION Senate Consideration of Treaty Document 97-12 Date Received from President: 06/15/1981 - 97th Congress (1981-1982) Treaty Topic: Commercial Latest Senate Action: 10/09/1986 - 99th Congress (1985-1986) - Approved 98-0 by roll call vote (Record Vote No. 343). Calendar No. 18. (All Actions) "/>
    <s v="456"/>
    <s v="INTER-AMERICAN CONVENTION ON INTERNATIONAL COMMERCIAL ARBITRATION"/>
    <s v="97-12"/>
    <s v="06/15/1981 - 97th Congress (1981-1982)"/>
    <s v="97th"/>
    <s v="Commercial"/>
    <s v="10/09/1986 - 99th Congress (1985-1986) - Approved 98-0 by roll call vote (Record Vote No. 343). Calendar No. 18. (All Actions) "/>
    <x v="15"/>
    <s v="Approved 98-0 by roll call vote (Record Vote No. 343). Calendar No. 18. (All Actions) "/>
    <x v="0"/>
    <x v="1"/>
  </r>
  <r>
    <s v="457. INTER-AMERICAN CONVENTION ON LETTERS ROGATORY Senate Consideration of Treaty Document 98-27 Date Received from President: 06/25/1984 - 98th Congress (1983-1984) Treaty Topic: International Law Latest Senate Action: 10/09/1986 - 99th Congress (1985-1986) - Approved 98-0 by a roll call vote (Record Vote No. 340). Calendar No. 15. (All Actions) "/>
    <s v="457"/>
    <s v="INTER-AMERICAN CONVENTION ON LETTERS ROGATORY"/>
    <s v="98-27"/>
    <s v="06/25/1984 - 98th Congress (1983-1984)"/>
    <s v="98th"/>
    <s v="International Law"/>
    <s v="10/09/1986 - 99th Congress (1985-1986) - Approved 98-0 by a roll call vote (Record Vote No. 340). Calendar No. 15. (All Actions) "/>
    <x v="15"/>
    <s v="Approved 98-0 by a roll call vote (Record Vote No. 340). Calendar No. 15. (All Actions) "/>
    <x v="0"/>
    <x v="1"/>
  </r>
  <r>
    <s v="458. CONVENTION ON WETLANDS OF INTERNATIONAL IMPORTANCE Senate Consideration of Treaty Document 99-28 Date Received from President: 06/23/1986 - 99th Congress (1985-1986) Treaty Topic: Fisheries and Wildlife Latest Senate Action: 10/09/1986 - 99th Congress (1985-1986) - Approved 98-0 by roll call vote (Record Vote No. 341). Calendar No. 16. (All Actions) "/>
    <s v="458"/>
    <s v="CONVENTION ON WETLANDS OF INTERNATIONAL IMPORTANCE"/>
    <s v="99-28"/>
    <s v="06/23/1986 - 99th Congress (1985-1986)"/>
    <s v="99th"/>
    <s v="Fisheries and Wildlife"/>
    <s v="10/09/1986 - 99th Congress (1985-1986) - Approved 98-0 by roll call vote (Record Vote No. 341). Calendar No. 16. (All Actions) "/>
    <x v="15"/>
    <s v="Approved 98-0 by roll call vote (Record Vote No. 341). Calendar No. 16. (All Actions) "/>
    <x v="0"/>
    <x v="1"/>
  </r>
  <r>
    <s v="459. Request for Advice and Consent to Withdraw a Reservation Made to the 1975 Patent Cooperation Treaty. Senate Consideration of Treaty Document 98-29 Date Received from President: 07/27/1984 - 98th Congress (1983-1984) Treaty Topic: Commercial Latest Senate Action: 10/09/1986 - 99th Congress (1985-1986) - Approved 98-0 by roll call vote (Record Vote No. 342). Calendar No. 17. (All Actions) "/>
    <s v="459"/>
    <s v="Request for Advice and Consent to Withdraw a Reservation Made to the 1975 Patent Cooperation Treaty."/>
    <s v="98-29"/>
    <s v="07/27/1984 - 98th Congress (1983-1984)"/>
    <s v="98th"/>
    <s v="Commercial"/>
    <s v="10/09/1986 - 99th Congress (1985-1986) - Approved 98-0 by roll call vote (Record Vote No. 342). Calendar No. 17. (All Actions) "/>
    <x v="15"/>
    <s v="Approved 98-0 by roll call vote (Record Vote No. 342). Calendar No. 17. (All Actions) "/>
    <x v="0"/>
    <x v="1"/>
  </r>
  <r>
    <s v="460. TREATY BETWEEN THE UNITED STATES AND ICELAND TO FACILITATE THEIR DEFENSE RELATIONSHIP Senate Consideration of Treaty Document 99-31 Date Received from President: 09/30/1986 - 99th Congress (1985-1986) Treaty Topic: Shipping and Marine Pollution Latest Senate Action: 10/08/1986 - 99th Congress (1985-1986) - Treaty moved through its parliamentary stages, and the resolution of ratification considered without amendment. Approved by division vote. (All Actions) "/>
    <s v="460"/>
    <s v="TREATY BETWEEN THE UNITED STATES AND ICELAND TO FACILITATE THEIR DEFENSE RELATIONSHIP"/>
    <s v="99-31"/>
    <s v="09/30/1986 - 99th Congress (1985-1986)"/>
    <s v="99th"/>
    <s v="Shipping and Marine Pollution"/>
    <s v="10/08/1986 - 99th Congress (1985-1986) - Treaty moved through its parliamentary stages, and the resolution of ratification considered without amendment. Approved by division vote. (All Actions) "/>
    <x v="15"/>
    <s v="Treaty moved through its parliamentary stages, and the resolution of ratification considered without amendment. Approved by division vote. (All Actions) "/>
    <x v="0"/>
    <x v="1"/>
  </r>
  <r>
    <s v="461. PROTOCOL TO THE CONVENTION FOR THE CONSERVATION OF ATLANTIC TUNAS Senate Consideration of Treaty Document 99-4 Date Received from President: 03/14/1985 - 99th Congress (1985-1986) Treaty Topic: Fisheries and Wildlife Latest Senate Action: 07/24/1986 - 99th Congress (1985-1986) - Treaty moved through its various parliamentary stages, and resolution of ratification considered without amendment. Approved by division vote. (All Actions) "/>
    <s v="461"/>
    <s v="PROTOCOL TO THE CONVENTION FOR THE CONSERVATION OF ATLANTIC TUNAS"/>
    <s v="99-4"/>
    <s v="03/14/1985 - 99th Congress (1985-1986)"/>
    <s v="99th"/>
    <s v="Fisheries and Wildlife"/>
    <s v="07/24/1986 - 99th Congress (1985-1986) - Treaty moved through its various parliamentary stages, and resolution of ratification considered without amendment. Approved by division vote. (All Actions) "/>
    <x v="15"/>
    <s v="Treaty moved through its various parliamentary stages, and resolution of ratification considered without amendment. Approved by division vote. (All Actions) "/>
    <x v="0"/>
    <x v="1"/>
  </r>
  <r>
    <s v="462. VIENNA CONVENTION FOR THE PROTECTION OF THE OZONE LAYER Senate Consideration of Treaty Document 99-9 Date Received from President: 09/04/1985 - 99th Congress (1985-1986) Treaty Topic: International Law and Organization Latest Senate Action: 07/24/1986 - 99th Congress (1985-1986) - Treaty moved through its various parliamentary stages, and resolution of ratification considered without amendment. Approved by division vote. (All Actions) "/>
    <s v="462"/>
    <s v="VIENNA CONVENTION FOR THE PROTECTION OF THE OZONE LAYER"/>
    <s v="99-9"/>
    <s v="09/04/1985 - 99th Congress (1985-1986)"/>
    <s v="99th"/>
    <s v="International Law and Organization"/>
    <s v="07/24/1986 - 99th Congress (1985-1986) - Treaty moved through its various parliamentary stages, and resolution of ratification considered without amendment. Approved by division vote. (All Actions) "/>
    <x v="15"/>
    <s v="Treaty moved through its various parliamentary stages, and resolution of ratification considered without amendment. Approved by division vote. (All Actions) "/>
    <x v="0"/>
    <x v="1"/>
  </r>
  <r>
    <s v="463. PROTOCOL CONCERNING THE INTERPRETATION OF PARAGRAPH 7 OF THE PROTOCOL TO THE 1984 TAX AGREEMENT WITH THE PEOPLE'S REPUBLIC OF CHINA Senate Consideration of Treaty Document 99-26 Date Received from President: 06/05/1986 - 99th Congress (1985-1986) Treaty Topic: Taxation Latest Senate Action: 07/24/1986 - 99th Congress (1985-1986) - Approved 96-1. See action on parent treaty - Treaty Doc. 98-30. Record Vote Number: 163. (All Actions) "/>
    <s v="463"/>
    <s v="PROTOCOL CONCERNING THE INTERPRETATION OF PARAGRAPH 7 OF THE PROTOCOL TO THE 1984 TAX AGREEMENT WITH THE PEOPLE'S REPUBLIC OF CHINA"/>
    <s v="99-26"/>
    <s v="06/05/1986 - 99th Congress (1985-1986)"/>
    <s v="99th"/>
    <s v="Taxation"/>
    <s v="07/24/1986 - 99th Congress (1985-1986) - Approved 96-1. See action on parent treaty - Treaty Doc. 98-30. Record Vote Number: 163. (All Actions) "/>
    <x v="15"/>
    <s v="Approved 96-1. See action on parent treaty - Treaty Doc. 98-30. Record Vote Number: 163. (All Actions) "/>
    <x v="0"/>
    <x v="1"/>
  </r>
  <r>
    <s v="464. TAX AGREEMENT WITH THE PEOPLE'S REPUBLIC OF CHINA Senate Consideration of Treaty Document 98-30 Date Received from President: 08/10/1984 - 98th Congress (1983-1984) Treaty Topic: Taxation Latest Senate Action: 07/24/1986 - 99th Congress (1985-1986) - Treaty and Protocol of May 10, 1986, moved through various parliamentary stages, and resolution of ratification considered without amendment. Approved 96-1 by roll call vote (Record Vote No. 163 Ex.) Calendar No. 8. (All Actions) "/>
    <s v="464"/>
    <s v="TAX AGREEMENT WITH THE PEOPLE'S REPUBLIC OF CHINA"/>
    <s v="98-30"/>
    <s v="08/10/1984 - 98th Congress (1983-1984)"/>
    <s v="98th"/>
    <s v="Taxation"/>
    <s v="07/24/1986 - 99th Congress (1985-1986) - Treaty and Protocol of May 10, 1986, moved through various parliamentary stages, and resolution of ratification considered without amendment. Approved 96-1 by roll call vote (Record Vote No. 163 Ex.) Calendar No. 8. (All Actions) "/>
    <x v="15"/>
    <s v="Treaty and Protocol of May 10, 1986, moved through various parliamentary stages, and resolution of ratification considered without amendment. Approved 96-1 by roll call vote (Record Vote No. 163 Ex.) Calendar No. 8. (All Actions) "/>
    <x v="0"/>
    <x v="1"/>
  </r>
  <r>
    <s v="465. SUPPLEMENTARY EXTRADITION TREATY WITH THE UNITED KINGDOM Senate Consideration of Treaty Document 99-8 Date Received from President: 07/17/1985 - 99th Congress (1985-1986) Treaty Topic: Extradition and Criminal Assistance Latest Senate Action: 07/17/1986 - 99th Congress (1985-1986) - Resolution of advice and consent to ratification considered. Approved 87-10 by a roll call vote (No. 160 Ex.). Cal. No. 13. (All Actions) "/>
    <s v="465"/>
    <s v="SUPPLEMENTARY EXTRADITION TREATY WITH THE UNITED KINGDOM"/>
    <s v="99-8"/>
    <s v="07/17/1985 - 99th Congress (1985-1986)"/>
    <s v="99th"/>
    <s v="Extradition and Criminal Assistance"/>
    <s v="07/17/1986 - 99th Congress (1985-1986) - Resolution of advice and consent to ratification considered. Approved 87-10 by a roll call vote (No. 160 Ex.). Cal. No. 13. (All Actions) "/>
    <x v="15"/>
    <s v="Resolution of advice and consent to ratification considered. Approved 87-10 by a roll call vote (No. 160 Ex.). Cal. No. 13. (All Actions) "/>
    <x v="0"/>
    <x v="1"/>
  </r>
  <r>
    <s v="466. AMENDMENT TO THE 1978 CONVENTION ON INTERNATIONAL TRADE IN ENDANGERED SPECIES OF WILD FAUNA AND FLORA Senate Consideration of Treaty Document 98-10 Date Received from President: 10/04/1983 - 98th Congress (1983-1984) Treaty Topic: Fisheries and Wildlife Latest Senate Action: 03/18/1986 - 99th Congress (1985-1986) - Committee on Foreign Relations. Hearings held. (All Actions) "/>
    <s v="466"/>
    <s v="AMENDMENT TO THE 1978 CONVENTION ON INTERNATIONAL TRADE IN ENDANGERED SPECIES OF WILD FAUNA AND FLORA"/>
    <s v="98-10"/>
    <s v="10/04/1983 - 98th Congress (1983-1984)"/>
    <s v="98th"/>
    <s v="Fisheries and Wildlife"/>
    <s v="03/18/1986 - 99th Congress (1985-1986) - Committee on Foreign Relations. Hearings held. (All Actions) "/>
    <x v="15"/>
    <s v="Committee on Foreign Relations. Hearings held. (All Actions) "/>
    <x v="1"/>
    <x v="1"/>
  </r>
  <r>
    <s v="467. International Convention on the Prevention and Punishment of the Crime of Genocide Senate Consideration of Treaty Document 81-15 Date Received from President: 06/16/1949 - 81st Congress (1949-1950) Treaty Topic: Human Rights Latest Senate Action: 02/19/1986 - 99th Congress (1985-1986) - Treaty moved through its parliamentary stages, and resolution of ratification considered; with eight committee-reported provisos agreed to. Approved 83-11 by a roll call vote (No. 15 Ex.). Calendar No. 2. (All Actions) "/>
    <s v="467"/>
    <s v="International Convention on the Prevention and Punishment of the Crime of Genocide"/>
    <s v="81-15"/>
    <s v="06/16/1949 - 81st Congress (1949-1950)"/>
    <s v="81st"/>
    <s v="Human Rights"/>
    <s v="02/19/1986 - 99th Congress (1985-1986) - Treaty moved through its parliamentary stages, and resolution of ratification considered; with eight committee-reported provisos agreed to. Approved 83-11 by a roll call vote (No. 15 Ex.). Calendar No. 2. (All Actions) "/>
    <x v="15"/>
    <s v="Treaty moved through its parliamentary stages, and resolution of ratification considered; with eight committee-reported provisos agreed to. Approved 83-11 by a roll call vote (No. 15 Ex.). Calendar No. 2. (All Actions) "/>
    <x v="0"/>
    <x v="1"/>
  </r>
  <r>
    <s v="468. TAX CONVENTION WITH BARBADOS Senate Consideration of Treaty Document 99-3 Date Received from President: 02/25/1985 - 99th Congress (1985-1986) Treaty Topic: Taxation Latest Senate Action: 12/16/1985 - 99th Congress (1985-1986) - Resolution of advice and consent to ratification agreed to in Senate with a reservation by Division Vote. (All Actions) "/>
    <s v="468"/>
    <s v="TAX CONVENTION WITH BARBADOS"/>
    <s v="99-3"/>
    <s v="02/25/1985 - 99th Congress (1985-1986)"/>
    <s v="99th"/>
    <s v="Taxation"/>
    <s v="12/16/1985 - 99th Congress (1985-1986) - Resolution of advice and consent to ratification agreed to in Senate with a reservation by Division Vote. (All Actions) "/>
    <x v="15"/>
    <s v="Resolution of advice and consent to ratification agreed to in Senate with a reservation by Division Vote. (All Actions) "/>
    <x v="0"/>
    <x v="1"/>
  </r>
  <r>
    <s v="469. INTERNATIONAL TELECOMMUNICATION CONVENTION (NAIROBI, 1982) Senate Consideration of Treaty Document 99-6 Date Received from President: 05/15/1985 - 99th Congress (1985-1986) Treaty Topic: Commercial Latest Senate Action: 12/16/1985 - 99th Congress (1985-1986) - Resolution of advice and consent to ratification agreed to in Senate by Division Vote. (All Actions) "/>
    <s v="469"/>
    <s v="INTERNATIONAL TELECOMMUNICATION CONVENTION (NAIROBI, 1982)"/>
    <s v="99-6"/>
    <s v="05/15/1985 - 99th Congress (1985-1986)"/>
    <s v="99th"/>
    <s v="Commercial"/>
    <s v="12/16/1985 - 99th Congress (1985-1986) - Resolution of advice and consent to ratification agreed to in Senate by Division Vote. (All Actions) "/>
    <x v="15"/>
    <s v="Resolution of advice and consent to ratification agreed to in Senate by Division Vote. (All Actions) "/>
    <x v="0"/>
    <x v="1"/>
  </r>
  <r>
    <s v="470. TAX CONVENTION WITH ITALY Senate Consideration of Treaty Document 98-28 Date Received from President: 07/03/1984 - 98th Congress (1983-1984) Treaty Topic: Taxation Latest Senate Action: 12/16/1985 - 99th Congress (1985-1986) - Resolution of advice and consent to ratification agreed to in Senate with an understanding by Division Vote. (All Actions) "/>
    <s v="470"/>
    <s v="TAX CONVENTION WITH ITALY"/>
    <s v="98-28"/>
    <s v="07/03/1984 - 98th Congress (1983-1984)"/>
    <s v="98th"/>
    <s v="Taxation"/>
    <s v="12/16/1985 - 99th Congress (1985-1986) - Resolution of advice and consent to ratification agreed to in Senate with an understanding by Division Vote. (All Actions) "/>
    <x v="15"/>
    <s v="Resolution of advice and consent to ratification agreed to in Senate with an understanding by Division Vote. (All Actions) "/>
    <x v="0"/>
    <x v="1"/>
  </r>
  <r>
    <s v="471. TAX CONVENTION WITH THE REPUBLIC OF CYPRUS Senate Consideration of Treaty Document 98-32 Date Received from President: 08/21/1984 - 98th Congress (1983-1984) Treaty Topic: Taxation Latest Senate Action: 12/16/1985 - 99th Congress (1985-1986) - Resolution of advice and consent to ratification agreed to in Senate by Division Vote. (All Actions) "/>
    <s v="471"/>
    <s v="TAX CONVENTION WITH THE REPUBLIC OF CYPRUS"/>
    <s v="98-32"/>
    <s v="08/21/1984 - 98th Congress (1983-1984)"/>
    <s v="98th"/>
    <s v="Taxation"/>
    <s v="12/16/1985 - 99th Congress (1985-1986) - Resolution of advice and consent to ratification agreed to in Senate by Division Vote. (All Actions) "/>
    <x v="15"/>
    <s v="Resolution of advice and consent to ratification agreed to in Senate by Division Vote. (All Actions) "/>
    <x v="0"/>
    <x v="1"/>
  </r>
  <r>
    <s v="472. 1983 PROTOCOLS FOR THE FURTHER EXTENSION OF THE 1971 INTERNATIONAL WHEAT AGREEMENT Senate Consideration of Treaty Document 98-5 Date Received from President: 07/11/1983 - 98th Congress (1983-1984) Treaty Topic: Commercial Latest Senate Action: 10/22/1985 - 99th Congress (1985-1986) - Considered by Senate; treaty and resolution thereto considered without amendment; approved 98-0 (Vote #239 Ex.) Calendar No. 3. (All Actions) "/>
    <s v="472"/>
    <s v="1983 PROTOCOLS FOR THE FURTHER EXTENSION OF THE 1971 INTERNATIONAL WHEAT AGREEMENT"/>
    <s v="98-5"/>
    <s v="07/11/1983 - 98th Congress (1983-1984)"/>
    <s v="98th"/>
    <s v="Commercial"/>
    <s v="10/22/1985 - 99th Congress (1985-1986) - Considered by Senate; treaty and resolution thereto considered without amendment; approved 98-0 (Vote #239 Ex.) Calendar No. 3. (All Actions) "/>
    <x v="15"/>
    <s v="Considered by Senate; treaty and resolution thereto considered without amendment; approved 98-0 (Vote #239 Ex.) Calendar No. 3. (All Actions) "/>
    <x v="0"/>
    <x v="1"/>
  </r>
  <r>
    <s v="473. TREATY WITH CANADA CONCERNING PACIFIC SALMON Senate Consideration of Treaty Document 99-2 Date Received from President: 02/12/1985 - 99th Congress (1985-1986) Treaty Topic: Fisheries and Wildlife Latest Senate Action: 03/07/1985 - 99th Congress (1985-1986) - Treaty considered by the Senate, moved through its parliamentary stages, and resolution of ratification considered without amendment. Approved 96-0 by a roll call vote (No. 18 Ex.). Calendar No. 1. (All Actions) "/>
    <s v="473"/>
    <s v="TREATY WITH CANADA CONCERNING PACIFIC SALMON"/>
    <s v="99-2"/>
    <s v="02/12/1985 - 99th Congress (1985-1986)"/>
    <s v="99th"/>
    <s v="Fisheries and Wildlife"/>
    <s v="03/07/1985 - 99th Congress (1985-1986) - Treaty considered by the Senate, moved through its parliamentary stages, and resolution of ratification considered without amendment. Approved 96-0 by a roll call vote (No. 18 Ex.). Calendar No. 1. (All Actions) "/>
    <x v="15"/>
    <s v="Treaty considered by the Senate, moved through its parliamentary stages, and resolution of ratification considered without amendment. Approved 96-0 by a roll call vote (No. 18 Ex.). Calendar No. 1. (All Actions) "/>
    <x v="0"/>
    <x v="1"/>
  </r>
  <r>
    <s v="474. CONVENTION ON PROGRAMME-CARRYING SATELLITES Senate Consideration of Treaty Document 98-31 Date Received from President: 08/16/1984 - 98th Congress (1983-1984) Treaty Topic: Commercial Latest Senate Action: 10/12/1984 - 98th Congress (1983-1984) - Resolution of advice and consent to ratification agreed to in Senate by Voice Vote. (All Actions) "/>
    <s v="474"/>
    <s v="CONVENTION ON PROGRAMME-CARRYING SATELLITES"/>
    <s v="98-31"/>
    <s v="08/16/1984 - 98th Congress (1983-1984)"/>
    <s v="98th"/>
    <s v="Commercial"/>
    <s v="10/12/1984 - 98th Congress (1983-1984) - Resolution of advice and consent to ratification agreed to in Senate by Voice Vote. (All Actions) "/>
    <x v="16"/>
    <s v="Resolution of advice and consent to ratification agreed to in Senate by Voice Vote. (All Actions) "/>
    <x v="0"/>
    <x v="1"/>
  </r>
  <r>
    <s v="475. 1983 TAX CONVENTION WITH DENMARK Senate Consideration of Treaty Document 98-6 Date Received from President: 09/08/1983 - 98th Congress (1983-1984) Treaty Topic: Taxation Latest Senate Action: 08/09/1984 - 98th Congress (1983-1984) - Treaty (with reservation) approved by Senate 97-0 (#222 Ex.). (All Actions) "/>
    <s v="475"/>
    <s v="1983 TAX CONVENTION WITH DENMARK"/>
    <s v="98-6"/>
    <s v="09/08/1983 - 98th Congress (1983-1984)"/>
    <s v="98th"/>
    <s v="Taxation"/>
    <s v="08/09/1984 - 98th Congress (1983-1984) - Treaty (with reservation) approved by Senate 97-0 (#222 Ex.). (All Actions) "/>
    <x v="16"/>
    <s v="Treaty (with reservation) approved by Senate 97-0 (#222 Ex.). (All Actions) "/>
    <x v="0"/>
    <x v="1"/>
  </r>
  <r>
    <s v="476. TREATY WITH THAILAND ON COOPERATION IN THE EXECUTION OF PENAL SENTENCES Senate Consideration of Treaty Document 98-8 Date Received from President: 09/21/1983 - 98th Congress (1983-1984) Treaty Topic: Extradition and Criminal Assistance Latest Senate Action: 08/09/1984 - 98th Congress (1983-1984) - Treaty approved by Senate 97-0 (#223 Ex.). (All Actions) "/>
    <s v="476"/>
    <s v="TREATY WITH THAILAND ON COOPERATION IN THE EXECUTION OF PENAL SENTENCES"/>
    <s v="98-8"/>
    <s v="09/21/1983 - 98th Congress (1983-1984)"/>
    <s v="98th"/>
    <s v="Extradition and Criminal Assistance"/>
    <s v="08/09/1984 - 98th Congress (1983-1984) - Treaty approved by Senate 97-0 (#223 Ex.). (All Actions) "/>
    <x v="16"/>
    <s v="Treaty approved by Senate 97-0 (#223 Ex.). (All Actions) "/>
    <x v="0"/>
    <x v="1"/>
  </r>
  <r>
    <s v="477. CONVENTION FOR THE PROTECTION AND DEVELOPMENT OF THE MARINE ENVIRONMENT OF THE WIDER CARIBBEAN REGION Senate Consideration of Treaty Document 98-13 Date Received from President: 01/27/1984 - 98th Congress (1983-1984) Treaty Topic: Fisheries and Wildlife Latest Senate Action: 08/09/1984 - 98th Congress (1983-1984) - Treaty approved by Senate 97-0 (#224 Ex.). (All Actions) "/>
    <s v="477"/>
    <s v="CONVENTION FOR THE PROTECTION AND DEVELOPMENT OF THE MARINE ENVIRONMENT OF THE WIDER CARIBBEAN REGION"/>
    <s v="98-13"/>
    <s v="01/27/1984 - 98th Congress (1983-1984)"/>
    <s v="98th"/>
    <s v="Fisheries and Wildlife"/>
    <s v="08/09/1984 - 98th Congress (1983-1984) - Treaty approved by Senate 97-0 (#224 Ex.). (All Actions) "/>
    <x v="16"/>
    <s v="Treaty approved by Senate 97-0 (#224 Ex.). (All Actions) "/>
    <x v="0"/>
    <x v="1"/>
  </r>
  <r>
    <s v="478. SUPPLEMENTARY EXTRADITION CONVENTION WITH THE KINGDOM OF SWEDEN Senate Consideration of Treaty Document 98-4 Date Received from President: 05/24/1983 - 98th Congress (1983-1984) Treaty Topic: Extradition and Criminal Assistance Latest Senate Action: 06/28/1984 - 98th Congress (1983-1984) - Treaty approved by Senate 100-0 vote (#168 Ex.). (All Actions) "/>
    <s v="478"/>
    <s v="SUPPLEMENTARY EXTRADITION CONVENTION WITH THE KINGDOM OF SWEDEN"/>
    <s v="98-4"/>
    <s v="05/24/1983 - 98th Congress (1983-1984)"/>
    <s v="98th"/>
    <s v="Extradition and Criminal Assistance"/>
    <s v="06/28/1984 - 98th Congress (1983-1984) - Treaty approved by Senate 100-0 vote (#168 Ex.). (All Actions) "/>
    <x v="16"/>
    <s v="Treaty approved by Senate 100-0 vote (#168 Ex.). (All Actions) "/>
    <x v="0"/>
    <x v="1"/>
  </r>
  <r>
    <s v="479. PROTOCOL AMENDING THE 1980 TAX CONVENTION WITH CANADA Senate Consideration of Treaty Document 98-7 Date Received from President: 09/21/1983 - 98th Congress (1983-1984) Treaty Topic: Taxation Latest Senate Action: 06/28/1984 - 98th Congress (1983-1984) - Treaty approved by Senate 100-0 (#164 Ex.). (All Actions) "/>
    <s v="479"/>
    <s v="PROTOCOL AMENDING THE 1980 TAX CONVENTION WITH CANADA"/>
    <s v="98-7"/>
    <s v="09/21/1983 - 98th Congress (1983-1984)"/>
    <s v="98th"/>
    <s v="Taxation"/>
    <s v="06/28/1984 - 98th Congress (1983-1984) - Treaty approved by Senate 100-0 (#164 Ex.). (All Actions) "/>
    <x v="16"/>
    <s v="Treaty approved by Senate 100-0 (#164 Ex.). (All Actions) "/>
    <x v="0"/>
    <x v="1"/>
  </r>
  <r>
    <s v="480. 1983 ESTATE AND GIFT TAX CONVENTION WITH SWEDEN Senate Consideration of Treaty Document 98-11 Date Received from President: 11/07/1983 - 98th Congress (1983-1984) Treaty Topic: Taxation Latest Senate Action: 06/28/1984 - 98th Congress (1983-1984) - Treaty approved by Senate 100-0 (#167 Ex.). (All Actions) "/>
    <s v="480"/>
    <s v="1983 ESTATE AND GIFT TAX CONVENTION WITH SWEDEN"/>
    <s v="98-11"/>
    <s v="11/07/1983 - 98th Congress (1983-1984)"/>
    <s v="98th"/>
    <s v="Taxation"/>
    <s v="06/28/1984 - 98th Congress (1983-1984) - Treaty approved by Senate 100-0 (#167 Ex.). (All Actions) "/>
    <x v="16"/>
    <s v="Treaty approved by Senate 100-0 (#167 Ex.). (All Actions) "/>
    <x v="0"/>
    <x v="1"/>
  </r>
  <r>
    <s v="481. CONVENTION WITH FRANCE ON THE TRANSFER OF SENTENCED PERSONS Senate Consideration of Treaty Document 98-15 Date Received from President: 03/01/1984 - 98th Congress (1983-1984) Treaty Topic: Extradition and Criminal Assistance Latest Senate Action: 06/28/1984 - 98th Congress (1983-1984) - Treaty approved by Senate 100-0 (# 169 Ex.). (All Actions) "/>
    <s v="481"/>
    <s v="CONVENTION WITH FRANCE ON THE TRANSFER OF SENTENCED PERSONS"/>
    <s v="98-15"/>
    <s v="03/01/1984 - 98th Congress (1983-1984)"/>
    <s v="98th"/>
    <s v="Extradition and Criminal Assistance"/>
    <s v="06/28/1984 - 98th Congress (1983-1984) - Treaty approved by Senate 100-0 (# 169 Ex.). (All Actions) "/>
    <x v="16"/>
    <s v="Treaty approved by Senate 100-0 (# 169 Ex.). (All Actions) "/>
    <x v="0"/>
    <x v="1"/>
  </r>
  <r>
    <s v="482. EXTRADITION TREATY WITH THAILAND Senate Consideration of Treaty Document 98-16 Date Received from President: 04/13/1984 - 98th Congress (1983-1984) Treaty Topic: Extradition and Criminal Assistance Latest Senate Action: 06/28/1984 - 98th Congress (1983-1984) - Treaty approved by Senate 100-0 (#170 Ex.). (All Actions) "/>
    <s v="482"/>
    <s v="EXTRADITION TREATY WITH THAILAND"/>
    <s v="98-16"/>
    <s v="04/13/1984 - 98th Congress (1983-1984)"/>
    <s v="98th"/>
    <s v="Extradition and Criminal Assistance"/>
    <s v="06/28/1984 - 98th Congress (1983-1984) - Treaty approved by Senate 100-0 (#170 Ex.). (All Actions) "/>
    <x v="16"/>
    <s v="Treaty approved by Senate 100-0 (#170 Ex.). (All Actions) "/>
    <x v="0"/>
    <x v="1"/>
  </r>
  <r>
    <s v="483. EXTRADITION TREATY WITH COSTA RICA Senate Consideration of Treaty Document 98-17 Date Received from President: 04/17/1984 - 98th Congress (1983-1984) Treaty Topic: Extradition and Criminal Assistance Latest Senate Action: 06/28/1984 - 98th Congress (1983-1984) - Treaty approved by Senate 100-0 (#171 Ex.). (All Actions) "/>
    <s v="483"/>
    <s v="EXTRADITION TREATY WITH COSTA RICA"/>
    <s v="98-17"/>
    <s v="04/17/1984 - 98th Congress (1983-1984)"/>
    <s v="98th"/>
    <s v="Extradition and Criminal Assistance"/>
    <s v="06/28/1984 - 98th Congress (1983-1984) - Treaty approved by Senate 100-0 (#171 Ex.). (All Actions) "/>
    <x v="16"/>
    <s v="Treaty approved by Senate 100-0 (#171 Ex.). (All Actions) "/>
    <x v="0"/>
    <x v="1"/>
  </r>
  <r>
    <s v="484. EXTRADITION TREATY WITH JAMAICA Senate Consideration of Treaty Document 98-18 Date Received from President: 04/17/1984 - 98th Congress (1983-1984) Treaty Topic: Extradition and Criminal Assistance Latest Senate Action: 06/28/1984 - 98th Congress (1983-1984) - Treaty approved by Senate 100-0 (#172 Ex.). (All Actions) "/>
    <s v="484"/>
    <s v="EXTRADITION TREATY WITH JAMAICA"/>
    <s v="98-18"/>
    <s v="04/17/1984 - 98th Congress (1983-1984)"/>
    <s v="98th"/>
    <s v="Extradition and Criminal Assistance"/>
    <s v="06/28/1984 - 98th Congress (1983-1984) - Treaty approved by Senate 100-0 (#172 Ex.). (All Actions) "/>
    <x v="16"/>
    <s v="Treaty approved by Senate 100-0 (#172 Ex.). (All Actions) "/>
    <x v="0"/>
    <x v="1"/>
  </r>
  <r>
    <s v="485. EXTRADITION TREATY WITH IRELAND Senate Consideration of Treaty Document 98-19 Date Received from President: 04/18/1984 - 98th Congress (1983-1984) Treaty Topic: Extradition and Criminal Assistance Latest Senate Action: 06/28/1984 - 98th Congress (1983-1984) - Treaty approved by Senate 100-0 (#173 Ex.). (All Actions) "/>
    <s v="485"/>
    <s v="EXTRADITION TREATY WITH IRELAND"/>
    <s v="98-19"/>
    <s v="04/18/1984 - 98th Congress (1983-1984)"/>
    <s v="98th"/>
    <s v="Extradition and Criminal Assistance"/>
    <s v="06/28/1984 - 98th Congress (1983-1984) - Treaty approved by Senate 100-0 (#173 Ex.). (All Actions) "/>
    <x v="16"/>
    <s v="Treaty approved by Senate 100-0 (#173 Ex.). (All Actions) "/>
    <x v="0"/>
    <x v="1"/>
  </r>
  <r>
    <s v="486. EXTRADITION TREATY WITH ITALY Senate Consideration of Treaty Document 98-20 Date Received from President: 04/18/1984 - 98th Congress (1983-1984) Treaty Topic: Extradition and Criminal Assistance Latest Senate Action: 06/28/1984 - 98th Congress (1983-1984) - Treaty approved by Senate 100-0 (#174 Ex.). (All Actions) "/>
    <s v="486"/>
    <s v="EXTRADITION TREATY WITH ITALY"/>
    <s v="98-20"/>
    <s v="04/18/1984 - 98th Congress (1983-1984)"/>
    <s v="98th"/>
    <s v="Extradition and Criminal Assistance"/>
    <s v="06/28/1984 - 98th Congress (1983-1984) - Treaty approved by Senate 100-0 (#174 Ex.). (All Actions) "/>
    <x v="16"/>
    <s v="Treaty approved by Senate 100-0 (#174 Ex.). (All Actions) "/>
    <x v="0"/>
    <x v="1"/>
  </r>
  <r>
    <s v="487. PROTOCOL TO THE 1967 TAX CONVENTION WITH FRANCE Senate Consideration of Treaty Document 98-21 Date Received from President: 04/18/1984 - 98th Congress (1983-1984) Treaty Topic: Taxation Latest Senate Action: 06/28/1984 - 98th Congress (1983-1984) - Treaty approved by Senate 100-0 (#166 Ex.). (All Actions) "/>
    <s v="487"/>
    <s v="PROTOCOL TO THE 1967 TAX CONVENTION WITH FRANCE"/>
    <s v="98-21"/>
    <s v="04/18/1984 - 98th Congress (1983-1984)"/>
    <s v="98th"/>
    <s v="Taxation"/>
    <s v="06/28/1984 - 98th Congress (1983-1984) - Treaty approved by Senate 100-0 (#166 Ex.). (All Actions) "/>
    <x v="16"/>
    <s v="Treaty approved by Senate 100-0 (#166 Ex.). (All Actions) "/>
    <x v="0"/>
    <x v="1"/>
  </r>
  <r>
    <s v="488. SECOND PROTOCOL AMENDING THE 1980 TAX CONVENTION WITH CANADA Senate Consideration of Treaty Document 98-22 Date Received from President: 04/19/1984 - 98th Congress (1983-1984) Treaty Topic: Taxation Latest Senate Action: 06/28/1984 - 98th Congress (1983-1984) - Treaty approved by Senate 100-0 (No. 165 Ex.). (All Actions) "/>
    <s v="488"/>
    <s v="SECOND PROTOCOL AMENDING THE 1980 TAX CONVENTION WITH CANADA"/>
    <s v="98-22"/>
    <s v="04/19/1984 - 98th Congress (1983-1984)"/>
    <s v="98th"/>
    <s v="Taxation"/>
    <s v="06/28/1984 - 98th Congress (1983-1984) - Treaty approved by Senate 100-0 (No. 165 Ex.). (All Actions) "/>
    <x v="16"/>
    <s v="Treaty approved by Senate 100-0 (No. 165 Ex.). (All Actions) "/>
    <x v="0"/>
    <x v="1"/>
  </r>
  <r>
    <s v="489. CONVENTION ON THE TRANSFER OF SENTENCED PERSONS Senate Consideration of Treaty Document 98-23 Date Received from President: 05/07/1984 - 98th Congress (1983-1984) Treaty Topic: Extradition and Criminal Assistance Latest Senate Action: 06/28/1984 - 98th Congress (1983-1984) - Treaty approved by Senate 100-0 vote (#175 Ex.). (All Actions) "/>
    <s v="489"/>
    <s v="CONVENTION ON THE TRANSFER OF SENTENCED PERSONS"/>
    <s v="98-23"/>
    <s v="05/07/1984 - 98th Congress (1983-1984)"/>
    <s v="98th"/>
    <s v="Extradition and Criminal Assistance"/>
    <s v="06/28/1984 - 98th Congress (1983-1984) - Treaty approved by Senate 100-0 vote (#175 Ex.). (All Actions) "/>
    <x v="16"/>
    <s v="Treaty approved by Senate 100-0 vote (#175 Ex.). (All Actions) "/>
    <x v="0"/>
    <x v="1"/>
  </r>
  <r>
    <s v="490. CONVENTION WITH MOROCCO ON MUTUAL ASSISTANCE IN CRIMINAL MATTERS Senate Consideration of Treaty Document 98-24 Date Received from President: 05/10/1984 - 98th Congress (1983-1984) Treaty Topic: Extradition and Criminal Assistance Latest Senate Action: 06/28/1984 - 98th Congress (1983-1984) - Treaty approved by the Senate 100-0 vote (#176 Ex.). (All Actions) "/>
    <s v="490"/>
    <s v="CONVENTION WITH MOROCCO ON MUTUAL ASSISTANCE IN CRIMINAL MATTERS"/>
    <s v="98-24"/>
    <s v="05/10/1984 - 98th Congress (1983-1984)"/>
    <s v="98th"/>
    <s v="Extradition and Criminal Assistance"/>
    <s v="06/28/1984 - 98th Congress (1983-1984) - Treaty approved by the Senate 100-0 vote (#176 Ex.). (All Actions) "/>
    <x v="16"/>
    <s v="Treaty approved by the Senate 100-0 vote (#176 Ex.). (All Actions) "/>
    <x v="0"/>
    <x v="1"/>
  </r>
  <r>
    <s v="491. TREATY WITH THE ITALIAN REPUBLIC ON MUTUAL ASSISTANCE IN CRIMINAL MATTERS Senate Consideration of Treaty Document 98-25 Date Received from President: 06/11/1984 - 98th Congress (1983-1984) Treaty Topic: Extradition and Criminal Assistance Latest Senate Action: 06/28/1984 - 98th Congress (1983-1984) - Treaty approved by Senate 100-0 vote (#177 Ex.). (All Actions) "/>
    <s v="491"/>
    <s v="TREATY WITH THE ITALIAN REPUBLIC ON MUTUAL ASSISTANCE IN CRIMINAL MATTERS"/>
    <s v="98-25"/>
    <s v="06/11/1984 - 98th Congress (1983-1984)"/>
    <s v="98th"/>
    <s v="Extradition and Criminal Assistance"/>
    <s v="06/28/1984 - 98th Congress (1983-1984) - Treaty approved by Senate 100-0 vote (#177 Ex.). (All Actions) "/>
    <x v="16"/>
    <s v="Treaty approved by Senate 100-0 vote (#177 Ex.). (All Actions) "/>
    <x v="0"/>
    <x v="1"/>
  </r>
  <r>
    <s v="492. TREATY WITH CANADA RELATING TO THE SKAGIT RIVER AND ROSS LAKE IN THE STATE OF WASHINGTON, AND THE SEVEN MILE RESERVOIR ON THE PEND D'OREILLE RIVER IN THE PROVINCE OF BRITISH COLUMBIA Senate Consideration of Treaty Document 98-26 Date Received from President: 06/11/1984 - 98th Congress (1983-1984) Treaty Topic: Commercial Latest Senate Action: 06/28/1984 - 98th Congress (1983-1984) - Approved by the Senate 100-0 vote (#178 Ex.). (All Actions) "/>
    <s v="492"/>
    <s v="TREATY WITH CANADA RELATING TO THE SKAGIT RIVER AND ROSS LAKE IN THE STATE OF WASHINGTON, AND THE SEVEN MILE RESERVOIR ON THE PEND D'OREILLE RIVER IN THE PROVINCE OF BRITISH COLUMBIA"/>
    <s v="98-26"/>
    <s v="06/11/1984 - 98th Congress (1983-1984)"/>
    <s v="98th"/>
    <s v="Commercial"/>
    <s v="06/28/1984 - 98th Congress (1983-1984) - Approved by the Senate 100-0 vote (#178 Ex.). (All Actions) "/>
    <x v="16"/>
    <s v="Approved by the Senate 100-0 vote (#178 Ex.). (All Actions) "/>
    <x v="0"/>
    <x v="1"/>
  </r>
  <r>
    <s v="493. TAX CONVENTION WITH CANADA Senate Consideration of Treaty Document 96-55 Date Received from President: 11/12/1980 - 96th Congress (1979-1980) Treaty Topic: Taxation Latest Senate Action: 06/28/1984 - 98th Congress (1983-1984) - Approved by 100-0 vote. Record Vote Number 163. (All Actions) "/>
    <s v="493"/>
    <s v="TAX CONVENTION WITH CANADA"/>
    <s v="96-55"/>
    <s v="11/12/1980 - 96th Congress (1979-1980)"/>
    <s v="96th"/>
    <s v="Taxation"/>
    <s v="06/28/1984 - 98th Congress (1983-1984) - Approved by 100-0 vote. Record Vote Number 163. (All Actions) "/>
    <x v="16"/>
    <s v="Approved by 100-0 vote. Record Vote Number 163. (All Actions) "/>
    <x v="0"/>
    <x v="1"/>
  </r>
  <r>
    <s v="494. INTERNATIONAL COFFEE AGREEMENT, 1983 Senate Consideration of Treaty Document 98-2 Date Received from President: 05/04/1983 - 98th Congress (1983-1984) Treaty Topic: Commercial Latest Senate Action: 07/27/1983 - 98th Congress (1983-1984) - Treaty approved by Senate 100-0 vote (#224 Ex.). (All Actions) "/>
    <s v="494"/>
    <s v="INTERNATIONAL COFFEE AGREEMENT, 1983"/>
    <s v="98-2"/>
    <s v="05/04/1983 - 98th Congress (1983-1984)"/>
    <s v="98th"/>
    <s v="Commercial"/>
    <s v="07/27/1983 - 98th Congress (1983-1984) - Treaty approved by Senate 100-0 vote (#224 Ex.). (All Actions) "/>
    <x v="16"/>
    <s v="Treaty approved by Senate 100-0 vote (#224 Ex.). (All Actions) "/>
    <x v="0"/>
    <x v="1"/>
  </r>
  <r>
    <s v="495. EASTERN PACIFIC OCEAN TUNA FISHING AGREEMENT Senate Consideration of Treaty Document 98-3 Date Received from President: 05/11/1983 - 98th Congress (1983-1984) Treaty Topic: Fisheries and Wildlife Latest Senate Action: 07/27/1983 - 98th Congress (1983-1984) - Treaty approved by Senate 100-0 vote (#226 Ex.). (All Actions) "/>
    <s v="495"/>
    <s v="EASTERN PACIFIC OCEAN TUNA FISHING AGREEMENT"/>
    <s v="98-3"/>
    <s v="05/11/1983 - 98th Congress (1983-1984)"/>
    <s v="98th"/>
    <s v="Fisheries and Wildlife"/>
    <s v="07/27/1983 - 98th Congress (1983-1984) - Treaty approved by Senate 100-0 vote (#226 Ex.). (All Actions) "/>
    <x v="16"/>
    <s v="Treaty approved by Senate 100-0 vote (#226 Ex.). (All Actions) "/>
    <x v="0"/>
    <x v="1"/>
  </r>
  <r>
    <s v="496. REVISED NICE AGREEMENT CONCERNING THE INTERNATIONAL CLASSIFICATION OF GOODS AND SERVICES FOR THE PURPOSE OF THE REGISTRATION OF MARKS Senate Consideration of Treaty Document 96-5 Date Received from President: 01/19/1979 - 96th Congress (1979-1980) Treaty Topic: Commercial Latest Senate Action: 07/27/1983 - 98th Congress (1983-1984) - Approved by 100-0 vote. Record Vote Number 223. (All Actions) "/>
    <s v="496"/>
    <s v="REVISED NICE AGREEMENT CONCERNING THE INTERNATIONAL CLASSIFICATION OF GOODS AND SERVICES FOR THE PURPOSE OF THE REGISTRATION OF MARKS"/>
    <s v="96-5"/>
    <s v="01/19/1979 - 96th Congress (1979-1980)"/>
    <s v="96th"/>
    <s v="Commercial"/>
    <s v="07/27/1983 - 98th Congress (1983-1984) - Approved by 100-0 vote. Record Vote Number 223. (All Actions) "/>
    <x v="16"/>
    <s v="Approved by 100-0 vote. Record Vote Number 223. (All Actions) "/>
    <x v="0"/>
    <x v="1"/>
  </r>
  <r>
    <s v="497. CONVENTION ON FUTURE MULTILATERAL COOPERATION ON THE NORTHWEST ATLANTIC FISHERIES Senate Consideration of Treaty Document 96-20 Date Received from President: 05/03/1979 - 96th Congress (1979-1980) Treaty Topic: Fisheries and Wildlife Latest Senate Action: 07/27/1983 - 98th Congress (1983-1984) - Approved by 100-0 vote. Record Vote Number 225. (All Actions) "/>
    <s v="497"/>
    <s v="CONVENTION ON FUTURE MULTILATERAL COOPERATION ON THE NORTHWEST ATLANTIC FISHERIES"/>
    <s v="96-20"/>
    <s v="05/03/1979 - 96th Congress (1979-1980)"/>
    <s v="96th"/>
    <s v="Fisheries and Wildlife"/>
    <s v="07/27/1983 - 98th Congress (1983-1984) - Approved by 100-0 vote. Record Vote Number 225. (All Actions) "/>
    <x v="16"/>
    <s v="Approved by 100-0 vote. Record Vote Number 225. (All Actions) "/>
    <x v="0"/>
    <x v="1"/>
  </r>
  <r>
    <s v="498. AGREEMENT WITH THE PEOPLE'S REPUBLIC OF CHINA WITH RESPECT TO MUTUAL EXEMPTION FROM TAXATION OF TRANSPORTATION INCOME OF SHIPPING AND AIR TRANSPORT ENTERPRISES Senate Consideration of Treaty Document 97-24 Date Received from President: 06/16/1982 - 97th Congress (1981-1982) Treaty Topic: Taxation Latest Senate Action: 07/27/1983 - 98th Congress (1983-1984) - Treaty approved by Senate 100-0 vote (#227 Ex.). (All Actions) "/>
    <s v="498"/>
    <s v="AGREEMENT WITH THE PEOPLE'S REPUBLIC OF CHINA WITH RESPECT TO MUTUAL EXEMPTION FROM TAXATION OF TRANSPORTATION INCOME OF SHIPPING AND AIR TRANSPORT ENTERPRISES"/>
    <s v="97-24"/>
    <s v="06/16/1982 - 97th Congress (1981-1982)"/>
    <s v="97th"/>
    <s v="Taxation"/>
    <s v="07/27/1983 - 98th Congress (1983-1984) - Treaty approved by Senate 100-0 vote (#227 Ex.). (All Actions) "/>
    <x v="16"/>
    <s v="Treaty approved by Senate 100-0 vote (#227 Ex.). (All Actions) "/>
    <x v="0"/>
    <x v="1"/>
  </r>
  <r>
    <s v="499. TAX CONVENTION WITH NEW ZEALAND Senate Consideration of Treaty Document 97-27 Date Received from President: 08/13/1982 - 97th Congress (1981-1982) Treaty Topic: Taxation Latest Senate Action: 07/27/1983 - 98th Congress (1983-1984) - Treaty approved by Senate 100-0 vote (#228 Ex.). (All Actions) "/>
    <s v="499"/>
    <s v="TAX CONVENTION WITH NEW ZEALAND"/>
    <s v="97-27"/>
    <s v="08/13/1982 - 97th Congress (1981-1982)"/>
    <s v="97th"/>
    <s v="Taxation"/>
    <s v="07/27/1983 - 98th Congress (1983-1984) - Treaty approved by Senate 100-0 vote (#228 Ex.). (All Actions) "/>
    <x v="16"/>
    <s v="Treaty approved by Senate 100-0 vote (#228 Ex.). (All Actions) "/>
    <x v="0"/>
    <x v="1"/>
  </r>
  <r>
    <s v="500. TAX CONVENTIION WITH AUSTRALIA Senate Consideration of Treaty Document 97-28 Date Received from President: 09/14/1982 - 97th Congress (1981-1982) Treaty Topic: Taxation Latest Senate Action: 07/27/1983 - 98th Congress (1983-1984) - Treaty approved by Senate 100-0 vote (#229 Ex.). (All Actions) "/>
    <s v="500"/>
    <s v="TAX CONVENTIION WITH AUSTRALIA"/>
    <s v="97-28"/>
    <s v="09/14/1982 - 97th Congress (1981-1982)"/>
    <s v="97th"/>
    <s v="Taxation"/>
    <s v="07/27/1983 - 98th Congress (1983-1984) - Treaty approved by Senate 100-0 vote (#229 Ex.). (All Actions) "/>
    <x v="16"/>
    <s v="Treaty approved by Senate 100-0 vote (#229 Ex.). (All Actions) "/>
    <x v="0"/>
    <x v="1"/>
  </r>
  <r>
    <s v="501. TREATY WITH NEW ZEALAND ON DELIMITATION OF U.S.-TOKELAU MARITIME BOUNDARY Senate Consideration of Treaty Document 97-5 Date Received from President: 03/25/1981 - 97th Congress (1981-1982) Treaty Topic: Maritime Boundaries and Claims Latest Senate Action: 06/21/1983 - 98th Congress (1983-1984) - Treaty moved through its parliamentary stages; treaty approved by the Senate 94-4 vote (#162 Ex.). (All Actions) "/>
    <s v="501"/>
    <s v="TREATY WITH NEW ZEALAND ON DELIMITATION OF U.S.-TOKELAU MARITIME BOUNDARY"/>
    <s v="97-5"/>
    <s v="03/25/1981 - 97th Congress (1981-1982)"/>
    <s v="97th"/>
    <s v="Maritime Boundaries and Claims"/>
    <s v="06/21/1983 - 98th Congress (1983-1984) - Treaty moved through its parliamentary stages; treaty approved by the Senate 94-4 vote (#162 Ex.). (All Actions) "/>
    <x v="16"/>
    <s v="Treaty moved through its parliamentary stages; treaty approved by the Senate 94-4 vote (#162 Ex.). (All Actions) "/>
    <x v="0"/>
    <x v="1"/>
  </r>
  <r>
    <s v="502. CONSTITUTION OF THE UNITED NATIONS INDUSTRIAL DEVELOPMENT ORGANIZATION Senate Consideration of Treaty Document 97-19 Date Received from President: 10/05/1981 - 97th Congress (1981-1982) Treaty Topic: International Law and Organization Latest Senate Action: 06/21/1983 - 98th Congress (1983-1984) - Treaty moved through its parliamentary stages; treaty approved by the Senate, with understandings, 94-4 vote (#163 Ex.). (All Actions) "/>
    <s v="502"/>
    <s v="CONSTITUTION OF THE UNITED NATIONS INDUSTRIAL DEVELOPMENT ORGANIZATION"/>
    <s v="97-19"/>
    <s v="10/05/1981 - 97th Congress (1981-1982)"/>
    <s v="97th"/>
    <s v="International Law and Organization"/>
    <s v="06/21/1983 - 98th Congress (1983-1984) - Treaty moved through its parliamentary stages; treaty approved by the Senate, with understandings, 94-4 vote (#163 Ex.). (All Actions) "/>
    <x v="16"/>
    <s v="Treaty moved through its parliamentary stages; treaty approved by the Senate, with understandings, 94-4 vote (#163 Ex.). (All Actions) "/>
    <x v="0"/>
    <x v="1"/>
  </r>
  <r>
    <s v="503. TREATY OF FRIENDSHIP WITH TUVALU Senate Consideration of Treaty Document 96-23 Date Received from President: 05/09/1979 - 96th Congress (1979-1980) Treaty Topic: Maritime Boundaries and Claims Latest Senate Action: 06/21/1983 - 98th Congress (1983-1984) - General debate; approved by 94-4 vote. Record Vote Number: 159. (All Actions) "/>
    <s v="503"/>
    <s v="TREATY OF FRIENDSHIP WITH TUVALU"/>
    <s v="96-23"/>
    <s v="05/09/1979 - 96th Congress (1979-1980)"/>
    <s v="96th"/>
    <s v="Maritime Boundaries and Claims"/>
    <s v="06/21/1983 - 98th Congress (1983-1984) - General debate; approved by 94-4 vote. Record Vote Number: 159. (All Actions) "/>
    <x v="16"/>
    <s v="General debate; approved by 94-4 vote. Record Vote Number: 159. (All Actions) "/>
    <x v="0"/>
    <x v="1"/>
  </r>
  <r>
    <s v="504. INTERNATIONAL CONVENTION ON THE SIMPLIFICATION AND HARMONIZATION OF CUSTOMS PROCEDURES Senate Consideration of Treaty Document 97-23 Date Received from President: 02/22/1982 - 97th Congress (1981-1982) Treaty Topic: Commercial Latest Senate Action: 06/21/1983 - 98th Congress (1983-1984) - Treaty moved through its parliamentary stages; debate; treaty approved by Senate 94-4 vote (#164 Ex.). (All Actions) "/>
    <s v="504"/>
    <s v="INTERNATIONAL CONVENTION ON THE SIMPLIFICATION AND HARMONIZATION OF CUSTOMS PROCEDURES"/>
    <s v="97-23"/>
    <s v="02/22/1982 - 97th Congress (1981-1982)"/>
    <s v="97th"/>
    <s v="Commercial"/>
    <s v="06/21/1983 - 98th Congress (1983-1984) - Treaty moved through its parliamentary stages; debate; treaty approved by Senate 94-4 vote (#164 Ex.). (All Actions) "/>
    <x v="16"/>
    <s v="Treaty moved through its parliamentary stages; debate; treaty approved by Senate 94-4 vote (#164 Ex.). (All Actions) "/>
    <x v="0"/>
    <x v="1"/>
  </r>
  <r>
    <s v="505. TREATY OF FRIENDSHIP WITH KIRIBATI Senate Consideration of Treaty Document 96-36 Date Received from President: 01/24/1980 - 96th Congress (1979-1980) Treaty Topic: Maritime Boundaries and Claims Latest Senate Action: 06/21/1983 - 98th Congress (1983-1984) - General debate; approved by 94-4 vote. Record Vote Number: 160. (All Actions) "/>
    <s v="505"/>
    <s v="TREATY OF FRIENDSHIP WITH KIRIBATI"/>
    <s v="96-36"/>
    <s v="01/24/1980 - 96th Congress (1979-1980)"/>
    <s v="96th"/>
    <s v="Maritime Boundaries and Claims"/>
    <s v="06/21/1983 - 98th Congress (1983-1984) - General debate; approved by 94-4 vote. Record Vote Number: 160. (All Actions) "/>
    <x v="16"/>
    <s v="General debate; approved by 94-4 vote. Record Vote Number: 160. (All Actions) "/>
    <x v="0"/>
    <x v="1"/>
  </r>
  <r>
    <s v="506. FRIENDSHIP AND MARITIME BOUNDARY DELIMITATION TREATY WITH THE COOK ISLANDS Senate Consideration of Treaty Document 96-51 Date Received from President: 09/03/1980 - 96th Congress (1979-1980) Treaty Topic: Maritime Boundaries and Claims Latest Senate Action: 06/21/1983 - 98th Congress (1983-1984) - General debate; approved by 94-4 vote. Record Vote Number: 161. (All Actions) "/>
    <s v="506"/>
    <s v="FRIENDSHIP AND MARITIME BOUNDARY DELIMITATION TREATY WITH THE COOK ISLANDS"/>
    <s v="96-51"/>
    <s v="09/03/1980 - 96th Congress (1979-1980)"/>
    <s v="96th"/>
    <s v="Maritime Boundaries and Claims"/>
    <s v="06/21/1983 - 98th Congress (1983-1984) - General debate; approved by 94-4 vote. Record Vote Number: 161. (All Actions) "/>
    <x v="16"/>
    <s v="General debate; approved by 94-4 vote. Record Vote Number: 161. (All Actions) "/>
    <x v="0"/>
    <x v="1"/>
  </r>
  <r>
    <s v="507. AMENDMENT TO THE 1972 PROTOCOL TO THE 1928 CONVENTION CONCERNING INTERNATIONAL EXPOSITIONS Senate Consideration of Treaty Document 98-1 Date Received from President: 01/27/1983 - 98th Congress (1983-1984) Treaty Topic: Commercial Latest Senate Action: 03/03/1983 - 98th Congress (1983-1984) - Treaty approved by Senate 84-0 vote (#7 Ex.). (All Actions) "/>
    <s v="507"/>
    <s v="AMENDMENT TO THE 1972 PROTOCOL TO THE 1928 CONVENTION CONCERNING INTERNATIONAL EXPOSITIONS"/>
    <s v="98-1"/>
    <s v="01/27/1983 - 98th Congress (1983-1984)"/>
    <s v="98th"/>
    <s v="Commercial"/>
    <s v="03/03/1983 - 98th Congress (1983-1984) - Treaty approved by Senate 84-0 vote (#7 Ex.). (All Actions) "/>
    <x v="16"/>
    <s v="Treaty approved by Senate 84-0 vote (#7 Ex.). (All Actions) "/>
    <x v="0"/>
    <x v="1"/>
  </r>
  <r>
    <s v="508. RADIO REGULATIONS (GENEVA, 1979) Senate Consideration of Treaty Document 97-21 Date Received from President: 11/24/1981 - 97th Congress (1981-1982) Treaty Topic: Commercial Latest Senate Action: 12/21/1982 - 97th Congress (1981-1982) - Treaty moved through its parliamentary stages; reported condition to resolution agreed to; Schmitt proviso agreed to; resolution of advice and consent to ratification, as amended, approved by division vote. (All Actions) "/>
    <s v="508"/>
    <s v="RADIO REGULATIONS (GENEVA, 1979)"/>
    <s v="97-21"/>
    <s v="11/24/1981 - 97th Congress (1981-1982)"/>
    <s v="97th"/>
    <s v="Commercial"/>
    <s v="12/21/1982 - 97th Congress (1981-1982) - Treaty moved through its parliamentary stages; reported condition to resolution agreed to; Schmitt proviso agreed to; resolution of advice and consent to ratification, as amended, approved by division vote. (All Actions) "/>
    <x v="17"/>
    <s v="Treaty moved through its parliamentary stages; reported condition to resolution agreed to; Schmitt proviso agreed to; resolution of advice and consent to ratification, as amended, approved by division vote. (All Actions) "/>
    <x v="0"/>
    <x v="1"/>
  </r>
  <r>
    <s v="509. PROTOCOL TO THE AGREEMENT ON THE IMPORTATION OF EDUCATIONAL, SCIENTIFIC, AND CULTURAL MATERIALS Senate Consideration of Treaty Document 97-2 Date Received from President: 01/19/1981 - 97th Congress (1981-1982) Treaty Topic: International Law Latest Senate Action: 10/25/1982 - 97th Congress (1981-1982) - Entered into force. (All Actions) "/>
    <s v="509"/>
    <s v="PROTOCOL TO THE AGREEMENT ON THE IMPORTATION OF EDUCATIONAL, SCIENTIFIC, AND CULTURAL MATERIALS"/>
    <s v="97-2"/>
    <s v="01/19/1981 - 97th Congress (1981-1982)"/>
    <s v="97th"/>
    <s v="International Law"/>
    <s v="10/25/1982 - 97th Congress (1981-1982) - Entered into force. (All Actions) "/>
    <x v="17"/>
    <s v="Entered into force. (All Actions) "/>
    <x v="0"/>
    <x v="1"/>
  </r>
  <r>
    <s v="510. CONVENTION WITH MEXICO FOR THE RECOVERY AND RETURN OF STOLEN OR EMBEZZLED VEHICLES AND AIRCRAFT Senate Consideration of Treaty Document 97-18 Date Received from President: 09/29/1981 - 97th Congress (1981-1982) Treaty Topic: Extradition and Criminal Assistance Latest Senate Action: 09/30/1982 - 97th Congress (1981-1982) - Treaty approved by Senate 97-0 vote (#375 Ex.). (All Actions) "/>
    <s v="510"/>
    <s v="CONVENTION WITH MEXICO FOR THE RECOVERY AND RETURN OF STOLEN OR EMBEZZLED VEHICLES AND AIRCRAFT"/>
    <s v="97-18"/>
    <s v="09/29/1981 - 97th Congress (1981-1982)"/>
    <s v="97th"/>
    <s v="Extradition and Criminal Assistance"/>
    <s v="09/30/1982 - 97th Congress (1981-1982) - Treaty approved by Senate 97-0 vote (#375 Ex.). (All Actions) "/>
    <x v="17"/>
    <s v="Treaty approved by Senate 97-0 vote (#375 Ex.). (All Actions) "/>
    <x v="0"/>
    <x v="1"/>
  </r>
  <r>
    <s v="511. CONVENTION FOR THE CONSERVATION OF SALMON IN THE NORTH ATLANTIC OCEAN Senate Consideration of Treaty Document 97-25 Date Received from President: 06/22/1982 - 97th Congress (1981-1982) Treaty Topic: Fisheries and Wildlife Latest Senate Action: 09/30/1982 - 97th Congress (1981-1982) - Treaty approved by Senate 97-0 vote (#377 Ex.). (All Actions) "/>
    <s v="511"/>
    <s v="CONVENTION FOR THE CONSERVATION OF SALMON IN THE NORTH ATLANTIC OCEAN"/>
    <s v="97-25"/>
    <s v="06/22/1982 - 97th Congress (1981-1982)"/>
    <s v="97th"/>
    <s v="Fisheries and Wildlife"/>
    <s v="09/30/1982 - 97th Congress (1981-1982) - Treaty approved by Senate 97-0 vote (#377 Ex.). (All Actions) "/>
    <x v="17"/>
    <s v="Treaty approved by Senate 97-0 vote (#377 Ex.). (All Actions) "/>
    <x v="0"/>
    <x v="1"/>
  </r>
  <r>
    <s v="512. CONVENTION ON TONNAGE MEASUREMENTS OF SHIPS, 1969 Senate Consideration of Treaty Document 92-26 Date Received from President: 06/15/1972 - 92nd Congress (1971-1972) Treaty Topic: Shipping and Marine Pollution Latest Senate Action: 09/30/1982 - 97th Congress (1981-1982) - Resolution of advice and consent to ratification agreed to in Senate by Yea-Nay vote. 97-0. Record Vote No: 376 EX. (All Actions) "/>
    <s v="512"/>
    <s v="CONVENTION ON TONNAGE MEASUREMENTS OF SHIPS, 1969"/>
    <s v="92-26"/>
    <s v="06/15/1972 - 92nd Congress (1971-1972)"/>
    <s v="92nd"/>
    <s v="Shipping and Marine Pollution"/>
    <s v="09/30/1982 - 97th Congress (1981-1982) - Resolution of advice and consent to ratification agreed to in Senate by Yea-Nay vote. 97-0. Record Vote No: 376 EX. (All Actions) "/>
    <x v="17"/>
    <s v="Resolution of advice and consent to ratification agreed to in Senate by Yea-Nay vote. 97-0. Record Vote No: 376 EX. (All Actions) "/>
    <x v="0"/>
    <x v="1"/>
  </r>
  <r>
    <s v="513. TAX CONVENTION WITH AUSTRIA Senate Consideration of Treaty Document 97-26 Date Received from President: 08/10/1982 - 97th Congress (1981-1982) Treaty Topic: Taxation Latest Senate Action: 09/30/1982 - 97th Congress (1981-1982) - Treaty approved by Senate 97-0 vote (#378 Ex.). (All Actions) "/>
    <s v="513"/>
    <s v="TAX CONVENTION WITH AUSTRIA"/>
    <s v="97-26"/>
    <s v="08/10/1982 - 97th Congress (1981-1982)"/>
    <s v="97th"/>
    <s v="Taxation"/>
    <s v="09/30/1982 - 97th Congress (1981-1982) - Treaty approved by Senate 97-0 vote (#378 Ex.). (All Actions) "/>
    <x v="17"/>
    <s v="Treaty approved by Senate 97-0 vote (#378 Ex.). (All Actions) "/>
    <x v="0"/>
    <x v="1"/>
  </r>
  <r>
    <s v="514. PROTOCOL TO THE NORTH ATLANTIC TREATY ON THE ACCESSION OF SPAIN Senate Consideration of Treaty Document 97-22 Date Received from President: 01/26/1982 - 97th Congress (1981-1982) Treaty Topic: International Law and Organization Latest Senate Action: 05/29/1982 - 97th Congress (1981-1982) - Entered into force. (All Actions) "/>
    <s v="514"/>
    <s v="PROTOCOL TO THE NORTH ATLANTIC TREATY ON THE ACCESSION OF SPAIN"/>
    <s v="97-22"/>
    <s v="01/26/1982 - 97th Congress (1981-1982)"/>
    <s v="97th"/>
    <s v="International Law and Organization"/>
    <s v="05/29/1982 - 97th Congress (1981-1982) - Entered into force. (All Actions) "/>
    <x v="17"/>
    <s v="Entered into force. (All Actions) "/>
    <x v="0"/>
    <x v="1"/>
  </r>
  <r>
    <s v="515. INCOME TAX TREATY WITH MALTA Senate Consideration of Treaty Document 96-40 Date Received from President: 04/21/1980 - 96th Congress (1979-1980) Treaty Topic: Taxation Latest Senate Action: 05/18/1982 - 97th Congress (1981-1982) - Entered into force. (All Actions) "/>
    <s v="515"/>
    <s v="INCOME TAX TREATY WITH MALTA"/>
    <s v="96-40"/>
    <s v="04/21/1980 - 96th Congress (1979-1980)"/>
    <s v="96th"/>
    <s v="Taxation"/>
    <s v="05/18/1982 - 97th Congress (1981-1982) - Entered into force. (All Actions) "/>
    <x v="17"/>
    <s v="Entered into force. (All Actions) "/>
    <x v="0"/>
    <x v="1"/>
  </r>
  <r>
    <s v="516. CONVENTION ON THE CONSERVATION OF ANTARCTIC MARINE LIVING RESOURCES Senate Consideration of Treaty Document 96-59 Date Received from President: 12/02/1980 - 96th Congress (1979-1980) Treaty Topic: Fisheries and Wildlife Latest Senate Action: 04/07/1982 - 97th Congress (1981-1982) - Entered into force. (All Actions) "/>
    <s v="516"/>
    <s v="CONVENTION ON THE CONSERVATION OF ANTARCTIC MARINE LIVING RESOURCES"/>
    <s v="96-59"/>
    <s v="12/02/1980 - 96th Congress (1979-1980)"/>
    <s v="96th"/>
    <s v="Fisheries and Wildlife"/>
    <s v="04/07/1982 - 97th Congress (1981-1982) - Entered into force. (All Actions) "/>
    <x v="17"/>
    <s v="Entered into force. (All Actions) "/>
    <x v="0"/>
    <x v="1"/>
  </r>
  <r>
    <s v="517. EXTRADITION TREATY WITH COLOMBIA Senate Consideration of Treaty Document 97-8 Date Received from President: 06/01/1981 - 97th Congress (1981-1982) Treaty Topic: Extradition and Criminal Assistance Latest Senate Action: 03/02/1982 - 97th Congress (1981-1982) - Entered into force. (All Actions) "/>
    <s v="517"/>
    <s v="EXTRADITION TREATY WITH COLOMBIA"/>
    <s v="97-8"/>
    <s v="06/01/1981 - 97th Congress (1981-1982)"/>
    <s v="97th"/>
    <s v="Extradition and Criminal Assistance"/>
    <s v="03/02/1982 - 97th Congress (1981-1982) - Entered into force. (All Actions) "/>
    <x v="17"/>
    <s v="Entered into force. (All Actions) "/>
    <x v="0"/>
    <x v="1"/>
  </r>
  <r>
    <s v="518. CONSULAR CONVENTION WITH THE PEOPLE'S REPUBLIC OF CHINA Senate Consideration of Treaty Document 97-3 Date Received from President: 01/19/1981 - 97th Congress (1981-1982) Treaty Topic: Consular Latest Senate Action: 02/19/1982 - 97th Congress (1981-1982) - Entered into force. (All Actions) "/>
    <s v="518"/>
    <s v="CONSULAR CONVENTION WITH THE PEOPLE'S REPUBLIC OF CHINA"/>
    <s v="97-3"/>
    <s v="01/19/1981 - 97th Congress (1981-1982)"/>
    <s v="97th"/>
    <s v="Consular"/>
    <s v="02/19/1982 - 97th Congress (1981-1982) - Entered into force. (All Actions) "/>
    <x v="17"/>
    <s v="Entered into force. (All Actions) "/>
    <x v="0"/>
    <x v="1"/>
  </r>
  <r>
    <s v="519. 1981 PROTOCOLS FOR THE EXTENSION OF THE INTERNATIONAL WHEAT AGREEMENT, 1971 Senate Consideration of Treaty Document 97-9 Date Received from President: 06/11/1981 - 97th Congress (1981-1982) Treaty Topic: Commercial Latest Senate Action: 01/12/1982 - 97th Congress (1981-1982) - Entered into force. (All Actions) "/>
    <s v="519"/>
    <s v="1981 PROTOCOLS FOR THE EXTENSION OF THE INTERNATIONAL WHEAT AGREEMENT, 1971"/>
    <s v="97-9"/>
    <s v="06/11/1981 - 97th Congress (1981-1982)"/>
    <s v="97th"/>
    <s v="Commercial"/>
    <s v="01/12/1982 - 97th Congress (1981-1982) - Entered into force. (All Actions) "/>
    <x v="17"/>
    <s v="Entered into force. (All Actions) "/>
    <x v="0"/>
    <x v="1"/>
  </r>
  <r>
    <s v="520. TAX CONVENTION WITH EGYPT Senate Consideration of Treaty Document 96-56 Date Received from President: 11/12/1980 - 96th Congress (1979-1980) Treaty Topic: Taxation Latest Senate Action: 12/31/1981 - 97th Congress (1981-1982) - Entered into force. (All Actions) "/>
    <s v="520"/>
    <s v="TAX CONVENTION WITH EGYPT"/>
    <s v="96-56"/>
    <s v="11/12/1980 - 96th Congress (1979-1980)"/>
    <s v="96th"/>
    <s v="Taxation"/>
    <s v="12/31/1981 - 97th Congress (1981-1982) - Entered into force. (All Actions) "/>
    <x v="17"/>
    <s v="Entered into force. (All Actions) "/>
    <x v="0"/>
    <x v="1"/>
  </r>
  <r>
    <s v="521. TAX CONVENTION WITH JAMAICA Senate Consideration of Treaty Document 96-50 Date Received from President: 08/04/1980 - 96th Congress (1979-1980) Treaty Topic: Taxation Latest Senate Action: 12/29/1981 - 97th Congress (1981-1982) - Entered into force. (All Actions) "/>
    <s v="521"/>
    <s v="TAX CONVENTION WITH JAMAICA"/>
    <s v="96-50"/>
    <s v="08/04/1980 - 96th Congress (1979-1980)"/>
    <s v="96th"/>
    <s v="Taxation"/>
    <s v="12/29/1981 - 97th Congress (1981-1982) - Entered into force. (All Actions) "/>
    <x v="17"/>
    <s v="Entered into force. (All Actions) "/>
    <x v="0"/>
    <x v="1"/>
  </r>
  <r>
    <s v="522. INCOME TAX CONVENTION WITH THE REPUBLIC OF THE PHILIPPINES Senate Consideration of Treaty Document 95-3 Date Received from President: 01/19/1977 - 95th Congress (1977-1978) Treaty Topic: Taxation Latest Senate Action: 12/16/1981 - 97th Congress (1981-1982) - General debate; reservations and understandings agreed to; approved by division vote. (All Actions) "/>
    <s v="522"/>
    <s v="INCOME TAX CONVENTION WITH THE REPUBLIC OF THE PHILIPPINES"/>
    <s v="95-3"/>
    <s v="01/19/1977 - 95th Congress (1977-1978)"/>
    <s v="95th"/>
    <s v="Taxation"/>
    <s v="12/16/1981 - 97th Congress (1981-1982) - General debate; reservations and understandings agreed to; approved by division vote. (All Actions) "/>
    <x v="17"/>
    <s v="General debate; reservations and understandings agreed to; approved by division vote. (All Actions) "/>
    <x v="0"/>
    <x v="1"/>
  </r>
  <r>
    <s v="523. PROTOCOL RELATING TO AN AMENDMENT TO THE INTERNATIONAL CIVIL AVIATION CONVENTION Senate Consideration of Treaty Document 97-4 Date Received from President: 01/19/1981 - 97th Congress (1981-1982) Treaty Topic: Aviation Latest Senate Action: 12/16/1981 - 97th Congress (1981-1982) - Treaty moved through its parliamentary stages; approved by the Senate by division vote. (All Actions) "/>
    <s v="523"/>
    <s v="PROTOCOL RELATING TO AN AMENDMENT TO THE INTERNATIONAL CIVIL AVIATION CONVENTION"/>
    <s v="97-4"/>
    <s v="01/19/1981 - 97th Congress (1981-1982)"/>
    <s v="97th"/>
    <s v="Aviation"/>
    <s v="12/16/1981 - 97th Congress (1981-1982) - Treaty moved through its parliamentary stages; approved by the Senate by division vote. (All Actions) "/>
    <x v="17"/>
    <s v="Treaty moved through its parliamentary stages; approved by the Senate by division vote. (All Actions) "/>
    <x v="0"/>
    <x v="1"/>
  </r>
  <r>
    <s v="524. TAX CONVENTION WITH THE BRITISH VIRGIN ISLANDS Senate Consideration of Treaty Document 97-6 Date Received from President: 04/29/1982 - 97th Congress (1981-1982) Treaty Topic: Taxation Latest Senate Action: 12/16/1981 - 97th Congress (1981-1982) - S. Ex. Res. 4 agreed to; treaty returned to President. (All Actions) "/>
    <s v="524"/>
    <s v="TAX CONVENTION WITH THE BRITISH VIRGIN ISLANDS"/>
    <s v="97-6"/>
    <s v="04/29/1982 - 97th Congress (1981-1982)"/>
    <s v="97th"/>
    <s v="Taxation"/>
    <s v="12/16/1981 - 97th Congress (1981-1982) - S. Ex. Res. 4 agreed to; treaty returned to President. (All Actions) "/>
    <x v="17"/>
    <s v="S. Ex. Res. 4 agreed to; treaty returned to President. (All Actions) "/>
    <x v="0"/>
    <x v="1"/>
  </r>
  <r>
    <s v="525. TAX CONVENTION WITH ARGENTINA Senate Consideration of Treaty Document 97-10 Date Received from President: 06/11/1981 - 97th Congress (1981-1982) Treaty Topic: Taxation Latest Senate Action: 12/16/1981 - 97th Congress (1981-1982) - Treaty moved through its parliamentary stages; treaty approved, with two reservations and an understanding, by division vote. (All Actions) "/>
    <s v="525"/>
    <s v="TAX CONVENTION WITH ARGENTINA"/>
    <s v="97-10"/>
    <s v="06/11/1981 - 97th Congress (1981-1982)"/>
    <s v="97th"/>
    <s v="Taxation"/>
    <s v="12/16/1981 - 97th Congress (1981-1982) - Treaty moved through its parliamentary stages; treaty approved, with two reservations and an understanding, by division vote. (All Actions) "/>
    <x v="17"/>
    <s v="Treaty moved through its parliamentary stages; treaty approved, with two reservations and an understanding, by division vote. (All Actions) "/>
    <x v="0"/>
    <x v="1"/>
  </r>
  <r>
    <s v="526. PROTOCOL RELATING TO AN AMENDMENT TO THE INTERNATIONAL CIVIL AVIATION CONVENTION OF 1944 Senate Consideration of Treaty Document 96-14 Date Received from President: 03/22/1979 - 96th Congress (1979-1980) Treaty Topic: Aviation Latest Senate Action: 12/16/1981 - 97th Congress (1981-1982) - Approved by division vote. (All Actions) "/>
    <s v="526"/>
    <s v="PROTOCOL RELATING TO AN AMENDMENT TO THE INTERNATIONAL CIVIL AVIATION CONVENTION OF 1944"/>
    <s v="96-14"/>
    <s v="03/22/1979 - 96th Congress (1979-1980)"/>
    <s v="96th"/>
    <s v="Aviation"/>
    <s v="12/16/1981 - 97th Congress (1981-1982) - Approved by division vote. (All Actions) "/>
    <x v="17"/>
    <s v="Approved by division vote. (All Actions) "/>
    <x v="0"/>
    <x v="1"/>
  </r>
  <r>
    <s v="527. PROTOCOL ON THE TEXT OF THE INTERNATIONAL CIVIL AVIATION CONVENYTION OF 1944 Senate Consideration of Treaty Document 96-15 Date Received from President: 03/22/1979 - 96th Congress (1979-1980) Treaty Topic: Aviation Latest Senate Action: 12/16/1981 - 97th Congress (1981-1982) - Approved by division vote. (All Actions) "/>
    <s v="527"/>
    <s v="PROTOCOL ON THE TEXT OF THE INTERNATIONAL CIVIL AVIATION CONVENYTION OF 1944"/>
    <s v="96-15"/>
    <s v="03/22/1979 - 96th Congress (1979-1980)"/>
    <s v="96th"/>
    <s v="Aviation"/>
    <s v="12/16/1981 - 97th Congress (1981-1982) - Approved by division vote. (All Actions) "/>
    <x v="17"/>
    <s v="Approved by division vote. (All Actions) "/>
    <x v="0"/>
    <x v="1"/>
  </r>
  <r>
    <s v="528. PROTOCOL AMENDING THE 1980 TAX CONVENTION WITH JAMAICA Senate Consideration of Treaty Document 97-17 Date Received from President: 09/09/1981 - 97th Congress (1981-1982) Treaty Topic: Taxation Latest Senate Action: 12/16/1981 - 97th Congress (1981-1982) - Treaty moved through its parliamentary stages; approved by the Senate, with reservation and understanding to the treaty, by division vote. (All Actions) "/>
    <s v="528"/>
    <s v="PROTOCOL AMENDING THE 1980 TAX CONVENTION WITH JAMAICA"/>
    <s v="97-17"/>
    <s v="09/09/1981 - 97th Congress (1981-1982)"/>
    <s v="97th"/>
    <s v="Taxation"/>
    <s v="12/16/1981 - 97th Congress (1981-1982) - Treaty moved through its parliamentary stages; approved by the Senate, with reservation and understanding to the treaty, by division vote. (All Actions) "/>
    <x v="17"/>
    <s v="Treaty moved through its parliamentary stages; approved by the Senate, with reservation and understanding to the treaty, by division vote. (All Actions) "/>
    <x v="0"/>
    <x v="1"/>
  </r>
  <r>
    <s v="529. TAX CONVENTION WITH CYPRUS Senate Consideration of Treaty Document 96-44 Date Received from President: 05/16/1980 - 96th Congress (1979-1980) Treaty Topic: Taxation Latest Senate Action: 12/16/1981 - 97th Congress (1981-1982) - Returned to the President under agreement of S. Ex. Res. 4. (All Actions) "/>
    <s v="529"/>
    <s v="TAX CONVENTION WITH CYPRUS"/>
    <s v="96-44"/>
    <s v="05/16/1980 - 96th Congress (1979-1980)"/>
    <s v="96th"/>
    <s v="Taxation"/>
    <s v="12/16/1981 - 97th Congress (1981-1982) - Returned to the President under agreement of S. Ex. Res. 4. (All Actions) "/>
    <x v="17"/>
    <s v="Returned to the President under agreement of S. Ex. Res. 4. (All Actions) "/>
    <x v="0"/>
    <x v="1"/>
  </r>
  <r>
    <s v="530. RECIPROCAL FISHERIES AGREEMENT OF 1979 WITH THE UNITED KINGDOM Senate Consideration of Treaty Document 96-47 Date Received from President: 06/02/1980 - 96th Congress (1979-1980) Treaty Topic: Fisheries and Wildlife Latest Senate Action: 12/16/1981 - 97th Congress (1981-1982) - Approved by division vote. (All Actions) "/>
    <s v="530"/>
    <s v="RECIPROCAL FISHERIES AGREEMENT OF 1979 WITH THE UNITED KINGDOM"/>
    <s v="96-47"/>
    <s v="06/02/1980 - 96th Congress (1979-1980)"/>
    <s v="96th"/>
    <s v="Fisheries and Wildlife"/>
    <s v="12/16/1981 - 97th Congress (1981-1982) - Approved by division vote. (All Actions) "/>
    <x v="17"/>
    <s v="Approved by division vote. (All Actions) "/>
    <x v="0"/>
    <x v="1"/>
  </r>
  <r>
    <s v="531. PROTOCOL AMENDING 1971 TAX CONVENTION WITH NORWAY Senate Consideration of Treaty Document 96-61 Date Received from President: 12/02/1980 - 96th Congress (1979-1980) Treaty Topic: Taxation Latest Senate Action: 12/15/1981 - 97th Congress (1981-1982) - Entered into force. (All Actions) "/>
    <s v="531"/>
    <s v="PROTOCOL AMENDING 1971 TAX CONVENTION WITH NORWAY"/>
    <s v="96-61"/>
    <s v="12/02/1980 - 96th Congress (1979-1980)"/>
    <s v="96th"/>
    <s v="Taxation"/>
    <s v="12/15/1981 - 97th Congress (1981-1982) - Entered into force. (All Actions) "/>
    <x v="17"/>
    <s v="Entered into force. (All Actions) "/>
    <x v="0"/>
    <x v="1"/>
  </r>
  <r>
    <s v="532. EXTRADITION TREATY WITH THE NETHERLANDS Senate Consideration of Treaty Document 97-7 Date Received from President: 06/01/1981 - 97th Congress (1981-1982) Treaty Topic: Extradition and Criminal Assistance Latest Senate Action: 12/02/1981 - 97th Congress (1981-1982) - Treaty approved by the Senate 96-0 vote (#438 Ex.). (All Actions) "/>
    <s v="532"/>
    <s v="EXTRADITION TREATY WITH THE NETHERLANDS"/>
    <s v="97-7"/>
    <s v="06/01/1981 - 97th Congress (1981-1982)"/>
    <s v="97th"/>
    <s v="Extradition and Criminal Assistance"/>
    <s v="12/02/1981 - 97th Congress (1981-1982) - Treaty approved by the Senate 96-0 vote (#438 Ex.). (All Actions) "/>
    <x v="17"/>
    <s v="Treaty approved by the Senate 96-0 vote (#438 Ex.). (All Actions) "/>
    <x v="0"/>
    <x v="1"/>
  </r>
  <r>
    <s v="533. MUTUAL LEGAL ASSISTANCE TREATY WITH COLOMBIA Senate Consideration of Treaty Document 97-11 Date Received from President: 06/11/1981 - 97th Congress (1981-1982) Treaty Topic: Extradition and Criminal Assistance Latest Senate Action: 12/02/1981 - 97th Congress (1981-1982) - Treaty approved by Senate 96-0 vote (#440 Ex.). (All Actions) "/>
    <s v="533"/>
    <s v="MUTUAL LEGAL ASSISTANCE TREATY WITH COLOMBIA"/>
    <s v="97-11"/>
    <s v="06/11/1981 - 97th Congress (1981-1982)"/>
    <s v="97th"/>
    <s v="Extradition and Criminal Assistance"/>
    <s v="12/02/1981 - 97th Congress (1981-1982) - Treaty approved by Senate 96-0 vote (#440 Ex.). (All Actions) "/>
    <x v="17"/>
    <s v="Treaty approved by Senate 96-0 vote (#440 Ex.). (All Actions) "/>
    <x v="0"/>
    <x v="1"/>
  </r>
  <r>
    <s v="534. TREATY OF MUTUAL LEGAL ASSISTANCE WITH THE NETHERLANDS Senate Consideration of Treaty Document 97-16 Date Received from President: 08/06/1981 - 97th Congress (1981-1982) Treaty Topic: Extradition and Criminal Assistance Latest Senate Action: 12/02/1981 - 97th Congress (1981-1982) - Treaty approved by Senate 96-0 (#441 Ex.). (All Actions) "/>
    <s v="534"/>
    <s v="TREATY OF MUTUAL LEGAL ASSISTANCE WITH THE NETHERLANDS"/>
    <s v="97-16"/>
    <s v="08/06/1981 - 97th Congress (1981-1982)"/>
    <s v="97th"/>
    <s v="Extradition and Criminal Assistance"/>
    <s v="12/02/1981 - 97th Congress (1981-1982) - Treaty approved by Senate 96-0 (#441 Ex.). (All Actions) "/>
    <x v="17"/>
    <s v="Treaty approved by Senate 96-0 (#441 Ex.). (All Actions) "/>
    <x v="0"/>
    <x v="1"/>
  </r>
  <r>
    <s v="535. INCOME TAX CONVENTION WITH THAILAND Senate Consideration of Treaty Document 89-5 Date Received from President: 07/29/1965 - 89th Congress (1965-1966) Treaty Topic: Taxation Latest Senate Action: 12/01/1981 - 97th Congress (1981-1982) - Returned to the President pursuant to S. Exec. Res. 2 agreed to on December 1, 1981. (All Actions) "/>
    <s v="535"/>
    <s v="INCOME TAX CONVENTION WITH THAILAND"/>
    <s v="89-5"/>
    <s v="07/29/1965 - 89th Congress (1965-1966)"/>
    <s v="89th"/>
    <s v="Taxation"/>
    <s v="12/01/1981 - 97th Congress (1981-1982) - Returned to the President pursuant to S. Exec. Res. 2 agreed to on December 1, 1981. (All Actions) "/>
    <x v="17"/>
    <s v="Returned to the President pursuant to S. Exec. Res. 2 agreed to on December 1, 1981. (All Actions) "/>
    <x v="0"/>
    <x v="1"/>
  </r>
  <r>
    <s v="536. TAX CONVENTION WITH ISRAEL Senate Consideration of Treaty Document 89-6 Date Received from President: 07/29/1965 - 89th Congress (1965-1966) Treaty Topic: Taxation Latest Senate Action: 12/01/1981 - 97th Congress (1981-1982) - Returned to the President pursuant to S. Exec. Res. 97-2 agreed to on December 1, 1981. (All Actions) "/>
    <s v="536"/>
    <s v="TAX CONVENTION WITH ISRAEL"/>
    <s v="89-6"/>
    <s v="07/29/1965 - 89th Congress (1965-1966)"/>
    <s v="89th"/>
    <s v="Taxation"/>
    <s v="12/01/1981 - 97th Congress (1981-1982) - Returned to the President pursuant to S. Exec. Res. 97-2 agreed to on December 1, 1981. (All Actions) "/>
    <x v="17"/>
    <s v="Returned to the President pursuant to S. Exec. Res. 97-2 agreed to on December 1, 1981. (All Actions) "/>
    <x v="0"/>
    <x v="1"/>
  </r>
  <r>
    <s v="537. TAX CONVENTION WITH EGYPT Senate Consideration of Treaty Document 94-15 Date Received from President: 02/11/1976 - 94th Congress (1975-1976) Treaty Topic: Taxation Latest Senate Action: 12/01/1981 - 97th Congress (1981-1982) - Ex. Res. No. 97 -2 agreed to; treaty returned to President. (All Actions) "/>
    <s v="537"/>
    <s v="TAX CONVENTION WITH EGYPT"/>
    <s v="94-15"/>
    <s v="02/11/1976 - 94th Congress (1975-1976)"/>
    <s v="94th"/>
    <s v="Taxation"/>
    <s v="12/01/1981 - 97th Congress (1981-1982) - Ex. Res. No. 97 -2 agreed to; treaty returned to President. (All Actions) "/>
    <x v="17"/>
    <s v="Ex. Res. No. 97 -2 agreed to; treaty returned to President. (All Actions) "/>
    <x v="0"/>
    <x v="1"/>
  </r>
  <r>
    <s v="538. TAX CONVENTION WITH THE FEDERAL REPUBLIC OF GERMANY Senate Consideration of Treaty Document 97-1 Date Received from President: 01/15/1981 - 97th Congress (1981-1982) Treaty Topic: Taxation Latest Senate Action: 11/18/1981 - 97th Congress (1981-1982) - Treaty approved, with understanding, by the Senate 97-0 vote (#387 Ex.). (All Actions) "/>
    <s v="538"/>
    <s v="TAX CONVENTION WITH THE FEDERAL REPUBLIC OF GERMANY"/>
    <s v="97-1"/>
    <s v="01/15/1981 - 97th Congress (1981-1982)"/>
    <s v="97th"/>
    <s v="Taxation"/>
    <s v="11/18/1981 - 97th Congress (1981-1982) - Treaty approved, with understanding, by the Senate 97-0 vote (#387 Ex.). (All Actions) "/>
    <x v="17"/>
    <s v="Treaty approved, with understanding, by the Senate 97-0 vote (#387 Ex.). (All Actions) "/>
    <x v="0"/>
    <x v="1"/>
  </r>
  <r>
    <s v="539. TAX CONVENTION WITH ISRAEL Senate Consideration of Treaty Document 94-14 Date Received from President: 02/11/1976 - 94th Congress (1975-1976) Treaty Topic: Taxation Latest Senate Action: 11/18/1981 - 97th Congress (1981-1982) - General debate; approved by 97-0 vote. Record Vote Number 388. (All Actions) "/>
    <s v="539"/>
    <s v="TAX CONVENTION WITH ISRAEL"/>
    <s v="94-14"/>
    <s v="02/11/1976 - 94th Congress (1975-1976)"/>
    <s v="94th"/>
    <s v="Taxation"/>
    <s v="11/18/1981 - 97th Congress (1981-1982) - General debate; approved by 97-0 vote. Record Vote Number 388. (All Actions) "/>
    <x v="17"/>
    <s v="General debate; approved by 97-0 vote. Record Vote Number 388. (All Actions) "/>
    <x v="0"/>
    <x v="1"/>
  </r>
  <r>
    <s v="540. AGREEMENT EXTENDING FOR EIGHT MONTHS PROVISIONS OF THE TREATY OF FRIENDSHIP AND COOPERATION WITH SPAIN Senate Consideration of Treaty Document 97-20 Date Received from President: 10/09/1981 - 97th Congress (1981-1982) Treaty Topic: Commercial Latest Senate Action: 11/18/1981 - 97th Congress (1981-1982) - Treaty approved by Senate 97-0 vote (#384 Ex.). (All Actions) "/>
    <s v="540"/>
    <s v="AGREEMENT EXTENDING FOR EIGHT MONTHS PROVISIONS OF THE TREATY OF FRIENDSHIP AND COOPERATION WITH SPAIN"/>
    <s v="97-20"/>
    <s v="10/09/1981 - 97th Congress (1981-1982)"/>
    <s v="97th"/>
    <s v="Commercial"/>
    <s v="11/18/1981 - 97th Congress (1981-1982) - Treaty approved by Senate 97-0 vote (#384 Ex.). (All Actions) "/>
    <x v="17"/>
    <s v="Treaty approved by Senate 97-0 vote (#384 Ex.). (All Actions) "/>
    <x v="0"/>
    <x v="1"/>
  </r>
  <r>
    <s v="541. TAX CONVENTION WITH MOROCCO Senate Consideration of Treaty Document 95-23 Date Received from President: 05/02/1978 - 95th Congress (1977-1978) Treaty Topic: Taxation Latest Senate Action: 11/18/1981 - 97th Congress (1981-1982) - General debate; reservation and understanding agreed to; approved by 97-0 vote. Record Vote Number 391. (All Actions) "/>
    <s v="541"/>
    <s v="TAX CONVENTION WITH MOROCCO"/>
    <s v="95-23"/>
    <s v="05/02/1978 - 95th Congress (1977-1978)"/>
    <s v="95th"/>
    <s v="Taxation"/>
    <s v="11/18/1981 - 97th Congress (1981-1982) - General debate; reservation and understanding agreed to; approved by 97-0 vote. Record Vote Number 391. (All Actions) "/>
    <x v="17"/>
    <s v="General debate; reservation and understanding agreed to; approved by 97-0 vote. Record Vote Number 391. (All Actions) "/>
    <x v="0"/>
    <x v="1"/>
  </r>
  <r>
    <s v="542. PROTOCOL AMENDING THE 1976 INCOME TAX CONVENTION WITH ISRAEL Senate Consideration of Treaty Document 96-48 Date Received from President: 07/03/1980 - 96th Congress (1979-1980) Treaty Topic: Taxation Latest Senate Action: 11/18/1981 - 97th Congress (1981-1982) - Approved by 97-0 vote. Record Vote Number 389. (All Actions) "/>
    <s v="542"/>
    <s v="PROTOCOL AMENDING THE 1976 INCOME TAX CONVENTION WITH ISRAEL"/>
    <s v="96-48"/>
    <s v="07/03/1980 - 96th Congress (1979-1980)"/>
    <s v="96th"/>
    <s v="Taxation"/>
    <s v="11/18/1981 - 97th Congress (1981-1982) - Approved by 97-0 vote. Record Vote Number 389. (All Actions) "/>
    <x v="17"/>
    <s v="Approved by 97-0 vote. Record Vote Number 389. (All Actions) "/>
    <x v="0"/>
    <x v="1"/>
  </r>
  <r>
    <s v="543. TAX CONVENTION WITH BANGLADESH Senate Consideration of Treaty Document 96-60 Date Received from President: 12/02/1980 - 96th Congress (1979-1980) Treaty Topic: Taxation Latest Senate Action: 11/18/1981 - 97th Congress (1981-1982) - Approved with 2 understandings by 97-0 vote. Record Vote Number 385. (All Actions) "/>
    <s v="543"/>
    <s v="TAX CONVENTION WITH BANGLADESH"/>
    <s v="96-60"/>
    <s v="12/02/1980 - 96th Congress (1979-1980)"/>
    <s v="96th"/>
    <s v="Taxation"/>
    <s v="11/18/1981 - 97th Congress (1981-1982) - Approved with 2 understandings by 97-0 vote. Record Vote Number 385. (All Actions) "/>
    <x v="17"/>
    <s v="Approved with 2 understandings by 97-0 vote. Record Vote Number 385. (All Actions) "/>
    <x v="0"/>
    <x v="1"/>
  </r>
  <r>
    <s v="544. ADDITIONAL PROTOCOL I TO THE TREATY FOR THE PROHIBITION OF NUCLEAR WEAPONS IN LATIN AMERICA Senate Consideration of Treaty Document 95-24 Date Received from President: 05/24/1978 - 95th Congress (1977-1978) Treaty Topic: Arms Control Latest Senate Action: 11/13/1981 - 97th Congress (1981-1982) - General debate; 3 understandings agreed to; approved by 79-0 vote. Record Vote Number 374. (All Actions) "/>
    <s v="544"/>
    <s v="ADDITIONAL PROTOCOL I TO THE TREATY FOR THE PROHIBITION OF NUCLEAR WEAPONS IN LATIN AMERICA"/>
    <s v="95-24"/>
    <s v="05/24/1978 - 95th Congress (1977-1978)"/>
    <s v="95th"/>
    <s v="Arms Control"/>
    <s v="11/13/1981 - 97th Congress (1981-1982) - General debate; 3 understandings agreed to; approved by 79-0 vote. Record Vote Number 374. (All Actions) "/>
    <x v="17"/>
    <s v="General debate; 3 understandings agreed to; approved by 79-0 vote. Record Vote Number 374. (All Actions) "/>
    <x v="0"/>
    <x v="1"/>
  </r>
  <r>
    <s v="545. TREATY WITH COLOMBIA CONCERNING THE STATUS OF QUITA SUENO, RONCADOR, AND SERRANA Senate Consideration of Treaty Document 93-1 Date Received from President: 01/09/1973 - 93rd Congress (1973-1974) Treaty Topic: International Law Latest Senate Action: 07/31/1981 - 97th Congress (1981-1982) - Consideration and general debate; understanding to resolution agreed to; treaty approved by division vote. (All Actions) "/>
    <s v="545"/>
    <s v="TREATY WITH COLOMBIA CONCERNING THE STATUS OF QUITA SUENO, RONCADOR, AND SERRANA"/>
    <s v="93-1"/>
    <s v="01/09/1973 - 93rd Congress (1973-1974)"/>
    <s v="93rd"/>
    <s v="International Law"/>
    <s v="07/31/1981 - 97th Congress (1981-1982) - Consideration and general debate; understanding to resolution agreed to; treaty approved by division vote. (All Actions) "/>
    <x v="17"/>
    <s v="Consideration and general debate; understanding to resolution agreed to; treaty approved by division vote. (All Actions) "/>
    <x v="0"/>
    <x v="1"/>
  </r>
  <r>
    <s v="546. REVISED CUSTOMS CONVENTION ON THE INTERNATIONAL TRANSPORT OF GOODS UNDER COVER OF TIR CARNETS Senate Consideration of Treaty Document 95-13 Date Received from President: 07/26/1977 - 95th Congress (1977-1978) Treaty Topic: Commercial Latest Senate Action: 07/30/1981 - 97th Congress (1981-1982) - General debate; approved by 98-0 vote. Record Vote Number 243. (All Actions) "/>
    <s v="546"/>
    <s v="REVISED CUSTOMS CONVENTION ON THE INTERNATIONAL TRANSPORT OF GOODS UNDER COVER OF TIR CARNETS"/>
    <s v="95-13"/>
    <s v="07/26/1977 - 95th Congress (1977-1978)"/>
    <s v="95th"/>
    <s v="Commercial"/>
    <s v="07/30/1981 - 97th Congress (1981-1982) - General debate; approved by 98-0 vote. Record Vote Number 243. (All Actions) "/>
    <x v="17"/>
    <s v="General debate; approved by 98-0 vote. Record Vote Number 243. (All Actions) "/>
    <x v="0"/>
    <x v="1"/>
  </r>
  <r>
    <s v="547. CONVENTION ON THE PHYSICAL PROTECTION OF NUCLEAR MATERIAL Senate Consideration of Treaty Document 96-43 Date Received from President: 05/09/1980 - 96th Congress (1979-1980) Treaty Topic: International Law and Organization Latest Senate Action: 07/30/1981 - 97th Congress (1981-1982) - Approved by vote of 98-0. Record Vote Number 242. (All Actions) "/>
    <s v="547"/>
    <s v="CONVENTION ON THE PHYSICAL PROTECTION OF NUCLEAR MATERIAL"/>
    <s v="96-43"/>
    <s v="05/09/1980 - 96th Congress (1979-1980)"/>
    <s v="96th"/>
    <s v="International Law and Organization"/>
    <s v="07/30/1981 - 97th Congress (1981-1982) - Approved by vote of 98-0. Record Vote Number 242. (All Actions) "/>
    <x v="17"/>
    <s v="Approved by vote of 98-0. Record Vote Number 242. (All Actions) "/>
    <x v="0"/>
    <x v="1"/>
  </r>
  <r>
    <s v="548. AMENDMENTS TO THE INTER-GOVERNMENTAL MARITIME CONSULTATIVE ORGANIZATION CONVENTION Senate Consideration of Treaty Document 96-46 Date Received from President: 05/20/1980 - 96th Congress (1979-1980) Treaty Topic: International Law and Organization Latest Senate Action: 07/30/1981 - 97th Congress (1981-1982) - Approved by 98-0 vote. Record Vote Number: 244. (All Actions) "/>
    <s v="548"/>
    <s v="AMENDMENTS TO THE INTER-GOVERNMENTAL MARITIME CONSULTATIVE ORGANIZATION CONVENTION"/>
    <s v="96-46"/>
    <s v="05/20/1980 - 96th Congress (1979-1980)"/>
    <s v="96th"/>
    <s v="International Law and Organization"/>
    <s v="07/30/1981 - 97th Congress (1981-1982) - Approved by 98-0 vote. Record Vote Number: 244. (All Actions) "/>
    <x v="17"/>
    <s v="Approved by 98-0 vote. Record Vote Number: 244. (All Actions) "/>
    <x v="0"/>
    <x v="1"/>
  </r>
  <r>
    <s v="549. INTERNATIONAL CONVENTION AGAINST THE TAKING OF HOSTAGES Senate Consideration of Treaty Document 96-49 Date Received from President: 08/04/1980 - 96th Congress (1979-1980) Treaty Topic: Extradition and Criminal Assistance Latest Senate Action: 07/30/1981 - 97th Congress (1981-1982) - Approved by 98-0 vote. Record Vote Number 241. (All Actions) "/>
    <s v="549"/>
    <s v="INTERNATIONAL CONVENTION AGAINST THE TAKING OF HOSTAGES"/>
    <s v="96-49"/>
    <s v="08/04/1980 - 96th Congress (1979-1980)"/>
    <s v="96th"/>
    <s v="Extradition and Criminal Assistance"/>
    <s v="07/30/1981 - 97th Congress (1981-1982) - Approved by 98-0 vote. Record Vote Number 241. (All Actions) "/>
    <x v="17"/>
    <s v="Approved by 98-0 vote. Record Vote Number 241. (All Actions) "/>
    <x v="0"/>
    <x v="1"/>
  </r>
  <r>
    <s v="550. TREATY WITH CANADA ON PACIFIC COAST ALBACORE TUNA VESSELS AND PORT PRIVILEGES Senate Consideration of Treaty Document 97-13 Date Received from President: 07/01/1981 - 97th Congress (1981-1982) Treaty Topic: Fisheries and Wildlife Latest Senate Action: 07/20/1981 - 97th Congress (1981-1982) - Treaty approved by Senate 97-0 vote (#202 Ex.). (All Actions) "/>
    <s v="550"/>
    <s v="TREATY WITH CANADA ON PACIFIC COAST ALBACORE TUNA VESSELS AND PORT PRIVILEGES"/>
    <s v="97-13"/>
    <s v="07/01/1981 - 97th Congress (1981-1982)"/>
    <s v="97th"/>
    <s v="Fisheries and Wildlife"/>
    <s v="07/20/1981 - 97th Congress (1981-1982) - Treaty approved by Senate 97-0 vote (#202 Ex.). (All Actions) "/>
    <x v="17"/>
    <s v="Treaty approved by Senate 97-0 vote (#202 Ex.). (All Actions) "/>
    <x v="0"/>
    <x v="1"/>
  </r>
  <r>
    <s v="551. PROTOCOL AMENDING THE INTERIM CONVENTION ON NORTH PACIFIC FUR SEALS Senate Consideration of Treaty Document 96-54 Date Received from President: 11/12/1980 - 96th Congress (1979-1980) Treaty Topic: Fisheries and Wildlife Latest Senate Action: 07/02/1981 - 97th Congress (1981-1982) - Entered into force. (All Actions) "/>
    <s v="551"/>
    <s v="PROTOCOL AMENDING THE INTERIM CONVENTION ON NORTH PACIFIC FUR SEALS"/>
    <s v="96-54"/>
    <s v="11/12/1980 - 96th Congress (1979-1980)"/>
    <s v="96th"/>
    <s v="Fisheries and Wildlife"/>
    <s v="07/02/1981 - 97th Congress (1981-1982) - Entered into force. (All Actions) "/>
    <x v="17"/>
    <s v="Entered into force. (All Actions) "/>
    <x v="0"/>
    <x v="1"/>
  </r>
  <r>
    <s v="552. AGREEMENT ON EAST COAST FISHERY RESOURCES WITH CANADA Senate Consideration of Treaty Document 96-22 Date Received from President: 05/03/1979 - 96th Congress (1979-1980) Treaty Topic: Fisheries and Wildlife Latest Senate Action: 06/22/1981 - 97th Congress (1981-1982) - Treaty returned to President. (All Actions) "/>
    <s v="552"/>
    <s v="AGREEMENT ON EAST COAST FISHERY RESOURCES WITH CANADA"/>
    <s v="96-22"/>
    <s v="05/03/1979 - 96th Congress (1979-1980)"/>
    <s v="96th"/>
    <s v="Fisheries and Wildlife"/>
    <s v="06/22/1981 - 97th Congress (1981-1982) - Treaty returned to President. (All Actions) "/>
    <x v="17"/>
    <s v="Treaty returned to President. (All Actions) "/>
    <x v="0"/>
    <x v="1"/>
  </r>
  <r>
    <s v="553. MARITIME BOUNDARY SETTLEMENT TREATY WITH CANADA Senate Consideration of Treaty Document 96-21 Date Received from President: 05/03/1979 - 96th Congress (1979-1980) Treaty Topic: Maritime Boundaries and Claims Latest Senate Action: 04/29/1981 - 97th Congress (1981-1982) - Approved with amendments by 91-0 vote. Record Vote Number 84. (All Actions) "/>
    <s v="553"/>
    <s v="MARITIME BOUNDARY SETTLEMENT TREATY WITH CANADA"/>
    <s v="96-21"/>
    <s v="05/03/1979 - 96th Congress (1979-1980)"/>
    <s v="96th"/>
    <s v="Maritime Boundaries and Claims"/>
    <s v="04/29/1981 - 97th Congress (1981-1982) - Approved with amendments by 91-0 vote. Record Vote Number 84. (All Actions) "/>
    <x v="17"/>
    <s v="Approved with amendments by 91-0 vote. Record Vote Number 84. (All Actions) "/>
    <x v="0"/>
    <x v="1"/>
  </r>
  <r>
    <s v="554. MARITIME BOUNDARY TREATY WITH CUBA Senate Consideration of Treaty Document 96-8 Date Received from President: 01/19/1979 - 96th Congress (1979-1980) Treaty Topic: Maritime Boundaries and Claims Latest Senate Action: 12/16/1980 - 96th Congress (1979-1980) - No further action at sine die adjournment of the 96 Congress; automatically rereferred to the Committee on Foreign Relations under the provisions of Rule XXX, section 2, of the Standing Rules of the Senate. (All Actions) "/>
    <s v="554"/>
    <s v="MARITIME BOUNDARY TREATY WITH CUBA"/>
    <s v="96-8"/>
    <s v="01/19/1979 - 96th Congress (1979-1980)"/>
    <s v="96th"/>
    <s v="Maritime Boundaries and Claims"/>
    <s v="12/16/1980 - 96th Congress (1979-1980) - No further action at sine die adjournment of the 96 Congress; automatically rereferred to the Committee on Foreign Relations under the provisions of Rule XXX, section 2, of the Standing Rules of the Senate. (All Actions) "/>
    <x v="18"/>
    <s v="No further action at sine die adjournment of the 96 Congress; automatically rereferred to the Committee on Foreign Relations under the provisions of Rule XXX, section 2, of the Standing Rules of the Senate. (All Actions) "/>
    <x v="0"/>
    <x v="1"/>
  </r>
  <r>
    <s v="555. MARITIME BOUNDARY TREATY WITH VENEZUELA Senate Consideration of Treaty Document 96-7 Date Received from President: 01/19/1979 - 96th Congress (1979-1980) Treaty Topic: Maritime Boundaries and Claims Latest Senate Action: 09/17/1980 - 96th Congress (1979-1980) - Approved by 94-0 vote. Record Vote Number 414. (All Actions) "/>
    <s v="555"/>
    <s v="MARITIME BOUNDARY TREATY WITH VENEZUELA"/>
    <s v="96-7"/>
    <s v="01/19/1979 - 96th Congress (1979-1980)"/>
    <s v="96th"/>
    <s v="Maritime Boundaries and Claims"/>
    <s v="09/17/1980 - 96th Congress (1979-1980) - Approved by 94-0 vote. Record Vote Number 414. (All Actions) "/>
    <x v="18"/>
    <s v="Approved by 94-0 vote. Record Vote Number 414. (All Actions) "/>
    <x v="0"/>
    <x v="1"/>
  </r>
  <r>
    <s v="556. AMENDMENTS TO THE CONVENTION ON THE PREVENTION OF MARINE POLLUTION BY DUMPING OF WASTES AND OTHER MATTER Senate Consideration of Treaty Document 96-9 Date Received from President: 02/06/1979 - 96th Congress (1979-1980) Treaty Topic: Shipping and Marine Pollution Latest Senate Action: 09/17/1980 - 96th Congress (1979-1980) - Approved by 94-0 vote. Record Vote Number 412. (All Actions) "/>
    <s v="556"/>
    <s v="AMENDMENTS TO THE CONVENTION ON THE PREVENTION OF MARINE POLLUTION BY DUMPING OF WASTES AND OTHER MATTER"/>
    <s v="96-9"/>
    <s v="02/06/1979 - 96th Congress (1979-1980)"/>
    <s v="96th"/>
    <s v="Shipping and Marine Pollution"/>
    <s v="09/17/1980 - 96th Congress (1979-1980) - Approved by 94-0 vote. Record Vote Number 412. (All Actions) "/>
    <x v="18"/>
    <s v="Approved by 94-0 vote. Record Vote Number 412. (All Actions) "/>
    <x v="0"/>
    <x v="1"/>
  </r>
  <r>
    <s v="557. PROTOCOLS FOR THE 5TH EXTENSION OF THE 1971 INTERNATIONAL WHEAT AGREEMENT Senate Consideration of Treaty Document 96-32 Date Received from President: 09/11/1979 - 96th Congress (1979-1980) Treaty Topic: Commercial Latest Senate Action: 09/17/1980 - 96th Congress (1979-1980) - Approved by 94-0 vote. Record Vote Number 409. (All Actions) "/>
    <s v="557"/>
    <s v="PROTOCOLS FOR THE 5TH EXTENSION OF THE 1971 INTERNATIONAL WHEAT AGREEMENT"/>
    <s v="96-32"/>
    <s v="09/11/1979 - 96th Congress (1979-1980)"/>
    <s v="96th"/>
    <s v="Commercial"/>
    <s v="09/17/1980 - 96th Congress (1979-1980) - Approved by 94-0 vote. Record Vote Number 409. (All Actions) "/>
    <x v="18"/>
    <s v="Approved by 94-0 vote. Record Vote Number 409. (All Actions) "/>
    <x v="0"/>
    <x v="1"/>
  </r>
  <r>
    <s v="558. CONVENTION ON THE INTER-AMERICAN INSTITUTE FOR COOPERATION ON AGRICULTURE Senate Consideration of Treaty Document 96-34 Date Received from President: 11/14/1979 - 96th Congress (1979-1980) Treaty Topic: International Law and Organization Latest Senate Action: 09/17/1980 - 96th Congress (1979-1980) - Approved by 94-0 vote. Record Vote Number 413. (All Actions) "/>
    <s v="558"/>
    <s v="CONVENTION ON THE INTER-AMERICAN INSTITUTE FOR COOPERATION ON AGRICULTURE"/>
    <s v="96-34"/>
    <s v="11/14/1979 - 96th Congress (1979-1980)"/>
    <s v="96th"/>
    <s v="International Law and Organization"/>
    <s v="09/17/1980 - 96th Congress (1979-1980) - Approved by 94-0 vote. Record Vote Number 413. (All Actions) "/>
    <x v="18"/>
    <s v="Approved by 94-0 vote. Record Vote Number 413. (All Actions) "/>
    <x v="0"/>
    <x v="1"/>
  </r>
  <r>
    <s v="559. 1978 PARTIAL REVISION OF THE RADIO REGULATIONS (GENEVA, 1959) Senate Consideration of Treaty Document 96-37 Date Received from President: 01/24/1980 - 96th Congress (1979-1980) Treaty Topic: Commercial Latest Senate Action: 09/17/1980 - 96th Congress (1979-1980) - Approved by 94-0 vote. Record Vote Number 410. (All Actions) "/>
    <s v="559"/>
    <s v="1978 PARTIAL REVISION OF THE RADIO REGULATIONS (GENEVA, 1959)"/>
    <s v="96-37"/>
    <s v="01/24/1980 - 96th Congress (1979-1980)"/>
    <s v="96th"/>
    <s v="Commercial"/>
    <s v="09/17/1980 - 96th Congress (1979-1980) - Approved by 94-0 vote. Record Vote Number 410. (All Actions) "/>
    <x v="18"/>
    <s v="Approved by 94-0 vote. Record Vote Number 410. (All Actions) "/>
    <x v="0"/>
    <x v="1"/>
  </r>
  <r>
    <s v="560. AMENDMENT TO THE CONVENTION ON INTERNATIONAL TRADE IN ENDANGERED SPECIES OF WILD FAUNA AND FLORA Senate Consideration of Treaty Document 96-38 Date Received from President: 04/02/1980 - 96th Congress (1979-1980) Treaty Topic: Fisheries and Wildlife Latest Senate Action: 09/17/1980 - 96th Congress (1979-1980) - Approved by 94-0 vote. Record Vote Number 411. (All Actions) "/>
    <s v="560"/>
    <s v="AMENDMENT TO THE CONVENTION ON INTERNATIONAL TRADE IN ENDANGERED SPECIES OF WILD FAUNA AND FLORA"/>
    <s v="96-38"/>
    <s v="04/02/1980 - 96th Congress (1979-1980)"/>
    <s v="96th"/>
    <s v="Fisheries and Wildlife"/>
    <s v="09/17/1980 - 96th Congress (1979-1980) - Approved by 94-0 vote. Record Vote Number 411. (All Actions) "/>
    <x v="18"/>
    <s v="Approved by 94-0 vote. Record Vote Number 411. (All Actions) "/>
    <x v="0"/>
    <x v="1"/>
  </r>
  <r>
    <s v="561. FOOD AID CONVENTION, 1980 Senate Consideration of Treaty Document 96-42 Date Received from President: 05/09/1980 - 96th Congress (1979-1980) Treaty Topic: Commercial Latest Senate Action: 09/17/1980 - 96th Congress (1979-1980) - Approved by 94-0 vote. Record Vote Number 408. (All Actions) "/>
    <s v="561"/>
    <s v="FOOD AID CONVENTION, 1980"/>
    <s v="96-42"/>
    <s v="05/09/1980 - 96th Congress (1979-1980)"/>
    <s v="96th"/>
    <s v="Commercial"/>
    <s v="09/17/1980 - 96th Congress (1979-1980) - Approved by 94-0 vote. Record Vote Number 408. (All Actions) "/>
    <x v="18"/>
    <s v="Approved by 94-0 vote. Record Vote Number 408. (All Actions) "/>
    <x v="0"/>
    <x v="1"/>
  </r>
  <r>
    <s v="562. 1978 PROTOCOL RELATING TO THE INTERNATIONAL CONVENTION FOR THE PREVENTION OF POLLUTION FROM SHIPS Senate Consideration of Treaty Document 96-3 Date Received from President: 01/19/1979 - 96th Congress (1979-1980) Treaty Topic: Shipping and Marine Pollution Latest Senate Action: 07/02/1980 - 96th Congress (1979-1980) - General debate; approved by 90-0 vote. Record Vote Number 296. (All Actions) "/>
    <s v="562"/>
    <s v="1978 PROTOCOL RELATING TO THE INTERNATIONAL CONVENTION FOR THE PREVENTION OF POLLUTION FROM SHIPS"/>
    <s v="96-3"/>
    <s v="01/19/1979 - 96th Congress (1979-1980)"/>
    <s v="96th"/>
    <s v="Shipping and Marine Pollution"/>
    <s v="07/02/1980 - 96th Congress (1979-1980) - General debate; approved by 90-0 vote. Record Vote Number 296. (All Actions) "/>
    <x v="18"/>
    <s v="General debate; approved by 90-0 vote. Record Vote Number 296. (All Actions) "/>
    <x v="0"/>
    <x v="1"/>
  </r>
  <r>
    <s v="563. 1978 PROTOCOL RELATING TO THE 1974 INTERNATIONAL CONVENTION FOR THE SAFETY OF LIFE AT SEA Senate Consideration of Treaty Document 96-4 Date Received from President: 01/23/1979 - 96th Congress (1979-1980) Treaty Topic: Shipping and Marine Pollution Latest Senate Action: 07/02/1980 - 96th Congress (1979-1980) - General debate; approved by 90-0 vote. Record Vote Number 297. (All Actions) "/>
    <s v="563"/>
    <s v="1978 PROTOCOL RELATING TO THE 1974 INTERNATIONAL CONVENTION FOR THE SAFETY OF LIFE AT SEA"/>
    <s v="96-4"/>
    <s v="01/23/1979 - 96th Congress (1979-1980)"/>
    <s v="96th"/>
    <s v="Shipping and Marine Pollution"/>
    <s v="07/02/1980 - 96th Congress (1979-1980) - General debate; approved by 90-0 vote. Record Vote Number 297. (All Actions) "/>
    <x v="18"/>
    <s v="General debate; approved by 90-0 vote. Record Vote Number 297. (All Actions) "/>
    <x v="0"/>
    <x v="1"/>
  </r>
  <r>
    <s v="564. AGREEMENT WITH THE INTERNATIONAL ATOMIC ENERGY AGENCY FOR THE APPLICATION OF SAFEGUARDS ON THE UNITED STATES OF AMERICA, WITH PROTOCOL Senate Consideration of Treaty Document 95-17 Date Received from President: 02/09/1978 - 95th Congress (1977-1978) Treaty Topic: International Law and Organization Latest Senate Action: 07/02/1980 - 96th Congress (1979-1980) - General debate; 5 understandings agreed to; approved by 90-0 vote. Record Vote Number 302. (All Actions) "/>
    <s v="564"/>
    <s v="AGREEMENT WITH THE INTERNATIONAL ATOMIC ENERGY AGENCY FOR THE APPLICATION OF SAFEGUARDS ON THE UNITED STATES OF AMERICA, WITH PROTOCOL"/>
    <s v="95-17"/>
    <s v="02/09/1978 - 95th Congress (1977-1978)"/>
    <s v="95th"/>
    <s v="International Law and Organization"/>
    <s v="07/02/1980 - 96th Congress (1979-1980) - General debate; 5 understandings agreed to; approved by 90-0 vote. Record Vote Number 302. (All Actions) "/>
    <x v="18"/>
    <s v="General debate; 5 understandings agreed to; approved by 90-0 vote. Record Vote Number 302. (All Actions) "/>
    <x v="0"/>
    <x v="1"/>
  </r>
  <r>
    <s v="565. AMENDMENTS TO THE 1948 INTERGOVERNMENTAL MARITIME CONSULTATIVE ORGANIZATION CONVENTION Senate Consideration of Treaty Document 96-19 Date Received from President: 05/03/1979 - 96th Congress (1979-1980) Treaty Topic: Shipping and Marine Pollution Latest Senate Action: 07/02/1980 - 96th Congress (1979-1980) - General debate; approved by 90-0 vote. Record Vote Number 298. (All Actions) "/>
    <s v="565"/>
    <s v="AMENDMENTS TO THE 1948 INTERGOVERNMENTAL MARITIME CONSULTATIVE ORGANIZATION CONVENTION"/>
    <s v="96-19"/>
    <s v="05/03/1979 - 96th Congress (1979-1980)"/>
    <s v="96th"/>
    <s v="Shipping and Marine Pollution"/>
    <s v="07/02/1980 - 96th Congress (1979-1980) - General debate; approved by 90-0 vote. Record Vote Number 298. (All Actions) "/>
    <x v="18"/>
    <s v="General debate; approved by 90-0 vote. Record Vote Number 298. (All Actions) "/>
    <x v="0"/>
    <x v="1"/>
  </r>
  <r>
    <s v="566. AMENDMENT TO THE 1966 INTERNATIONAL CONVENTION ON LOAD LINES Senate Consideration of Treaty Document 96-33 Date Received from President: 10/17/1979 - 96th Congress (1979-1980) Treaty Topic: Shipping and Marine Pollution Latest Senate Action: 07/02/1980 - 96th Congress (1979-1980) - General debate; approved by 90-0 vote. Record Vote Number 299. (All Actions) "/>
    <s v="566"/>
    <s v="AMENDMENT TO THE 1966 INTERNATIONAL CONVENTION ON LOAD LINES"/>
    <s v="96-33"/>
    <s v="10/17/1979 - 96th Congress (1979-1980)"/>
    <s v="96th"/>
    <s v="Shipping and Marine Pollution"/>
    <s v="07/02/1980 - 96th Congress (1979-1980) - General debate; approved by 90-0 vote. Record Vote Number 299. (All Actions) "/>
    <x v="18"/>
    <s v="General debate; approved by 90-0 vote. Record Vote Number 299. (All Actions) "/>
    <x v="0"/>
    <x v="1"/>
  </r>
  <r>
    <s v="567. CONSULAR CONVENTION WITH THE GERMAN DEMOCRATIC REPUBLIC Senate Consideration of Treaty Document 96-41 Date Received from President: 04/28/1980 - 96th Congress (1979-1980) Treaty Topic: Consular Latest Senate Action: 07/02/1980 - 96th Congress (1979-1980) - General debate; approved by 90-0 vote. Record Vote Number 301. (All Actions) "/>
    <s v="567"/>
    <s v="CONSULAR CONVENTION WITH THE GERMAN DEMOCRATIC REPUBLIC"/>
    <s v="96-41"/>
    <s v="04/28/1980 - 96th Congress (1979-1980)"/>
    <s v="96th"/>
    <s v="Consular"/>
    <s v="07/02/1980 - 96th Congress (1979-1980) - General debate; approved by 90-0 vote. Record Vote Number 301. (All Actions) "/>
    <x v="18"/>
    <s v="General debate; approved by 90-0 vote. Record Vote Number 301. (All Actions) "/>
    <x v="0"/>
    <x v="1"/>
  </r>
  <r>
    <s v="568. INTERNATION CONVENTION ON MARITIME SEARCH AND RESCUE, 1979 Senate Consideration of Treaty Document 96-45 Date Received from President: 06/20/1980 - 96th Congress (1979-1980) Treaty Topic: International Law and Organization Latest Senate Action: 07/02/1980 - 96th Congress (1979-1980) - General debate; approved by 90-0 vote. Record Vote Number 300. (All Actions) "/>
    <s v="568"/>
    <s v="INTERNATION CONVENTION ON MARITIME SEARCH AND RESCUE, 1979"/>
    <s v="96-45"/>
    <s v="06/20/1980 - 96th Congress (1979-1980)"/>
    <s v="96th"/>
    <s v="International Law and Organization"/>
    <s v="07/02/1980 - 96th Congress (1979-1980) - General debate; approved by 90-0 vote. Record Vote Number 300. (All Actions) "/>
    <x v="18"/>
    <s v="General debate; approved by 90-0 vote. Record Vote Number 300. (All Actions) "/>
    <x v="0"/>
    <x v="1"/>
  </r>
  <r>
    <s v="569. INTERNATIONAL NATURAL RUBBER AGREEMENT, 1979 Senate Consideration of Treaty Document 96-39 Date Received from President: 04/02/1980 - 96th Congress (1979-1980) Treaty Topic: Commercial Latest Senate Action: 05/22/1980 - 96th Congress (1979-1980) - Approved by 90-1 vote. Record Vote Number 156. (All Actions) "/>
    <s v="569"/>
    <s v="INTERNATIONAL NATURAL RUBBER AGREEMENT, 1979"/>
    <s v="96-39"/>
    <s v="04/02/1980 - 96th Congress (1979-1980)"/>
    <s v="96th"/>
    <s v="Commercial"/>
    <s v="05/22/1980 - 96th Congress (1979-1980) - Approved by 90-1 vote. Record Vote Number 156. (All Actions) "/>
    <x v="18"/>
    <s v="Approved by 90-1 vote. Record Vote Number 156. (All Actions) "/>
    <x v="0"/>
    <x v="1"/>
  </r>
  <r>
    <s v="570. TREATY WITH PERU ON THE EXECUTION OF PENAL SENTENCES Senate Consideration of Treaty Document 96-35 Date Received from President: 12/20/1979 - 96th Congress (1979-1980) Treaty Topic: Extradition and Criminal Assistance Latest Senate Action: 03/25/1980 - 96th Congress (1979-1980) - Resolution of advice and consent to ratification agreed to in Senate by Yea-Nay Vote. 96 - 0. Record Vote Number: 61. (All Actions) "/>
    <s v="570"/>
    <s v="TREATY WITH PERU ON THE EXECUTION OF PENAL SENTENCES"/>
    <s v="96-35"/>
    <s v="12/20/1979 - 96th Congress (1979-1980)"/>
    <s v="96th"/>
    <s v="Extradition and Criminal Assistance"/>
    <s v="03/25/1980 - 96th Congress (1979-1980) - Resolution of advice and consent to ratification agreed to in Senate by Yea-Nay Vote. 96 - 0. Record Vote Number: 61. (All Actions) "/>
    <x v="18"/>
    <s v="Resolution of advice and consent to ratification agreed to in Senate by Yea-Nay Vote. 96 - 0. Record Vote Number: 61. (All Actions) "/>
    <x v="0"/>
    <x v="1"/>
  </r>
  <r>
    <s v="571. AGREEMENT ON THE INTERNATIONAL CARRIAGE OF PERISHABLE FOODSTUFFS Senate Consideration of Treaty Document 96-2 Date Received from President: 01/19/1979 - 96th Congress (1979-1980) Treaty Topic: Commercial Latest Senate Action: 03/20/1980 - 96th Congress (1979-1980) - Approved by 92-0 vote. Record Vote Number 60. (All Actions) "/>
    <s v="571"/>
    <s v="AGREEMENT ON THE INTERNATIONAL CARRIAGE OF PERISHABLE FOODSTUFFS"/>
    <s v="96-2"/>
    <s v="01/19/1979 - 96th Congress (1979-1980)"/>
    <s v="96th"/>
    <s v="Commercial"/>
    <s v="03/20/1980 - 96th Congress (1979-1980) - Approved by 92-0 vote. Record Vote Number 60. (All Actions) "/>
    <x v="18"/>
    <s v="Approved by 92-0 vote. Record Vote Number 60. (All Actions) "/>
    <x v="0"/>
    <x v="1"/>
  </r>
  <r>
    <s v="572. PROTOCOL WITH CANADA TO AMEND THE CONVENTION FOR THE PROTECTION, PRESERVATION, AND EXTENSION OF THE SOCKEYE SALMON FISHERIES IN THE FRASER RIVER SYSTEM, AS AMENDED Senate Consideration of Treaty Document 95-7 Date Received from President: 03/31/1977 - 95th Congress (1977-1978) Treaty Topic: Fisheries and Wildlife Latest Senate Action: 03/20/1980 - 96th Congress (1979-1980) - General debate; approved by 92-0 vote. Record Vote Number 58. (All Actions) "/>
    <s v="572"/>
    <s v="PROTOCOL WITH CANADA TO AMEND THE CONVENTION FOR THE PROTECTION, PRESERVATION, AND EXTENSION OF THE SOCKEYE SALMON FISHERIES IN THE FRASER RIVER SYSTEM, AS AMENDED"/>
    <s v="95-7"/>
    <s v="03/31/1977 - 95th Congress (1977-1978)"/>
    <s v="95th"/>
    <s v="Fisheries and Wildlife"/>
    <s v="03/20/1980 - 96th Congress (1979-1980) - General debate; approved by 92-0 vote. Record Vote Number 58. (All Actions) "/>
    <x v="18"/>
    <s v="General debate; approved by 92-0 vote. Record Vote Number 58. (All Actions) "/>
    <x v="0"/>
    <x v="1"/>
  </r>
  <r>
    <s v="573. CONVENTION ON PSYCHOTROPIC SUBSTANCES Senate Consideration of Treaty Document 92-7 Date Received from President: 06/29/1971 - 92nd Congress (1971-1972) Latest Senate Action: 03/20/1980 - 96th Congress (1979-1980) - Resolution of advice and consent to ratification agreed to in Senate by Yea-Nay vote. 92-0. Record Vote No: 58 EX. (All Actions) "/>
    <s v="573"/>
    <s v="CONVENTION ON PSYCHOTROPIC SUBSTANCES"/>
    <s v="92-7"/>
    <s v="06/29/1971 - 92nd Congress (1971-1972)"/>
    <s v="92nd"/>
    <m/>
    <s v="03/20/1980 - 96th Congress (1979-1980) - Resolution of advice and consent to ratification agreed to in Senate by Yea-Nay vote. 92-0. Record Vote No: 58 EX. (All Actions) "/>
    <x v="18"/>
    <s v="Resolution of advice and consent to ratification agreed to in Senate by Yea-Nay vote. 92-0. Record Vote No: 58 EX. (All Actions) "/>
    <x v="0"/>
    <x v="1"/>
  </r>
  <r>
    <s v="574. PROTOCOL AMENDING THE 1953 HALIBUT FISHERY CONVENTION WITH CANADA Senate Consideration of Treaty Document 96-30 Date Received from President: 08/10/1979 - 96th Congress (1979-1980) Treaty Topic: Fisheries and Wildlife Latest Senate Action: 03/20/1980 - 96th Congress (1979-1980) - Approved by 92-0 vote. Record Vote Number: 57. (All Actions) "/>
    <s v="574"/>
    <s v="PROTOCOL AMENDING THE 1953 HALIBUT FISHERY CONVENTION WITH CANADA"/>
    <s v="96-30"/>
    <s v="08/10/1979 - 96th Congress (1979-1980)"/>
    <s v="96th"/>
    <s v="Fisheries and Wildlife"/>
    <s v="03/20/1980 - 96th Congress (1979-1980) - Approved by 92-0 vote. Record Vote Number: 57. (All Actions) "/>
    <x v="18"/>
    <s v="Approved by 92-0 vote. Record Vote Number: 57. (All Actions) "/>
    <x v="0"/>
    <x v="1"/>
  </r>
  <r>
    <s v="575. EXTRADITION TREATY WITH MEXICO Senate Consideration of Treaty Document 96-13 Date Received from President: 03/22/1979 - 96th Congress (1979-1980) Treaty Topic: Extradition and Criminal Assistance Latest Senate Action: 11/30/1979 - 96th Congress (1979-1980) - General debate; approved by 91-0 vote. Record Vote Number 442. (All Actions) "/>
    <s v="575"/>
    <s v="EXTRADITION TREATY WITH MEXICO"/>
    <s v="96-13"/>
    <s v="03/22/1979 - 96th Congress (1979-1980)"/>
    <s v="96th"/>
    <s v="Extradition and Criminal Assistance"/>
    <s v="11/30/1979 - 96th Congress (1979-1980) - General debate; approved by 91-0 vote. Record Vote Number 442. (All Actions) "/>
    <x v="18"/>
    <s v="General debate; approved by 91-0 vote. Record Vote Number 442. (All Actions) "/>
    <x v="0"/>
    <x v="1"/>
  </r>
  <r>
    <s v="576. EXTRADITION TREATY WITH JAPAN Senate Consideration of Treaty Document 96-16 Date Received from President: 04/04/1979 - 96th Congress (1979-1980) Treaty Topic: Extradition and Criminal Assistance Latest Senate Action: 11/30/1979 - 96th Congress (1979-1980) - Approved by 91-0 vote. Record Vote Number 443. (All Actions) "/>
    <s v="576"/>
    <s v="EXTRADITION TREATY WITH JAPAN"/>
    <s v="96-16"/>
    <s v="04/04/1979 - 96th Congress (1979-1980)"/>
    <s v="96th"/>
    <s v="Extradition and Criminal Assistance"/>
    <s v="11/30/1979 - 96th Congress (1979-1980) - Approved by 91-0 vote. Record Vote Number 443. (All Actions) "/>
    <x v="18"/>
    <s v="Approved by 91-0 vote. Record Vote Number 443. (All Actions) "/>
    <x v="0"/>
    <x v="1"/>
  </r>
  <r>
    <s v="577. 1977 INTERNATIONAL SUGAR AGREEMENT Senate Consideration of Treaty Document 95-16 Date Received from President: 01/25/1978 - 95th Congress (1977-1978) Treaty Topic: Commercial Latest Senate Action: 11/30/1979 - 96th Congress (1979-1980) - General debate; approved by 80-11 vote. Record Vote Number 447. (All Actions) "/>
    <s v="577"/>
    <s v="1977 INTERNATIONAL SUGAR AGREEMENT"/>
    <s v="95-16"/>
    <s v="01/25/1978 - 95th Congress (1977-1978)"/>
    <s v="95th"/>
    <s v="Commercial"/>
    <s v="11/30/1979 - 96th Congress (1979-1980) - General debate; approved by 80-11 vote. Record Vote Number 447. (All Actions) "/>
    <x v="18"/>
    <s v="General debate; approved by 80-11 vote. Record Vote Number 447. (All Actions) "/>
    <x v="0"/>
    <x v="1"/>
  </r>
  <r>
    <s v="578. TREATY WITH PANAMA ON THE EXECUTION OF PENAL SENTENCES Senate Consideration of Treaty Document 96-26 Date Received from President: 07/30/1979 - 96th Congress (1979-1980) Treaty Topic: Extradition and Criminal Assistance Latest Senate Action: 11/30/1979 - 96th Congress (1979-1980) - Approved by 91-0 vote. Record Vote Number 446. (All Actions) "/>
    <s v="578"/>
    <s v="TREATY WITH PANAMA ON THE EXECUTION OF PENAL SENTENCES"/>
    <s v="96-26"/>
    <s v="07/30/1979 - 96th Congress (1979-1980)"/>
    <s v="96th"/>
    <s v="Extradition and Criminal Assistance"/>
    <s v="11/30/1979 - 96th Congress (1979-1980) - Approved by 91-0 vote. Record Vote Number 446. (All Actions) "/>
    <x v="18"/>
    <s v="Approved by 91-0 vote. Record Vote Number 446. (All Actions) "/>
    <x v="0"/>
    <x v="1"/>
  </r>
  <r>
    <s v="579. TREATY WITH TURKEY ON THE ENFORCEMENT OF PENAL JUDGEMENTS Senate Consideration of Treaty Document 96-28 Date Received from President: 08/02/1979 - 96th Congress (1979-1980) Treaty Topic: Extradition and Criminal Assistance Latest Senate Action: 11/30/1979 - 96th Congress (1979-1980) - Approved by 91-0 vote. Record Vote Number 445. (All Actions) "/>
    <s v="579"/>
    <s v="TREATY WITH TURKEY ON THE ENFORCEMENT OF PENAL JUDGEMENTS"/>
    <s v="96-28"/>
    <s v="08/02/1979 - 96th Congress (1979-1980)"/>
    <s v="96th"/>
    <s v="Extradition and Criminal Assistance"/>
    <s v="11/30/1979 - 96th Congress (1979-1980) - Approved by 91-0 vote. Record Vote Number 445. (All Actions) "/>
    <x v="18"/>
    <s v="Approved by 91-0 vote. Record Vote Number 445. (All Actions) "/>
    <x v="0"/>
    <x v="1"/>
  </r>
  <r>
    <s v="580. EXTRADITION TREATY WITH NORWAY Senate Consideration of Treaty Document 96-29 Date Received from President: 08/10/1979 - 96th Congress (1979-1980) Treaty Topic: Extradition and Criminal Assistance Latest Senate Action: 11/30/1979 - 96th Congress (1979-1980) - Approved by 91-0 vote. Record Vote Number 444. (All Actions) "/>
    <s v="580"/>
    <s v="EXTRADITION TREATY WITH NORWAY"/>
    <s v="96-29"/>
    <s v="08/10/1979 - 96th Congress (1979-1980)"/>
    <s v="96th"/>
    <s v="Extradition and Criminal Assistance"/>
    <s v="11/30/1979 - 96th Congress (1979-1980) - Approved by 91-0 vote. Record Vote Number 444. (All Actions) "/>
    <x v="18"/>
    <s v="Approved by 91-0 vote. Record Vote Number 444. (All Actions) "/>
    <x v="0"/>
    <x v="1"/>
  </r>
  <r>
    <s v="581. EXTRADITION TREATY WITH THE FEDERAL REPUBLIC OF GERMANY Senate Consideration of Treaty Document 96-1 Date Received from President: 01/19/1979 - 96th Congress (1979-1980) Treaty Topic: Extradition and Criminal Assistance Latest Senate Action: 11/29/1979 - 96th Congress (1979-1980) - Approved by 93-0 vote. Record Vote Number 441. (All Actions) "/>
    <s v="581"/>
    <s v="EXTRADITION TREATY WITH THE FEDERAL REPUBLIC OF GERMANY"/>
    <s v="96-1"/>
    <s v="01/19/1979 - 96th Congress (1979-1980)"/>
    <s v="96th"/>
    <s v="Extradition and Criminal Assistance"/>
    <s v="11/29/1979 - 96th Congress (1979-1980) - Approved by 93-0 vote. Record Vote Number 441. (All Actions) "/>
    <x v="18"/>
    <s v="Approved by 93-0 vote. Record Vote Number 441. (All Actions) "/>
    <x v="0"/>
    <x v="1"/>
  </r>
  <r>
    <s v="582. EXTRADITION TREATY WITH FINLAND Senate Consideration of Treaty Document 95-9 Date Received from President: 04/18/1977 - 95th Congress (1977-1978) Treaty Topic: Extradition and Criminal Assistance Latest Senate Action: 11/29/1979 - 96th Congress (1979-1980) - General debate; approved by 93-0 vote. Record Vote Number 440. (All Actions) "/>
    <s v="582"/>
    <s v="EXTRADITION TREATY WITH FINLAND"/>
    <s v="95-9"/>
    <s v="04/18/1977 - 95th Congress (1977-1978)"/>
    <s v="95th"/>
    <s v="Extradition and Criminal Assistance"/>
    <s v="11/29/1979 - 96th Congress (1979-1980) - General debate; approved by 93-0 vote. Record Vote Number 440. (All Actions) "/>
    <x v="18"/>
    <s v="General debate; approved by 93-0 vote. Record Vote Number 440. (All Actions) "/>
    <x v="0"/>
    <x v="1"/>
  </r>
  <r>
    <s v="583. CONVENTION ABOLISHING THE REQUIREMENT OF LEGALISATION FOR FOREIGN PUBLIC DOCUMENTS Senate Consideration of Treaty Document 94-23 Date Received from President: 07/19/1976 - 94th Congress (1975-1976) Treaty Topic: International Law Latest Senate Action: 11/28/1979 - 96th Congress (1979-1980) - General debate; approved by 98-0 vote. Record Vote Number 435. (All Actions) "/>
    <s v="583"/>
    <s v="CONVENTION ABOLISHING THE REQUIREMENT OF LEGALISATION FOR FOREIGN PUBLIC DOCUMENTS"/>
    <s v="94-23"/>
    <s v="07/19/1976 - 94th Congress (1975-1976)"/>
    <s v="94th"/>
    <s v="International Law"/>
    <s v="11/28/1979 - 96th Congress (1979-1980) - General debate; approved by 98-0 vote. Record Vote Number 435. (All Actions) "/>
    <x v="18"/>
    <s v="General debate; approved by 98-0 vote. Record Vote Number 435. (All Actions) "/>
    <x v="0"/>
    <x v="1"/>
  </r>
  <r>
    <s v="584. CONVENTION ON THE PROHIBITION OF MILITARY OR ANY OTHER HOSTILE USE OF ENVIRONMENTAL MODIFICATION TECHNIQUES Senate Consideration of Treaty Document 95-26 Date Received from President: 09/22/1978 - 95th Congress (1977-1978) Treaty Topic: International Law Latest Senate Action: 11/28/1979 - 96th Congress (1979-1980) - General debate; approved by 98-0 vote. Record Vote Number 434. (All Actions) "/>
    <s v="584"/>
    <s v="CONVENTION ON THE PROHIBITION OF MILITARY OR ANY OTHER HOSTILE USE OF ENVIRONMENTAL MODIFICATION TECHNIQUES"/>
    <s v="95-26"/>
    <s v="09/22/1978 - 95th Congress (1977-1978)"/>
    <s v="95th"/>
    <s v="International Law"/>
    <s v="11/28/1979 - 96th Congress (1979-1980) - General debate; approved by 98-0 vote. Record Vote Number 434. (All Actions) "/>
    <x v="18"/>
    <s v="General debate; approved by 98-0 vote. Record Vote Number 434. (All Actions) "/>
    <x v="0"/>
    <x v="1"/>
  </r>
  <r>
    <s v="585. TREATY WITH TURKEY ON EXTRADITION AND MUTUAL ASSISTANCE IN CRIMINAL MATTERS Senate Consideration of Treaty Document 96-27 Date Received from President: 08/02/1979 - 96th Congress (1979-1980) Treaty Topic: Extradition and Criminal Assistance Latest Senate Action: 11/28/1979 - 96th Congress (1979-1980) - Approved by 98-0 vote. Record Vote Number 436. (All Actions) "/>
    <s v="585"/>
    <s v="TREATY WITH TURKEY ON EXTRADITION AND MUTUAL ASSISTANCE IN CRIMINAL MATTERS"/>
    <s v="96-27"/>
    <s v="08/02/1979 - 96th Congress (1979-1980)"/>
    <s v="96th"/>
    <s v="Extradition and Criminal Assistance"/>
    <s v="11/28/1979 - 96th Congress (1979-1980) - Approved by 98-0 vote. Record Vote Number 436. (All Actions) "/>
    <x v="18"/>
    <s v="Approved by 98-0 vote. Record Vote Number 436. (All Actions) "/>
    <x v="0"/>
    <x v="1"/>
  </r>
  <r>
    <s v="586. INTERNATIONAL COVENANT ON ECONOMIC, SOCIAL AND CULTURAL RIGHTS Senate Consideration of Treaty Document 95-19 Date Received from President: 02/23/1978 - 95th Congress (1977-1978) Treaty Topic: Human Rights Latest Senate Action: 11/19/1979 - 96th Congress (1979-1980) - Hearings held. (All Actions) "/>
    <s v="586"/>
    <s v="INTERNATIONAL COVENANT ON ECONOMIC, SOCIAL AND CULTURAL RIGHTS"/>
    <s v="95-19"/>
    <s v="02/23/1978 - 95th Congress (1977-1978)"/>
    <s v="95th"/>
    <s v="Human Rights"/>
    <s v="11/19/1979 - 96th Congress (1979-1980) - Hearings held. (All Actions) "/>
    <x v="18"/>
    <s v="Hearings held. (All Actions) "/>
    <x v="0"/>
    <x v="1"/>
  </r>
  <r>
    <s v="587. AMERICAN CONVENTION ON HUMAN RIGHTS Senate Consideration of Treaty Document 95-21 Date Received from President: 02/23/1978 - 95th Congress (1977-1978) Treaty Topic: Human Rights Latest Senate Action: 11/19/1979 - 96th Congress (1979-1980) - Hearings held. (All Actions) "/>
    <s v="587"/>
    <s v="AMERICAN CONVENTION ON HUMAN RIGHTS"/>
    <s v="95-21"/>
    <s v="02/23/1978 - 95th Congress (1977-1978)"/>
    <s v="95th"/>
    <s v="Human Rights"/>
    <s v="11/19/1979 - 96th Congress (1979-1980) - Hearings held. (All Actions) "/>
    <x v="18"/>
    <s v="Hearings held. (All Actions) "/>
    <x v="0"/>
    <x v="1"/>
  </r>
  <r>
    <s v="588. ESTATE AND GIFT TAX CONVENTION WITH FRANCE Senate Consideration of Treaty Document 96-10 Date Received from President: 02/09/1979 - 96th Congress (1979-1980) Treaty Topic: Taxation Latest Senate Action: 07/09/1979 - 96th Congress (1979-1980) - Approved by 98-0 vote. Record Vote Number 154. (All Actions) "/>
    <s v="588"/>
    <s v="ESTATE AND GIFT TAX CONVENTION WITH FRANCE"/>
    <s v="96-10"/>
    <s v="02/09/1979 - 96th Congress (1979-1980)"/>
    <s v="96th"/>
    <s v="Taxation"/>
    <s v="07/09/1979 - 96th Congress (1979-1980) - Approved by 98-0 vote. Record Vote Number 154. (All Actions) "/>
    <x v="18"/>
    <s v="Approved by 98-0 vote. Record Vote Number 154. (All Actions) "/>
    <x v="0"/>
    <x v="1"/>
  </r>
  <r>
    <s v="589. PROTOCOL TO THE 1967 INCOME TAX CONVENTION WITH FRANCEAS AMENDED IN 1970 Senate Consideration of Treaty Document 96-11 Date Received from President: 02/09/1979 - 96th Congress (1979-1980) Treaty Topic: Taxation Latest Senate Action: 07/09/1979 - 96th Congress (1979-1980) - Approved by 98-0 vote. Record Vote Number 155. (All Actions) "/>
    <s v="589"/>
    <s v="PROTOCOL TO THE 1967 INCOME TAX CONVENTION WITH FRANCEAS AMENDED IN 1970"/>
    <s v="96-11"/>
    <s v="02/09/1979 - 96th Congress (1979-1980)"/>
    <s v="96th"/>
    <s v="Taxation"/>
    <s v="07/09/1979 - 96th Congress (1979-1980) - Approved by 98-0 vote. Record Vote Number 155. (All Actions) "/>
    <x v="18"/>
    <s v="Approved by 98-0 vote. Record Vote Number 155. (All Actions) "/>
    <x v="0"/>
    <x v="1"/>
  </r>
  <r>
    <s v="590. THIRD PROTOCOL TO THE 1975 TAX CONVENTION WITH THE UNITED KINGDOM Senate Consideration of Treaty Document 96-17 Date Received from President: 04/12/1979 - 96th Congress (1979-1980) Treaty Topic: Taxation Latest Senate Action: 07/09/1979 - 96th Congress (1979-1980) - Approved by 98-0 vote. Record Vote Number 156. (All Actions) "/>
    <s v="590"/>
    <s v="THIRD PROTOCOL TO THE 1975 TAX CONVENTION WITH THE UNITED KINGDOM"/>
    <s v="96-17"/>
    <s v="04/12/1979 - 96th Congress (1979-1980)"/>
    <s v="96th"/>
    <s v="Taxation"/>
    <s v="07/09/1979 - 96th Congress (1979-1980) - Approved by 98-0 vote. Record Vote Number 156. (All Actions) "/>
    <x v="18"/>
    <s v="Approved by 98-0 vote. Record Vote Number 156. (All Actions) "/>
    <x v="0"/>
    <x v="1"/>
  </r>
  <r>
    <s v="591. ESTATE AND GIFT TAX CONVENTION WITH THE UNITED KINGDOM Senate Consideration of Treaty Document 96-18 Date Received from President: 05/03/1979 - 96th Congress (1979-1980) Treaty Topic: Taxation Latest Senate Action: 07/09/1979 - 96th Congress (1979-1980) - Approved by 98-0 vote. Record Vote Number 157. (All Actions) "/>
    <s v="591"/>
    <s v="ESTATE AND GIFT TAX CONVENTION WITH THE UNITED KINGDOM"/>
    <s v="96-18"/>
    <s v="05/03/1979 - 96th Congress (1979-1980)"/>
    <s v="96th"/>
    <s v="Taxation"/>
    <s v="07/09/1979 - 96th Congress (1979-1980) - Approved by 98-0 vote. Record Vote Number 157. (All Actions) "/>
    <x v="18"/>
    <s v="Approved by 98-0 vote. Record Vote Number 157. (All Actions) "/>
    <x v="0"/>
    <x v="1"/>
  </r>
  <r>
    <s v="592. TAX CONVENTION WITH HUNGARY Senate Consideration of Treaty Document 96-24 Date Received from President: 05/09/1979 - 96th Congress (1979-1980) Treaty Topic: Taxation Latest Senate Action: 07/09/1979 - 96th Congress (1979-1980) - Approved by 98-0 vote. Record Vote Number 159. (All Actions) "/>
    <s v="592"/>
    <s v="TAX CONVENTION WITH HUNGARY"/>
    <s v="96-24"/>
    <s v="05/09/1979 - 96th Congress (1979-1980)"/>
    <s v="96th"/>
    <s v="Taxation"/>
    <s v="07/09/1979 - 96th Congress (1979-1980) - Approved by 98-0 vote. Record Vote Number 159. (All Actions) "/>
    <x v="18"/>
    <s v="Approved by 98-0 vote. Record Vote Number 159. (All Actions) "/>
    <x v="0"/>
    <x v="1"/>
  </r>
  <r>
    <s v="593. TAX CONVENTION WITH THE REPUBLIC OF KOREA Senate Consideration of Treaty Document 94-27 Date Received from President: 09/03/1976 - 94th Congress (1975-1976) Treaty Topic: Taxation Latest Senate Action: 07/09/1979 - 96th Congress (1979-1980) - General debate; approved by 98-0 vote. Record Vote Number 158. (All Actions) "/>
    <s v="593"/>
    <s v="TAX CONVENTION WITH THE REPUBLIC OF KOREA"/>
    <s v="94-27"/>
    <s v="09/03/1976 - 94th Congress (1975-1976)"/>
    <s v="94th"/>
    <s v="Taxation"/>
    <s v="07/09/1979 - 96th Congress (1979-1980) - General debate; approved by 98-0 vote. Record Vote Number 158. (All Actions) "/>
    <x v="18"/>
    <s v="General debate; approved by 98-0 vote. Record Vote Number 158. (All Actions) "/>
    <x v="0"/>
    <x v="1"/>
  </r>
  <r>
    <s v="594. PROTOCOLS FOR THE 4TH EXTENSION OF THE 1971 INTERNATIONAL WHEAT AGREEMENT Senate Consideration of Treaty Document 96-12 Date Received from President: 03/15/1979 - 96th Congress (1979-1980) Treaty Topic: Commercial Latest Senate Action: 06/26/1979 - 96th Congress (1979-1980) - General debate; approved by 89-6 vote. Record Vote Number 153. (All Actions) "/>
    <s v="594"/>
    <s v="PROTOCOLS FOR THE 4TH EXTENSION OF THE 1971 INTERNATIONAL WHEAT AGREEMENT"/>
    <s v="96-12"/>
    <s v="03/15/1979 - 96th Congress (1979-1980)"/>
    <s v="96th"/>
    <s v="Commercial"/>
    <s v="06/26/1979 - 96th Congress (1979-1980) - General debate; approved by 89-6 vote. Record Vote Number 153. (All Actions) "/>
    <x v="18"/>
    <s v="General debate; approved by 89-6 vote. Record Vote Number 153. (All Actions) "/>
    <x v="0"/>
    <x v="1"/>
  </r>
  <r>
    <s v="595. INTERNATIONAL CONVENTION FOR THE PREVENTION OF POLLUTION FROM SHIPS, WITH ANNEXES AND PROTOCOLS Senate Consideration of Treaty Document 95-5 Date Received from President: 03/22/1977 - 95th Congress (1977-1978) Treaty Topic: Shipping and Marine Pollution Latest Senate Action: 01/23/1979 - 96th Congress (1979-1980) - Treaty incorporated into Treaty Doc. 96-3 per transmittal letter from the President dated January 19, 1979. (All Actions) "/>
    <s v="595"/>
    <s v="INTERNATIONAL CONVENTION FOR THE PREVENTION OF POLLUTION FROM SHIPS, WITH ANNEXES AND PROTOCOLS"/>
    <s v="95-5"/>
    <s v="03/22/1977 - 95th Congress (1977-1978)"/>
    <s v="95th"/>
    <s v="Shipping and Marine Pollution"/>
    <s v="01/23/1979 - 96th Congress (1979-1980) - Treaty incorporated into Treaty Doc. 96-3 per transmittal letter from the President dated January 19, 1979. (All Actions) "/>
    <x v="18"/>
    <s v="Treaty incorporated into Treaty Doc. 96-3 per transmittal letter from the President dated January 19, 1979. (All Actions) "/>
    <x v="0"/>
    <x v="1"/>
  </r>
  <r>
    <s v="596. PROTOCOL AMENDING THE INTERNATIONAL CONVENTION FOR THE HIGH SEAS FISHERIES ON THE NORTH PACIFIC OCEAN Senate Consideration of Treaty Document 95-25 Date Received from President: 06/05/1978 - 95th Congress (1977-1978) Treaty Topic: Fisheries and Wildlife Latest Senate Action: 10/11/1978 - 95th Congress (1977-1978) - General debate; approved by 86-0 vote. Record Vote Number: 480. (All Actions) "/>
    <s v="596"/>
    <s v="PROTOCOL AMENDING THE INTERNATIONAL CONVENTION FOR THE HIGH SEAS FISHERIES ON THE NORTH PACIFIC OCEAN"/>
    <s v="95-25"/>
    <s v="06/05/1978 - 95th Congress (1977-1978)"/>
    <s v="95th"/>
    <s v="Fisheries and Wildlife"/>
    <s v="10/11/1978 - 95th Congress (1977-1978) - General debate; approved by 86-0 vote. Record Vote Number: 480. (All Actions) "/>
    <x v="19"/>
    <s v="General debate; approved by 86-0 vote. Record Vote Number: 480. (All Actions) "/>
    <x v="0"/>
    <x v="1"/>
  </r>
  <r>
    <s v="597. CONVENTION WITH THE UNION OF SOVIET SOCIALIST REPUBLICS ON THE CONSERVATION OF MIGRATORY BIRDS AND THEIR ENVIRONMENT Senate Consideration of Treaty Document 95-11 Date Received from President: 07/18/1977 - 95th Congress (1977-1978) Treaty Topic: Fisheries and Wildlife Latest Senate Action: 07/12/1978 - 95th Congress (1977-1978) - General debate; approved by 95-0 vote. Record Vote Number 208. (All Actions) "/>
    <s v="597"/>
    <s v="CONVENTION WITH THE UNION OF SOVIET SOCIALIST REPUBLICS ON THE CONSERVATION OF MIGRATORY BIRDS AND THEIR ENVIRONMENT"/>
    <s v="95-11"/>
    <s v="07/18/1977 - 95th Congress (1977-1978)"/>
    <s v="95th"/>
    <s v="Fisheries and Wildlife"/>
    <s v="07/12/1978 - 95th Congress (1977-1978) - General debate; approved by 95-0 vote. Record Vote Number 208. (All Actions) "/>
    <x v="19"/>
    <s v="General debate; approved by 95-0 vote. Record Vote Number 208. (All Actions) "/>
    <x v="0"/>
    <x v="1"/>
  </r>
  <r>
    <s v="598. 1973 PROTOCOL RELATING TO INTERVENTION ON THE HIGH SEAS IN CASES OF MARINE POLLUTION BY SUBSTANCES OTHER THAN OIL Senate Consideration of Treaty Document 95-12 Date Received from President: 07/25/1977 - 95th Congress (1977-1978) Treaty Topic: Shipping and Marine Pollution Latest Senate Action: 07/12/1978 - 95th Congress (1977-1978) - General debate; approved by 95-0 vote. Record Vote Number 206. (All Actions) "/>
    <s v="598"/>
    <s v="1973 PROTOCOL RELATING TO INTERVENTION ON THE HIGH SEAS IN CASES OF MARINE POLLUTION BY SUBSTANCES OTHER THAN OIL"/>
    <s v="95-12"/>
    <s v="07/25/1977 - 95th Congress (1977-1978)"/>
    <s v="95th"/>
    <s v="Shipping and Marine Pollution"/>
    <s v="07/12/1978 - 95th Congress (1977-1978) - General debate; approved by 95-0 vote. Record Vote Number 206. (All Actions) "/>
    <x v="19"/>
    <s v="General debate; approved by 95-0 vote. Record Vote Number 206. (All Actions) "/>
    <x v="0"/>
    <x v="1"/>
  </r>
  <r>
    <s v="599. RECIPROCAL FISHERIES AGREEMENT WITH THE UNITED KINGDOM Senate Consideration of Treaty Document 95-15 Date Received from President: 10/07/1977 - 95th Congress (1977-1978) Treaty Topic: Fisheries and Wildlife Latest Senate Action: 07/12/1978 - 95th Congress (1977-1978) - General debate; approved by 95-0 vote. Record Vote Number 207. (All Actions) "/>
    <s v="599"/>
    <s v="RECIPROCAL FISHERIES AGREEMENT WITH THE UNITED KINGDOM"/>
    <s v="95-15"/>
    <s v="10/07/1977 - 95th Congress (1977-1978)"/>
    <s v="95th"/>
    <s v="Fisheries and Wildlife"/>
    <s v="07/12/1978 - 95th Congress (1977-1978) - General debate; approved by 95-0 vote. Record Vote Number 207. (All Actions) "/>
    <x v="19"/>
    <s v="General debate; approved by 95-0 vote. Record Vote Number 207. (All Actions) "/>
    <x v="0"/>
    <x v="1"/>
  </r>
  <r>
    <s v="600. TREATY WITH BOLIVIA ON THE EXECUTION OF PENAL SENTENCES Senate Consideration of Treaty Document 95-22 Date Received from President: 04/14/1978 - 95th Congress (1977-1978) Treaty Topic: Extradition and Criminal Assistance Latest Senate Action: 07/12/1978 - 95th Congress (1977-1978) - General debate; approved by 95-0 vote. Record Vote Number 204. (All Actions) "/>
    <s v="600"/>
    <s v="TREATY WITH BOLIVIA ON THE EXECUTION OF PENAL SENTENCES"/>
    <s v="95-22"/>
    <s v="04/14/1978 - 95th Congress (1977-1978)"/>
    <s v="95th"/>
    <s v="Extradition and Criminal Assistance"/>
    <s v="07/12/1978 - 95th Congress (1977-1978) - General debate; approved by 95-0 vote. Record Vote Number 204. (All Actions) "/>
    <x v="19"/>
    <s v="General debate; approved by 95-0 vote. Record Vote Number 204. (All Actions) "/>
    <x v="0"/>
    <x v="1"/>
  </r>
  <r>
    <s v="601. 1974 INTERNATIONAL CONVENTION FOR THE SAFETY OF LIFE AT SEA Senate Consideration of Treaty Document 94-26 Date Received from President: 08/09/1976 - 94th Congress (1975-1976) Treaty Topic: Shipping and Marine Pollution Latest Senate Action: 07/12/1978 - 95th Congress (1977-1978) - General debate; approved by 95-0 vote. Record Vote Number 205. (All Actions) "/>
    <s v="601"/>
    <s v="1974 INTERNATIONAL CONVENTION FOR THE SAFETY OF LIFE AT SEA"/>
    <s v="94-26"/>
    <s v="08/09/1976 - 94th Congress (1975-1976)"/>
    <s v="94th"/>
    <s v="Shipping and Marine Pollution"/>
    <s v="07/12/1978 - 95th Congress (1977-1978) - General debate; approved by 95-0 vote. Record Vote Number 205. (All Actions) "/>
    <x v="19"/>
    <s v="General debate; approved by 95-0 vote. Record Vote Number 205. (All Actions) "/>
    <x v="0"/>
    <x v="1"/>
  </r>
  <r>
    <s v="602. SECOND PROTOCOL TO THE 1975 TAX CONVENTION WITH THE UNITED KINGDOM Senate Consideration of Treaty Document 95-10 Date Received from President: 06/06/1977 - 95th Congress (1977-1978) Treaty Topic: Taxation Latest Senate Action: 06/27/1978 - 95th Congress (1977-1978) - General debate; approved by 82-5 vote. Record Vote Number: 178. (All Actions) "/>
    <s v="602"/>
    <s v="SECOND PROTOCOL TO THE 1975 TAX CONVENTION WITH THE UNITED KINGDOM"/>
    <s v="95-10"/>
    <s v="06/06/1977 - 95th Congress (1977-1978)"/>
    <s v="95th"/>
    <s v="Taxation"/>
    <s v="06/27/1978 - 95th Congress (1977-1978) - General debate; approved by 82-5 vote. Record Vote Number: 178. (All Actions) "/>
    <x v="19"/>
    <s v="General debate; approved by 82-5 vote. Record Vote Number: 178. (All Actions) "/>
    <x v="0"/>
    <x v="1"/>
  </r>
  <r>
    <s v="603. TAX CONVENTION WITH THE UNITED KINGDOM Senate Consideration of Treaty Document 94-22 Date Received from President: 06/24/1976 - 94th Congress (1975-1976) Treaty Topic: Taxation Latest Senate Action: 06/27/1978 - 95th Congress (1977-1978) - General debate; approved by 82-5 vote. Record Vote Number: 178. (All Actions) "/>
    <s v="603"/>
    <s v="TAX CONVENTION WITH THE UNITED KINGDOM"/>
    <s v="94-22"/>
    <s v="06/24/1976 - 94th Congress (1975-1976)"/>
    <s v="94th"/>
    <s v="Taxation"/>
    <s v="06/27/1978 - 95th Congress (1977-1978) - General debate; approved by 82-5 vote. Record Vote Number: 178. (All Actions) "/>
    <x v="19"/>
    <s v="General debate; approved by 82-5 vote. Record Vote Number: 178. (All Actions) "/>
    <x v="0"/>
    <x v="1"/>
  </r>
  <r>
    <s v="604. PROTOCOL TO THE 1975 TAX CONVENTION WITH THE UNITED KINGDOM Senate Consideration of Treaty Document 94-28 Date Received from President: 09/22/1976 - 94th Congress (1975-1976) Treaty Topic: Taxation Latest Senate Action: 06/27/1978 - 95th Congress (1977-1978) - General debate; approved by 82-5 vote. Record Vote Number: 178. (All Actions) "/>
    <s v="604"/>
    <s v="PROTOCOL TO THE 1975 TAX CONVENTION WITH THE UNITED KINGDOM"/>
    <s v="94-28"/>
    <s v="09/22/1976 - 94th Congress (1975-1976)"/>
    <s v="94th"/>
    <s v="Taxation"/>
    <s v="06/27/1978 - 95th Congress (1977-1978) - General debate; approved by 82-5 vote. Record Vote Number: 178. (All Actions) "/>
    <x v="19"/>
    <s v="General debate; approved by 82-5 vote. Record Vote Number: 178. (All Actions) "/>
    <x v="0"/>
    <x v="1"/>
  </r>
  <r>
    <s v="605. PANAMA CANAL TREATY Senate Consideration of Treaty Document 95-14(A) Date Received from President: 09/16/1977 - 95th Congress (1977-1978) Treaty Topic: Commercial Latest Senate Action: 04/18/1978 - 95th Congress (1977-1978) - Resolution of ratification agreed to with reservations and understandings by 68-32 vote. Record Vote Number: 119. (All Actions) "/>
    <s v="605"/>
    <s v="PANAMA CANAL TREATY"/>
    <s v="95-14"/>
    <s v="09/16/1977 - 95th Congress (1977-1978)"/>
    <s v="95th"/>
    <s v="Commercial"/>
    <s v="04/18/1978 - 95th Congress (1977-1978) - Resolution of ratification agreed to with reservations and understandings by 68-32 vote. Record Vote Number: 119. (All Actions) "/>
    <x v="19"/>
    <s v="Resolution of ratification agreed to with reservations and understandings by 68-32 vote. Record Vote Number: 119. (All Actions) "/>
    <x v="0"/>
    <x v="1"/>
  </r>
  <r>
    <s v="606. TREATY CONCERNING THE PERMANENT NEUTRALITY AND OPERATION OF THE PANAMA CANAL Senate Consideration of Treaty Document 95-14(B) Date Received from President: 09/16/1977 - 95th Congress (1977-1978) Treaty Topic: Commercial Latest Senate Action: 03/16/1978 - 95th Congress (1977-1978) - Resolution of ratification with amendments, conditions, reservations and understandings agreed to by 68-32 vote. Record Vote Number: 66. (All Actions) "/>
    <s v="606"/>
    <s v="TREATY CONCERNING THE PERMANENT NEUTRALITY AND OPERATION OF THE PANAMA CANAL"/>
    <s v="95-14"/>
    <s v="09/16/1977 - 95th Congress (1977-1978)"/>
    <s v="95th"/>
    <s v="Commercial"/>
    <s v="03/16/1978 - 95th Congress (1977-1978) - Resolution of ratification with amendments, conditions, reservations and understandings agreed to by 68-32 vote. Record Vote Number: 66. (All Actions) "/>
    <x v="19"/>
    <s v="Resolution of ratification with amendments, conditions, reservations and understandings agreed to by 68-32 vote. Record Vote Number: 66. (All Actions) "/>
    <x v="0"/>
    <x v="1"/>
  </r>
  <r>
    <s v="607. PROTOCOL TO THE CONVENTION ON INTERNATIONAL CIVIL AVIATION Senate Consideration of Treaty Document 95-1 Date Received from President: 01/11/1977 - 95th Congress (1977-1978) Treaty Topic: Aviation Latest Senate Action: 09/26/1977 - 95th Congress (1977-1978) - General debate; approved by 90-0 vote. Record Vote Number 407. (All Actions) "/>
    <s v="607"/>
    <s v="PROTOCOL TO THE CONVENTION ON INTERNATIONAL CIVIL AVIATION"/>
    <s v="95-1"/>
    <s v="01/11/1977 - 95th Congress (1977-1978)"/>
    <s v="95th"/>
    <s v="Aviation"/>
    <s v="09/26/1977 - 95th Congress (1977-1978) - General debate; approved by 90-0 vote. Record Vote Number 407. (All Actions) "/>
    <x v="19"/>
    <s v="General debate; approved by 90-0 vote. Record Vote Number 407. (All Actions) "/>
    <x v="0"/>
    <x v="1"/>
  </r>
  <r>
    <s v="608. AGREEMENT WITH CANADA CONCERNING TRANSIT PIPELINES Senate Consideration of Treaty Document 95-6 Date Received from President: 03/30/1977 - 95th Congress (1977-1978) Treaty Topic: Commercial Latest Senate Action: 08/03/1977 - 95th Congress (1977-1978) - General debate; approved by voice vote; vote vitiated; approved by 92-1 vote. Record Vote Number 324. (All Actions) "/>
    <s v="608"/>
    <s v="AGREEMENT WITH CANADA CONCERNING TRANSIT PIPELINES"/>
    <s v="95-6"/>
    <s v="03/30/1977 - 95th Congress (1977-1978)"/>
    <s v="95th"/>
    <s v="Commercial"/>
    <s v="08/03/1977 - 95th Congress (1977-1978) - General debate; approved by voice vote; vote vitiated; approved by 92-1 vote. Record Vote Number 324. (All Actions) "/>
    <x v="19"/>
    <s v="General debate; approved by voice vote; vote vitiated; approved by 92-1 vote. Record Vote Number 324. (All Actions) "/>
    <x v="0"/>
    <x v="1"/>
  </r>
  <r>
    <s v="609. TREATY WITH MEXICO ON THE EXECUTION OF PENAL SENTENCES Senate Consideration of Treaty Document 95-4 Date Received from President: 02/15/1977 - 95th Congress (1977-1978) Treaty Topic: Extradition and Criminal Assistance Latest Senate Action: 07/21/1977 - 95th Congress (1977-1978) - General debate; declaration agreed to; approved by 90-0 vote. Record Vote Number: 316. (All Actions) "/>
    <s v="609"/>
    <s v="TREATY WITH MEXICO ON THE EXECUTION OF PENAL SENTENCES"/>
    <s v="95-4"/>
    <s v="02/15/1977 - 95th Congress (1977-1978)"/>
    <s v="95th"/>
    <s v="Extradition and Criminal Assistance"/>
    <s v="07/21/1977 - 95th Congress (1977-1978) - General debate; declaration agreed to; approved by 90-0 vote. Record Vote Number: 316. (All Actions) "/>
    <x v="19"/>
    <s v="General debate; declaration agreed to; approved by 90-0 vote. Record Vote Number: 316. (All Actions) "/>
    <x v="0"/>
    <x v="1"/>
  </r>
  <r>
    <s v="610. TREATY WITH CANADA ON THE EXECUTION OF PENAL SENTENCES Senate Consideration of Treaty Document 95-8 Date Received from President: 04/18/1977 - 95th Congress (1977-1978) Treaty Topic: Fisheries and Wildlife Latest Senate Action: 07/19/1977 - 95th Congress (1977-1978) - General debate; declaration agreed to; approved by 95-0 vote. Record Vote Number: 301. (All Actions) "/>
    <s v="610"/>
    <s v="TREATY WITH CANADA ON THE EXECUTION OF PENAL SENTENCES"/>
    <s v="95-8"/>
    <s v="04/18/1977 - 95th Congress (1977-1978)"/>
    <s v="95th"/>
    <s v="Fisheries and Wildlife"/>
    <s v="07/19/1977 - 95th Congress (1977-1978) - General debate; declaration agreed to; approved by 95-0 vote. Record Vote Number: 301. (All Actions) "/>
    <x v="19"/>
    <s v="General debate; declaration agreed to; approved by 95-0 vote. Record Vote Number: 301. (All Actions) "/>
    <x v="0"/>
    <x v="1"/>
  </r>
  <r>
    <s v="611. PROTOCOL OF AMENDMENT TO THE INTER-AMERICAN TREATY OF RECIPROCAL ASSISTANCE (RIO TREATY) Senate Consideration of Treaty Document 94-10 Date Received from President: 11/29/1975 - 94th Congress (1975-1976) Treaty Topic: International Law Latest Senate Action: 07/19/1977 - 95th Congress (1977-1978) - General debate; reservation agreed to; approved by 95-0 vote. Record Vote Number 300. (All Actions) "/>
    <s v="611"/>
    <s v="PROTOCOL OF AMENDMENT TO THE INTER-AMERICAN TREATY OF RECIPROCAL ASSISTANCE (RIO TREATY)"/>
    <s v="94-10"/>
    <s v="11/29/1975 - 94th Congress (1975-1976)"/>
    <s v="94th"/>
    <s v="International Law"/>
    <s v="07/19/1977 - 95th Congress (1977-1978) - General debate; reservation agreed to; approved by 95-0 vote. Record Vote Number 300. (All Actions) "/>
    <x v="19"/>
    <s v="General debate; reservation agreed to; approved by 95-0 vote. Record Vote Number 300. (All Actions) "/>
    <x v="0"/>
    <x v="1"/>
  </r>
  <r>
    <s v="612. AGREEMENT ON THE CONSERVATION OF POLAR BEARS Senate Consideration of Treaty Document 94-9 Date Received from President: 11/28/1975 - 94th Congress (1975-1976) Treaty Topic: Fisheries and Wildlife Latest Senate Action: 09/15/1976 - 94th Congress (1975-1976) - General debate; approved by 88-0 vote. Record Vote Number: 595. (All Actions) "/>
    <s v="612"/>
    <s v="AGREEMENT ON THE CONSERVATION OF POLAR BEARS"/>
    <s v="94-9"/>
    <s v="11/28/1975 - 94th Congress (1975-1976)"/>
    <s v="94th"/>
    <s v="Fisheries and Wildlife"/>
    <s v="09/15/1976 - 94th Congress (1975-1976) - General debate; approved by 88-0 vote. Record Vote Number: 595. (All Actions) "/>
    <x v="20"/>
    <s v="General debate; approved by 88-0 vote. Record Vote Number: 595. (All Actions) "/>
    <x v="0"/>
    <x v="0"/>
  </r>
  <r>
    <s v="613. CONVENTION FOR THE CONSERVATION OF ANTARCTIC SEALS Senate Consideration of Treaty Document 94-11 Date Received from President: 12/17/1975 - 94th Congress (1975-1976) Treaty Topic: Fisheries and Wildlife Latest Senate Action: 09/15/1976 - 94th Congress (1975-1976) - General debate; approved by 88-0 vote. Record Vote Number: 596. (All Actions) "/>
    <s v="613"/>
    <s v="CONVENTION FOR THE CONSERVATION OF ANTARCTIC SEALS"/>
    <s v="94-11"/>
    <s v="12/17/1975 - 94th Congress (1975-1976)"/>
    <s v="94th"/>
    <s v="Fisheries and Wildlife"/>
    <s v="09/15/1976 - 94th Congress (1975-1976) - General debate; approved by 88-0 vote. Record Vote Number: 596. (All Actions) "/>
    <x v="20"/>
    <s v="General debate; approved by 88-0 vote. Record Vote Number: 596. (All Actions) "/>
    <x v="0"/>
    <x v="0"/>
  </r>
  <r>
    <s v="614. FIFTH INTERNATIONAL TIN AGREEMENT Senate Consideration of Treaty Document 94-21 Date Received from President: 06/23/1976 - 94th Congress (1975-1976) Treaty Topic: Commercial Latest Senate Action: 09/15/1976 - 94th Congress (1975-1976) - General debate; approved by 71-17 vote. Record Vote Number: 598. (All Actions) "/>
    <s v="614"/>
    <s v="FIFTH INTERNATIONAL TIN AGREEMENT"/>
    <s v="94-21"/>
    <s v="06/23/1976 - 94th Congress (1975-1976)"/>
    <s v="94th"/>
    <s v="Commercial"/>
    <s v="09/15/1976 - 94th Congress (1975-1976) - General debate; approved by 71-17 vote. Record Vote Number: 598. (All Actions) "/>
    <x v="20"/>
    <s v="General debate; approved by 71-17 vote. Record Vote Number: 598. (All Actions) "/>
    <x v="0"/>
    <x v="0"/>
  </r>
  <r>
    <s v="615. CUSTOMS CONVENTION ON CONTAINERS, 1972, AND INTERNATIONAL CONVENTION FOR SAFE CONTAINERS Senate Consideration of Treaty Document 93-24 Date Received from President: 11/14/1973 - 93rd Congress (1973-1974) Latest Senate Action: 09/15/1976 - 94th Congress (1975-1976) - Resolution of advice and consent to ratification agreed to in Senate by Yea-Nay vote. 88-0. Record Vote No: 594 EX. (All Actions) "/>
    <s v="615"/>
    <s v="CUSTOMS CONVENTION ON CONTAINERS, 1972, AND INTERNATIONAL CONVENTION FOR SAFE CONTAINERS"/>
    <s v="93-24"/>
    <s v="11/14/1973 - 93rd Congress (1973-1974)"/>
    <s v="93rd"/>
    <m/>
    <s v="09/15/1976 - 94th Congress (1975-1976) - Resolution of advice and consent to ratification agreed to in Senate by Yea-Nay vote. 88-0. Record Vote No: 594 EX. (All Actions) "/>
    <x v="20"/>
    <s v="Resolution of advice and consent to ratification agreed to in Senate by Yea-Nay vote. 88-0. Record Vote No: 594 EX. (All Actions) "/>
    <x v="0"/>
    <x v="0"/>
  </r>
  <r>
    <s v="616. PROTOCOL AMENDING THE INTERIM CONVENTION ON CONSERVATION OF NORTH PACIFIC FUR SEALS Senate Consideration of Treaty Document 94-24 Date Received from President: 07/19/1976 - 94th Congress (1975-1976) Treaty Topic: Fisheries and Wildlife Latest Senate Action: 09/15/1976 - 94th Congress (1975-1976) - General debate; approved by 88-0 vote. Record Vote Number: 597. (All Actions) "/>
    <s v="616"/>
    <s v="PROTOCOL AMENDING THE INTERIM CONVENTION ON CONSERVATION OF NORTH PACIFIC FUR SEALS"/>
    <s v="94-24"/>
    <s v="07/19/1976 - 94th Congress (1975-1976)"/>
    <s v="94th"/>
    <s v="Fisheries and Wildlife"/>
    <s v="09/15/1976 - 94th Congress (1975-1976) - General debate; approved by 88-0 vote. Record Vote Number: 597. (All Actions) "/>
    <x v="20"/>
    <s v="General debate; approved by 88-0 vote. Record Vote Number: 597. (All Actions) "/>
    <x v="0"/>
    <x v="0"/>
  </r>
  <r>
    <s v="617. 1976 INTERNATIONAL COFFEE AGREEMENT Senate Consideration of Treaty Document 94-19 Date Received from President: 04/05/1976 - 94th Congress (1975-1976) Treaty Topic: Commercial Latest Senate Action: 08/23/1976 - 94th Congress (1975-1976) - Reported without reservation (Ex. Rept. 94-30); general debate; approved by 75-0 vote. (All Actions) "/>
    <s v="617"/>
    <s v="1976 INTERNATIONAL COFFEE AGREEMENT"/>
    <s v="94-19"/>
    <s v="04/05/1976 - 94th Congress (1975-1976)"/>
    <s v="94th"/>
    <s v="Commercial"/>
    <s v="08/23/1976 - 94th Congress (1975-1976) - Reported without reservation (Ex. Rept. 94-30); general debate; approved by 75-0 vote. (All Actions) "/>
    <x v="20"/>
    <s v="Reported without reservation (Ex. Rept. 94-30); general debate; approved by 75-0 vote. (All Actions) "/>
    <x v="0"/>
    <x v="0"/>
  </r>
  <r>
    <s v="618. 1976 PROTOCOLS FOR THE THIRD EXTENSION OF THE 1971 INTERNATIONAL WHEAT AGREEMENT Senate Consideration of Treaty Document 94-20 Date Received from President: 06/18/1976 - 94th Congress (1975-1976) Treaty Topic: Commercial Latest Senate Action: 08/23/1976 - 94th Congress (1975-1976) - Reported without reservation (Ex. Rept. 94-31); general debate; approved by 75-0 vote. (All Actions) "/>
    <s v="618"/>
    <s v="1976 PROTOCOLS FOR THE THIRD EXTENSION OF THE 1971 INTERNATIONAL WHEAT AGREEMENT"/>
    <s v="94-20"/>
    <s v="06/18/1976 - 94th Congress (1975-1976)"/>
    <s v="94th"/>
    <s v="Commercial"/>
    <s v="08/23/1976 - 94th Congress (1975-1976) - Reported without reservation (Ex. Rept. 94-31); general debate; approved by 75-0 vote. (All Actions) "/>
    <x v="20"/>
    <s v="Reported without reservation (Ex. Rept. 94-31); general debate; approved by 75-0 vote. (All Actions) "/>
    <x v="0"/>
    <x v="0"/>
  </r>
  <r>
    <s v="619. EXTRADITION TREATY WITH THE UNITED KINGDOM Senate Consideration of Treaty Document 94-12 Date Received from President: 02/03/1976 - 94th Congress (1975-1976) Treaty Topic: Extradition and Criminal Assistance Latest Senate Action: 06/21/1976 - 94th Congress (1975-1976) - General debate; approved by 88-0 vote. Record Vote Number 305. (All Actions) "/>
    <s v="619"/>
    <s v="EXTRADITION TREATY WITH THE UNITED KINGDOM"/>
    <s v="94-12"/>
    <s v="02/03/1976 - 94th Congress (1975-1976)"/>
    <s v="94th"/>
    <s v="Extradition and Criminal Assistance"/>
    <s v="06/21/1976 - 94th Congress (1975-1976) - General debate; approved by 88-0 vote. Record Vote Number 305. (All Actions) "/>
    <x v="20"/>
    <s v="General debate; approved by 88-0 vote. Record Vote Number 305. (All Actions) "/>
    <x v="0"/>
    <x v="0"/>
  </r>
  <r>
    <s v="620. SUPPLEMENTARY EXTRADITION TREATY WITH SPAIN Senate Consideration of Treaty Document 94-13 Date Received from President: 02/03/1976 - 94th Congress (1975-1976) Treaty Topic: Extradition and Criminal Assistance Latest Senate Action: 06/21/1976 - 94th Congress (1975-1976) - General debate; approved by 88-0 vote. Record Vote Number 304. (All Actions) "/>
    <s v="620"/>
    <s v="SUPPLEMENTARY EXTRADITION TREATY WITH SPAIN"/>
    <s v="94-13"/>
    <s v="02/03/1976 - 94th Congress (1975-1976)"/>
    <s v="94th"/>
    <s v="Extradition and Criminal Assistance"/>
    <s v="06/21/1976 - 94th Congress (1975-1976) - General debate; approved by 88-0 vote. Record Vote Number 304. (All Actions) "/>
    <x v="20"/>
    <s v="General debate; approved by 88-0 vote. Record Vote Number 304. (All Actions) "/>
    <x v="0"/>
    <x v="0"/>
  </r>
  <r>
    <s v="621. TREATY OF FRIENDSHIP AND COOPERATION WITH SPAIN Senate Consideration of Treaty Document 94-16 Date Received from President: 02/18/1976 - 94th Congress (1975-1976) Treaty Topic: Commercial Latest Senate Action: 06/21/1976 - 94th Congress (1975-1976) - General debate; declaration approved by 91-4 vote; treaty approved by 84-11 vote. Record Vote Number 309. (All Actions) "/>
    <s v="621"/>
    <s v="TREATY OF FRIENDSHIP AND COOPERATION WITH SPAIN"/>
    <s v="94-16"/>
    <s v="02/18/1976 - 94th Congress (1975-1976)"/>
    <s v="94th"/>
    <s v="Commercial"/>
    <s v="06/21/1976 - 94th Congress (1975-1976) - General debate; declaration approved by 91-4 vote; treaty approved by 84-11 vote. Record Vote Number 309. (All Actions) "/>
    <x v="20"/>
    <s v="General debate; declaration approved by 91-4 vote; treaty approved by 84-11 vote. Record Vote Number 309. (All Actions) "/>
    <x v="0"/>
    <x v="0"/>
  </r>
  <r>
    <s v="622. TREATY WITH SWITZERLAND ON MUTUAL ASSISTANCE IN CRIMINAL MATTERS Senate Consideration of Treaty Document 94-17 Date Received from President: 02/18/1976 - 94th Congress (1975-1976) Treaty Topic: Extradition and Criminal Assistance Latest Senate Action: 06/21/1976 - 94th Congress (1975-1976) - General debate; approved by 88-0 vote. Record Vote Number 307. (All Actions) "/>
    <s v="622"/>
    <s v="TREATY WITH SWITZERLAND ON MUTUAL ASSISTANCE IN CRIMINAL MATTERS"/>
    <s v="94-17"/>
    <s v="02/18/1976 - 94th Congress (1975-1976)"/>
    <s v="94th"/>
    <s v="Extradition and Criminal Assistance"/>
    <s v="06/21/1976 - 94th Congress (1975-1976) - General debate; approved by 88-0 vote. Record Vote Number 307. (All Actions) "/>
    <x v="20"/>
    <s v="General debate; approved by 88-0 vote. Record Vote Number 307. (All Actions) "/>
    <x v="0"/>
    <x v="0"/>
  </r>
  <r>
    <s v="623. CONVENTION ON REGISTRATION OF OBJECTS LAUNCHED INTO OUTER SPACE Senate Consideration of Treaty Document 94-18 Date Received from President: 03/18/1976 - 94th Congress (1975-1976) Treaty Topic: International Law Latest Senate Action: 06/21/1976 - 94th Congress (1975-1976) - General debate; approved by 88-0 vote. Record Vote Number 306. (All Actions) "/>
    <s v="623"/>
    <s v="CONVENTION ON REGISTRATION OF OBJECTS LAUNCHED INTO OUTER SPACE"/>
    <s v="94-18"/>
    <s v="03/18/1976 - 94th Congress (1975-1976)"/>
    <s v="94th"/>
    <s v="International Law"/>
    <s v="06/21/1976 - 94th Congress (1975-1976) - General debate; approved by 88-0 vote. Record Vote Number 306. (All Actions) "/>
    <x v="20"/>
    <s v="General debate; approved by 88-0 vote. Record Vote Number 306. (All Actions) "/>
    <x v="0"/>
    <x v="0"/>
  </r>
  <r>
    <s v="624. PARTIAL REVISION OF THE RADIO REGULATIONS (GENEVA 1959) Senate Consideration of Treaty Document 94-7 Date Received from President: 07/16/1975 - 94th Congress (1975-1976) Treaty Topic: Commercial Latest Senate Action: 01/22/1976 - 94th Congress (1975-1976) - General debate; approved by 88-0 vote. Record Vote Number 6. (All Actions) "/>
    <s v="624"/>
    <s v="PARTIAL REVISION OF THE RADIO REGULATIONS (GENEVA 1959)"/>
    <s v="94-7"/>
    <s v="07/16/1975 - 94th Congress (1975-1976)"/>
    <s v="94th"/>
    <s v="Commercial"/>
    <s v="01/22/1976 - 94th Congress (1975-1976) - General debate; approved by 88-0 vote. Record Vote Number 6. (All Actions) "/>
    <x v="20"/>
    <s v="General debate; approved by 88-0 vote. Record Vote Number 6. (All Actions) "/>
    <x v="0"/>
    <x v="0"/>
  </r>
  <r>
    <s v="625. TELEGRAPH AND TELEPHONE REGULATIONS, 1973 Senate Consideration of Treaty Document 93-29 Date Received from President: 08/05/1974 - 93rd Congress (1973-1974) Latest Senate Action: 01/22/1976 - 94th Congress (1975-1976) - Resolution of advice and consent to ratification agreed to in Senate by Yea-Nay vote. 88-0. Record Vote No: 5 EX. (All Actions) "/>
    <s v="625"/>
    <s v="TELEGRAPH AND TELEPHONE REGULATIONS, 1973"/>
    <s v="93-29"/>
    <s v="08/05/1974 - 93rd Congress (1973-1974)"/>
    <s v="93rd"/>
    <m/>
    <s v="01/22/1976 - 94th Congress (1975-1976) - Resolution of advice and consent to ratification agreed to in Senate by Yea-Nay vote. 88-0. Record Vote No: 5 EX. (All Actions) "/>
    <x v="20"/>
    <s v="Resolution of advice and consent to ratification agreed to in Senate by Yea-Nay vote. 88-0. Record Vote No: 5 EX. (All Actions) "/>
    <x v="0"/>
    <x v="0"/>
  </r>
  <r>
    <s v="626. INTERNATIONAL TELECOMMUNICATIONS CONVENTION, 1973 Senate Consideration of Treaty Document 93-34 Date Received from President: 10/17/1974 - 93rd Congress (1973-1974) Latest Senate Action: 01/22/1976 - 94th Congress (1975-1976) - Resolution of advice and consent to ratification agreed to in Senate by Yea-Nay vote. 88-0. Record Vote No: 4 EX. (All Actions) "/>
    <s v="626"/>
    <s v="INTERNATIONAL TELECOMMUNICATIONS CONVENTION, 1973"/>
    <s v="93-34"/>
    <s v="10/17/1974 - 93rd Congress (1973-1974)"/>
    <s v="93rd"/>
    <m/>
    <s v="01/22/1976 - 94th Congress (1975-1976) - Resolution of advice and consent to ratification agreed to in Senate by Yea-Nay vote. 88-0. Record Vote No: 4 EX. (All Actions) "/>
    <x v="20"/>
    <s v="Resolution of advice and consent to ratification agreed to in Senate by Yea-Nay vote. 88-0. Record Vote No: 4 EX. (All Actions) "/>
    <x v="0"/>
    <x v="0"/>
  </r>
  <r>
    <s v="627. CONVENTION WITH THE UNION OF SOVIET SOCIALIST REPUBLICS ON MATTERS OF TAXATION Senate Consideration of Treaty Document 93-20 Date Received from President: 09/19/1973 - 93rd Congress (1973-1974) Treaty Topic: Taxation Latest Senate Action: 12/15/1975 - 94th Congress (1975-1976) - Resolution of advice and consent to ratification agreed to in Senate by Yea-Nay vote. 82-4. Record Vote No: 590 EX. (All Actions) "/>
    <s v="627"/>
    <s v="CONVENTION WITH THE UNION OF SOVIET SOCIALIST REPUBLICS ON MATTERS OF TAXATION"/>
    <s v="93-20"/>
    <s v="09/19/1973 - 93rd Congress (1973-1974)"/>
    <s v="93rd"/>
    <s v="Taxation"/>
    <s v="12/15/1975 - 94th Congress (1975-1976) - Resolution of advice and consent to ratification agreed to in Senate by Yea-Nay vote. 82-4. Record Vote No: 590 EX. (All Actions) "/>
    <x v="20"/>
    <s v="Resolution of advice and consent to ratification agreed to in Senate by Yea-Nay vote. 82-4. Record Vote No: 590 EX. (All Actions) "/>
    <x v="0"/>
    <x v="0"/>
  </r>
  <r>
    <s v="628. PROTOCOLS FOR THE FURTHER EXTENSION OF THE 1971 INTERNATIONAL WHEAT AGREEMENT Senate Consideration of Treaty Document 94-3 Date Received from President: 06/11/1975 - 94th Congress (1975-1976) Treaty Topic: Commercial Latest Senate Action: 12/01/1975 - 94th Congress (1975-1976) - General debate; approved by 79-0 vote. Record Vote Number 531. (All Actions) "/>
    <s v="628"/>
    <s v="PROTOCOLS FOR THE FURTHER EXTENSION OF THE 1971 INTERNATIONAL WHEAT AGREEMENT"/>
    <s v="94-3"/>
    <s v="06/11/1975 - 94th Congress (1975-1976)"/>
    <s v="94th"/>
    <s v="Commercial"/>
    <s v="12/01/1975 - 94th Congress (1975-1976) - General debate; approved by 79-0 vote. Record Vote Number 531. (All Actions) "/>
    <x v="20"/>
    <s v="General debate; approved by 79-0 vote. Record Vote Number 531. (All Actions) "/>
    <x v="0"/>
    <x v="0"/>
  </r>
  <r>
    <s v="629. EXTRADITION TREATY WITH AUSTRALIA Senate Consideration of Treaty Document 93-30 Date Received from President: 08/22/1974 - 93rd Congress (1973-1974) Treaty Topic: Extradition and Criminal Assistance Latest Senate Action: 12/01/1975 - 94th Congress (1975-1976) - Resolution of advice and consent to ratification agreed to in Senate by Yea-Nay vote. 79-0. Record Vote No: 592 EX. (All Actions) "/>
    <s v="629"/>
    <s v="EXTRADITION TREATY WITH AUSTRALIA"/>
    <s v="93-30"/>
    <s v="08/22/1974 - 93rd Congress (1973-1974)"/>
    <s v="93rd"/>
    <s v="Extradition and Criminal Assistance"/>
    <s v="12/01/1975 - 94th Congress (1975-1976) - Resolution of advice and consent to ratification agreed to in Senate by Yea-Nay vote. 79-0. Record Vote No: 592 EX. (All Actions) "/>
    <x v="20"/>
    <s v="Resolution of advice and consent to ratification agreed to in Senate by Yea-Nay vote. 79-0. Record Vote No: 592 EX. (All Actions) "/>
    <x v="0"/>
    <x v="0"/>
  </r>
  <r>
    <s v="630. EXTRADITION TREATY WITH CANADA Senate Consideration of Treaty Document 93-31 Date Received from President: 09/12/1974 - 93rd Congress (1973-1974) Treaty Topic: Extradition and Criminal Assistance Latest Senate Action: 12/01/1975 - 94th Congress (1975-1976) - Resolution of advice and consent to ratification agreed to in Senate by Yea-Nay vote. 79-0. Record Vote No: 530 EX. (All Actions) "/>
    <s v="630"/>
    <s v="EXTRADITION TREATY WITH CANADA"/>
    <s v="93-31"/>
    <s v="09/12/1974 - 93rd Congress (1973-1974)"/>
    <s v="93rd"/>
    <s v="Extradition and Criminal Assistance"/>
    <s v="12/01/1975 - 94th Congress (1975-1976) - Resolution of advice and consent to ratification agreed to in Senate by Yea-Nay vote. 79-0. Record Vote No: 530 EX. (All Actions) "/>
    <x v="20"/>
    <s v="Resolution of advice and consent to ratification agreed to in Senate by Yea-Nay vote. 79-0. Record Vote No: 530 EX. (All Actions) "/>
    <x v="0"/>
    <x v="0"/>
  </r>
  <r>
    <s v="631. INCOME TAX CONVENTION WITH POLAND Senate Consideration of Treaty Document 94-1 Date Received from President: 01/23/1975 - 94th Congress (1975-1976) Treaty Topic: Taxation Latest Senate Action: 11/18/1975 - 94th Congress (1975-1976) - General debate; approved by 97-0 vote. Record Vote Number 502. (All Actions) "/>
    <s v="631"/>
    <s v="INCOME TAX CONVENTION WITH POLAND"/>
    <s v="94-1"/>
    <s v="01/23/1975 - 94th Congress (1975-1976)"/>
    <s v="94th"/>
    <s v="Taxation"/>
    <s v="11/18/1975 - 94th Congress (1975-1976) - General debate; approved by 97-0 vote. Record Vote Number 502. (All Actions) "/>
    <x v="20"/>
    <s v="General debate; approved by 97-0 vote. Record Vote Number 502. (All Actions) "/>
    <x v="0"/>
    <x v="0"/>
  </r>
  <r>
    <s v="632. TAX CONVENTION WITH ICELAND Senate Consideration of Treaty Document 94-5 Date Received from President: 07/08/1975 - 94th Congress (1975-1976) Treaty Topic: Taxation Latest Senate Action: 11/18/1975 - 94th Congress (1975-1976) - General debate; approved by 97-0 vote. Record Vote Number 501. (All Actions) "/>
    <s v="632"/>
    <s v="TAX CONVENTION WITH ICELAND"/>
    <s v="94-5"/>
    <s v="07/08/1975 - 94th Congress (1975-1976)"/>
    <s v="94th"/>
    <s v="Taxation"/>
    <s v="11/18/1975 - 94th Congress (1975-1976) - General debate; approved by 97-0 vote. Record Vote Number 501. (All Actions) "/>
    <x v="20"/>
    <s v="General debate; approved by 97-0 vote. Record Vote Number 501. (All Actions) "/>
    <x v="0"/>
    <x v="0"/>
  </r>
  <r>
    <s v="633. TAX CONVENTION WITH ROMANIA Senate Consideration of Treaty Document 93-26 Date Received from President: 03/28/1974 - 93rd Congress (1973-1974) Treaty Topic: Taxation Latest Senate Action: 11/18/1975 - 94th Congress (1975-1976) - Resolution of advice and consent to ratification agreed to in Senate by Yea-Nay vote. 97-0. Record Vote No: 503 EX. (All Actions) "/>
    <s v="633"/>
    <s v="TAX CONVENTION WITH ROMANIA"/>
    <s v="93-26"/>
    <s v="03/28/1974 - 93rd Congress (1973-1974)"/>
    <s v="93rd"/>
    <s v="Taxation"/>
    <s v="11/18/1975 - 94th Congress (1975-1976) - Resolution of advice and consent to ratification agreed to in Senate by Yea-Nay vote. 97-0. Record Vote No: 503 EX. (All Actions) "/>
    <x v="20"/>
    <s v="Resolution of advice and consent to ratification agreed to in Senate by Yea-Nay vote. 97-0. Record Vote No: 503 EX. (All Actions) "/>
    <x v="0"/>
    <x v="0"/>
  </r>
  <r>
    <s v="634. PROTOCOL TO THE TREATY WITH THE UNION OF SOVIET SOCIALIST REPUBLICS ON THE LIMITATION OF ANTIBALLISTIC MISSLE SYSTEMS (SALT I) Senate Consideration of Treaty Document 93-33 Date Received from President: 09/19/1974 - 93rd Congress (1973-1974) Treaty Topic: Arms Control Latest Senate Action: 11/10/1975 - 94th Congress (1975-1976) - Resolution of advice and consent to ratification agreed to in Senate by Yea-Nay vote. 63-15. Record Vote No: 475 EX. (All Actions) "/>
    <s v="634"/>
    <s v="PROTOCOL TO THE TREATY WITH THE UNION OF SOVIET SOCIALIST REPUBLICS ON THE LIMITATION OF ANTIBALLISTIC MISSLE SYSTEMS (SALT I)"/>
    <s v="93-33"/>
    <s v="09/19/1974 - 93rd Congress (1973-1974)"/>
    <s v="93rd"/>
    <s v="Arms Control"/>
    <s v="11/10/1975 - 94th Congress (1975-1976) - Resolution of advice and consent to ratification agreed to in Senate by Yea-Nay vote. 63-15. Record Vote No: 475 EX. (All Actions) "/>
    <x v="20"/>
    <s v="Resolution of advice and consent to ratification agreed to in Senate by Yea-Nay vote. 63-15. Record Vote No: 475 EX. (All Actions) "/>
    <x v="0"/>
    <x v="0"/>
  </r>
  <r>
    <s v="635. PROTOCOL FOR THE CONTINUATION IN FORCE OF THE 1968 INTERNATIONAL COFFEE AGREEMENT Senate Consideration of Treaty Document 94-2 Date Received from President: 04/16/1975 - 94th Congress (1975-1976) Treaty Topic: Commercial Latest Senate Action: 10/28/1975 - 94th Congress (1975-1976) - General debate; approved by 94-0 vote. Record Vote Number 456. (All Actions) "/>
    <s v="635"/>
    <s v="PROTOCOL FOR THE CONTINUATION IN FORCE OF THE 1968 INTERNATIONAL COFFEE AGREEMENT"/>
    <s v="94-2"/>
    <s v="04/16/1975 - 94th Congress (1975-1976)"/>
    <s v="94th"/>
    <s v="Commercial"/>
    <s v="10/28/1975 - 94th Congress (1975-1976) - General debate; approved by 94-0 vote. Record Vote Number 456. (All Actions) "/>
    <x v="20"/>
    <s v="General debate; approved by 94-0 vote. Record Vote Number 456. (All Actions) "/>
    <x v="0"/>
    <x v="0"/>
  </r>
  <r>
    <s v="636. AGREEMENT WITH BRAZIL CONCERNING SHRIMP Senate Consideration of Treaty Document 94-4 Date Received from President: 06/11/1975 - 94th Congress (1975-1976) Treaty Topic: Commercial Latest Senate Action: 10/28/1975 - 94th Congress (1975-1976) - General debate; approved by 94-0 vote. Record Vote Number: 457. (All Actions) "/>
    <s v="636"/>
    <s v="AGREEMENT WITH BRAZIL CONCERNING SHRIMP"/>
    <s v="94-4"/>
    <s v="06/11/1975 - 94th Congress (1975-1976)"/>
    <s v="94th"/>
    <s v="Commercial"/>
    <s v="10/28/1975 - 94th Congress (1975-1976) - General debate; approved by 94-0 vote. Record Vote Number: 457. (All Actions) "/>
    <x v="20"/>
    <s v="General debate; approved by 94-0 vote. Record Vote Number: 457. (All Actions) "/>
    <x v="0"/>
    <x v="0"/>
  </r>
  <r>
    <s v="637. AMENDMENTS TO CERTAIN ARTICLES OF THE CONVENTION ON THE INTERGOVERNMENTAL MARITIME CONSULTATIVE ORGANIZATION Senate Consideration of Treaty Document 94-6 Date Received from President: 07/10/1975 - 94th Congress (1975-1976) Treaty Topic: Shipping and Marine Pollution Latest Senate Action: 10/28/1975 - 94th Congress (1975-1976) - General debate; approved by 94-0 vote. Record Vote Number 458. (All Actions) "/>
    <s v="637"/>
    <s v="AMENDMENTS TO CERTAIN ARTICLES OF THE CONVENTION ON THE INTERGOVERNMENTAL MARITIME CONSULTATIVE ORGANIZATION"/>
    <s v="94-6"/>
    <s v="07/10/1975 - 94th Congress (1975-1976)"/>
    <s v="94th"/>
    <s v="Shipping and Marine Pollution"/>
    <s v="10/28/1975 - 94th Congress (1975-1976) - General debate; approved by 94-0 vote. Record Vote Number 458. (All Actions) "/>
    <x v="20"/>
    <s v="General debate; approved by 94-0 vote. Record Vote Number 458. (All Actions) "/>
    <x v="0"/>
    <x v="0"/>
  </r>
  <r>
    <s v="638. CONVENTION ON THE INTERNATIONAL REGULATIONS FOR PREVENTING COLLISIONS AT SEA, 1972 Senate Consideration of Treaty Document 93-23 Date Received from President: 11/09/1973 - 93rd Congress (1973-1974) Treaty Topic: Shipping and Marine Pollution Latest Senate Action: 10/28/1975 - 94th Congress (1975-1976) - Resolution of advice and consent to ratification agreed to in Senate by Yea-Nay vote. 94-0. Record Vote No: 453 EX. (All Actions) "/>
    <s v="638"/>
    <s v="CONVENTION ON THE INTERNATIONAL REGULATIONS FOR PREVENTING COLLISIONS AT SEA, 1972"/>
    <s v="93-23"/>
    <s v="11/09/1973 - 93rd Congress (1973-1974)"/>
    <s v="93rd"/>
    <s v="Shipping and Marine Pollution"/>
    <s v="10/28/1975 - 94th Congress (1975-1976) - Resolution of advice and consent to ratification agreed to in Senate by Yea-Nay vote. 94-0. Record Vote No: 453 EX. (All Actions) "/>
    <x v="20"/>
    <s v="Resolution of advice and consent to ratification agreed to in Senate by Yea-Nay vote. 94-0. Record Vote No: 453 EX. (All Actions) "/>
    <x v="0"/>
    <x v="0"/>
  </r>
  <r>
    <s v="639. AMENDMENTS TO THE CONVENTION FOR THE SAFETY OF LIFE AT SEA, 1960 Senate Consideration of Treaty Document 93-35 Date Received from President: 10/17/1974 - 93rd Congress (1973-1974) Treaty Topic: Shipping and Marine Pollution Latest Senate Action: 10/28/1975 - 94th Congress (1975-1976) - Resolution of advice and consent to ratification agreed to in Senate by Yea-Nay vote. 94-0. Record Vote No: 454 EX. (All Actions) "/>
    <s v="639"/>
    <s v="AMENDMENTS TO THE CONVENTION FOR THE SAFETY OF LIFE AT SEA, 1960"/>
    <s v="93-35"/>
    <s v="10/17/1974 - 93rd Congress (1973-1974)"/>
    <s v="93rd"/>
    <s v="Shipping and Marine Pollution"/>
    <s v="10/28/1975 - 94th Congress (1975-1976) - Resolution of advice and consent to ratification agreed to in Senate by Yea-Nay vote. 94-0. Record Vote No: 454 EX. (All Actions) "/>
    <x v="20"/>
    <s v="Resolution of advice and consent to ratification agreed to in Senate by Yea-Nay vote. 94-0. Record Vote No: 454 EX. (All Actions) "/>
    <x v="0"/>
    <x v="0"/>
  </r>
  <r>
    <s v="640. CONVENTION ON THE PREVENTION AND PUNISHMENT OF CRIMES AGAINST INTERNATIONALLY PROTECTED PERSONS Senate Consideration of Treaty Document 93-36 Date Received from President: 11/13/1974 - 93rd Congress (1973-1974) Latest Senate Action: 10/28/1975 - 94th Congress (1975-1976) - Resolution of advice and consent to ratification agreed to in Senate by Yea-Nay vote. 94-0. Record Vote No: 455 EX. (All Actions) "/>
    <s v="640"/>
    <s v="CONVENTION ON THE PREVENTION AND PUNISHMENT OF CRIMES AGAINST INTERNATIONALLY PROTECTED PERSONS"/>
    <s v="93-36"/>
    <s v="11/13/1974 - 93rd Congress (1973-1974)"/>
    <s v="93rd"/>
    <m/>
    <s v="10/28/1975 - 94th Congress (1975-1976) - Resolution of advice and consent to ratification agreed to in Senate by Yea-Nay vote. 94-0. Record Vote No: 455 EX. (All Actions) "/>
    <x v="20"/>
    <s v="Resolution of advice and consent to ratification agreed to in Senate by Yea-Nay vote. 94-0. Record Vote No: 455 EX. (All Actions) "/>
    <x v="0"/>
    <x v="0"/>
  </r>
  <r>
    <s v="641. AGREEMENT FOR THE CREATION OF AN INTERNATIONAL OFFICE OF EPIZOOTICS Senate Consideration of Treaty Document 93-37 Date Received from President: 12/02/1974 - 93rd Congress (1973-1974) Latest Senate Action: 05/06/1975 - 94th Congress (1975-1976) - Resolution of advice and consent to ratification agreed to in Senate by Yea-Nay vote. 82-0. Record Vote No: 162 EX. (All Actions) "/>
    <s v="641"/>
    <s v="AGREEMENT FOR THE CREATION OF AN INTERNATIONAL OFFICE OF EPIZOOTICS"/>
    <s v="93-37"/>
    <s v="12/02/1974 - 93rd Congress (1973-1974)"/>
    <s v="93rd"/>
    <m/>
    <s v="05/06/1975 - 94th Congress (1975-1976) - Resolution of advice and consent to ratification agreed to in Senate by Yea-Nay vote. 82-0. Record Vote No: 162 EX. (All Actions) "/>
    <x v="20"/>
    <s v="Resolution of advice and consent to ratification agreed to in Senate by Yea-Nay vote. 82-0. Record Vote No: 162 EX. (All Actions) "/>
    <x v="0"/>
    <x v="0"/>
  </r>
  <r>
    <s v="642. PROTOCOL FOR THE PROHIBITION OF THE USE IN WAR OF ASPHYXIATING, POISONOUS, OR OTHER GASES, AND OF BACTERIOLOGICAL METHODS OF WARFARE Senate Consideration of Treaty Document 91-20 Date Received from President: 08/19/1970 - 91st Congress (1969-1970) Treaty Topic: Arms Control Latest Senate Action: 12/16/1974 - 93rd Congress (1973-1974) - Resolution of advice and consent to ratification agreed to in Senate by Yea-Nay vote. 90-0. Record Vote No: 552 EX. (All Actions) "/>
    <s v="642"/>
    <s v="PROTOCOL FOR THE PROHIBITION OF THE USE IN WAR OF ASPHYXIATING, POISONOUS, OR OTHER GASES, AND OF BACTERIOLOGICAL METHODS OF WARFARE"/>
    <s v="91-20"/>
    <s v="08/19/1970 - 91st Congress (1969-1970)"/>
    <s v="91st"/>
    <s v="Arms Control"/>
    <s v="12/16/1974 - 93rd Congress (1973-1974) - Resolution of advice and consent to ratification agreed to in Senate by Yea-Nay vote. 90-0. Record Vote No: 552 EX. (All Actions) "/>
    <x v="21"/>
    <s v="Resolution of advice and consent to ratification agreed to in Senate by Yea-Nay vote. 90-0. Record Vote No: 552 EX. (All Actions) "/>
    <x v="0"/>
    <x v="0"/>
  </r>
  <r>
    <s v="643. AMENDED TEXT TO ARTICLE VII OF THE CONVENTION ON FACILITATION OF INTERNATIONAL MARITIME TRAFFIC, 1965 Senate Consideration of Treaty Document 93-28 Date Received from President: 07/29/1974 - 93rd Congress (1973-1974) Treaty Topic: Shipping and Marine Pollution Latest Senate Action: 12/16/1974 - 93rd Congress (1973-1974) - Resolution of advice and consent to ratification agreed to in Senate by Yea-Nay vote. 90-0. Record Vote No: 554 EX. (All Actions) "/>
    <s v="643"/>
    <s v="AMENDED TEXT TO ARTICLE VII OF THE CONVENTION ON FACILITATION OF INTERNATIONAL MARITIME TRAFFIC, 1965"/>
    <s v="93-28"/>
    <s v="07/29/1974 - 93rd Congress (1973-1974)"/>
    <s v="93rd"/>
    <s v="Shipping and Marine Pollution"/>
    <s v="12/16/1974 - 93rd Congress (1973-1974) - Resolution of advice and consent to ratification agreed to in Senate by Yea-Nay vote. 90-0. Record Vote No: 554 EX. (All Actions) "/>
    <x v="21"/>
    <s v="Resolution of advice and consent to ratification agreed to in Senate by Yea-Nay vote. 90-0. Record Vote No: 554 EX. (All Actions) "/>
    <x v="0"/>
    <x v="0"/>
  </r>
  <r>
    <s v="644. CONVENTION ON THE PROHIBITION OF BACTERIOLOGICAL AND TOXIN WEAPONS Senate Consideration of Treaty Document 92-29 Date Received from President: 08/10/1972 - 92nd Congress (1971-1972) Latest Senate Action: 12/16/1974 - 93rd Congress (1973-1974) - Resolution of advice and consent to ratification agreed to in Senate by Yea-Nay vote. 90-0. Record Vote No: 553 EX. (All Actions) "/>
    <s v="644"/>
    <s v="CONVENTION ON THE PROHIBITION OF BACTERIOLOGICAL AND TOXIN WEAPONS"/>
    <s v="92-29"/>
    <s v="08/10/1972 - 92nd Congress (1971-1972)"/>
    <s v="92nd"/>
    <m/>
    <s v="12/16/1974 - 93rd Congress (1973-1974) - Resolution of advice and consent to ratification agreed to in Senate by Yea-Nay vote. 90-0. Record Vote No: 553 EX. (All Actions) "/>
    <x v="21"/>
    <s v="Resolution of advice and consent to ratification agreed to in Senate by Yea-Nay vote. 90-0. Record Vote No: 553 EX. (All Actions) "/>
    <x v="0"/>
    <x v="0"/>
  </r>
  <r>
    <s v="645. CONSULAR CONVENTION WITH BULGARIA Senate Consideration of Treaty Document 93-32 Date Received from President: 09/12/1974 - 93rd Congress (1973-1974) Treaty Topic: Consular Latest Senate Action: 12/16/1974 - 93rd Congress (1973-1974) - Resolution of advice and consent to ratification agreed to in Senate by Yea-Nay vote. 90-0. Record Vote No: 555 EX. (All Actions) "/>
    <s v="645"/>
    <s v="CONSULAR CONVENTION WITH BULGARIA"/>
    <s v="93-32"/>
    <s v="09/12/1974 - 93rd Congress (1973-1974)"/>
    <s v="93rd"/>
    <s v="Consular"/>
    <s v="12/16/1974 - 93rd Congress (1973-1974) - Resolution of advice and consent to ratification agreed to in Senate by Yea-Nay vote. 90-0. Record Vote No: 555 EX. (All Actions) "/>
    <x v="21"/>
    <s v="Resolution of advice and consent to ratification agreed to in Senate by Yea-Nay vote. 90-0. Record Vote No: 555 EX. (All Actions) "/>
    <x v="0"/>
    <x v="0"/>
  </r>
  <r>
    <s v="646. CONSULAR CONVENTION WITH THE CZECHOSLOVAK SOCIALIST REPUBLIC Senate Consideration of Treaty Document 93-25 Date Received from President: 02/21/1974 - 93rd Congress (1973-1974) Treaty Topic: Consular Latest Senate Action: 09/30/1974 - 93rd Congress (1973-1974) - Resolution of advice and consent to ratification agreed to in Senate by Yea-Nay vote. 78-0. Record Vote No: 427 EX. (All Actions) "/>
    <s v="646"/>
    <s v="CONSULAR CONVENTION WITH THE CZECHOSLOVAK SOCIALIST REPUBLIC"/>
    <s v="93-25"/>
    <s v="02/21/1974 - 93rd Congress (1973-1974)"/>
    <s v="93rd"/>
    <s v="Consular"/>
    <s v="09/30/1974 - 93rd Congress (1973-1974) - Resolution of advice and consent to ratification agreed to in Senate by Yea-Nay vote. 78-0. Record Vote No: 427 EX. (All Actions) "/>
    <x v="21"/>
    <s v="Resolution of advice and consent to ratification agreed to in Senate by Yea-Nay vote. 78-0. Record Vote No: 427 EX. (All Actions) "/>
    <x v="0"/>
    <x v="0"/>
  </r>
  <r>
    <s v="647. PROTOCOL TO THE CONVENTION FOR THE INTERNATIONAL COUNCIL FOR THE EXPLORATION OF THE SEA Senate Consideration of Treaty Document 93-22 Date Received from President: 11/09/1973 - 93rd Congress (1973-1974) Latest Senate Action: 09/04/1974 - 93rd Congress (1973-1974) - Resolution of advice and consent to ratification agreed to in Senate by Yea-Nay vote. 65-0. Record Vote No: 361 EX. (All Actions) "/>
    <s v="647"/>
    <s v="PROTOCOL TO THE CONVENTION FOR THE INTERNATIONAL COUNCIL FOR THE EXPLORATION OF THE SEA"/>
    <s v="93-22"/>
    <s v="11/09/1973 - 93rd Congress (1973-1974)"/>
    <s v="93rd"/>
    <m/>
    <s v="09/04/1974 - 93rd Congress (1973-1974) - Resolution of advice and consent to ratification agreed to in Senate by Yea-Nay vote. 65-0. Record Vote No: 361 EX. (All Actions) "/>
    <x v="21"/>
    <s v="Resolution of advice and consent to ratification agreed to in Senate by Yea-Nay vote. 65-0. Record Vote No: 361 EX. (All Actions) "/>
    <x v="0"/>
    <x v="0"/>
  </r>
  <r>
    <s v="648. PROTOCOLS FOR THE EXTENSION OF THE INTERNATIONAL WHEAT AGREEMENT, 1971 Senate Consideration of Treaty Document 93-27 Date Received from President: 05/14/1974 - 93rd Congress (1973-1974) Treaty Topic: Commercial Latest Senate Action: 06/21/1974 - 93rd Congress (1973-1974) - Resolution of advice and consent to ratification agreed to in Senate by Yea-Nay vote. 75-0. Record Vote No: 217 EX. (All Actions) "/>
    <s v="648"/>
    <s v="PROTOCOLS FOR THE EXTENSION OF THE INTERNATIONAL WHEAT AGREEMENT, 1971"/>
    <s v="93-27"/>
    <s v="05/14/1974 - 93rd Congress (1973-1974)"/>
    <s v="93rd"/>
    <s v="Commercial"/>
    <s v="06/21/1974 - 93rd Congress (1973-1974) - Resolution of advice and consent to ratification agreed to in Senate by Yea-Nay vote. 75-0. Record Vote No: 217 EX. (All Actions) "/>
    <x v="21"/>
    <s v="Resolution of advice and consent to ratification agreed to in Senate by Yea-Nay vote. 75-0. Record Vote No: 217 EX. (All Actions) "/>
    <x v="0"/>
    <x v="0"/>
  </r>
  <r>
    <s v="649. VIENNA CONVENTION ON THE LAW OF TREATIES Senate Consideration of Treaty Document 92-12 Date Received from President: 11/22/1971 - 92nd Congress (1971-1972) Treaty Topic: International Law and Organization Latest Senate Action: 04/30/1974 - 93rd Congress (1973-1974) - Committee on Foreign Relations. Committee consideration held. (All Actions) "/>
    <s v="649"/>
    <s v="VIENNA CONVENTION ON THE LAW OF TREATIES"/>
    <s v="92-12"/>
    <s v="11/22/1971 - 92nd Congress (1971-1972)"/>
    <s v="92nd"/>
    <s v="International Law and Organization"/>
    <s v="04/30/1974 - 93rd Congress (1973-1974) - Committee on Foreign Relations. Committee consideration held. (All Actions) "/>
    <x v="21"/>
    <s v="Committee on Foreign Relations. Committee consideration held. (All Actions) "/>
    <x v="1"/>
    <x v="0"/>
  </r>
  <r>
    <s v="650. TREATY ON EXTRADITION WITH DENMARK Senate Consideration of Treaty Document 93-21 Date Received from President: 10/30/1973 - 93rd Congress (1973-1974) Treaty Topic: Extradition and Criminal Assistance Latest Senate Action: 03/29/1974 - 93rd Congress (1973-1974) - Resolution of advice and consent to ratification agreed to in Senate by Yea-Nay vote. 63-0. Record Vote No: 92 EX. (All Actions) "/>
    <s v="650"/>
    <s v="TREATY ON EXTRADITION WITH DENMARK"/>
    <s v="93-21"/>
    <s v="10/30/1973 - 93rd Congress (1973-1974)"/>
    <s v="93rd"/>
    <s v="Extradition and Criminal Assistance"/>
    <s v="03/29/1974 - 93rd Congress (1973-1974) - Resolution of advice and consent to ratification agreed to in Senate by Yea-Nay vote. 63-0. Record Vote No: 92 EX. (All Actions) "/>
    <x v="21"/>
    <s v="Resolution of advice and consent to ratification agreed to in Senate by Yea-Nay vote. 63-0. Record Vote No: 92 EX. (All Actions) "/>
    <x v="0"/>
    <x v="0"/>
  </r>
  <r>
    <s v="651. CUSTOMS CONVENTION ON THE INTERNATIONAL TRANSIT OF GOODS Senate Consideration of Treaty Document 93-16 Date Received from President: 07/23/1973 - 93rd Congress (1973-1974) Latest Senate Action: 01/21/1974 - 93rd Congress (1973-1974) - Resolution of advice and consent to ratification agreed to in Senate by Yea-Nay vote. 82-0. Record Vote No: 2 EX. (All Actions) "/>
    <s v="651"/>
    <s v="CUSTOMS CONVENTION ON THE INTERNATIONAL TRANSIT OF GOODS"/>
    <s v="93-16"/>
    <s v="07/23/1973 - 93rd Congress (1973-1974)"/>
    <s v="93rd"/>
    <m/>
    <s v="01/21/1974 - 93rd Congress (1973-1974) - Resolution of advice and consent to ratification agreed to in Senate by Yea-Nay vote. 82-0. Record Vote No: 2 EX. (All Actions) "/>
    <x v="21"/>
    <s v="Resolution of advice and consent to ratification agreed to in Senate by Yea-Nay vote. 82-0. Record Vote No: 2 EX. (All Actions) "/>
    <x v="0"/>
    <x v="0"/>
  </r>
  <r>
    <s v="652. PROTOCOL AMENDING THE 1928 CONVENTION CONCERNING INTERNATIONAL EXPOSITIONS Senate Consideration of Treaty Document 93-14 Date Received from President: 07/19/1973 - 93rd Congress (1973-1974) Latest Senate Action: 11/26/1973 - 93rd Congress (1973-1974) - Resolution of advice and consent to ratification agreed to in Senate by Yea-Nay vote. 76-0. Record Vote No: 495 EX. (All Actions) "/>
    <s v="652"/>
    <s v="PROTOCOL AMENDING THE 1928 CONVENTION CONCERNING INTERNATIONAL EXPOSITIONS"/>
    <s v="93-14"/>
    <s v="07/19/1973 - 93rd Congress (1973-1974)"/>
    <s v="93rd"/>
    <m/>
    <s v="11/26/1973 - 93rd Congress (1973-1974) - Resolution of advice and consent to ratification agreed to in Senate by Yea-Nay vote. 76-0. Record Vote No: 495 EX. (All Actions) "/>
    <x v="21"/>
    <s v="Resolution of advice and consent to ratification agreed to in Senate by Yea-Nay vote. 76-0. Record Vote No: 495 EX. (All Actions) "/>
    <x v="0"/>
    <x v="0"/>
  </r>
  <r>
    <s v="653. PROTOCOL TO THE INTERNATIONAL CIVIL AVIATION CONVENTION Senate Consideration of Treaty Document 93-17 Date Received from President: 09/12/1973 - 93rd Congress (1973-1974) Treaty Topic: Aviation Latest Senate Action: 11/26/1973 - 93rd Congress (1973-1974) - Resolution of advice and consent to ratification agreed to in Senate by Yea-Nay vote. 76-0. Record Vote No: 496 EX. (All Actions) "/>
    <s v="653"/>
    <s v="PROTOCOL TO THE INTERNATIONAL CIVIL AVIATION CONVENTION"/>
    <s v="93-17"/>
    <s v="09/12/1973 - 93rd Congress (1973-1974)"/>
    <s v="93rd"/>
    <s v="Aviation"/>
    <s v="11/26/1973 - 93rd Congress (1973-1974) - Resolution of advice and consent to ratification agreed to in Senate by Yea-Nay vote. 76-0. Record Vote No: 496 EX. (All Actions) "/>
    <x v="21"/>
    <s v="Resolution of advice and consent to ratification agreed to in Senate by Yea-Nay vote. 76-0. Record Vote No: 496 EX. (All Actions) "/>
    <x v="0"/>
    <x v="0"/>
  </r>
  <r>
    <s v="654. STRASBOURG AGREEMENT CONCERNING THE INTERNATIONAL PATENT CLASSIFICATION Senate Consideration of Treaty Document 93-5 Date Received from President: 03/22/1973 - 93rd Congress (1973-1974) Treaty Topic: Commercial Latest Senate Action: 10/30/1973 - 93rd Congress (1973-1974) - Approved by 95-0 vote (No. 456 Ex.). (All Actions) "/>
    <s v="654"/>
    <s v="STRASBOURG AGREEMENT CONCERNING THE INTERNATIONAL PATENT CLASSIFICATION"/>
    <s v="93-5"/>
    <s v="03/22/1973 - 93rd Congress (1973-1974)"/>
    <s v="93rd"/>
    <s v="Commercial"/>
    <s v="10/30/1973 - 93rd Congress (1973-1974) - Approved by 95-0 vote (No. 456 Ex.). (All Actions) "/>
    <x v="21"/>
    <s v="Approved by 95-0 vote (No. 456 Ex.). (All Actions) "/>
    <x v="0"/>
    <x v="0"/>
  </r>
  <r>
    <s v="655. CONVENTION CONCERNING THE PROTECTION OF THE WORLD CULTURAL AND NATURAL HERITAGE Senate Consideration of Treaty Document 93-6 Date Received from President: 03/28/1973 - 93rd Congress (1973-1974) Latest Senate Action: 10/30/1973 - 93rd Congress (1973-1974) - Approved 95-0 vote (No. 458 Ex.). (All Actions) "/>
    <s v="655"/>
    <s v="CONVENTION CONCERNING THE PROTECTION OF THE WORLD CULTURAL AND NATURAL HERITAGE"/>
    <s v="93-6"/>
    <s v="03/28/1973 - 93rd Congress (1973-1974)"/>
    <s v="93rd"/>
    <m/>
    <s v="10/30/1973 - 93rd Congress (1973-1974) - Approved 95-0 vote (No. 458 Ex.). (All Actions) "/>
    <x v="21"/>
    <s v="Approved 95-0 vote (No. 458 Ex.). (All Actions) "/>
    <x v="0"/>
    <x v="0"/>
  </r>
  <r>
    <s v="656. STATUTES OF THE WORLD TOURISM ORGANIZATION Senate Consideration of Treaty Document 93-18 Date Received from President: 09/12/1973 - 93rd Congress (1973-1974) Latest Senate Action: 10/30/1973 - 93rd Congress (1973-1974) - Approved by 95-0 vote (No. 457 Ex.). (All Actions) "/>
    <s v="656"/>
    <s v="STATUTES OF THE WORLD TOURISM ORGANIZATION"/>
    <s v="93-18"/>
    <s v="09/12/1973 - 93rd Congress (1973-1974)"/>
    <s v="93rd"/>
    <m/>
    <s v="10/30/1973 - 93rd Congress (1973-1974) - Approved by 95-0 vote (No. 457 Ex.). (All Actions) "/>
    <x v="21"/>
    <s v="Approved by 95-0 vote (No. 457 Ex.). (All Actions) "/>
    <x v="0"/>
    <x v="0"/>
  </r>
  <r>
    <s v="657. PATENT COOPERATION TREATY AND ANNEXED REGULATIONS Senate Consideration of Treaty Document 92-31 Date Received from President: 09/12/1972 - 92nd Congress (1971-1972) Latest Senate Action: 10/30/1973 - 93rd Congress (1973-1974) - Resolution of advice and consent to ratification agreed to in Senate by Yea-Nay vote. 95-0. Record Vote No: 455 EX. (All Actions) "/>
    <s v="657"/>
    <s v="PATENT COOPERATION TREATY AND ANNEXED REGULATIONS"/>
    <s v="92-31"/>
    <s v="09/12/1972 - 92nd Congress (1971-1972)"/>
    <s v="92nd"/>
    <m/>
    <s v="10/30/1973 - 93rd Congress (1973-1974) - Resolution of advice and consent to ratification agreed to in Senate by Yea-Nay vote. 95-0. Record Vote No: 455 EX. (All Actions) "/>
    <x v="21"/>
    <s v="Resolution of advice and consent to ratification agreed to in Senate by Yea-Nay vote. 95-0. Record Vote No: 455 EX. (All Actions) "/>
    <x v="0"/>
    <x v="0"/>
  </r>
  <r>
    <s v="658. CONVENTION FOR THE PROTECTION OF PRODUCERS OF PHONOGRAMS Senate Consideration of Treaty Document 93-7 Date Received from President: 04/11/1973 - 93rd Congress (1973-1974) Latest Senate Action: 10/01/1973 - 93rd Congress (1973-1974) - Resolution of advice and consent to ratification agreed to in Senate by Yea-Nay vote. 95-0. Record Vote No: 429 EX. (All Actions) "/>
    <s v="658"/>
    <s v="CONVENTION FOR THE PROTECTION OF PRODUCERS OF PHONOGRAMS"/>
    <s v="93-7"/>
    <s v="04/11/1973 - 93rd Congress (1973-1974)"/>
    <s v="93rd"/>
    <m/>
    <s v="10/01/1973 - 93rd Congress (1973-1974) - Resolution of advice and consent to ratification agreed to in Senate by Yea-Nay vote. 95-0. Record Vote No: 429 EX. (All Actions) "/>
    <x v="21"/>
    <s v="Resolution of advice and consent to ratification agreed to in Senate by Yea-Nay vote. 95-0. Record Vote No: 429 EX. (All Actions) "/>
    <x v="0"/>
    <x v="0"/>
  </r>
  <r>
    <s v="659. AGREEMENT WITH CANADA FOR PROMOTION OF SAFETY ON THE GREAT LAKES BY MEANS OF RADIO, 1973 Senate Consideration of Treaty Document 93-10 Date Received from President: 05/11/1973 - 93rd Congress (1973-1974) Latest Senate Action: 10/01/1973 - 93rd Congress (1973-1974) - Resolution of advice and consent to ratification agreed to in Senate by Yea-Nay vote. 95-0. Record Vote No: 428 EX. (All Actions) "/>
    <s v="659"/>
    <s v="AGREEMENT WITH CANADA FOR PROMOTION OF SAFETY ON THE GREAT LAKES BY MEANS OF RADIO, 1973"/>
    <s v="93-10"/>
    <s v="05/11/1973 - 93rd Congress (1973-1974)"/>
    <s v="93rd"/>
    <m/>
    <s v="10/01/1973 - 93rd Congress (1973-1974) - Resolution of advice and consent to ratification agreed to in Senate by Yea-Nay vote. 95-0. Record Vote No: 428 EX. (All Actions) "/>
    <x v="21"/>
    <s v="Resolution of advice and consent to ratification agreed to in Senate by Yea-Nay vote. 95-0. Record Vote No: 428 EX. (All Actions) "/>
    <x v="0"/>
    <x v="0"/>
  </r>
  <r>
    <s v="660. EXTRADITION TREATY WITH URUGUAY Senate Consideration of Treaty Document 93-11 Date Received from President: 05/21/1973 - 93rd Congress (1973-1974) Treaty Topic: Extradition and Criminal Assistance Latest Senate Action: 10/01/1973 - 93rd Congress (1973-1974) - Resolution of advice and consent to ratification agreed to in Senate by Yea-Nay vote. 95-0. Record Vote No: 432. (All Actions) "/>
    <s v="660"/>
    <s v="EXTRADITION TREATY WITH URUGUAY"/>
    <s v="93-11"/>
    <s v="05/21/1973 - 93rd Congress (1973-1974)"/>
    <s v="93rd"/>
    <s v="Extradition and Criminal Assistance"/>
    <s v="10/01/1973 - 93rd Congress (1973-1974) - Resolution of advice and consent to ratification agreed to in Senate by Yea-Nay vote. 95-0. Record Vote No: 432. (All Actions) "/>
    <x v="21"/>
    <s v="Resolution of advice and consent to ratification agreed to in Senate by Yea-Nay vote. 95-0. Record Vote No: 432. (All Actions) "/>
    <x v="0"/>
    <x v="0"/>
  </r>
  <r>
    <s v="661. EXTRADITION TREATY WITH ITALY Senate Consideration of Treaty Document 93-13 Date Received from President: 06/26/1973 - 93rd Congress (1973-1974) Treaty Topic: Extradition and Criminal Assistance Latest Senate Action: 10/01/1973 - 93rd Congress (1973-1974) - Resolution of advice and consent to ratification agreed to in Senate by Yea-Nay vote. 95-0. Record Vote No: 430 EX. (All Actions) "/>
    <s v="661"/>
    <s v="EXTRADITION TREATY WITH ITALY"/>
    <s v="93-13"/>
    <s v="06/26/1973 - 93rd Congress (1973-1974)"/>
    <s v="93rd"/>
    <s v="Extradition and Criminal Assistance"/>
    <s v="10/01/1973 - 93rd Congress (1973-1974) - Resolution of advice and consent to ratification agreed to in Senate by Yea-Nay vote. 95-0. Record Vote No: 430 EX. (All Actions) "/>
    <x v="21"/>
    <s v="Resolution of advice and consent to ratification agreed to in Senate by Yea-Nay vote. 95-0. Record Vote No: 430 EX. (All Actions) "/>
    <x v="0"/>
    <x v="0"/>
  </r>
  <r>
    <s v="662. INTERNATIONAL COFFEE AGREEMENT 1968 AS EXTENDED Senate Consideration of Treaty Document 93-15 Date Received from President: 07/23/1973 - 93rd Congress (1973-1974) Latest Senate Action: 10/01/1973 - 93rd Congress (1973-1974) - Resolution of advice and consent to ratification agreed to in Senate by Yea-Nay vote. 95-0. Record Vote No: 427 EX. (All Actions) "/>
    <s v="662"/>
    <s v="INTERNATIONAL COFFEE AGREEMENT 1968 AS EXTENDED"/>
    <s v="93-15"/>
    <s v="07/23/1973 - 93rd Congress (1973-1974)"/>
    <s v="93rd"/>
    <m/>
    <s v="10/01/1973 - 93rd Congress (1973-1974) - Resolution of advice and consent to ratification agreed to in Senate by Yea-Nay vote. 95-0. Record Vote No: 427 EX. (All Actions) "/>
    <x v="21"/>
    <s v="Resolution of advice and consent to ratification agreed to in Senate by Yea-Nay vote. 95-0. Record Vote No: 427 EX. (All Actions) "/>
    <x v="0"/>
    <x v="0"/>
  </r>
  <r>
    <s v="663. TREATY OF EXTRADITION WITH PARAGUAY Senate Consideration of Treaty Document 93-19 Date Received from President: 09/12/1973 - 93rd Congress (1973-1974) Treaty Topic: Extradition and Criminal Assistance Latest Senate Action: 10/01/1973 - 93rd Congress (1973-1974) - Resolution of advice and consent to ratification agreed to in Senate by Yea-Nay vote. 95-0. Record Vote No: 431 EX. (All Actions) "/>
    <s v="663"/>
    <s v="TREATY OF EXTRADITION WITH PARAGUAY"/>
    <s v="93-19"/>
    <s v="09/12/1973 - 93rd Congress (1973-1974)"/>
    <s v="93rd"/>
    <s v="Extradition and Criminal Assistance"/>
    <s v="10/01/1973 - 93rd Congress (1973-1974) - Resolution of advice and consent to ratification agreed to in Senate by Yea-Nay vote. 95-0. Record Vote No: 431 EX. (All Actions) "/>
    <x v="21"/>
    <s v="Resolution of advice and consent to ratification agreed to in Senate by Yea-Nay vote. 95-0. Record Vote No: 431 EX. (All Actions) "/>
    <x v="0"/>
    <x v="0"/>
  </r>
  <r>
    <s v="664. AMENDMENT TO ARTICLE 61 OF THE CHARTER OF THE UNITED NATIONS Senate Consideration of Treaty Document 93-12 Date Received from President: 05/18/1973 - 93rd Congress (1973-1974) Treaty Topic: International Law Latest Senate Action: 09/05/1973 - 93rd Congress (1973-1974) - Resolution of advice and consent to ratification agreed to in Senate by Yea-Nay vote. 80-7. Record Vote No: 366. (All Actions) "/>
    <s v="664"/>
    <s v="AMENDMENT TO ARTICLE 61 OF THE CHARTER OF THE UNITED NATIONS"/>
    <s v="93-12"/>
    <s v="05/18/1973 - 93rd Congress (1973-1974)"/>
    <s v="93rd"/>
    <s v="International Law"/>
    <s v="09/05/1973 - 93rd Congress (1973-1974) - Resolution of advice and consent to ratification agreed to in Senate by Yea-Nay vote. 80-7. Record Vote No: 366. (All Actions) "/>
    <x v="21"/>
    <s v="Resolution of advice and consent to ratification agreed to in Senate by Yea-Nay vote. 80-7. Record Vote No: 366. (All Actions) "/>
    <x v="0"/>
    <x v="0"/>
  </r>
  <r>
    <s v="665. CONVENTION ON THE PREVENTION OF MARINE POLLUTION Senate Consideration of Treaty Document 93-3 Date Received from President: 02/28/1973 - 93rd Congress (1973-1974) Treaty Topic: Shipping and Marine Pollution Latest Senate Action: 08/03/1973 - 93rd Congress (1973-1974) - Approved by 86-0 vote. Record Vote Number 359. (All Actions) "/>
    <s v="665"/>
    <s v="CONVENTION ON THE PREVENTION OF MARINE POLLUTION"/>
    <s v="93-3"/>
    <s v="02/28/1973 - 93rd Congress (1973-1974)"/>
    <s v="93rd"/>
    <s v="Shipping and Marine Pollution"/>
    <s v="08/03/1973 - 93rd Congress (1973-1974) - Approved by 86-0 vote. Record Vote Number 359. (All Actions) "/>
    <x v="21"/>
    <s v="Approved by 86-0 vote. Record Vote Number 359. (All Actions) "/>
    <x v="0"/>
    <x v="0"/>
  </r>
  <r>
    <s v="666. AMENDMENTS TO THE INTERNATIONAL CONVENTION ON LOAD LINES, 1966 Senate Consideration of Treaty Document 93-4 Date Received from President: 03/22/1973 - 93rd Congress (1973-1974) Treaty Topic: Shipping and Marine Pollution Latest Senate Action: 08/03/1973 - 93rd Congress (1973-1974) - Approved by 86-0 vote (No. 361 Ex). (All Actions) "/>
    <s v="666"/>
    <s v="AMENDMENTS TO THE INTERNATIONAL CONVENTION ON LOAD LINES, 1966"/>
    <s v="93-4"/>
    <s v="03/22/1973 - 93rd Congress (1973-1974)"/>
    <s v="93rd"/>
    <s v="Shipping and Marine Pollution"/>
    <s v="08/03/1973 - 93rd Congress (1973-1974) - Approved by 86-0 vote (No. 361 Ex). (All Actions) "/>
    <x v="21"/>
    <s v="Approved by 86-0 vote (No. 361 Ex). (All Actions) "/>
    <x v="0"/>
    <x v="0"/>
  </r>
  <r>
    <s v="667. CONVENTION ON INTERNATIONAL TRADE IN ENDANGERED SPECIES OF WILD FAUNA AND FLORA Senate Consideration of Treaty Document 93-8 Date Received from President: 04/13/1973 - 93rd Congress (1973-1974) Latest Senate Action: 08/03/1973 - 93rd Congress (1973-1974) - Resolution of advice and consent to ratification agreed to in Senate by Yea-Nay vote. 86-0. Record Vote No: 360 EX. (All Actions) "/>
    <s v="667"/>
    <s v="CONVENTION ON INTERNATIONAL TRADE IN ENDANGERED SPECIES OF WILD FAUNA AND FLORA"/>
    <s v="93-8"/>
    <s v="04/13/1973 - 93rd Congress (1973-1974)"/>
    <s v="93rd"/>
    <m/>
    <s v="08/03/1973 - 93rd Congress (1973-1974) - Resolution of advice and consent to ratification agreed to in Senate by Yea-Nay vote. 86-0. Record Vote No: 360 EX. (All Actions) "/>
    <x v="21"/>
    <s v="Resolution of advice and consent to ratification agreed to in Senate by Yea-Nay vote. 86-0. Record Vote No: 360 EX. (All Actions) "/>
    <x v="0"/>
    <x v="0"/>
  </r>
  <r>
    <s v="668. SIX AMENDMENTS TO THE CONVENTION FOR THE SAFETY OF LIFE AT SEA, 1960 Senate Consideration of Treaty Document 93-9 Date Received from President: 05/09/1973 - 93rd Congress (1973-1974) Treaty Topic: Shipping and Marine Pollution Latest Senate Action: 08/03/1973 - 93rd Congress (1973-1974) - Resolution of advice and consent to ratification agreed to in Senate by Yea-Nay vote. 89-0. Record Vote No: 362 EX. (All Actions) "/>
    <s v="668"/>
    <s v="SIX AMENDMENTS TO THE CONVENTION FOR THE SAFETY OF LIFE AT SEA, 1960"/>
    <s v="93-9"/>
    <s v="05/09/1973 - 93rd Congress (1973-1974)"/>
    <s v="93rd"/>
    <s v="Shipping and Marine Pollution"/>
    <s v="08/03/1973 - 93rd Congress (1973-1974) - Resolution of advice and consent to ratification agreed to in Senate by Yea-Nay vote. 89-0. Record Vote No: 362 EX. (All Actions) "/>
    <x v="21"/>
    <s v="Resolution of advice and consent to ratification agreed to in Senate by Yea-Nay vote. 89-0. Record Vote No: 362 EX. (All Actions) "/>
    <x v="0"/>
    <x v="0"/>
  </r>
  <r>
    <s v="669. EXCHANGE OF NOTES WITH ETHIOPIA CONCERNING THE ADMINISTRATION OF JUSTICE Senate Consideration of Treaty Document 93-2 Date Received from President: 01/26/1973 - 93rd Congress (1973-1974) Treaty Topic: Extradition and Criminal Assistance Latest Senate Action: 03/27/1973 - 93rd Congress (1973-1974) - Consideration and general debate; approved by 92-0 vote. Record Vote Number 59. (All Actions) "/>
    <s v="669"/>
    <s v="EXCHANGE OF NOTES WITH ETHIOPIA CONCERNING THE ADMINISTRATION OF JUSTICE"/>
    <s v="93-2"/>
    <s v="01/26/1973 - 93rd Congress (1973-1974)"/>
    <s v="93rd"/>
    <s v="Extradition and Criminal Assistance"/>
    <s v="03/27/1973 - 93rd Congress (1973-1974) - Consideration and general debate; approved by 92-0 vote. Record Vote Number 59. (All Actions) "/>
    <x v="21"/>
    <s v="Consideration and general debate; approved by 92-0 vote. Record Vote Number 59. (All Actions) "/>
    <x v="0"/>
    <x v="0"/>
  </r>
  <r>
    <s v="670. CONVENTION WITH JAPAN FOR THE PROTECTION OF BIRDS AND THEIR ENVIRONMENT Senate Consideration of Treaty Document 92-30 Date Received from President: 08/18/1972 - 92nd Congress (1971-1972) Treaty Topic: Fisheries and Wildlife Latest Senate Action: 03/27/1973 - 93rd Congress (1973-1974) - Resolution of advice and consent to ratification agreed to in Senate by Yea-Nay vote. 92-0. Record Vote No: 60 EX. (All Actions) "/>
    <s v="670"/>
    <s v="CONVENTION WITH JAPAN FOR THE PROTECTION OF BIRDS AND THEIR ENVIRONMENT"/>
    <s v="92-30"/>
    <s v="08/18/1972 - 92nd Congress (1971-1972)"/>
    <s v="92nd"/>
    <s v="Fisheries and Wildlife"/>
    <s v="03/27/1973 - 93rd Congress (1973-1974) - Resolution of advice and consent to ratification agreed to in Senate by Yea-Nay vote. 92-0. Record Vote No: 60 EX. (All Actions) "/>
    <x v="21"/>
    <s v="Resolution of advice and consent to ratification agreed to in Senate by Yea-Nay vote. 92-0. Record Vote No: 60 EX. (All Actions) "/>
    <x v="0"/>
    <x v="0"/>
  </r>
  <r>
    <s v="671. CONSULAR CONVENTION WITH POLAND Senate Consideration of Treaty Document 92-33 Date Received from President: 09/19/1972 - 92nd Congress (1971-1972) Treaty Topic: Consular Latest Senate Action: 03/27/1973 - 93rd Congress (1973-1974) - Resolution of advice and consent to ratification agreed to in Senate by Yea-Nay vote. 90-0. Record Vote No: 56 EX. (All Actions) "/>
    <s v="671"/>
    <s v="CONSULAR CONVENTION WITH POLAND"/>
    <s v="92-33"/>
    <s v="09/19/1972 - 92nd Congress (1971-1972)"/>
    <s v="92nd"/>
    <s v="Consular"/>
    <s v="03/27/1973 - 93rd Congress (1973-1974) - Resolution of advice and consent to ratification agreed to in Senate by Yea-Nay vote. 90-0. Record Vote No: 56 EX. (All Actions) "/>
    <x v="21"/>
    <s v="Resolution of advice and consent to ratification agreed to in Senate by Yea-Nay vote. 90-0. Record Vote No: 56 EX. (All Actions) "/>
    <x v="0"/>
    <x v="0"/>
  </r>
  <r>
    <s v="672. CONSULAR CONVENTION WITH ROMANIA Senate Consideration of Treaty Document 92-34 Date Received from President: 09/19/1972 - 92nd Congress (1971-1972) Treaty Topic: Consular Latest Senate Action: 03/27/1973 - 93rd Congress (1973-1974) - Resolution of advice and consent to ratification agreed to in Senate by Yea-Nay vote. 92-0. Record Vote No: 57 EX. (All Actions) "/>
    <s v="672"/>
    <s v="CONSULAR CONVENTION WITH ROMANIA"/>
    <s v="92-34"/>
    <s v="09/19/1972 - 92nd Congress (1971-1972)"/>
    <s v="92nd"/>
    <s v="Consular"/>
    <s v="03/27/1973 - 93rd Congress (1973-1974) - Resolution of advice and consent to ratification agreed to in Senate by Yea-Nay vote. 92-0. Record Vote No: 57 EX. (All Actions) "/>
    <x v="21"/>
    <s v="Resolution of advice and consent to ratification agreed to in Senate by Yea-Nay vote. 92-0. Record Vote No: 57 EX. (All Actions) "/>
    <x v="0"/>
    <x v="0"/>
  </r>
  <r>
    <s v="673. CONSULAR CONVENTION WITH HUNGARY Senate Consideration of Treaty Document 92-35 Date Received from President: 09/19/1972 - 92nd Congress (1971-1972) Treaty Topic: Consular Latest Senate Action: 03/27/1973 - 93rd Congress (1973-1974) - Resolution of advice and consent to ratification agreed to in Senate by Yea-Nay vote. 92-0. Record Vote No: 58 EX. (All Actions) "/>
    <s v="673"/>
    <s v="CONSULAR CONVENTION WITH HUNGARY"/>
    <s v="92-35"/>
    <s v="09/19/1972 - 92nd Congress (1971-1972)"/>
    <s v="92nd"/>
    <s v="Consular"/>
    <s v="03/27/1973 - 93rd Congress (1973-1974) - Resolution of advice and consent to ratification agreed to in Senate by Yea-Nay vote. 92-0. Record Vote No: 58 EX. (All Actions) "/>
    <x v="21"/>
    <s v="Resolution of advice and consent to ratification agreed to in Senate by Yea-Nay vote. 92-0. Record Vote No: 58 EX. (All Actions) "/>
    <x v="0"/>
    <x v="0"/>
  </r>
  <r>
    <s v="674. CONVENTION ON INTERNATIONAL LIABILITY FOR DAMAGE CAUSED BY SPACE OBJECTS Senate Consideration of Treaty Document 92-25 Date Received from President: 06/15/1972 - 92nd Congress (1971-1972) Latest Senate Action: 10/06/1972 - 92nd Congress (1971-1972) - Resolution of advice and consent to ratification agreed to in Senate by Yea-Nay vote. 67-0. Record Vote No: 537 EX. (All Actions) "/>
    <s v="674"/>
    <s v="CONVENTION ON INTERNATIONAL LIABILITY FOR DAMAGE CAUSED BY SPACE OBJECTS"/>
    <s v="92-25"/>
    <s v="06/15/1972 - 92nd Congress (1971-1972)"/>
    <s v="92nd"/>
    <m/>
    <s v="10/06/1972 - 92nd Congress (1971-1972) - Resolution of advice and consent to ratification agreed to in Senate by Yea-Nay vote. 67-0. Record Vote No: 537 EX. (All Actions) "/>
    <x v="22"/>
    <s v="Resolution of advice and consent to ratification agreed to in Senate by Yea-Nay vote. 67-0. Record Vote No: 537 EX. (All Actions) "/>
    <x v="0"/>
    <x v="0"/>
  </r>
  <r>
    <s v="675. PROTOCOL TO THE INTERNATIONAL CONVENTION FOR THE NORTHWEST ATLANTIC FISHERIES RELATING TO AMENDMENTS TO THE CONVENTION Senate Consideration of Treaty Document 92-3 Date Received from President: 05/11/1971 - 92nd Congress (1971-1972) Treaty Topic: Fisheries and Wildlife Latest Senate Action: 10/03/1972 - 92nd Congress (1971-1972) - Resolution of advice and consent to ratification agreed to in Senate by Yea-Nay vote. 89-0. Record Vote No: 499 EX. (All Actions) "/>
    <s v="675"/>
    <s v="PROTOCOL TO THE INTERNATIONAL CONVENTION FOR THE NORTHWEST ATLANTIC FISHERIES RELATING TO AMENDMENTS TO THE CONVENTION"/>
    <s v="92-3"/>
    <s v="05/11/1971 - 92nd Congress (1971-1972)"/>
    <s v="92nd"/>
    <s v="Fisheries and Wildlife"/>
    <s v="10/03/1972 - 92nd Congress (1971-1972) - Resolution of advice and consent to ratification agreed to in Senate by Yea-Nay vote. 89-0. Record Vote No: 499 EX. (All Actions) "/>
    <x v="22"/>
    <s v="Resolution of advice and consent to ratification agreed to in Senate by Yea-Nay vote. 89-0. Record Vote No: 499 EX. (All Actions) "/>
    <x v="0"/>
    <x v="0"/>
  </r>
  <r>
    <s v="676. AMENDMENTS TO THE CONVENTION FOR THE SAFETY OF LIFE AT SEA, 1960 Senate Consideration of Treaty Document 92-27 Date Received from President: 07/24/1972 - 92nd Congress (1971-1972) Treaty Topic: Shipping and Marine Pollution Latest Senate Action: 10/03/1972 - 92nd Congress (1971-1972) - Resolution of advice and consent to ratification agreed to in Senate by Yea-Nay vote. 89-0. Record Vote No: 500 EX. (All Actions) "/>
    <s v="676"/>
    <s v="AMENDMENTS TO THE CONVENTION FOR THE SAFETY OF LIFE AT SEA, 1960"/>
    <s v="92-27"/>
    <s v="07/24/1972 - 92nd Congress (1971-1972)"/>
    <s v="92nd"/>
    <s v="Shipping and Marine Pollution"/>
    <s v="10/03/1972 - 92nd Congress (1971-1972) - Resolution of advice and consent to ratification agreed to in Senate by Yea-Nay vote. 89-0. Record Vote No: 500 EX. (All Actions) "/>
    <x v="22"/>
    <s v="Resolution of advice and consent to ratification agreed to in Senate by Yea-Nay vote. 89-0. Record Vote No: 500 EX. (All Actions) "/>
    <x v="0"/>
    <x v="0"/>
  </r>
  <r>
    <s v="677. AGREEMENT WITH BRAZIL CONCERNING SHRIMP Senate Consideration of Treaty Document 92-28 Date Received from President: 07/28/1972 - 92nd Congress (1971-1972) Latest Senate Action: 10/03/1972 - 92nd Congress (1971-1972) - Resolution of advice and consent to ratification agreed to in Senate by Yea-Nay vote. 89-0. Record Vote No: 501 EX. (All Actions) "/>
    <s v="677"/>
    <s v="AGREEMENT WITH BRAZIL CONCERNING SHRIMP"/>
    <s v="92-28"/>
    <s v="07/28/1972 - 92nd Congress (1971-1972)"/>
    <s v="92nd"/>
    <m/>
    <s v="10/03/1972 - 92nd Congress (1971-1972) - Resolution of advice and consent to ratification agreed to in Senate by Yea-Nay vote. 89-0. Record Vote No: 501 EX. (All Actions) "/>
    <x v="22"/>
    <s v="Resolution of advice and consent to ratification agreed to in Senate by Yea-Nay vote. 89-0. Record Vote No: 501 EX. (All Actions) "/>
    <x v="0"/>
    <x v="0"/>
  </r>
  <r>
    <s v="678. CONVENTION FOR THE SUPPRESSION OF UNLAWFUL ACTS AGAINST THE SAFETY OF CIVIL AVIATION Senate Consideration of Treaty Document 92-32 Date Received from President: 09/15/1972 - 92nd Congress (1971-1972) Treaty Topic: Aviation Latest Senate Action: 10/03/1972 - 92nd Congress (1971-1972) - Resolution of advice and consent to ratification agreed to in Senate by Yea-Nay vote. 89-0. Record Vote No: 502 EX. (All Actions) "/>
    <s v="678"/>
    <s v="CONVENTION FOR THE SUPPRESSION OF UNLAWFUL ACTS AGAINST THE SAFETY OF CIVIL AVIATION"/>
    <s v="92-32"/>
    <s v="09/15/1972 - 92nd Congress (1971-1972)"/>
    <s v="92nd"/>
    <s v="Aviation"/>
    <s v="10/03/1972 - 92nd Congress (1971-1972) - Resolution of advice and consent to ratification agreed to in Senate by Yea-Nay vote. 89-0. Record Vote No: 502 EX. (All Actions) "/>
    <x v="22"/>
    <s v="Resolution of advice and consent to ratification agreed to in Senate by Yea-Nay vote. 89-0. Record Vote No: 502 EX. (All Actions) "/>
    <x v="0"/>
    <x v="0"/>
  </r>
  <r>
    <s v="679. PROTOCOL AMENDING THE SINGLE CONVENTION ON NARCOTIC DRUGS, 1961 Senate Consideration of Treaty Document 92-22 Date Received from President: 05/04/1972 - 92nd Congress (1971-1972) Latest Senate Action: 09/18/1972 - 92nd Congress (1971-1972) - Resolution of advice and consent to ratification agreed to in Senate by Yea-Nay vote. 69-0. Record Vote No: 440 EX. (All Actions) "/>
    <s v="679"/>
    <s v="PROTOCOL AMENDING THE SINGLE CONVENTION ON NARCOTIC DRUGS, 1961"/>
    <s v="92-22"/>
    <s v="05/04/1972 - 92nd Congress (1971-1972)"/>
    <s v="92nd"/>
    <m/>
    <s v="09/18/1972 - 92nd Congress (1971-1972) - Resolution of advice and consent to ratification agreed to in Senate by Yea-Nay vote. 69-0. Record Vote No: 440 EX. (All Actions) "/>
    <x v="22"/>
    <s v="Resolution of advice and consent to ratification agreed to in Senate by Yea-Nay vote. 69-0. Record Vote No: 440 EX. (All Actions) "/>
    <x v="0"/>
    <x v="0"/>
  </r>
  <r>
    <s v="680. UNIVERSAL COPYRIGHT CONVENTION, AS REVISED, WITH PROTOCOLS Senate Consideration of Treaty Document 92-19 Date Received from President: 03/15/1972 - 92nd Congress (1971-1972) Latest Senate Action: 08/14/1972 - 92nd Congress (1971-1972) - Approved by 67-0 vote. (All Actions) "/>
    <s v="680"/>
    <s v="UNIVERSAL COPYRIGHT CONVENTION, AS REVISED, WITH PROTOCOLS"/>
    <s v="92-19"/>
    <s v="03/15/1972 - 92nd Congress (1971-1972)"/>
    <s v="92nd"/>
    <m/>
    <s v="08/14/1972 - 92nd Congress (1971-1972) - Approved by 67-0 vote. (All Actions) "/>
    <x v="22"/>
    <s v="Approved by 67-0 vote. (All Actions) "/>
    <x v="0"/>
    <x v="0"/>
  </r>
  <r>
    <s v="681. CONVENTION ON OWNERSHIP OF CULTURAL PROPERTY Senate Consideration of Treaty Document 92-14 Date Received from President: 02/02/1972 - 92nd Congress (1971-1972) Latest Senate Action: 08/11/1972 - 92nd Congress (1971-1972) - Resolution of advice and consent to ratification agreed to in Senate by Yea-Nay vote. 79-0. Record Vote No: 374 EX. (All Actions) "/>
    <s v="681"/>
    <s v="CONVENTION ON OWNERSHIP OF CULTURAL PROPERTY"/>
    <s v="92-14"/>
    <s v="02/02/1972 - 92nd Congress (1971-1972)"/>
    <s v="92nd"/>
    <m/>
    <s v="08/11/1972 - 92nd Congress (1971-1972) - Resolution of advice and consent to ratification agreed to in Senate by Yea-Nay vote. 79-0. Record Vote No: 374 EX. (All Actions) "/>
    <x v="22"/>
    <s v="Resolution of advice and consent to ratification agreed to in Senate by Yea-Nay vote. 79-0. Record Vote No: 374 EX. (All Actions) "/>
    <x v="0"/>
    <x v="0"/>
  </r>
  <r>
    <s v="682. TAX CONVENTION WITH NORWAY Senate Consideration of Treaty Document 92-16 Date Received from President: 02/03/1972 - 92nd Congress (1971-1972) Treaty Topic: Taxation Latest Senate Action: 08/11/1972 - 92nd Congress (1971-1972) - Resolution of advice and consent to ratification agreed to in Senate by Yea-Nay vote. 70-0. Record Vote No: 376 EX. (All Actions) "/>
    <s v="682"/>
    <s v="TAX CONVENTION WITH NORWAY"/>
    <s v="92-16"/>
    <s v="02/03/1972 - 92nd Congress (1971-1972)"/>
    <s v="92nd"/>
    <s v="Taxation"/>
    <s v="08/11/1972 - 92nd Congress (1971-1972) - Resolution of advice and consent to ratification agreed to in Senate by Yea-Nay vote. 70-0. Record Vote No: 376 EX. (All Actions) "/>
    <x v="22"/>
    <s v="Resolution of advice and consent to ratification agreed to in Senate by Yea-Nay vote. 70-0. Record Vote No: 376 EX. (All Actions) "/>
    <x v="0"/>
    <x v="0"/>
  </r>
  <r>
    <s v="683. CONVENTION ESTABLISHING AN INTERNATIONAL ORGANIZATION OF LEGAL METROLOGY Senate Consideration of Treaty Document 92-21 Date Received from President: 04/11/1972 - 92nd Congress (1971-1972) Latest Senate Action: 08/11/1972 - 92nd Congress (1971-1972) - Resolution of advice and consent to ratification agreed to in Senate by Yea-Nay vote. 79-0. Record Vote No: 375 EX. (All Actions) "/>
    <s v="683"/>
    <s v="CONVENTION ESTABLISHING AN INTERNATIONAL ORGANIZATION OF LEGAL METROLOGY"/>
    <s v="92-21"/>
    <s v="04/11/1972 - 92nd Congress (1971-1972)"/>
    <s v="92nd"/>
    <m/>
    <s v="08/11/1972 - 92nd Congress (1971-1972) - Resolution of advice and consent to ratification agreed to in Senate by Yea-Nay vote. 79-0. Record Vote No: 375 EX. (All Actions) "/>
    <x v="22"/>
    <s v="Resolution of advice and consent to ratification agreed to in Senate by Yea-Nay vote. 79-0. Record Vote No: 375 EX. (All Actions) "/>
    <x v="0"/>
    <x v="0"/>
  </r>
  <r>
    <s v="684. ABM TREATY AND INTERIM AGREEMENT AND ASSOCIATED PROTOCOL Senate Consideration of Treaty Document 92-24 Date Received from President: 06/13/1972 - 92nd Congress (1971-1972) Treaty Topic: Arms Control Latest Senate Action: 08/03/1972 - 92nd Congress (1971-1972) - Treaty considered in executive session; amendment to resolution submitted and withdrawn; resolution of advice and consent to ratification approved 88-2 (roll call vote 343 Ex.). (All Actions) "/>
    <s v="684"/>
    <s v="ABM TREATY AND INTERIM AGREEMENT AND ASSOCIATED PROTOCOL"/>
    <s v="92-24"/>
    <s v="06/13/1972 - 92nd Congress (1971-1972)"/>
    <s v="92nd"/>
    <s v="Arms Control"/>
    <s v="08/03/1972 - 92nd Congress (1971-1972) - Treaty considered in executive session; amendment to resolution submitted and withdrawn; resolution of advice and consent to ratification approved 88-2 (roll call vote 343 Ex.). (All Actions) "/>
    <x v="22"/>
    <s v="Treaty considered in executive session; amendment to resolution submitted and withdrawn; resolution of advice and consent to ratification approved 88-2 (roll call vote 343 Ex.). (All Actions) "/>
    <x v="0"/>
    <x v="0"/>
  </r>
  <r>
    <s v="685. CONVENTION ON TAKING OF EVIDENCE ABROAD IN CIVIL OR COMMERCIAL MATTERS Senate Consideration of Treaty Document 92-13 Date Received from President: 02/01/1972 - 92nd Congress (1971-1972) Latest Senate Action: 06/13/1972 - 92nd Congress (1971-1972) - Resolution of advice and consent to ratification agreed to in Senate by Yea-Nay vote. 84-0. Record Vote No: 205 EX. (All Actions) "/>
    <s v="685"/>
    <s v="CONVENTION ON TAKING OF EVIDENCE ABROAD IN CIVIL OR COMMERCIAL MATTERS"/>
    <s v="92-13"/>
    <s v="02/01/1972 - 92nd Congress (1971-1972)"/>
    <s v="92nd"/>
    <m/>
    <s v="06/13/1972 - 92nd Congress (1971-1972) - Resolution of advice and consent to ratification agreed to in Senate by Yea-Nay vote. 84-0. Record Vote No: 205 EX. (All Actions) "/>
    <x v="22"/>
    <s v="Resolution of advice and consent to ratification agreed to in Senate by Yea-Nay vote. 84-0. Record Vote No: 205 EX. (All Actions) "/>
    <x v="0"/>
    <x v="0"/>
  </r>
  <r>
    <s v="686. EXTRADITION TREATY WITH ARGENTINA Senate Consideration of Treaty Document 92-18 Date Received from President: 03/08/1972 - 92nd Congress (1971-1972) Treaty Topic: Extradition and Criminal Assistance Latest Senate Action: 06/13/1972 - 92nd Congress (1971-1972) - Resolution of advice and consent to ratification agreed to in Senate by Yea-Nay vote. 84-0. Record Vote No: 206 EX. (All Actions) "/>
    <s v="686"/>
    <s v="EXTRADITION TREATY WITH ARGENTINA"/>
    <s v="92-18"/>
    <s v="03/08/1972 - 92nd Congress (1971-1972)"/>
    <s v="92nd"/>
    <s v="Extradition and Criminal Assistance"/>
    <s v="06/13/1972 - 92nd Congress (1971-1972) - Resolution of advice and consent to ratification agreed to in Senate by Yea-Nay vote. 84-0. Record Vote No: 206 EX. (All Actions) "/>
    <x v="22"/>
    <s v="Resolution of advice and consent to ratification agreed to in Senate by Yea-Nay vote. 84-0. Record Vote No: 206 EX. (All Actions) "/>
    <x v="0"/>
    <x v="0"/>
  </r>
  <r>
    <s v="687. CONVENTION TO PREVENT AND PUNISH THE ACTS OF TERRORISM TAKING THE FORM OF CRIMES AGAINST PERSONS AND RELATED EXTORTION THAT ARE OF INTERNATIONAL SIGNIFICANCE Senate Consideration of Treaty Document 92-4 Date Received from President: 05/11/1971 - 92nd Congress (1971-1972) Latest Senate Action: 06/12/1972 - 92nd Congress (1971-1972) - Resolution of advice and consent to ratification agreed to in Senate by Yea-Nay vote. 74-0. Record Vote No: 202 EX. (All Actions) "/>
    <s v="687"/>
    <s v="CONVENTION TO PREVENT AND PUNISH THE ACTS OF TERRORISM TAKING THE FORM OF CRIMES AGAINST PERSONS AND RELATED EXTORTION THAT ARE OF INTERNATIONAL SIGNIFICANCE"/>
    <s v="92-4"/>
    <s v="05/11/1971 - 92nd Congress (1971-1972)"/>
    <s v="92nd"/>
    <m/>
    <s v="06/12/1972 - 92nd Congress (1971-1972) - Resolution of advice and consent to ratification agreed to in Senate by Yea-Nay vote. 74-0. Record Vote No: 202 EX. (All Actions) "/>
    <x v="22"/>
    <s v="Resolution of advice and consent to ratification agreed to in Senate by Yea-Nay vote. 74-0. Record Vote No: 202 EX. (All Actions) "/>
    <x v="0"/>
    <x v="0"/>
  </r>
  <r>
    <s v="688. TREATY WITH HONDURAS ON THE SWAN ISLANDS Senate Consideration of Treaty Document 92-20 Date Received from President: 03/28/1972 - 92nd Congress (1971-1972) Latest Senate Action: 06/12/1972 - 92nd Congress (1971-1972) - Resolution of advice and consent to ratification agreed to in Senate by Yea-Nay vote. 74-0. Record Vote No: 203 EX. (All Actions) "/>
    <s v="688"/>
    <s v="TREATY WITH HONDURAS ON THE SWAN ISLANDS"/>
    <s v="92-20"/>
    <s v="03/28/1972 - 92nd Congress (1971-1972)"/>
    <s v="92nd"/>
    <m/>
    <s v="06/12/1972 - 92nd Congress (1971-1972) - Resolution of advice and consent to ratification agreed to in Senate by Yea-Nay vote. 74-0. Record Vote No: 203 EX. (All Actions) "/>
    <x v="22"/>
    <s v="Resolution of advice and consent to ratification agreed to in Senate by Yea-Nay vote. 74-0. Record Vote No: 203 EX. (All Actions) "/>
    <x v="0"/>
    <x v="0"/>
  </r>
  <r>
    <s v="689. PARTIAL REVISION OF THE RADIO REGULATIONS (GENEVA, 1959) Senate Consideration of Treaty Document 92-17 Date Received from President: 02/16/1972 - 92nd Congress (1971-1972) Latest Senate Action: 06/06/1972 - 92nd Congress (1971-1972) - Resolution of advice and consent to ratification agreed to in Senate by Yea-Nay vote. 84-0. Record Vote No: 207 EX. (All Actions) "/>
    <s v="689"/>
    <s v="PARTIAL REVISION OF THE RADIO REGULATIONS (GENEVA, 1959)"/>
    <s v="92-17"/>
    <s v="02/16/1972 - 92nd Congress (1971-1972)"/>
    <s v="92nd"/>
    <m/>
    <s v="06/06/1972 - 92nd Congress (1971-1972) - Resolution of advice and consent to ratification agreed to in Senate by Yea-Nay vote. 84-0. Record Vote No: 207 EX. (All Actions) "/>
    <x v="22"/>
    <s v="Resolution of advice and consent to ratification agreed to in Senate by Yea-Nay vote. 84-0. Record Vote No: 207 EX. (All Actions) "/>
    <x v="0"/>
    <x v="0"/>
  </r>
  <r>
    <s v="690. AMENDMENT TO THE STATUTE OF THE INTERNATIONAL ATOMIC ENERGY AGENCY Senate Consideration of Treaty Document 92-15 Date Received from President: 02/03/1972 - 92nd Congress (1971-1972) Latest Senate Action: 03/17/1972 - 92nd Congress (1971-1972) - Resolution of advice and consent to ratification agreed to in Senate by Yea-Nay vote. 66-34. Record Vote No: 111 EX. (All Actions) "/>
    <s v="690"/>
    <s v="AMENDMENT TO THE STATUTE OF THE INTERNATIONAL ATOMIC ENERGY AGENCY"/>
    <s v="92-15"/>
    <s v="02/03/1972 - 92nd Congress (1971-1972)"/>
    <s v="92nd"/>
    <m/>
    <s v="03/17/1972 - 92nd Congress (1971-1972) - Resolution of advice and consent to ratification agreed to in Senate by Yea-Nay vote. 66-34. Record Vote No: 111 EX. (All Actions) "/>
    <x v="22"/>
    <s v="Resolution of advice and consent to ratification agreed to in Senate by Yea-Nay vote. 66-34. Record Vote No: 111 EX. (All Actions) "/>
    <x v="0"/>
    <x v="0"/>
  </r>
  <r>
    <s v="691. SEABED ARMS CONTROL TREATY Senate Consideration of Treaty Document 92-8 Date Received from President: 04/21/1971 - 92nd Congress (1971-1972) Treaty Topic: Arms Control Latest Senate Action: 02/15/1972 - 92nd Congress (1971-1972) - Resolution of advice and consent to ratification agreed to in Senate by Yea-Nay vote. 83-0. Record Vote No: 43 EX. (All Actions) "/>
    <s v="691"/>
    <s v="SEABED ARMS CONTROL TREATY"/>
    <s v="92-8"/>
    <s v="04/21/1971 - 92nd Congress (1971-1972)"/>
    <s v="92nd"/>
    <s v="Arms Control"/>
    <s v="02/15/1972 - 92nd Congress (1971-1972) - Resolution of advice and consent to ratification agreed to in Senate by Yea-Nay vote. 83-0. Record Vote No: 43 EX. (All Actions) "/>
    <x v="22"/>
    <s v="Resolution of advice and consent to ratification agreed to in Senate by Yea-Nay vote. 83-0. Record Vote No: 43 EX. (All Actions) "/>
    <x v="0"/>
    <x v="0"/>
  </r>
  <r>
    <s v="692. INDUSTRIAL DESIGNS CLASSIFICATION AGREEMENT Senate Consideration of Treaty Document 92-9 Date Received from President: 08/03/1971 - 92nd Congress (1971-1972) Latest Senate Action: 12/11/1971 - 92nd Congress (1971-1972) - Resolution of advice and consent to ratification agreed to in Senate by Yea-Nay vote. 75-0. Record Vote No: 453 EX. (All Actions) "/>
    <s v="692"/>
    <s v="INDUSTRIAL DESIGNS CLASSIFICATION AGREEMENT"/>
    <s v="92-9"/>
    <s v="08/03/1971 - 92nd Congress (1971-1972)"/>
    <s v="92nd"/>
    <m/>
    <s v="12/11/1971 - 92nd Congress (1971-1972) - Resolution of advice and consent to ratification agreed to in Senate by Yea-Nay vote. 75-0. Record Vote No: 453 EX. (All Actions) "/>
    <x v="22"/>
    <s v="Resolution of advice and consent to ratification agreed to in Senate by Yea-Nay vote. 75-0. Record Vote No: 453 EX. (All Actions) "/>
    <x v="0"/>
    <x v="0"/>
  </r>
  <r>
    <s v="693. PROTOCOL RELATING TO AN AMENDMENT TO THE INTERNATIONAL CIVIL AVIATION CONVENTION Senate Consideration of Treaty Document 92-11 Date Received from President: 09/30/1971 - 92nd Congress (1971-1972) Treaty Topic: Aviation Latest Senate Action: 12/11/1971 - 92nd Congress (1971-1972) - Resolution of advice and consent to ratification agreed to in Senate by Yea-Nay vote. 75-0. Record Vote No: 454 EX. (All Actions) "/>
    <s v="693"/>
    <s v="PROTOCOL RELATING TO AN AMENDMENT TO THE INTERNATIONAL CIVIL AVIATION CONVENTION"/>
    <s v="92-11"/>
    <s v="09/30/1971 - 92nd Congress (1971-1972)"/>
    <s v="92nd"/>
    <s v="Aviation"/>
    <s v="12/11/1971 - 92nd Congress (1971-1972) - Resolution of advice and consent to ratification agreed to in Senate by Yea-Nay vote. 75-0. Record Vote No: 454 EX. (All Actions) "/>
    <x v="22"/>
    <s v="Resolution of advice and consent to ratification agreed to in Senate by Yea-Nay vote. 75-0. Record Vote No: 454 EX. (All Actions) "/>
    <x v="0"/>
    <x v="0"/>
  </r>
  <r>
    <s v="694. NICE AGREEMENT, AS REVISED, CONCERNING THE INTERNATIONAL CLASSIFICATION OF GOODS AND SERVICES TO WHICH TRADEMARKS ARE APPLIED Senate Consideration of Treaty Document 91-23 Date Received from President: 09/24/1970 - 91st Congress (1969-1970) Latest Senate Action: 12/11/1971 - 92nd Congress (1971-1972) - Resolution of advice and consent to ratification agreed to in Senate by Yea-Nay vote. 75-0. Record Vote No: 452 EX. (All Actions) "/>
    <s v="694"/>
    <s v="NICE AGREEMENT, AS REVISED, CONCERNING THE INTERNATIONAL CLASSIFICATION OF GOODS AND SERVICES TO WHICH TRADEMARKS ARE APPLIED"/>
    <s v="91-23"/>
    <s v="09/24/1970 - 91st Congress (1969-1970)"/>
    <s v="91st"/>
    <m/>
    <s v="12/11/1971 - 92nd Congress (1971-1972) - Resolution of advice and consent to ratification agreed to in Senate by Yea-Nay vote. 75-0. Record Vote No: 452 EX. (All Actions) "/>
    <x v="22"/>
    <s v="Resolution of advice and consent to ratification agreed to in Senate by Yea-Nay vote. 75-0. Record Vote No: 452 EX. (All Actions) "/>
    <x v="0"/>
    <x v="0"/>
  </r>
  <r>
    <s v="695. TREATY WITH MEXICO RESOLVING BOUNDARY DIFFERENCES Senate Consideration of Treaty Document 92-2 Date Received from President: 04/21/1971 - 92nd Congress (1971-1972) Latest Senate Action: 11/29/1971 - 92nd Congress (1971-1972) - Resolution of advice and consent to ratification agreed to in Senate by Yea-Nay vote. 79-0. Record Vote No: 400 EX. (All Actions) "/>
    <s v="695"/>
    <s v="TREATY WITH MEXICO RESOLVING BOUNDARY DIFFERENCES"/>
    <s v="92-2"/>
    <s v="04/21/1971 - 92nd Congress (1971-1972)"/>
    <s v="92nd"/>
    <m/>
    <s v="11/29/1971 - 92nd Congress (1971-1972) - Resolution of advice and consent to ratification agreed to in Senate by Yea-Nay vote. 79-0. Record Vote No: 400 EX. (All Actions) "/>
    <x v="22"/>
    <s v="Resolution of advice and consent to ratification agreed to in Senate by Yea-Nay vote. 79-0. Record Vote No: 400 EX. (All Actions) "/>
    <x v="0"/>
    <x v="0"/>
  </r>
  <r>
    <s v="696. TAX CONVENTION WITH JAPAN Senate Consideration of Treaty Document 92-5 Date Received from President: 05/11/1971 - 92nd Congress (1971-1972) Treaty Topic: Taxation Latest Senate Action: 11/29/1971 - 92nd Congress (1971-1972) - Resolution of advice and consent to ratification agreed to in Senate by Yea-Nay vote. 79-0. Record Vote No: 401 EX. (All Actions) "/>
    <s v="696"/>
    <s v="TAX CONVENTION WITH JAPAN"/>
    <s v="92-5"/>
    <s v="05/11/1971 - 92nd Congress (1971-1972)"/>
    <s v="92nd"/>
    <s v="Taxation"/>
    <s v="11/29/1971 - 92nd Congress (1971-1972) - Resolution of advice and consent to ratification agreed to in Senate by Yea-Nay vote. 79-0. Record Vote No: 401 EX. (All Actions) "/>
    <x v="22"/>
    <s v="Resolution of advice and consent to ratification agreed to in Senate by Yea-Nay vote. 79-0. Record Vote No: 401 EX. (All Actions) "/>
    <x v="0"/>
    <x v="0"/>
  </r>
  <r>
    <s v="697. PROTOCOL TO THE 1967 TAX CONVENTION WITH FRANCE Senate Consideration of Treaty Document 91-25 Date Received from President: 12/15/1970 - 91st Congress (1969-1970) Treaty Topic: Taxation Latest Senate Action: 11/29/1971 - 92nd Congress (1971-1972) - Resolution of advice and consent to ratification agreed to in Senate by Yea-Nay vote. 79-0. Record Vote No: 402 EX. (All Actions) "/>
    <s v="697"/>
    <s v="PROTOCOL TO THE 1967 TAX CONVENTION WITH FRANCE"/>
    <s v="91-25"/>
    <s v="12/15/1970 - 91st Congress (1969-1970)"/>
    <s v="91st"/>
    <s v="Taxation"/>
    <s v="11/29/1971 - 92nd Congress (1971-1972) - Resolution of advice and consent to ratification agreed to in Senate by Yea-Nay vote. 79-0. Record Vote No: 402 EX. (All Actions) "/>
    <x v="22"/>
    <s v="Resolution of advice and consent to ratification agreed to in Senate by Yea-Nay vote. 79-0. Record Vote No: 402 EX. (All Actions) "/>
    <x v="0"/>
    <x v="0"/>
  </r>
  <r>
    <s v="698. AGREEMENT WITH JAPAN CONCERNING THE RYUKYU ISLANDS AND THE DAITO ISLANDS Senate Consideration of Treaty Document 92-10 Date Received from President: 09/21/1971 - 92nd Congress (1971-1972) Latest Senate Action: 11/10/1971 - 92nd Congress (1971-1972) - Resolution of advice and consent to ratification agreed to in Senate by Yea-Nay vote. 84-6. Record Vote No: 299 EX. (All Actions) "/>
    <s v="698"/>
    <s v="AGREEMENT WITH JAPAN CONCERNING THE RYUKYU ISLANDS AND THE DAITO ISLANDS"/>
    <s v="92-10"/>
    <s v="09/21/1971 - 92nd Congress (1971-1972)"/>
    <s v="92nd"/>
    <m/>
    <s v="11/10/1971 - 92nd Congress (1971-1972) - Resolution of advice and consent to ratification agreed to in Senate by Yea-Nay vote. 84-6. Record Vote No: 299 EX. (All Actions) "/>
    <x v="22"/>
    <s v="Resolution of advice and consent to ratification agreed to in Senate by Yea-Nay vote. 84-6. Record Vote No: 299 EX. (All Actions) "/>
    <x v="0"/>
    <x v="0"/>
  </r>
  <r>
    <s v="699. INTERNATIONAL CONVENTION RELATING TO INTERVENTION ON THE HIGH SEAS IN CASES OF OIL POLLUTION CASUALTIES Senate Consideration of Treaty Document 91-17(A) Date Received from President: 05/20/1970 - 91st Congress (1969-1970) Treaty Topic: Shipping and Marine Pollution Latest Senate Action: 09/20/1971 - 92nd Congress (1971-1972) - Resolution of advice and consent to ratification agreed to in Senate by Yea-Nay vote. 75-0. Record Vote No: 224 EX. (All Actions) "/>
    <s v="699"/>
    <s v="INTERNATIONAL CONVENTION RELATING TO INTERVENTION ON THE HIGH SEAS IN CASES OF OIL POLLUTION CASUALTIES"/>
    <s v="91-17"/>
    <s v="05/20/1970 - 91st Congress (1969-1970)"/>
    <s v="91st"/>
    <s v="Shipping and Marine Pollution"/>
    <s v="09/20/1971 - 92nd Congress (1971-1972) - Resolution of advice and consent to ratification agreed to in Senate by Yea-Nay vote. 75-0. Record Vote No: 224 EX. (All Actions) "/>
    <x v="22"/>
    <s v="Resolution of advice and consent to ratification agreed to in Senate by Yea-Nay vote. 75-0. Record Vote No: 224 EX. (All Actions) "/>
    <x v="0"/>
    <x v="0"/>
  </r>
  <r>
    <s v="700. AMENDMENTS TO THE 1954 OIL POLLUTION CONVENTION Senate Consideration of Treaty Document 91-17(C) Date Received from President: 05/20/1970 - 91st Congress (1969-1970) Treaty Topic: Shipping and Marine Pollution Latest Senate Action: 09/20/1971 - 92nd Congress (1971-1972) - Resolution of advice and consent to ratification agreed to in Senate by Yea-Nay vote. 75-0. Record Vote No: 225 EX. (All Actions) "/>
    <s v="700"/>
    <s v="AMENDMENTS TO THE 1954 OIL POLLUTION CONVENTION"/>
    <s v="91-17"/>
    <s v="05/20/1970 - 91st Congress (1969-1970)"/>
    <s v="91st"/>
    <s v="Shipping and Marine Pollution"/>
    <s v="09/20/1971 - 92nd Congress (1971-1972) - Resolution of advice and consent to ratification agreed to in Senate by Yea-Nay vote. 75-0. Record Vote No: 225 EX. (All Actions) "/>
    <x v="22"/>
    <s v="Resolution of advice and consent to ratification agreed to in Senate by Yea-Nay vote. 75-0. Record Vote No: 225 EX. (All Actions) "/>
    <x v="0"/>
    <x v="0"/>
  </r>
  <r>
    <s v="701. CONVENTION FOR THE SUPPRESSION OF UNLAWFUL SEIZURE OF AIRCRAFT Senate Consideration of Treaty Document 92-1 Date Received from President: 04/15/1971 - 92nd Congress (1971-1972) Latest Senate Action: 09/08/1971 - 92nd Congress (1971-1972) - Resolution of advice and consent to ratification agreed to in Senate by Yea-Nay vote. 53-0. Record Vote No: 213 EX. (All Actions) "/>
    <s v="701"/>
    <s v="CONVENTION FOR THE SUPPRESSION OF UNLAWFUL SEIZURE OF AIRCRAFT"/>
    <s v="92-1"/>
    <s v="04/15/1971 - 92nd Congress (1971-1972)"/>
    <s v="92nd"/>
    <m/>
    <s v="09/08/1971 - 92nd Congress (1971-1972) - Resolution of advice and consent to ratification agreed to in Senate by Yea-Nay vote. 53-0. Record Vote No: 213 EX. (All Actions) "/>
    <x v="22"/>
    <s v="Resolution of advice and consent to ratification agreed to in Senate by Yea-Nay vote. 53-0. Record Vote No: 213 EX. (All Actions) "/>
    <x v="0"/>
    <x v="0"/>
  </r>
  <r>
    <s v="702. INTERNATIONAL WHEAT AGREEMENT, 1971 Senate Consideration of Treaty Document 92-6 Date Received from President: 06/02/1971 - 92nd Congress (1971-1972) Treaty Topic: Commercial Latest Senate Action: 07/21/1971 - 92nd Congress (1971-1972) - Resolution of advice and consent to ratification agreed to in Senate by Yea-Nay vote. 78-0. Record Vote No: 137 EX. (All Actions) "/>
    <s v="702"/>
    <s v="INTERNATIONAL WHEAT AGREEMENT, 1971"/>
    <s v="92-6"/>
    <s v="06/02/1971 - 92nd Congress (1971-1972)"/>
    <s v="92nd"/>
    <s v="Commercial"/>
    <s v="07/21/1971 - 92nd Congress (1971-1972) - Resolution of advice and consent to ratification agreed to in Senate by Yea-Nay vote. 78-0. Record Vote No: 137 EX. (All Actions) "/>
    <x v="22"/>
    <s v="Resolution of advice and consent to ratification agreed to in Senate by Yea-Nay vote. 78-0. Record Vote No: 137 EX. (All Actions) "/>
    <x v="0"/>
    <x v="0"/>
  </r>
  <r>
    <s v="703. ADDITIONAL PROTOCOL II TO THE TREATY FOR THE PROHIBITION OF NUCLEAR WEAPONS IN LATIN AMERICA Senate Consideration of Treaty Document 91-18 Date Received from President: 08/13/1970 - 91st Congress (1969-1970) Treaty Topic: Arms Control Latest Senate Action: 04/19/1971 - 92nd Congress (1971-1972) - Resolution of advice and consent to ratification agreed to in Senate by Yea-Nay vote. 70-0. Record Vote No: 41 EX. (All Actions) "/>
    <s v="703"/>
    <s v="ADDITIONAL PROTOCOL II TO THE TREATY FOR THE PROHIBITION OF NUCLEAR WEAPONS IN LATIN AMERICA"/>
    <s v="91-18"/>
    <s v="08/13/1970 - 91st Congress (1969-1970)"/>
    <s v="91st"/>
    <s v="Arms Control"/>
    <s v="04/19/1971 - 92nd Congress (1971-1972) - Resolution of advice and consent to ratification agreed to in Senate by Yea-Nay vote. 70-0. Record Vote No: 41 EX. (All Actions) "/>
    <x v="22"/>
    <s v="Resolution of advice and consent to ratification agreed to in Senate by Yea-Nay vote. 70-0. Record Vote No: 41 EX. (All Actions) "/>
    <x v="0"/>
    <x v="0"/>
  </r>
  <r>
    <s v="704. CONVENTION WITH NICARAGUA TERMINATING THE BRYAN-CHAMORRO TREATY OF 1914 Senate Consideration of Treaty Document 91-22 Date Received from President: 09/23/1970 - 91st Congress (1969-1970) Latest Senate Action: 02/17/1971 - 92nd Congress (1971-1972) - Resolution of advice and consent to ratification agreed to in Senate by Yea-Nay vote. 66-5. Record Vote No: 3 EX. (All Actions) "/>
    <s v="704"/>
    <s v="CONVENTION WITH NICARAGUA TERMINATING THE BRYAN-CHAMORRO TREATY OF 1914"/>
    <s v="91-22"/>
    <s v="09/23/1970 - 91st Congress (1969-1970)"/>
    <s v="91st"/>
    <m/>
    <s v="02/17/1971 - 92nd Congress (1971-1972) - Resolution of advice and consent to ratification agreed to in Senate by Yea-Nay vote. 66-5. Record Vote No: 3 EX. (All Actions) "/>
    <x v="22"/>
    <s v="Resolution of advice and consent to ratification agreed to in Senate by Yea-Nay vote. 66-5. Record Vote No: 3 EX. (All Actions) "/>
    <x v="0"/>
    <x v="0"/>
  </r>
  <r>
    <s v="705. EXTRADITION TREATY WITH SPAIN Senate Consideration of Treaty Document 91-24 Date Received from President: 11/25/1970 - 91st Congress (1969-1970) Treaty Topic: Extradition and Criminal Assistance Latest Senate Action: 02/17/1971 - 92nd Congress (1971-1972) - Resolution of advice and consent to ratification agreed to in Senate by Yea-Nay vote. 72-0. Record Vote No: 4 EX. (All Actions) "/>
    <s v="705"/>
    <s v="EXTRADITION TREATY WITH SPAIN"/>
    <s v="91-24"/>
    <s v="11/25/1970 - 91st Congress (1969-1970)"/>
    <s v="91st"/>
    <s v="Extradition and Criminal Assistance"/>
    <s v="02/17/1971 - 92nd Congress (1971-1972) - Resolution of advice and consent to ratification agreed to in Senate by Yea-Nay vote. 72-0. Record Vote No: 4 EX. (All Actions) "/>
    <x v="22"/>
    <s v="Resolution of advice and consent to ratification agreed to in Senate by Yea-Nay vote. 72-0. Record Vote No: 4 EX. (All Actions) "/>
    <x v="0"/>
    <x v="0"/>
  </r>
  <r>
    <s v="706. TREATY WITH MEXICO PROVIDING FOR THE RECOVERY AND RETURN OF STOLEN ARCHAEOLOGICAL, HISTORICAL AND CULTURAL PROPERTIES Senate Consideration of Treaty Document 91-21 Date Received from President: 09/23/1970 - 91st Congress (1969-1970) Latest Senate Action: 02/10/1971 - 92nd Congress (1971-1972) - Resolution of advice and consent to ratification agreed to in Senate by Yea-Nay vote. 72-0. Record Vote No: 2 EX. (All Actions) "/>
    <s v="706"/>
    <s v="TREATY WITH MEXICO PROVIDING FOR THE RECOVERY AND RETURN OF STOLEN ARCHAEOLOGICAL, HISTORICAL AND CULTURAL PROPERTIES"/>
    <s v="91-21"/>
    <s v="09/23/1970 - 91st Congress (1969-1970)"/>
    <s v="91st"/>
    <m/>
    <s v="02/10/1971 - 92nd Congress (1971-1972) - Resolution of advice and consent to ratification agreed to in Senate by Yea-Nay vote. 72-0. Record Vote No: 2 EX. (All Actions) "/>
    <x v="22"/>
    <s v="Resolution of advice and consent to ratification agreed to in Senate by Yea-Nay vote. 72-0. Record Vote No: 2 EX. (All Actions) "/>
    <x v="0"/>
    <x v="0"/>
  </r>
  <r>
    <s v="707. TAX CONVENTION WITH THE NETHERLANDS Senate Consideration of Treaty Document 91-7 Date Received from President: 10/13/1969 - 91st Congress (1969-1970) Treaty Topic: Taxation Latest Senate Action: 11/24/1970 - 91st Congress (1969-1970) - Resolution of advice and consent to ratification agreed to in Senate by Yea-Nay vote. 76-0. Record Vote No: 398 EX. (All Actions) "/>
    <s v="707"/>
    <s v="TAX CONVENTION WITH THE NETHERLANDS"/>
    <s v="91-7"/>
    <s v="10/13/1969 - 91st Congress (1969-1970)"/>
    <s v="91st"/>
    <s v="Taxation"/>
    <s v="11/24/1970 - 91st Congress (1969-1970) - Resolution of advice and consent to ratification agreed to in Senate by Yea-Nay vote. 76-0. Record Vote No: 398 EX. (All Actions) "/>
    <x v="23"/>
    <s v="Resolution of advice and consent to ratification agreed to in Senate by Yea-Nay vote. 76-0. Record Vote No: 398 EX. (All Actions) "/>
    <x v="0"/>
    <x v="0"/>
  </r>
  <r>
    <s v="708. TAX CONVENTION WITH TRINIDAD AND TOBAGO Senate Consideration of Treaty Document 91-14 Date Received from President: 03/05/1970 - 91st Congress (1969-1970) Treaty Topic: Taxation Latest Senate Action: 11/24/1970 - 91st Congress (1969-1970) - Resolution of advice and consent to ratification agreed to in Senate by Yea-Nay vote. 76-0. Record Vote No: 399 EX. (All Actions) "/>
    <s v="708"/>
    <s v="TAX CONVENTION WITH TRINIDAD AND TOBAGO"/>
    <s v="91-14"/>
    <s v="03/05/1970 - 91st Congress (1969-1970)"/>
    <s v="91st"/>
    <s v="Taxation"/>
    <s v="11/24/1970 - 91st Congress (1969-1970) - Resolution of advice and consent to ratification agreed to in Senate by Yea-Nay vote. 76-0. Record Vote No: 399 EX. (All Actions) "/>
    <x v="23"/>
    <s v="Resolution of advice and consent to ratification agreed to in Senate by Yea-Nay vote. 76-0. Record Vote No: 399 EX. (All Actions) "/>
    <x v="0"/>
    <x v="0"/>
  </r>
  <r>
    <s v="709. TAX CONVENTION WITH FINLAND Senate Consideration of Treaty Document 91-15 Date Received from President: 05/13/1970 - 91st Congress (1969-1970) Treaty Topic: Taxation Latest Senate Action: 11/24/1970 - 91st Congress (1969-1970) - Resolution of advice and consent to ratification agreed to in Senate by Yea-Nay vote. 76-0. Record Vote No: 400 EX. (All Actions) "/>
    <s v="709"/>
    <s v="TAX CONVENTION WITH FINLAND"/>
    <s v="91-15"/>
    <s v="05/13/1970 - 91st Congress (1969-1970)"/>
    <s v="91st"/>
    <s v="Taxation"/>
    <s v="11/24/1970 - 91st Congress (1969-1970) - Resolution of advice and consent to ratification agreed to in Senate by Yea-Nay vote. 76-0. Record Vote No: 400 EX. (All Actions) "/>
    <x v="23"/>
    <s v="Resolution of advice and consent to ratification agreed to in Senate by Yea-Nay vote. 76-0. Record Vote No: 400 EX. (All Actions) "/>
    <x v="0"/>
    <x v="0"/>
  </r>
  <r>
    <s v="710. TAX CONVENTION WITH BELGIUM Senate Consideration of Treaty Document 91-19 Date Received from President: 08/13/1970 - 91st Congress (1969-1970) Treaty Topic: Taxation Latest Senate Action: 11/24/1970 - 91st Congress (1969-1970) - Resolution of advice and consent to ratification agreed to in Senate by Yea-Nay vote. 76-0. Record Vote No: 401 EX. (All Actions) "/>
    <s v="710"/>
    <s v="TAX CONVENTION WITH BELGIUM"/>
    <s v="91-19"/>
    <s v="08/13/1970 - 91st Congress (1969-1970)"/>
    <s v="91st"/>
    <s v="Taxation"/>
    <s v="11/24/1970 - 91st Congress (1969-1970) - Resolution of advice and consent to ratification agreed to in Senate by Yea-Nay vote. 76-0. Record Vote No: 401 EX. (All Actions) "/>
    <x v="23"/>
    <s v="Resolution of advice and consent to ratification agreed to in Senate by Yea-Nay vote. 76-0. Record Vote No: 401 EX. (All Actions) "/>
    <x v="0"/>
    <x v="0"/>
  </r>
  <r>
    <s v="711. SUPPLEMENTARY EXTRADITION TREATY WITH FRANCE Senate Consideration of Treaty Document 91-16 Date Received from President: 05/13/1970 - 91st Congress (1969-1970) Treaty Topic: Extradition and Criminal Assistance Latest Senate Action: 09/21/1970 - 91st Congress (1969-1970) - Resolution of advice and consent to ratification agreed to in Senate by Yea-Nay vote. 66-0. Record Vote No: 320 EX. (All Actions) "/>
    <s v="711"/>
    <s v="SUPPLEMENTARY EXTRADITION TREATY WITH FRANCE"/>
    <s v="91-16"/>
    <s v="05/13/1970 - 91st Congress (1969-1970)"/>
    <s v="91st"/>
    <s v="Extradition and Criminal Assistance"/>
    <s v="09/21/1970 - 91st Congress (1969-1970) - Resolution of advice and consent to ratification agreed to in Senate by Yea-Nay vote. 66-0. Record Vote No: 320 EX. (All Actions) "/>
    <x v="23"/>
    <s v="Resolution of advice and consent to ratification agreed to in Senate by Yea-Nay vote. 66-0. Record Vote No: 320 EX. (All Actions) "/>
    <x v="0"/>
    <x v="0"/>
  </r>
  <r>
    <s v="712. AGREEMENT WITH CANADA ON OPERATION OF RADIOTELEPHONE STATIONS Senate Consideration of Treaty Document 91-11 Date Received from President: 01/27/1970 - 91st Congress (1969-1970) Latest Senate Action: 05/27/1970 - 91st Congress (1969-1970) - Resolution of advice and consent to ratification agreed to in Senate by Yea-Nay vote. 79-0. Record Vote No: 150 EX. (All Actions) "/>
    <s v="712"/>
    <s v="AGREEMENT WITH CANADA ON OPERATION OF RADIOTELEPHONE STATIONS"/>
    <s v="91-11"/>
    <s v="01/27/1970 - 91st Congress (1969-1970)"/>
    <s v="91st"/>
    <m/>
    <s v="05/27/1970 - 91st Congress (1969-1970) - Resolution of advice and consent to ratification agreed to in Senate by Yea-Nay vote. 79-0. Record Vote No: 150 EX. (All Actions) "/>
    <x v="23"/>
    <s v="Resolution of advice and consent to ratification agreed to in Senate by Yea-Nay vote. 79-0. Record Vote No: 150 EX. (All Actions) "/>
    <x v="0"/>
    <x v="0"/>
  </r>
  <r>
    <s v="713. EXTRADITION TREATY WITH NEW ZEALAND Senate Consideration of Treaty Document 91-13 Date Received from President: 03/05/1970 - 91st Congress (1969-1970) Treaty Topic: Extradition and Criminal Assistance Latest Senate Action: 05/27/1970 - 91st Congress (1969-1970) - Resolution of advice and consent to ratification agreed to in Senate by Yea-Nay vote. 79-0. Record Vote No: 151 EX. (All Actions) "/>
    <s v="713"/>
    <s v="EXTRADITION TREATY WITH NEW ZEALAND"/>
    <s v="91-13"/>
    <s v="03/05/1970 - 91st Congress (1969-1970)"/>
    <s v="91st"/>
    <s v="Extradition and Criminal Assistance"/>
    <s v="05/27/1970 - 91st Congress (1969-1970) - Resolution of advice and consent to ratification agreed to in Senate by Yea-Nay vote. 79-0. Record Vote No: 151 EX. (All Actions) "/>
    <x v="23"/>
    <s v="Resolution of advice and consent to ratification agreed to in Senate by Yea-Nay vote. 79-0. Record Vote No: 151 EX. (All Actions) "/>
    <x v="0"/>
    <x v="0"/>
  </r>
  <r>
    <s v="714. PROTOCOL TO THE INTERNATIONAL CONVENTION FOR THE NORTHWEST ATLANTIC FISHERIES Senate Consideration of Treaty Document 91-9 Date Received from President: 12/12/1969 - 91st Congress (1969-1970) Treaty Topic: Fisheries and Wildlife Latest Senate Action: 03/19/1970 - 91st Congress (1969-1970) - Resolution of advice and consent to ratification agreed to in Senate by Yea-Nay vote. 78-0. Record Vote No: 106 EX. (All Actions) "/>
    <s v="714"/>
    <s v="PROTOCOL TO THE INTERNATIONAL CONVENTION FOR THE NORTHWEST ATLANTIC FISHERIES"/>
    <s v="91-9"/>
    <s v="12/12/1969 - 91st Congress (1969-1970)"/>
    <s v="91st"/>
    <s v="Fisheries and Wildlife"/>
    <s v="03/19/1970 - 91st Congress (1969-1970) - Resolution of advice and consent to ratification agreed to in Senate by Yea-Nay vote. 78-0. Record Vote No: 106 EX. (All Actions) "/>
    <x v="23"/>
    <s v="Resolution of advice and consent to ratification agreed to in Senate by Yea-Nay vote. 78-0. Record Vote No: 106 EX. (All Actions) "/>
    <x v="0"/>
    <x v="0"/>
  </r>
  <r>
    <s v="715. CONVENTION ON THE PRIVILEGES AND IMMUNITIES OF THE UNITED NATIONS Senate Consideration of Treaty Document 91-10 Date Received from President: 12/19/1969 - 91st Congress (1969-1970) Latest Senate Action: 03/19/1970 - 91st Congress (1969-1970) - Resolution of advice and consent to ratification agreed to in Senate by Yea-Nay vote. 78-0. Record Vote No: 107 EX. (All Actions) "/>
    <s v="715"/>
    <s v="CONVENTION ON THE PRIVILEGES AND IMMUNITIES OF THE UNITED NATIONS"/>
    <s v="91-10"/>
    <s v="12/19/1969 - 91st Congress (1969-1970)"/>
    <s v="91st"/>
    <m/>
    <s v="03/19/1970 - 91st Congress (1969-1970) - Resolution of advice and consent to ratification agreed to in Senate by Yea-Nay vote. 78-0. Record Vote No: 107 EX. (All Actions) "/>
    <x v="23"/>
    <s v="Resolution of advice and consent to ratification agreed to in Senate by Yea-Nay vote. 78-0. Record Vote No: 107 EX. (All Actions) "/>
    <x v="0"/>
    <x v="0"/>
  </r>
  <r>
    <s v="716. PROTOCOL FURTHER MODIFYING THE 1957 BROADCASTING AGREEMENT WITH MEXICO Senate Consideration of Treaty Document 90-18 Date Received from President: 01/31/1968 - 90th Congress (1967-1968) Latest Senate Action: 03/13/1970 - 91st Congress (1969-1970) - Returned to the President pursuant to S. Exec. Res. 1 agreed to on March 13, 1970. (All Actions) "/>
    <s v="716"/>
    <s v="PROTOCOL FURTHER MODIFYING THE 1957 BROADCASTING AGREEMENT WITH MEXICO"/>
    <s v="90-18"/>
    <s v="01/31/1968 - 90th Congress (1967-1968)"/>
    <s v="90th"/>
    <m/>
    <s v="03/13/1970 - 91st Congress (1969-1970) - Returned to the President pursuant to S. Exec. Res. 1 agreed to on March 13, 1970. (All Actions) "/>
    <x v="23"/>
    <s v="Returned to the President pursuant to S. Exec. Res. 1 agreed to on March 13, 1970. (All Actions) "/>
    <x v="0"/>
    <x v="0"/>
  </r>
  <r>
    <s v="717. CONVENTION ESTABLISHING THE WORLD INTELLECTUAL PROPERTY ORGANIZATION Senate Consideration of Treaty Document 91-1(A) Date Received from President: 03/12/1969 - 91st Congress (1969-1970) Latest Senate Action: 02/28/1970 - 91st Congress (1969-1970) - Resolution of advice and consent to ratification agreed to in Senate by Yea-Nay vote. 70-0. Record Vote No: 70 EX. (All Actions) "/>
    <s v="717"/>
    <s v="CONVENTION ESTABLISHING THE WORLD INTELLECTUAL PROPERTY ORGANIZATION"/>
    <s v="91-1("/>
    <s v="03/12/1969 - 91st Congress (1969-1970)"/>
    <s v="91st"/>
    <m/>
    <s v="02/28/1970 - 91st Congress (1969-1970) - Resolution of advice and consent to ratification agreed to in Senate by Yea-Nay vote. 70-0. Record Vote No: 70 EX. (All Actions) "/>
    <x v="23"/>
    <s v="Resolution of advice and consent to ratification agreed to in Senate by Yea-Nay vote. 70-0. Record Vote No: 70 EX. (All Actions) "/>
    <x v="0"/>
    <x v="0"/>
  </r>
  <r>
    <s v="718. REVISION OF THE PARIS CONVENTION FOR THE PROTECTION OF INDUSTRIAL PROPERTY Senate Consideration of Treaty Document 91-1(B) Date Received from President: 03/12/1969 - 91st Congress (1969-1970) Latest Senate Action: 02/28/1970 - 91st Congress (1969-1970) - Resolution of advice and consent to ratification agreed to in Senate by Yea-Nay vote. 70-0. Record Vote No: 70 EX. (All Actions) "/>
    <s v="718"/>
    <s v="REVISION OF THE PARIS CONVENTION FOR THE PROTECTION OF INDUSTRIAL PROPERTY"/>
    <s v="91-1("/>
    <s v="03/12/1969 - 91st Congress (1969-1970)"/>
    <s v="91st"/>
    <m/>
    <s v="02/28/1970 - 91st Congress (1969-1970) - Resolution of advice and consent to ratification agreed to in Senate by Yea-Nay vote. 70-0. Record Vote No: 70 EX. (All Actions) "/>
    <x v="23"/>
    <s v="Resolution of advice and consent to ratification agreed to in Senate by Yea-Nay vote. 70-0. Record Vote No: 70 EX. (All Actions) "/>
    <x v="0"/>
    <x v="0"/>
  </r>
  <r>
    <s v="719. RENEWAL OF REQUEST FOR CONSENT TO RATIFICATION OF THE GENOCIDE CONVENTION Senate Consideration of Treaty Document 91-12 Date Received from President: 02/10/1970 - 91st Congress (1969-1970) Latest Senate Action: 02/10/1970 - 91st Congress (1969-1970) - Received in the Senate and referred to the Committee on Foreign Relations by unanimous consent. (All Actions) "/>
    <s v="719"/>
    <s v="RENEWAL OF REQUEST FOR CONSENT TO RATIFICATION OF THE GENOCIDE CONVENTION"/>
    <s v="91-12"/>
    <s v="02/10/1970 - 91st Congress (1969-1970)"/>
    <s v="91st"/>
    <m/>
    <s v="02/10/1970 - 91st Congress (1969-1970) - Received in the Senate and referred to the Committee on Foreign Relations by unanimous consent. (All Actions) "/>
    <x v="23"/>
    <s v="Received in the Senate and referred to the Committee on Foreign Relations by unanimous consent. (All Actions) "/>
    <x v="1"/>
    <x v="0"/>
  </r>
  <r>
    <s v="720. CONSULAR CONVENTION WITH BELGIUM Senate Consideration of Treaty Document 91-6 Date Received from President: 10/08/1969 - 91st Congress (1969-1970) Treaty Topic: Consular Latest Senate Action: 11/10/1969 - 91st Congress (1969-1970) - Resolution of advice and consent to ratification agreed to in Senate by Yea-Nay vote. 71-0. Record Vote No: 142 EX. (All Actions) "/>
    <s v="720"/>
    <s v="CONSULAR CONVENTION WITH BELGIUM"/>
    <s v="91-6"/>
    <s v="10/08/1969 - 91st Congress (1969-1970)"/>
    <s v="91st"/>
    <s v="Consular"/>
    <s v="11/10/1969 - 91st Congress (1969-1970) - Resolution of advice and consent to ratification agreed to in Senate by Yea-Nay vote. 71-0. Record Vote No: 142 EX. (All Actions) "/>
    <x v="23"/>
    <s v="Resolution of advice and consent to ratification agreed to in Senate by Yea-Nay vote. 71-0. Record Vote No: 142 EX. (All Actions) "/>
    <x v="0"/>
    <x v="0"/>
  </r>
  <r>
    <s v="721. AGREEMENT WITH CANADA ON ADJUSTMENTS IN FLOOD CONTROL PAYMENTS Senate Consideration of Treaty Document 91-8 Date Received from President: 10/14/1969 - 91st Congress (1969-1970) Latest Senate Action: 11/10/1969 - 91st Congress (1969-1970) - Resolution of advice and consent to ratification agreed to in Senate by Yea-Nay vote. 67-3. Record Vote No: 143 EX. (All Actions) "/>
    <s v="721"/>
    <s v="AGREEMENT WITH CANADA ON ADJUSTMENTS IN FLOOD CONTROL PAYMENTS"/>
    <s v="91-8"/>
    <s v="10/14/1969 - 91st Congress (1969-1970)"/>
    <s v="91st"/>
    <m/>
    <s v="11/10/1969 - 91st Congress (1969-1970) - Resolution of advice and consent to ratification agreed to in Senate by Yea-Nay vote. 67-3. Record Vote No: 143 EX. (All Actions) "/>
    <x v="23"/>
    <s v="Resolution of advice and consent to ratification agreed to in Senate by Yea-Nay vote. 67-3. Record Vote No: 143 EX. (All Actions) "/>
    <x v="0"/>
    <x v="0"/>
  </r>
  <r>
    <s v="722. CONVENTION ON CONDUCT OF FISHING OPERATIONS IN THE NORTH ATLANTIC Senate Consideration of Treaty Document 91-4 Date Received from President: 04/16/1969 - 91st Congress (1969-1970) Treaty Topic: Fisheries and Wildlife Latest Senate Action: 10/22/1969 - 91st Congress (1969-1970) - Resolution of advice and consent to ratification agreed to in Senate by Yea-Nay vote. 80-0. Record Vote No: 129 EX. (All Actions) "/>
    <s v="722"/>
    <s v="CONVENTION ON CONDUCT OF FISHING OPERATIONS IN THE NORTH ATLANTIC"/>
    <s v="91-4"/>
    <s v="04/16/1969 - 91st Congress (1969-1970)"/>
    <s v="91st"/>
    <s v="Fisheries and Wildlife"/>
    <s v="10/22/1969 - 91st Congress (1969-1970) - Resolution of advice and consent to ratification agreed to in Senate by Yea-Nay vote. 80-0. Record Vote No: 129 EX. (All Actions) "/>
    <x v="23"/>
    <s v="Resolution of advice and consent to ratification agreed to in Senate by Yea-Nay vote. 80-0. Record Vote No: 129 EX. (All Actions) "/>
    <x v="0"/>
    <x v="0"/>
  </r>
  <r>
    <s v="723. VIENNA CONVENTION ON CONSULAR RELATIONS WITH OPTIONAL PROTOCOL Senate Consideration of Treaty Document 91-5 Date Received from President: 05/05/1969 - 91st Congress (1969-1970) Treaty Topic: Consular Latest Senate Action: 10/22/1969 - 91st Congress (1969-1970) - Resolution of advice and consent to ratification agreed to in Senate by Yea-Nay vote. 81-0. Record Vote No: 130 EX. (All Actions) "/>
    <s v="723"/>
    <s v="VIENNA CONVENTION ON CONSULAR RELATIONS WITH OPTIONAL PROTOCOL"/>
    <s v="91-5"/>
    <s v="05/05/1969 - 91st Congress (1969-1970)"/>
    <s v="91st"/>
    <s v="Consular"/>
    <s v="10/22/1969 - 91st Congress (1969-1970) - Resolution of advice and consent to ratification agreed to in Senate by Yea-Nay vote. 81-0. Record Vote No: 130 EX. (All Actions) "/>
    <x v="23"/>
    <s v="Resolution of advice and consent to ratification agreed to in Senate by Yea-Nay vote. 81-0. Record Vote No: 130 EX. (All Actions) "/>
    <x v="0"/>
    <x v="0"/>
  </r>
  <r>
    <s v="724. BROADCASTING AGREEMENTS WITH MEXICO Senate Consideration of Treaty Document 91-2 Date Received from President: 03/25/1969 - 91st Congress (1969-1970) Latest Senate Action: 06/19/1969 - 91st Congress (1969-1970) - Resolution of advice and consent to ratification agreed to in Senate by Yea-Nay vote. 89-0. Record Vote No: 46 EX. (All Actions) "/>
    <s v="724"/>
    <s v="BROADCASTING AGREEMENTS WITH MEXICO"/>
    <s v="91-2"/>
    <s v="03/25/1969 - 91st Congress (1969-1970)"/>
    <s v="91st"/>
    <m/>
    <s v="06/19/1969 - 91st Congress (1969-1970) - Resolution of advice and consent to ratification agreed to in Senate by Yea-Nay vote. 89-0. Record Vote No: 46 EX. (All Actions) "/>
    <x v="23"/>
    <s v="Resolution of advice and consent to ratification agreed to in Senate by Yea-Nay vote. 89-0. Record Vote No: 46 EX. (All Actions) "/>
    <x v="0"/>
    <x v="0"/>
  </r>
  <r>
    <s v="725. AGREEMENT WITH CANADA PROVIDING FOR ADDITIONAL TEMPORARY DIVERSIONS FROM THE NIAGARA RIVER FOR POWER PRODUTION PURPOSES Senate Consideration of Treaty Document 91-3 Date Received from President: 04/14/1969 - 91st Congress (1969-1970) Latest Senate Action: 05/13/1969 - 91st Congress (1969-1970) - Resolution of advice and consent to ratification agreed to in Senate by Yea-Nay vote. 94-0. Record Vote No: 30 EX. (All Actions) "/>
    <s v="725"/>
    <s v="AGREEMENT WITH CANADA PROVIDING FOR ADDITIONAL TEMPORARY DIVERSIONS FROM THE NIAGARA RIVER FOR POWER PRODUTION PURPOSES"/>
    <s v="91-3"/>
    <s v="04/14/1969 - 91st Congress (1969-1970)"/>
    <s v="91st"/>
    <m/>
    <s v="05/13/1969 - 91st Congress (1969-1970) - Resolution of advice and consent to ratification agreed to in Senate by Yea-Nay vote. 94-0. Record Vote No: 30 EX. (All Actions) "/>
    <x v="23"/>
    <s v="Resolution of advice and consent to ratification agreed to in Senate by Yea-Nay vote. 94-0. Record Vote No: 30 EX. (All Actions) "/>
    <x v="0"/>
    <x v="0"/>
  </r>
  <r>
    <s v="726. CONVENTION ON OFFENSES AND CERTAIN OTHER ACTS COMMITTED ON BOARD AIRCRAFT Senate Consideration of Treaty Document 90-28 Date Received from President: 09/25/1968 - 90th Congress (1967-1968) Latest Senate Action: 05/13/1969 - 91st Congress (1969-1970) - Resolution of advice and consent to ratification agreed to in Senate by Yea-Nay vote. 93-1. Record Vote No: 29 EX. (All Actions) "/>
    <s v="726"/>
    <s v="CONVENTION ON OFFENSES AND CERTAIN OTHER ACTS COMMITTED ON BOARD AIRCRAFT"/>
    <s v="90-28"/>
    <s v="09/25/1968 - 90th Congress (1967-1968)"/>
    <s v="90th"/>
    <m/>
    <s v="05/13/1969 - 91st Congress (1969-1970) - Resolution of advice and consent to ratification agreed to in Senate by Yea-Nay vote. 93-1. Record Vote No: 29 EX. (All Actions) "/>
    <x v="23"/>
    <s v="Resolution of advice and consent to ratification agreed to in Senate by Yea-Nay vote. 93-1. Record Vote No: 29 EX. (All Actions) "/>
    <x v="0"/>
    <x v="0"/>
  </r>
  <r>
    <s v="727. TREATY ON THE NON-PROLIFERATION OF NUCLEAR WEAPONS Senate Consideration of Treaty Document 90-24 Date Received from President: 07/09/1968 - 90th Congress (1967-1968) Treaty Topic: Arms Control Latest Senate Action: 03/13/1969 - 91st Congress (1969-1970) - Resolution of advice and consent to ratification agreed to in Senate by Yea-Nay vote. 83-15. Record Vote No: 23 EX. (All Actions) "/>
    <s v="727"/>
    <s v="TREATY ON THE NON-PROLIFERATION OF NUCLEAR WEAPONS"/>
    <s v="90-24"/>
    <s v="07/09/1968 - 90th Congress (1967-1968)"/>
    <s v="90th"/>
    <s v="Arms Control"/>
    <s v="03/13/1969 - 91st Congress (1969-1970) - Resolution of advice and consent to ratification agreed to in Senate by Yea-Nay vote. 83-15. Record Vote No: 23 EX. (All Actions) "/>
    <x v="23"/>
    <s v="Resolution of advice and consent to ratification agreed to in Senate by Yea-Nay vote. 83-15. Record Vote No: 23 EX. (All Actions) "/>
    <x v="0"/>
    <x v="0"/>
  </r>
  <r>
    <s v="728. AGREEMENT ON THE RESCUE OF ASTRONAUTS, THE RETURN OF ASTRONAUTS, AND THE RETURN OF OBJECTS LAUNCHED INTO OUTER SPACE Senate Consideration of Treaty Document 90-26 Date Received from President: 07/15/1968 - 90th Congress (1967-1968) Latest Senate Action: 10/08/1968 - 90th Congress (1967-1968) - Resolution of advice and consent to ratification agreed to in Senate by Yea-Nay vote. 66-0. Record Vote No: 322 EX. (All Actions) "/>
    <s v="728"/>
    <s v="AGREEMENT ON THE RESCUE OF ASTRONAUTS, THE RETURN OF ASTRONAUTS, AND THE RETURN OF OBJECTS LAUNCHED INTO OUTER SPACE"/>
    <s v="90-26"/>
    <s v="07/15/1968 - 90th Congress (1967-1968)"/>
    <s v="90th"/>
    <m/>
    <s v="10/08/1968 - 90th Congress (1967-1968) - Resolution of advice and consent to ratification agreed to in Senate by Yea-Nay vote. 66-0. Record Vote No: 322 EX. (All Actions) "/>
    <x v="24"/>
    <s v="Resolution of advice and consent to ratification agreed to in Senate by Yea-Nay vote. 66-0. Record Vote No: 322 EX. (All Actions) "/>
    <x v="0"/>
    <x v="1"/>
  </r>
  <r>
    <s v="729. CONVENTION ON THE RECOGNITION AND ENFORCEMENT OF FOREIGN ARBITRAL AWARDS Senate Consideration of Treaty Document 90-21 Date Received from President: 04/24/1968 - 90th Congress (1967-1968) Treaty Topic: International Law Latest Senate Action: 10/04/1968 - 90th Congress (1967-1968) - Resolution of advice and consent to ratification agreed to in Senate by Yea-Nay vote. 57-0. Record Vote No: 313 EX. (All Actions) "/>
    <s v="729"/>
    <s v="CONVENTION ON THE RECOGNITION AND ENFORCEMENT OF FOREIGN ARBITRAL AWARDS"/>
    <s v="90-21"/>
    <s v="04/24/1968 - 90th Congress (1967-1968)"/>
    <s v="90th"/>
    <s v="International Law"/>
    <s v="10/04/1968 - 90th Congress (1967-1968) - Resolution of advice and consent to ratification agreed to in Senate by Yea-Nay vote. 57-0. Record Vote No: 313 EX. (All Actions) "/>
    <x v="24"/>
    <s v="Resolution of advice and consent to ratification agreed to in Senate by Yea-Nay vote. 57-0. Record Vote No: 313 EX. (All Actions) "/>
    <x v="0"/>
    <x v="1"/>
  </r>
  <r>
    <s v="730. PARTIAL REVISION OF THE RADIO REGULATIONS (GENEVA, 1959) Senate Consideration of Treaty Document 90-22 Date Received from President: 05/17/1968 - 90th Congress (1967-1968) Latest Senate Action: 10/04/1968 - 90th Congress (1967-1968) - Resolution of advice and consent to ratification agreed to in Senate by Yea-Nay vote. 59-0. Record Vote No: 316 EX. (All Actions) "/>
    <s v="730"/>
    <s v="PARTIAL REVISION OF THE RADIO REGULATIONS (GENEVA, 1959)"/>
    <s v="90-22"/>
    <s v="05/17/1968 - 90th Congress (1967-1968)"/>
    <s v="90th"/>
    <m/>
    <s v="10/04/1968 - 90th Congress (1967-1968) - Resolution of advice and consent to ratification agreed to in Senate by Yea-Nay vote. 59-0. Record Vote No: 316 EX. (All Actions) "/>
    <x v="24"/>
    <s v="Resolution of advice and consent to ratification agreed to in Senate by Yea-Nay vote. 59-0. Record Vote No: 316 EX. (All Actions) "/>
    <x v="0"/>
    <x v="1"/>
  </r>
  <r>
    <s v="731. CONVENTION ESTABLISHING A CUSTOMS COOPERATION COUNCIL Senate Consideration of Treaty Document 90-23 Date Received from President: 05/20/1968 - 90th Congress (1967-1968) Latest Senate Action: 10/04/1968 - 90th Congress (1967-1968) - Resolution of advice and consent to ratification agreed to in Senate by Yea-Nay vote. 59-0. Record Vote No: 315 EX. (All Actions) "/>
    <s v="731"/>
    <s v="CONVENTION ESTABLISHING A CUSTOMS COOPERATION COUNCIL"/>
    <s v="90-23"/>
    <s v="05/20/1968 - 90th Congress (1967-1968)"/>
    <s v="90th"/>
    <m/>
    <s v="10/04/1968 - 90th Congress (1967-1968) - Resolution of advice and consent to ratification agreed to in Senate by Yea-Nay vote. 59-0. Record Vote No: 315 EX. (All Actions) "/>
    <x v="24"/>
    <s v="Resolution of advice and consent to ratification agreed to in Senate by Yea-Nay vote. 59-0. Record Vote No: 315 EX. (All Actions) "/>
    <x v="0"/>
    <x v="1"/>
  </r>
  <r>
    <s v="732. CONVENTION ON TRANSIT TRADE OF LAND-LOCKED STATES Senate Consideration of Treaty Document 90-25 Date Received from President: 07/12/1968 - 90th Congress (1967-1968) Treaty Topic: Commercial Latest Senate Action: 10/04/1968 - 90th Congress (1967-1968) - Resolution of advice and consent to ratification agreed to in Senate by Yea-Nay vote. 59-0. Record Vote No: 314 EX. (All Actions) "/>
    <s v="732"/>
    <s v="CONVENTION ON TRANSIT TRADE OF LAND-LOCKED STATES"/>
    <s v="90-25"/>
    <s v="07/12/1968 - 90th Congress (1967-1968)"/>
    <s v="90th"/>
    <s v="Commercial"/>
    <s v="10/04/1968 - 90th Congress (1967-1968) - Resolution of advice and consent to ratification agreed to in Senate by Yea-Nay vote. 59-0. Record Vote No: 314 EX. (All Actions) "/>
    <x v="24"/>
    <s v="Resolution of advice and consent to ratification agreed to in Senate by Yea-Nay vote. 59-0. Record Vote No: 314 EX. (All Actions) "/>
    <x v="0"/>
    <x v="1"/>
  </r>
  <r>
    <s v="733. PROTOCOL RELATING TO THE STATUS OF REFUGEES Senate Consideration of Treaty Document 90-27 Date Received from President: 08/01/1968 - 90th Congress (1967-1968) Latest Senate Action: 10/04/1968 - 90th Congress (1967-1968) - Resolution of advice and consent to ratification agreed to in Senate by Yea-Nay vote. 59-0. Record Vote No: 317 EX. (All Actions) "/>
    <s v="733"/>
    <s v="PROTOCOL RELATING TO THE STATUS OF REFUGEES"/>
    <s v="90-27"/>
    <s v="08/01/1968 - 90th Congress (1967-1968)"/>
    <s v="90th"/>
    <m/>
    <s v="10/04/1968 - 90th Congress (1967-1968) - Resolution of advice and consent to ratification agreed to in Senate by Yea-Nay vote. 59-0. Record Vote No: 317 EX. (All Actions) "/>
    <x v="24"/>
    <s v="Resolution of advice and consent to ratification agreed to in Senate by Yea-Nay vote. 59-0. Record Vote No: 317 EX. (All Actions) "/>
    <x v="0"/>
    <x v="1"/>
  </r>
  <r>
    <s v="734. 1968 INTERNATIONAL COFFEE AGREEMENT Senate Consideration of Treaty Document 90-20 Date Received from President: 02/23/1968 - 90th Congress (1967-1968) Treaty Topic: Commercial Latest Senate Action: 06/28/1968 - 90th Congress (1967-1968) - Resolution of advice and consent to ratification agreed to in Senate by Yea-Nay vote. 51-8. Record Vote No: 202 EX. (All Actions) "/>
    <s v="734"/>
    <s v="1968 INTERNATIONAL COFFEE AGREEMENT"/>
    <s v="90-20"/>
    <s v="02/23/1968 - 90th Congress (1967-1968)"/>
    <s v="90th"/>
    <s v="Commercial"/>
    <s v="06/28/1968 - 90th Congress (1967-1968) - Resolution of advice and consent to ratification agreed to in Senate by Yea-Nay vote. 51-8. Record Vote No: 202 EX. (All Actions) "/>
    <x v="24"/>
    <s v="Resolution of advice and consent to ratification agreed to in Senate by Yea-Nay vote. 51-8. Record Vote No: 202 EX. (All Actions) "/>
    <x v="0"/>
    <x v="1"/>
  </r>
  <r>
    <s v="735. INTERNATIONAL GRAINS ARRANGEMENT OF 1967 Senate Consideration of Treaty Document 90-17 Date Received from President: 01/25/1968 - 90th Congress (1967-1968) Treaty Topic: Commercial Latest Senate Action: 06/13/1968 - 90th Congress (1967-1968) - Resolution of advice and consent to ratification agreed to in Senate by Yea-Nay vote. 62-21. Record Vote No: 185 EX. (All Actions) "/>
    <s v="735"/>
    <s v="INTERNATIONAL GRAINS ARRANGEMENT OF 1967"/>
    <s v="90-17"/>
    <s v="01/25/1968 - 90th Congress (1967-1968)"/>
    <s v="90th"/>
    <s v="Commercial"/>
    <s v="06/13/1968 - 90th Congress (1967-1968) - Resolution of advice and consent to ratification agreed to in Senate by Yea-Nay vote. 62-21. Record Vote No: 185 EX. (All Actions) "/>
    <x v="24"/>
    <s v="Resolution of advice and consent to ratification agreed to in Senate by Yea-Nay vote. 62-21. Record Vote No: 185 EX. (All Actions) "/>
    <x v="0"/>
    <x v="1"/>
  </r>
  <r>
    <s v="736. INCOME TAX CONVENTION WITH THE PHILIPPINES Senate Consideration of Treaty Document 89-4 Date Received from President: 07/29/1965 - 89th Congress (1965-1966) Treaty Topic: Taxation Latest Senate Action: 06/06/1968 - 90th Congress (1967-1968) - Approved, with reservation, by 79-0 vote (No.177 Ex.). (All Actions) "/>
    <s v="736"/>
    <s v="INCOME TAX CONVENTION WITH THE PHILIPPINES"/>
    <s v="89-4"/>
    <s v="07/29/1965 - 89th Congress (1965-1966)"/>
    <s v="89th"/>
    <s v="Taxation"/>
    <s v="06/06/1968 - 90th Congress (1967-1968) - Approved, with reservation, by 79-0 vote (No.177 Ex.). (All Actions) "/>
    <x v="24"/>
    <s v="Approved, with reservation, by 79-0 vote (No.177 Ex.). (All Actions) "/>
    <x v="0"/>
    <x v="1"/>
  </r>
  <r>
    <s v="737. TAX CONVENTION WITH BRAZIL Senate Consideration of Treaty Document 90-10 Date Received from President: 04/21/1967 - 90th Congress (1967-1968) Treaty Topic: Taxation Latest Senate Action: 06/06/1968 - 90th Congress (1967-1968) - Resolution of advice and consent to ratification agreed to in Senate by Yea-Nay vote. 78-0. Record Vote No: 175 EX. (All Actions) "/>
    <s v="737"/>
    <s v="TAX CONVENTION WITH BRAZIL"/>
    <s v="90-10"/>
    <s v="04/21/1967 - 90th Congress (1967-1968)"/>
    <s v="90th"/>
    <s v="Taxation"/>
    <s v="06/06/1968 - 90th Congress (1967-1968) - Resolution of advice and consent to ratification agreed to in Senate by Yea-Nay vote. 78-0. Record Vote No: 175 EX. (All Actions) "/>
    <x v="24"/>
    <s v="Resolution of advice and consent to ratification agreed to in Senate by Yea-Nay vote. 78-0. Record Vote No: 175 EX. (All Actions) "/>
    <x v="0"/>
    <x v="1"/>
  </r>
  <r>
    <s v="738. TAX CONVENTION WITH FRANCE Senate Consideration of Treaty Document 90-14 Date Received from President: 10/03/1967 - 90th Congress (1967-1968) Treaty Topic: Taxation Latest Senate Action: 06/06/1968 - 90th Congress (1967-1968) - Resolution of advice and consent to ratification agreed to in Senate by Yea-Nay vote. 78-0. Record Vote No: 176 EX. (All Actions) "/>
    <s v="738"/>
    <s v="TAX CONVENTION WITH FRANCE"/>
    <s v="90-14"/>
    <s v="10/03/1967 - 90th Congress (1967-1968)"/>
    <s v="90th"/>
    <s v="Taxation"/>
    <s v="06/06/1968 - 90th Congress (1967-1968) - Resolution of advice and consent to ratification agreed to in Senate by Yea-Nay vote. 78-0. Record Vote No: 176 EX. (All Actions) "/>
    <x v="24"/>
    <s v="Resolution of advice and consent to ratification agreed to in Senate by Yea-Nay vote. 78-0. Record Vote No: 176 EX. (All Actions) "/>
    <x v="0"/>
    <x v="1"/>
  </r>
  <r>
    <s v="739. CONVENTION ON THE INTERNATIONAL HYDROGRAPHIC ORGANIZATION Senate Consideration of Treaty Document 90-15 Date Received from President: 10/24/1967 - 90th Congress (1967-1968) Treaty Topic: International Law and Organization Latest Senate Action: 05/13/1968 - 90th Congress (1967-1968) - Resolution of advice and consent to ratification agreed to in Senate by Yea-Nay vote. 73-0. Record Vote No: 127 EX. (All Actions) "/>
    <s v="739"/>
    <s v="CONVENTION ON THE INTERNATIONAL HYDROGRAPHIC ORGANIZATION"/>
    <s v="90-15"/>
    <s v="10/24/1967 - 90th Congress (1967-1968)"/>
    <s v="90th"/>
    <s v="International Law and Organization"/>
    <s v="05/13/1968 - 90th Congress (1967-1968) - Resolution of advice and consent to ratification agreed to in Senate by Yea-Nay vote. 73-0. Record Vote No: 127 EX. (All Actions) "/>
    <x v="24"/>
    <s v="Resolution of advice and consent to ratification agreed to in Senate by Yea-Nay vote. 73-0. Record Vote No: 127 EX. (All Actions) "/>
    <x v="0"/>
    <x v="1"/>
  </r>
  <r>
    <s v="740. SIX AMENDMENTS TO THE 1960 INTERNATIONAL CONVENTION FOR THE SAFETY OF LIFE AT SEA Senate Consideration of Treaty Document 90-19 Date Received from President: 02/28/1968 - 90th Congress (1967-1968) Treaty Topic: Shipping and Marine Pollution Latest Senate Action: 05/13/1968 - 90th Congress (1967-1968) - Resolution of advice and consent to ratification agreed to in Senate by Yea-Nay vote. 74-0. Record Vote No: 128 EX. (All Actions) "/>
    <s v="740"/>
    <s v="SIX AMENDMENTS TO THE 1960 INTERNATIONAL CONVENTION FOR THE SAFETY OF LIFE AT SEA"/>
    <s v="90-19"/>
    <s v="02/28/1968 - 90th Congress (1967-1968)"/>
    <s v="90th"/>
    <s v="Shipping and Marine Pollution"/>
    <s v="05/13/1968 - 90th Congress (1967-1968) - Resolution of advice and consent to ratification agreed to in Senate by Yea-Nay vote. 74-0. Record Vote No: 128 EX. (All Actions) "/>
    <x v="24"/>
    <s v="Resolution of advice and consent to ratification agreed to in Senate by Yea-Nay vote. 74-0. Record Vote No: 128 EX. (All Actions) "/>
    <x v="0"/>
    <x v="1"/>
  </r>
  <r>
    <s v="741. CONVENTION RELATING TO INTERNATIONAL EXHIBITIONS Senate Consideration of Treaty Document 90-16 Date Received from President: 11/28/1967 - 90th Congress (1967-1968) Treaty Topic: International Law and Organization Latest Senate Action: 04/30/1968 - 90th Congress (1967-1968) - Resolution of advice and consent to ratification agreed to in Senate by Yea-Nay vote. 74-0. Record Vote No: 124 EX. (All Actions) "/>
    <s v="741"/>
    <s v="CONVENTION RELATING TO INTERNATIONAL EXHIBITIONS"/>
    <s v="90-16"/>
    <s v="11/28/1967 - 90th Congress (1967-1968)"/>
    <s v="90th"/>
    <s v="International Law and Organization"/>
    <s v="04/30/1968 - 90th Congress (1967-1968) - Resolution of advice and consent to ratification agreed to in Senate by Yea-Nay vote. 74-0. Record Vote No: 124 EX. (All Actions) "/>
    <x v="24"/>
    <s v="Resolution of advice and consent to ratification agreed to in Senate by Yea-Nay vote. 74-0. Record Vote No: 124 EX. (All Actions) "/>
    <x v="0"/>
    <x v="1"/>
  </r>
  <r>
    <s v="742. PROTOCOL AMENDING THE CHARTER OF THE ORGANIZATION OF AMERICAN STATES Senate Consideration of Treaty Document 90-12 Date Received from President: 06/12/1967 - 90th Congress (1967-1968) Latest Senate Action: 04/10/1968 - 90th Congress (1967-1968) - Resolution of advice and consent to ratification agreed to in Senate by Yea-Nay vote. 75-0. Record Vote No: 101 EX. (All Actions) "/>
    <s v="742"/>
    <s v="PROTOCOL AMENDING THE CHARTER OF THE ORGANIZATION OF AMERICAN STATES"/>
    <s v="90-12"/>
    <s v="06/12/1967 - 90th Congress (1967-1968)"/>
    <s v="90th"/>
    <m/>
    <s v="04/10/1968 - 90th Congress (1967-1968) - Resolution of advice and consent to ratification agreed to in Senate by Yea-Nay vote. 75-0. Record Vote No: 101 EX. (All Actions) "/>
    <x v="24"/>
    <s v="Resolution of advice and consent to ratification agreed to in Senate by Yea-Nay vote. 75-0. Record Vote No: 101 EX. (All Actions) "/>
    <x v="0"/>
    <x v="1"/>
  </r>
  <r>
    <s v="743. AMENDMENT TO THE INTERGOVERNMENTAL MARITIME CONSULTATIVE ORGANIZATION CONVENTION Senate Consideration of Treaty Document 90-13 Date Received from President: 07/13/1967 - 90th Congress (1967-1968) Treaty Topic: Shipping and Marine Pollution Latest Senate Action: 12/11/1967 - 90th Congress (1967-1968) - Resolution of advice and consent to ratification agreed to in Senate by Yea-Nay vote. 75-0. Record Vote No: 382 EX. (All Actions) "/>
    <s v="743"/>
    <s v="AMENDMENT TO THE INTERGOVERNMENTAL MARITIME CONSULTATIVE ORGANIZATION CONVENTION"/>
    <s v="90-13"/>
    <s v="07/13/1967 - 90th Congress (1967-1968)"/>
    <s v="90th"/>
    <s v="Shipping and Marine Pollution"/>
    <s v="12/11/1967 - 90th Congress (1967-1968) - Resolution of advice and consent to ratification agreed to in Senate by Yea-Nay vote. 75-0. Record Vote No: 382 EX. (All Actions) "/>
    <x v="24"/>
    <s v="Resolution of advice and consent to ratification agreed to in Senate by Yea-Nay vote. 75-0. Record Vote No: 382 EX. (All Actions) "/>
    <x v="0"/>
    <x v="1"/>
  </r>
  <r>
    <s v="744. PROTOCOL FOR THE FURTHER PROLONGATION OF THE INTERNATIONAL SUGAR AGREEMENT OF 1958 Senate Consideration of Treaty Document 90-11 Date Received from President: 05/09/1967 - 90th Congress (1967-1968) Treaty Topic: Commercial Latest Senate Action: 12/06/1967 - 90th Congress (1967-1968) - Resolution of advice and consent to ratification agreed to in Senate by Yea-Nay vote. 84-0. Record Vote No: 374EX. (All Actions) "/>
    <s v="744"/>
    <s v="PROTOCOL FOR THE FURTHER PROLONGATION OF THE INTERNATIONAL SUGAR AGREEMENT OF 1958"/>
    <s v="90-11"/>
    <s v="05/09/1967 - 90th Congress (1967-1968)"/>
    <s v="90th"/>
    <s v="Commercial"/>
    <s v="12/06/1967 - 90th Congress (1967-1968) - Resolution of advice and consent to ratification agreed to in Senate by Yea-Nay vote. 84-0. Record Vote No: 374EX. (All Actions) "/>
    <x v="24"/>
    <s v="Resolution of advice and consent to ratification agreed to in Senate by Yea-Nay vote. 84-0. Record Vote No: 374EX. (All Actions) "/>
    <x v="0"/>
    <x v="1"/>
  </r>
  <r>
    <s v="745. SUPPLEMENTARY TAX CONVENTION WITH CANADA Senate Consideration of Treaty Document 90-2 Date Received from President: 01/25/1967 - 90th Congress (1967-1968) Treaty Topic: Taxation Latest Senate Action: 11/02/1967 - 90th Congress (1967-1968) - Resolution of advice and consent to ratification agreed to in Senate by Yea-Nay vote. 77-0. Record Vote No: 307 EX. (All Actions) "/>
    <s v="745"/>
    <s v="SUPPLEMENTARY TAX CONVENTION WITH CANADA"/>
    <s v="90-2"/>
    <s v="01/25/1967 - 90th Congress (1967-1968)"/>
    <s v="90th"/>
    <s v="Taxation"/>
    <s v="11/02/1967 - 90th Congress (1967-1968) - Resolution of advice and consent to ratification agreed to in Senate by Yea-Nay vote. 77-0. Record Vote No: 307 EX. (All Actions) "/>
    <x v="24"/>
    <s v="Resolution of advice and consent to ratification agreed to in Senate by Yea-Nay vote. 77-0. Record Vote No: 307 EX. (All Actions) "/>
    <x v="0"/>
    <x v="1"/>
  </r>
  <r>
    <s v="746. TAX CONVENTION WITH TRINIDAD AND TOBAGO Senate Consideration of Treaty Document 90-6 Date Received from President: 02/23/1967 - 90th Congress (1967-1968) Treaty Topic: Taxation Latest Senate Action: 11/02/1967 - 90th Congress (1967-1968) - Resolution of advice and consent to ratification agreed to in Senate by Yea-Nay vote. 77-0. Record Vote No: 308 EX. (All Actions) "/>
    <s v="746"/>
    <s v="TAX CONVENTION WITH TRINIDAD AND TOBAGO"/>
    <s v="90-6"/>
    <s v="02/23/1967 - 90th Congress (1967-1968)"/>
    <s v="90th"/>
    <s v="Taxation"/>
    <s v="11/02/1967 - 90th Congress (1967-1968) - Resolution of advice and consent to ratification agreed to in Senate by Yea-Nay vote. 77-0. Record Vote No: 308 EX. (All Actions) "/>
    <x v="24"/>
    <s v="Resolution of advice and consent to ratification agreed to in Senate by Yea-Nay vote. 77-0. Record Vote No: 308 EX. (All Actions) "/>
    <x v="0"/>
    <x v="1"/>
  </r>
  <r>
    <s v="747. CONSULAR CONVENTION WITH FRANCE Senate Consideration of Treaty Document 90-9 Date Received from President: 04/19/1967 - 90th Congress (1967-1968) Treaty Topic: Consular Latest Senate Action: 09/18/1967 - 90th Congress (1967-1968) - Resolution of advice and consent to ratification agreed to in Senate by Yea-Nay vote. 80-0. Record Vote No: 251 EX. (All Actions) "/>
    <s v="747"/>
    <s v="CONSULAR CONVENTION WITH FRANCE"/>
    <s v="90-9"/>
    <s v="04/19/1967 - 90th Congress (1967-1968)"/>
    <s v="90th"/>
    <s v="Consular"/>
    <s v="09/18/1967 - 90th Congress (1967-1968) - Resolution of advice and consent to ratification agreed to in Senate by Yea-Nay vote. 80-0. Record Vote No: 251 EX. (All Actions) "/>
    <x v="24"/>
    <s v="Resolution of advice and consent to ratification agreed to in Senate by Yea-Nay vote. 80-0. Record Vote No: 251 EX. (All Actions) "/>
    <x v="0"/>
    <x v="1"/>
  </r>
  <r>
    <s v="748. PARTIAL REVISION OF THE RADIO REGULATIONS (GENEVA, 1959), WITH PROTOCOL Senate Consideration of Treaty Document 90-8 Date Received from President: 03/23/1967 - 90th Congress (1967-1968) Latest Senate Action: 08/02/1967 - 90th Congress (1967-1968) - Resolution of advice and consent to ratification agreed to in Senate by Yea-Nay vote. 86-0. Record Vote No: 198 EX. (All Actions) "/>
    <s v="748"/>
    <s v="PARTIAL REVISION OF THE RADIO REGULATIONS (GENEVA, 1959), WITH PROTOCOL"/>
    <s v="90-8"/>
    <s v="03/23/1967 - 90th Congress (1967-1968)"/>
    <s v="90th"/>
    <m/>
    <s v="08/02/1967 - 90th Congress (1967-1968) - Resolution of advice and consent to ratification agreed to in Senate by Yea-Nay vote. 86-0. Record Vote No: 198 EX. (All Actions) "/>
    <x v="24"/>
    <s v="Resolution of advice and consent to ratification agreed to in Senate by Yea-Nay vote. 86-0. Record Vote No: 198 EX. (All Actions) "/>
    <x v="0"/>
    <x v="1"/>
  </r>
  <r>
    <s v="749. AMENDMENT TO ARTICLE 109 OF THE CHARTER OF THE UNITED NATIONS Senate Consideration of Treaty Document 90-1 Date Received from President: 01/23/1967 - 90th Congress (1967-1968) Latest Senate Action: 05/08/1967 - 90th Congress (1967-1968) - Resolution of advice and consent to ratification agreed to in Senate by Yea-Nay vote. 84-0. Record Vote No: 105 EX. (All Actions) "/>
    <s v="749"/>
    <s v="AMENDMENT TO ARTICLE 109 OF THE CHARTER OF THE UNITED NATIONS"/>
    <s v="90-1"/>
    <s v="01/23/1967 - 90th Congress (1967-1968)"/>
    <s v="90th"/>
    <m/>
    <s v="05/08/1967 - 90th Congress (1967-1968) - Resolution of advice and consent to ratification agreed to in Senate by Yea-Nay vote. 84-0. Record Vote No: 105 EX. (All Actions) "/>
    <x v="24"/>
    <s v="Resolution of advice and consent to ratification agreed to in Senate by Yea-Nay vote. 84-0. Record Vote No: 105 EX. (All Actions) "/>
    <x v="0"/>
    <x v="1"/>
  </r>
  <r>
    <s v="750. SINGLE CONVENTION ON NARCOTIC DRUGS, 1961 Senate Consideration of Treaty Document 90-7 Date Received from President: 03/08/1967 - 90th Congress (1967-1968) Latest Senate Action: 05/08/1967 - 90th Congress (1967-1968) - Resolution of advice and consent to ratification agreed to in Senate by Yea-Nay vote. 84-0. Record Vote No: 106 EX. (All Actions) "/>
    <s v="750"/>
    <s v="SINGLE CONVENTION ON NARCOTIC DRUGS, 1961"/>
    <s v="90-7"/>
    <s v="03/08/1967 - 90th Congress (1967-1968)"/>
    <s v="90th"/>
    <m/>
    <s v="05/08/1967 - 90th Congress (1967-1968) - Resolution of advice and consent to ratification agreed to in Senate by Yea-Nay vote. 84-0. Record Vote No: 106 EX. (All Actions) "/>
    <x v="24"/>
    <s v="Resolution of advice and consent to ratification agreed to in Senate by Yea-Nay vote. 84-0. Record Vote No: 106 EX. (All Actions) "/>
    <x v="0"/>
    <x v="1"/>
  </r>
  <r>
    <s v="751. TREATY ON PRINCIPLES GOVERNING THE ACTIVITIES OF STATES IN THE EXPLORATION AND USE OF OUTER SPACE, INCLUDING THE MOON AND OTHER CELESTIAL BODIES Senate Consideration of Treaty Document 90-4 Date Received from President: 02/07/1967 - 90th Congress (1967-1968) Latest Senate Action: 04/25/1967 - 90th Congress (1967-1968) - Resolution of advice and consent to ratification agreed to in Senate by Yea-Nay vote. 88-0. Record Vote No: 92 EX. (All Actions) "/>
    <s v="751"/>
    <s v="TREATY ON PRINCIPLES GOVERNING THE ACTIVITIES OF STATES IN THE EXPLORATION AND USE OF OUTER SPACE, INCLUDING THE MOON AND OTHER CELESTIAL BODIES"/>
    <s v="90-4"/>
    <s v="02/07/1967 - 90th Congress (1967-1968)"/>
    <s v="90th"/>
    <m/>
    <s v="04/25/1967 - 90th Congress (1967-1968) - Resolution of advice and consent to ratification agreed to in Senate by Yea-Nay vote. 88-0. Record Vote No: 92 EX. (All Actions) "/>
    <x v="24"/>
    <s v="Resolution of advice and consent to ratification agreed to in Senate by Yea-Nay vote. 88-0. Record Vote No: 92 EX. (All Actions) "/>
    <x v="0"/>
    <x v="1"/>
  </r>
  <r>
    <s v="752. CONVENTION ON THE SERVICE ABROAD OF JUDICIAL AND EXTRAJUDICIAL DOCUMENTS IN CIVIL OR COMMERCIAL MATTERS Senate Consideration of Treaty Document 90-3 Date Received from President: 01/31/1967 - 90th Congress (1967-1968) Latest Senate Action: 04/13/1967 - 90th Congress (1967-1968) - Resolution of advice and consent to ratification agreed to in Senate by Yea-Nay vote. 82-0. Record Vote No: 75 EX. (All Actions) "/>
    <s v="752"/>
    <s v="CONVENTION ON THE SERVICE ABROAD OF JUDICIAL AND EXTRAJUDICIAL DOCUMENTS IN CIVIL OR COMMERCIAL MATTERS"/>
    <s v="90-3"/>
    <s v="01/31/1967 - 90th Congress (1967-1968)"/>
    <s v="90th"/>
    <m/>
    <s v="04/13/1967 - 90th Congress (1967-1968) - Resolution of advice and consent to ratification agreed to in Senate by Yea-Nay vote. 82-0. Record Vote No: 75 EX. (All Actions) "/>
    <x v="24"/>
    <s v="Resolution of advice and consent to ratification agreed to in Senate by Yea-Nay vote. 82-0. Record Vote No: 75 EX. (All Actions) "/>
    <x v="0"/>
    <x v="1"/>
  </r>
  <r>
    <s v="753. AMENDMENTS TO THE INTERNATIONAL CONVENTION FOR THE SAFETY OF LIFE AT SEA, 1960 Senate Consideration of Treaty Document 90-5 Date Received from President: 02/15/1967 - 90th Congress (1967-1968) Treaty Topic: Shipping and Marine Pollution Latest Senate Action: 03/21/1967 - 90th Congress (1967-1968) - Resolution of advice and consent to ratification agreed to in Senate by Yea-Nay vote. 88-0. Record Vote No: 67 EX. (All Actions) "/>
    <s v="753"/>
    <s v="AMENDMENTS TO THE INTERNATIONAL CONVENTION FOR THE SAFETY OF LIFE AT SEA, 1960"/>
    <s v="90-5"/>
    <s v="02/15/1967 - 90th Congress (1967-1968)"/>
    <s v="90th"/>
    <s v="Shipping and Marine Pollution"/>
    <s v="03/21/1967 - 90th Congress (1967-1968) - Resolution of advice and consent to ratification agreed to in Senate by Yea-Nay vote. 88-0. Record Vote No: 67 EX. (All Actions) "/>
    <x v="24"/>
    <s v="Resolution of advice and consent to ratification agreed to in Senate by Yea-Nay vote. 88-0. Record Vote No: 67 EX. (All Actions) "/>
    <x v="0"/>
    <x v="1"/>
  </r>
  <r>
    <s v="754. AMENDMENTS OF CONVENTION ON INTERGOVERNMENTAL MARITIME CONSULTATIVE ORGANIZATION Senate Consideration of Treaty Document 89-8 Date Received from President: 09/13/1965 - 89th Congress (1965-1966) Treaty Topic: Shipping and Marine Pollution Latest Senate Action: 06/21/1966 - 89th Congress (1965-1966) - Resolution of advice and consent to ratification agreed to in Senate by Yea-Nay vote. 83-0. Record Vote No: 102 EX. (All Actions) "/>
    <s v="754"/>
    <s v="AMENDMENTS OF CONVENTION ON INTERGOVERNMENTAL MARITIME CONSULTATIVE ORGANIZATION"/>
    <s v="89-8"/>
    <s v="09/13/1965 - 89th Congress (1965-1966)"/>
    <s v="89th"/>
    <s v="Shipping and Marine Pollution"/>
    <s v="06/21/1966 - 89th Congress (1965-1966) - Resolution of advice and consent to ratification agreed to in Senate by Yea-Nay vote. 83-0. Record Vote No: 102 EX. (All Actions) "/>
    <x v="25"/>
    <s v="Resolution of advice and consent to ratification agreed to in Senate by Yea-Nay vote. 83-0. Record Vote No: 102 EX. (All Actions) "/>
    <x v="0"/>
    <x v="1"/>
  </r>
  <r>
    <s v="755. Convention (No. 122) Concerning Employment Policy Senate Consideration of Treaty Document 89-16 Date Received from President: 06/02/1966 - 89th Congress (1965-1966) Treaty Topic: Labor Latest Senate Action: 06/02/1966 - 89th Congress (1965-1966) - Received in the Senate and referred to the Committee on Foreign Relations by unanimous consent. (All Actions) "/>
    <s v="755"/>
    <s v="Convention (No. 122) Concerning Employment Policy"/>
    <s v="89-16"/>
    <s v="06/02/1966 - 89th Congress (1965-1966)"/>
    <s v="89th"/>
    <s v="Labor"/>
    <s v="06/02/1966 - 89th Congress (1965-1966) - Received in the Senate and referred to the Committee on Foreign Relations by unanimous consent. (All Actions) "/>
    <x v="25"/>
    <s v="Received in the Senate and referred to the Committee on Foreign Relations by unanimous consent. (All Actions) "/>
    <x v="1"/>
    <x v="1"/>
  </r>
  <r>
    <s v="756. PROTOCOL MODIFYING CONVENTION WITH BELGIUM FOR THE AVOIDANCE OF DOUBLE TAXATION Senate Consideration of Treaty Document 89-7 Date Received from President: 08/05/1965 - 89th Congress (1965-1966) Treaty Topic: Taxation Latest Senate Action: 10/22/1965 - 89th Congress (1965-1966) - General debate; approved by 66-0 vote (No. 301 Ex.). (All Actions) "/>
    <s v="756"/>
    <s v="PROTOCOL MODIFYING CONVENTION WITH BELGIUM FOR THE AVOIDANCE OF DOUBLE TAXATION"/>
    <s v="89-7"/>
    <s v="08/05/1965 - 89th Congress (1965-1966)"/>
    <s v="89th"/>
    <s v="Taxation"/>
    <s v="10/22/1965 - 89th Congress (1965-1966) - General debate; approved by 66-0 vote (No. 301 Ex.). (All Actions) "/>
    <x v="25"/>
    <s v="General debate; approved by 66-0 vote (No. 301 Ex.). (All Actions) "/>
    <x v="0"/>
    <x v="1"/>
  </r>
  <r>
    <s v="757. TAX PROTOCOL WITH THE FEDERAL REPUBLIC OF GERMANY Senate Consideration of Treaty Document 89-9 Date Received from President: 09/29/1965 - 89th Congress (1965-1966) Treaty Topic: Taxation Latest Senate Action: 10/22/1965 - 89th Congress (1965-1966) - General debate; approved by 66-0 vote (No. 301 Ex.). (All Actions) "/>
    <s v="757"/>
    <s v="TAX PROTOCOL WITH THE FEDERAL REPUBLIC OF GERMANY"/>
    <s v="89-9"/>
    <s v="09/29/1965 - 89th Congress (1965-1966)"/>
    <s v="89th"/>
    <s v="Taxation"/>
    <s v="10/22/1965 - 89th Congress (1965-1966) - General debate; approved by 66-0 vote (No. 301 Ex.). (All Actions) "/>
    <x v="25"/>
    <s v="General debate; approved by 66-0 vote (No. 301 Ex.). (All Actions) "/>
    <x v="0"/>
    <x v="1"/>
  </r>
  <r>
    <s v="758. AGREEMENT WITH CANADA ON ESTABLISHMENT OF AN INTERNATIONAL ARBITRAL TRIBUNAL TO DISPOSE OF U. S. CLAIMS RELATING TO GUT DAM Senate Consideration of Treaty Document 89-3 Date Received from President: 05/17/1987 - 89th Congress (1965-1966) Treaty Topic: Dispute Settlement and Arbitration Latest Senate Action: 08/30/1965 - 89th Congress (1965-1966) - Approved by vote of 74-0 (No. 240 Ex.). (All Actions) "/>
    <s v="758"/>
    <s v="AGREEMENT WITH CANADA ON ESTABLISHMENT OF AN INTERNATIONAL ARBITRAL TRIBUNAL TO DISPOSE OF U. S. CLAIMS RELATING TO GUT DAM"/>
    <s v="89-3"/>
    <s v="05/17/1987 - 89th Congress (1965-1966)"/>
    <s v="89th"/>
    <s v="Dispute Settlement and Arbitration"/>
    <s v="08/30/1965 - 89th Congress (1965-1966) - Approved by vote of 74-0 (No. 240 Ex.). (All Actions) "/>
    <x v="25"/>
    <s v="Approved by vote of 74-0 (No. 240 Ex.). (All Actions) "/>
    <x v="0"/>
    <x v="1"/>
  </r>
  <r>
    <s v="759. PROTOCOL FOR THE EXTENSION OF THE INTERNATIONAL WHEAT AGREEMENT, 1962 Senate Consideration of Treaty Document 89-2 Date Received from President: 04/23/1965 - 89th Congress (1965-1966) Treaty Topic: Commercial Latest Senate Action: 06/15/1965 - 89th Congress (1965-1966) - Approved by 88-0 vote (No. 132 Ex.). (All Actions) "/>
    <s v="759"/>
    <s v="PROTOCOL FOR THE EXTENSION OF THE INTERNATIONAL WHEAT AGREEMENT, 1962"/>
    <s v="89-2"/>
    <s v="04/23/1965 - 89th Congress (1965-1966)"/>
    <s v="89th"/>
    <s v="Commercial"/>
    <s v="06/15/1965 - 89th Congress (1965-1966) - Approved by 88-0 vote (No. 132 Ex.). (All Actions) "/>
    <x v="25"/>
    <s v="Approved by 88-0 vote (No. 132 Ex.). (All Actions) "/>
    <x v="0"/>
    <x v="1"/>
  </r>
  <r>
    <s v="760. TWO AMENDMENTS TO THE CHARTER OF THE UNITED NATIONS Senate Consideration of Treaty Document 89-1 Date Received from President: 04/06/1965 - 89th Congress (1965-1966) Treaty Topic: International Law and Organization Latest Senate Action: 06/03/1965 - 89th Congress (1965-1966) - General debate; approved by 70-1 vote (No. 106 Ex.). (All Actions) "/>
    <s v="760"/>
    <s v="TWO AMENDMENTS TO THE CHARTER OF THE UNITED NATIONS"/>
    <s v="89-1"/>
    <s v="04/06/1965 - 89th Congress (1965-1966)"/>
    <s v="89th"/>
    <s v="International Law and Organization"/>
    <s v="06/03/1965 - 89th Congress (1965-1966) - General debate; approved by 70-1 vote (No. 106 Ex.). (All Actions) "/>
    <x v="25"/>
    <s v="General debate; approved by 70-1 vote (No. 106 Ex.). (All Actions) "/>
    <x v="0"/>
    <x v="1"/>
  </r>
  <r>
    <s v="761. Labor Convention (No. 116) Senate Consideration of Treaty Document 87-17 Date Received from President: 06/21/1962 - 87th Congress (1961-1962) Treaty Topic: Labor Latest Senate Action: 06/21/1962 - 87th Congress (1961-1962) - Received in the Senate and referred to the Committee on Foreign Relations by unanimous consent. (All Actions) "/>
    <s v="761"/>
    <s v="Labor Convention (No. 116)"/>
    <s v="87-17"/>
    <s v="06/21/1962 - 87th Congress (1961-1962)"/>
    <s v="87th"/>
    <s v="Labor"/>
    <s v="06/21/1962 - 87th Congress (1961-1962) - Received in the Senate and referred to the Committee on Foreign Relations by unanimous consent. (All Actions) "/>
    <x v="26"/>
    <s v="Received in the Senate and referred to the Committee on Foreign Relations by unanimous consent. (All Actions) "/>
    <x v="1"/>
    <x v="1"/>
  </r>
  <r>
    <s v="762. Convention Concerning Freedom of Association and Protection of the Right to Organize Senate Consideration of Treaty Document 81-19 Date Received from President: 08/27/1949 - 81st Congress (1949-1950) Treaty Topic: Labor Latest Senate Action: 08/27/1949 - 81st Congress (1949-1950) - Received in the Senate and referred to the Committee on Foreign Relations by unanimous consent. (All Actions) "/>
    <s v="762"/>
    <s v="Convention Concerning Freedom of Association and Protection of the Right to Organize"/>
    <s v="81-19"/>
    <s v="08/27/1949 - 81st Congress (1949-1950)"/>
    <s v="81st"/>
    <s v="Labor"/>
    <s v="08/27/1949 - 81st Congress (1949-1950) - Received in the Senate and referred to the Committee on Foreign Relations by unanimous consent. (All Actions) "/>
    <x v="27"/>
    <s v="Received in the Senate and referred to the Committee on Foreign Relations by unanimous consent. (All Actions) "/>
    <x v="1"/>
    <x v="1"/>
  </r>
</pivotCacheRecords>
</file>

<file path=xl/pivotCache/pivotCacheRecords2.xml><?xml version="1.0" encoding="utf-8"?>
<pivotCacheRecords xmlns="http://schemas.openxmlformats.org/spreadsheetml/2006/main" xmlns:r="http://schemas.openxmlformats.org/officeDocument/2006/relationships" count="22">
  <r>
    <x v="0"/>
    <n v="229"/>
    <n v="667"/>
    <n v="662"/>
    <n v="21"/>
    <n v="7"/>
    <n v="10058"/>
    <n v="11644"/>
    <x v="0"/>
  </r>
  <r>
    <x v="1"/>
    <n v="296"/>
    <n v="663"/>
    <n v="474"/>
    <n v="20"/>
    <n v="0"/>
    <n v="9184"/>
    <n v="10637"/>
    <x v="1"/>
  </r>
  <r>
    <x v="2"/>
    <n v="284"/>
    <n v="722"/>
    <n v="390"/>
    <n v="38"/>
    <n v="0"/>
    <n v="10865"/>
    <n v="12299"/>
    <x v="1"/>
  </r>
  <r>
    <x v="3"/>
    <n v="385"/>
    <n v="1464"/>
    <n v="601"/>
    <n v="31"/>
    <n v="2"/>
    <n v="11192"/>
    <n v="13675"/>
    <x v="1"/>
  </r>
  <r>
    <x v="4"/>
    <n v="460"/>
    <n v="1435"/>
    <n v="861"/>
    <n v="37"/>
    <n v="7"/>
    <n v="11242"/>
    <n v="14042"/>
    <x v="0"/>
  </r>
  <r>
    <x v="5"/>
    <n v="483"/>
    <n v="1027"/>
    <n v="597"/>
    <n v="31"/>
    <n v="1"/>
    <n v="10933"/>
    <n v="13072"/>
    <x v="1"/>
  </r>
  <r>
    <x v="6"/>
    <n v="504"/>
    <n v="865"/>
    <n v="694"/>
    <n v="17"/>
    <n v="0"/>
    <n v="8589"/>
    <n v="10669"/>
    <x v="1"/>
  </r>
  <r>
    <x v="7"/>
    <n v="383"/>
    <n v="681"/>
    <n v="602"/>
    <n v="16"/>
    <n v="0"/>
    <n v="9107"/>
    <n v="10789"/>
    <x v="0"/>
  </r>
  <r>
    <x v="8"/>
    <n v="604"/>
    <n v="769"/>
    <n v="650"/>
    <n v="33"/>
    <n v="12"/>
    <n v="8772"/>
    <n v="10840"/>
    <x v="0"/>
  </r>
  <r>
    <x v="9"/>
    <n v="404"/>
    <n v="621"/>
    <n v="557"/>
    <n v="43"/>
    <n v="7"/>
    <n v="7509"/>
    <n v="9141"/>
    <x v="0"/>
  </r>
  <r>
    <x v="10"/>
    <n v="337"/>
    <n v="598"/>
    <n v="444"/>
    <n v="28"/>
    <n v="16"/>
    <n v="6568"/>
    <n v="7991"/>
    <x v="0"/>
  </r>
  <r>
    <x v="11"/>
    <n v="473"/>
    <n v="509"/>
    <n v="502"/>
    <n v="17"/>
    <n v="0"/>
    <n v="8321"/>
    <n v="9822"/>
    <x v="1"/>
  </r>
  <r>
    <x v="12"/>
    <n v="610"/>
    <n v="586"/>
    <n v="656"/>
    <n v="31"/>
    <n v="23"/>
    <n v="10110"/>
    <n v="12016"/>
    <x v="0"/>
  </r>
  <r>
    <x v="13"/>
    <n v="665"/>
    <n v="599"/>
    <n v="620"/>
    <n v="22"/>
    <n v="20"/>
    <n v="9861"/>
    <n v="11787"/>
    <x v="0"/>
  </r>
  <r>
    <x v="14"/>
    <n v="761"/>
    <n v="342"/>
    <n v="578"/>
    <n v="6"/>
    <n v="16"/>
    <n v="9575"/>
    <n v="11278"/>
    <x v="0"/>
  </r>
  <r>
    <x v="15"/>
    <n v="687"/>
    <n v="332"/>
    <n v="545"/>
    <n v="3"/>
    <n v="18"/>
    <n v="10017"/>
    <n v="11602"/>
    <x v="1"/>
  </r>
  <r>
    <x v="16"/>
    <n v="677"/>
    <n v="331"/>
    <n v="561"/>
    <n v="3"/>
    <n v="21"/>
    <n v="10609"/>
    <n v="12202"/>
    <x v="1"/>
  </r>
  <r>
    <x v="17"/>
    <n v="529"/>
    <n v="370"/>
    <n v="498"/>
    <n v="2"/>
    <n v="13"/>
    <n v="11824"/>
    <n v="13236"/>
    <x v="1"/>
  </r>
  <r>
    <x v="18"/>
    <n v="736"/>
    <n v="906"/>
    <n v="573"/>
    <n v="0"/>
    <n v="10"/>
    <n v="12365"/>
    <n v="14590"/>
    <x v="1"/>
  </r>
  <r>
    <x v="19"/>
    <n v="804"/>
    <n v="981"/>
    <n v="589"/>
    <n v="0"/>
    <n v="18"/>
    <n v="19921"/>
    <n v="22313"/>
    <x v="1"/>
  </r>
  <r>
    <x v="20"/>
    <n v="729"/>
    <n v="1023"/>
    <n v="609"/>
    <n v="0"/>
    <n v="26"/>
    <n v="21898"/>
    <n v="24285"/>
    <x v="0"/>
  </r>
  <r>
    <x v="21"/>
    <n v="772"/>
    <n v="903"/>
    <n v="562"/>
    <n v="0"/>
    <n v="35"/>
    <n v="23950"/>
    <n v="2622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4"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F3:I27" firstHeaderRow="1" firstDataRow="2" firstDataCol="1"/>
  <pivotFields count="9">
    <pivotField axis="axisRow" showAll="0">
      <items count="23">
        <item x="14"/>
        <item x="13"/>
        <item x="12"/>
        <item x="11"/>
        <item x="10"/>
        <item x="9"/>
        <item x="8"/>
        <item x="7"/>
        <item x="6"/>
        <item x="5"/>
        <item x="4"/>
        <item x="3"/>
        <item x="2"/>
        <item x="1"/>
        <item x="0"/>
        <item x="21"/>
        <item x="20"/>
        <item x="19"/>
        <item x="18"/>
        <item x="17"/>
        <item x="16"/>
        <item x="15"/>
        <item t="default"/>
      </items>
    </pivotField>
    <pivotField dataField="1" showAll="0"/>
    <pivotField numFmtId="164" showAll="0"/>
    <pivotField numFmtId="164" showAll="0"/>
    <pivotField numFmtId="164" showAll="0"/>
    <pivotField numFmtId="164" showAll="0"/>
    <pivotField numFmtId="164" showAll="0"/>
    <pivotField numFmtId="164" showAll="0"/>
    <pivotField axis="axisCol" showAll="0">
      <items count="3">
        <item x="0"/>
        <item x="1"/>
        <item t="default"/>
      </items>
    </pivotField>
  </pivotFields>
  <rowFields count="1">
    <field x="0"/>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8"/>
  </colFields>
  <colItems count="3">
    <i>
      <x/>
    </i>
    <i>
      <x v="1"/>
    </i>
    <i t="grand">
      <x/>
    </i>
  </colItems>
  <dataFields count="1">
    <dataField name="Sum of Enacted Laws" fld="1"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A3:D31" firstHeaderRow="1" firstDataRow="2" firstDataCol="1" rowPageCount="1" colPageCount="1"/>
  <pivotFields count="12">
    <pivotField dataField="1" showAll="0"/>
    <pivotField showAll="0"/>
    <pivotField showAll="0"/>
    <pivotField showAll="0"/>
    <pivotField showAll="0"/>
    <pivotField showAll="0"/>
    <pivotField showAll="0"/>
    <pivotField showAll="0"/>
    <pivotField axis="axisRow" showAll="0">
      <items count="29">
        <item x="14"/>
        <item x="13"/>
        <item x="12"/>
        <item x="11"/>
        <item x="10"/>
        <item x="9"/>
        <item x="8"/>
        <item x="7"/>
        <item x="6"/>
        <item x="5"/>
        <item x="4"/>
        <item x="3"/>
        <item x="2"/>
        <item x="1"/>
        <item x="0"/>
        <item x="27"/>
        <item x="26"/>
        <item x="25"/>
        <item x="24"/>
        <item x="23"/>
        <item x="22"/>
        <item x="21"/>
        <item x="20"/>
        <item x="19"/>
        <item x="18"/>
        <item x="17"/>
        <item x="16"/>
        <item x="15"/>
        <item t="default"/>
      </items>
    </pivotField>
    <pivotField showAll="0"/>
    <pivotField axis="axisPage" multipleItemSelectionAllowed="1" showAll="0">
      <items count="4">
        <item h="1" x="1"/>
        <item h="1" x="2"/>
        <item x="0"/>
        <item t="default"/>
      </items>
    </pivotField>
    <pivotField axis="axisCol" showAll="0">
      <items count="4">
        <item x="0"/>
        <item x="1"/>
        <item m="1" x="2"/>
        <item t="default"/>
      </items>
    </pivotField>
  </pivotFields>
  <rowFields count="1">
    <field x="8"/>
  </rowFields>
  <rowItems count="27">
    <i>
      <x/>
    </i>
    <i>
      <x v="1"/>
    </i>
    <i>
      <x v="2"/>
    </i>
    <i>
      <x v="3"/>
    </i>
    <i>
      <x v="4"/>
    </i>
    <i>
      <x v="5"/>
    </i>
    <i>
      <x v="6"/>
    </i>
    <i>
      <x v="7"/>
    </i>
    <i>
      <x v="8"/>
    </i>
    <i>
      <x v="9"/>
    </i>
    <i>
      <x v="10"/>
    </i>
    <i>
      <x v="11"/>
    </i>
    <i>
      <x v="12"/>
    </i>
    <i>
      <x v="13"/>
    </i>
    <i>
      <x v="14"/>
    </i>
    <i>
      <x v="17"/>
    </i>
    <i>
      <x v="18"/>
    </i>
    <i>
      <x v="19"/>
    </i>
    <i>
      <x v="20"/>
    </i>
    <i>
      <x v="21"/>
    </i>
    <i>
      <x v="22"/>
    </i>
    <i>
      <x v="23"/>
    </i>
    <i>
      <x v="24"/>
    </i>
    <i>
      <x v="25"/>
    </i>
    <i>
      <x v="26"/>
    </i>
    <i>
      <x v="27"/>
    </i>
    <i t="grand">
      <x/>
    </i>
  </rowItems>
  <colFields count="1">
    <field x="11"/>
  </colFields>
  <colItems count="3">
    <i>
      <x/>
    </i>
    <i>
      <x v="1"/>
    </i>
    <i t="grand">
      <x/>
    </i>
  </colItems>
  <pageFields count="1">
    <pageField fld="10" hier="-1"/>
  </pageFields>
  <dataFields count="1">
    <dataField name="Count of Original Text"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4:P85" totalsRowShown="0" headerRowDxfId="50" dataDxfId="49">
  <autoFilter ref="A4:P85">
    <filterColumn colId="15">
      <filters>
        <filter val="TRUE"/>
      </filters>
    </filterColumn>
  </autoFilter>
  <tableColumns count="16">
    <tableColumn id="1" name="Congress" dataDxfId="48"/>
    <tableColumn id="2" name="Years (start dates are March 4 prior to 1933, and Jan 3 thereafter)" dataDxfId="47"/>
    <tableColumn id="3" name="Total" dataDxfId="46"/>
    <tableColumn id="4" name="Democratic" dataDxfId="45"/>
    <tableColumn id="5" name="Republican" dataDxfId="44"/>
    <tableColumn id="6" name="Others" dataDxfId="43"/>
    <tableColumn id="7" name="Vacant" dataDxfId="42"/>
    <tableColumn id="8" name=" Total" dataDxfId="41"/>
    <tableColumn id="9" name=" Democratic" dataDxfId="40"/>
    <tableColumn id="10" name=" Republican" dataDxfId="39"/>
    <tableColumn id="11" name=" Others" dataDxfId="38"/>
    <tableColumn id="12" name=" Vacant" dataDxfId="37"/>
    <tableColumn id="13" name="Primary Senate Party" dataDxfId="36">
      <calculatedColumnFormula>INDEX(Table1[[#Headers],[Democratic]:[Others]],MATCH(MAX(Table1[[#This Row],[Democratic]:[Others]]),Table1[[#This Row],[Democratic]:[Others]],0))</calculatedColumnFormula>
    </tableColumn>
    <tableColumn id="16" name="Primary House Party" dataDxfId="35">
      <calculatedColumnFormula>INDEX(Table1[[#Headers],[ Democratic]:[ Others]],MATCH(MAX(Table1[[#This Row],[ Democratic]:[ Others]]),Table1[[#This Row],[ Democratic]:[ Others]],0))</calculatedColumnFormula>
    </tableColumn>
    <tableColumn id="15" name="Presidential Party" dataDxfId="34">
      <calculatedColumnFormula>INDEX(Table7[Political Party],MATCH(VLOOKUP(DATE(LEFT(Table1[[#This Row],[Years (start dates are March 4 prior to 1933, and Jan 3 thereafter)]],4),1,3),Table7[Start Date],1,TRUE),Table7[Start Date],0))</calculatedColumnFormula>
    </tableColumn>
    <tableColumn id="17" name="Senate and President Same Party, House and President Different Party" dataDxfId="33">
      <calculatedColumnFormula>AND(Table1[[#This Row],[Primary Senate Party]]=Table1[[#This Row],[Presidential Party]],Table1[[#This Row],[Primary House Party]]&lt;&gt;Table1[[#This Row],[Presidential Party]])</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7" name="Table7" displayName="Table7" ref="A5:F49" totalsRowShown="0" headerRowDxfId="32" dataDxfId="31">
  <autoFilter ref="A5:F49"/>
  <tableColumns count="6">
    <tableColumn id="1" name="President" dataDxfId="30"/>
    <tableColumn id="2" name="Political Party" dataDxfId="29"/>
    <tableColumn id="3" name="Dates in Office" dataDxfId="28"/>
    <tableColumn id="6" name="Start Date" dataDxfId="27"/>
    <tableColumn id="5" name="End Date" dataDxfId="26"/>
    <tableColumn id="4" name="Vice President(s)" dataDxfId="25"/>
  </tableColumns>
  <tableStyleInfo name="TableStyleLight1" showFirstColumn="0" showLastColumn="0" showRowStripes="1" showColumnStripes="0"/>
</table>
</file>

<file path=xl/tables/table3.xml><?xml version="1.0" encoding="utf-8"?>
<table xmlns="http://schemas.openxmlformats.org/spreadsheetml/2006/main" id="6" name="Table6" displayName="Table6" ref="A4:I26" totalsRowShown="0" headerRowDxfId="24">
  <autoFilter ref="A4:I26"/>
  <tableColumns count="9">
    <tableColumn id="1" name="Congress" dataDxfId="23"/>
    <tableColumn id="2" name="Enacted Laws" dataDxfId="22" dataCellStyle="Comma"/>
    <tableColumn id="3" name="Passed Resolutions" dataDxfId="21" dataCellStyle="Comma"/>
    <tableColumn id="4" name="Got A Vote" dataDxfId="20" dataCellStyle="Comma"/>
    <tableColumn id="5" name="Failed Legislation" dataDxfId="19" dataCellStyle="Comma"/>
    <tableColumn id="6" name="Vetoed Bills (w/o Override)" dataDxfId="18" dataCellStyle="Comma"/>
    <tableColumn id="7" name="Other Legislation" dataDxfId="17" dataCellStyle="Comma"/>
    <tableColumn id="8" name="TOTAL" dataDxfId="16" dataCellStyle="Comma"/>
    <tableColumn id="11" name="Senate and President Same Party, House and President Different Party" dataDxfId="15" dataCellStyle="Comma">
      <calculatedColumnFormula>INDEX(Table1[Senate and President Same Party, House and President Different Party],MATCH(Table6[[#This Row],[Congress]],Table1[Congress],0))</calculatedColumnFormula>
    </tableColumn>
  </tableColumns>
  <tableStyleInfo name="TableStyleLight1" showFirstColumn="0" showLastColumn="0" showRowStripes="1" showColumnStripes="0"/>
</table>
</file>

<file path=xl/tables/table4.xml><?xml version="1.0" encoding="utf-8"?>
<table xmlns="http://schemas.openxmlformats.org/spreadsheetml/2006/main" id="4" name="Table4" displayName="Table4" ref="A4:L766" totalsRowShown="0">
  <autoFilter ref="A4:L766"/>
  <tableColumns count="12">
    <tableColumn id="7" name="Original Text" dataDxfId="14"/>
    <tableColumn id="1" name="Number" dataDxfId="13"/>
    <tableColumn id="2" name="Title" dataDxfId="12"/>
    <tableColumn id="8" name="Senate Consideration of Treaty Document" dataDxfId="11"/>
    <tableColumn id="4" name="Date Received from President" dataDxfId="10"/>
    <tableColumn id="9" name="Congress Receiving" dataDxfId="9">
      <calculatedColumnFormula>RIGHT(LEFT(Table4[[#This Row],[Date Received from President]],FIND(" Congress",Table4[[#This Row],[Date Received from President]])-1),LEN(LEFT(Table4[[#This Row],[Date Received from President]],FIND(" Congress",Table4[[#This Row],[Date Received from President]])-1))-FIND("-",Table4[[#This Row],[Date Received from President]])-1)</calculatedColumnFormula>
    </tableColumn>
    <tableColumn id="5" name="Treaty Topic" dataDxfId="8"/>
    <tableColumn id="6" name="Latest Senate Action" dataDxfId="7"/>
    <tableColumn id="10" name="Congress Acting" dataDxfId="6">
      <calculatedColumnFormula>RIGHT(LEFT(Table4[[#This Row],[Latest Senate Action]],FIND(" Congress",Table4[[#This Row],[Latest Senate Action]])-1),LEN(LEFT(Table4[[#This Row],[Latest Senate Action]],FIND(" Congress",Table4[[#This Row],[Latest Senate Action]])-1))-FIND("-",Table4[[#This Row],[Latest Senate Action]])-1)</calculatedColumnFormula>
    </tableColumn>
    <tableColumn id="11" name="Action" dataDxfId="5">
      <calculatedColumnFormula>RIGHT(Table4[[#This Row],[Latest Senate Action]],LEN(Table4[[#This Row],[Latest Senate Action]])-FIND(") - ",Table4[[#This Row],[Latest Senate Action]])-3)</calculatedColumnFormula>
    </tableColumn>
    <tableColumn id="13" name="Status" dataDxfId="4">
      <calculatedColumnFormula>INDEX(Table5[type],MATCH(Table4[[#This Row],[Action]],Table5[Action],0))</calculatedColumnFormula>
    </tableColumn>
    <tableColumn id="15" name="Senate and President Same Party, House and President Different Party (based on Congress at time of last action)" dataDxfId="3">
      <calculatedColumnFormula>INDEX(Table1[Senate and President Same Party, House and President Different Party],MATCH(Table4[[#This Row],[Congress Acting]],Table1[Congress],0))</calculatedColumnFormula>
    </tableColumn>
  </tableColumns>
  <tableStyleInfo name="TableStyleLight1" showFirstColumn="0" showLastColumn="0" showRowStripes="1" showColumnStripes="0"/>
</table>
</file>

<file path=xl/tables/table5.xml><?xml version="1.0" encoding="utf-8"?>
<table xmlns="http://schemas.openxmlformats.org/spreadsheetml/2006/main" id="5" name="Table5" displayName="Table5" ref="A1:B365" totalsRowShown="0">
  <tableColumns count="2">
    <tableColumn id="1" name="Action" dataDxfId="2"/>
    <tableColumn id="2" name="type"/>
  </tableColumns>
  <tableStyleInfo name="TableStyleLight1" showFirstColumn="0" showLastColumn="0" showRowStripes="1" showColumnStripes="0"/>
</table>
</file>

<file path=xl/tables/table6.xml><?xml version="1.0" encoding="utf-8"?>
<table xmlns="http://schemas.openxmlformats.org/spreadsheetml/2006/main" id="2" name="Table2" displayName="Table2" ref="A34:E56" totalsRowShown="0">
  <autoFilter ref="A34:E56"/>
  <tableColumns count="5">
    <tableColumn id="1" name="Congress" dataDxfId="1"/>
    <tableColumn id="2" name="Bills Enacted" dataDxfId="0"/>
    <tableColumn id="3" name="Treaties Passed"/>
    <tableColumn id="4" name="TRUE"/>
    <tableColumn id="5" name="Bill to treaty ratio">
      <calculatedColumnFormula>B35/C35</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infoplease.com/ipa/A0774721.html" TargetMode="External"/><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infoplease.com/encyclopedia/history/presidents-united-states-table.html" TargetMode="External"/><Relationship Id="rId2" Type="http://schemas.openxmlformats.org/officeDocument/2006/relationships/hyperlink" Target="https://en.wikipedia.org/wiki/List_of_Presidents_of_the_United_States" TargetMode="Externa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govtrack.us/congress/bills/statistics" TargetMode="Externa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hyperlink" Target="https://www.congress.gov/search?q=%7B%22source%22%3A%22treaties%22%7D&amp;pageSize=250&amp;page=1" TargetMode="External"/><Relationship Id="rId2"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4" Type="http://schemas.openxmlformats.org/officeDocument/2006/relationships/table" Target="../tables/table6.xml"/><Relationship Id="rId1" Type="http://schemas.openxmlformats.org/officeDocument/2006/relationships/pivotTable" Target="../pivotTables/pivotTable1.xml"/><Relationship Id="rId2"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P85"/>
  <sheetViews>
    <sheetView showGridLines="0" workbookViewId="0"/>
  </sheetViews>
  <sheetFormatPr baseColWidth="10" defaultColWidth="11" defaultRowHeight="15" x14ac:dyDescent="0"/>
  <cols>
    <col min="1" max="1" width="11.1640625" customWidth="1"/>
    <col min="13" max="13" width="15.6640625" bestFit="1" customWidth="1"/>
    <col min="14" max="14" width="15.6640625" customWidth="1"/>
  </cols>
  <sheetData>
    <row r="1" spans="1:16" ht="23.25">
      <c r="A1" s="17" t="s">
        <v>196</v>
      </c>
    </row>
    <row r="2" spans="1:16">
      <c r="A2" s="6" t="s">
        <v>197</v>
      </c>
    </row>
    <row r="3" spans="1:16" ht="15" customHeight="1">
      <c r="A3" s="1"/>
      <c r="B3" s="1"/>
      <c r="C3" s="25" t="s">
        <v>0</v>
      </c>
      <c r="D3" s="25"/>
      <c r="E3" s="25"/>
      <c r="F3" s="25"/>
      <c r="G3" s="25"/>
      <c r="H3" s="26" t="s">
        <v>1</v>
      </c>
      <c r="I3" s="26"/>
      <c r="J3" s="26"/>
      <c r="K3" s="26"/>
      <c r="L3" s="26"/>
    </row>
    <row r="4" spans="1:16" ht="126">
      <c r="A4" s="1" t="s">
        <v>2</v>
      </c>
      <c r="B4" s="2" t="s">
        <v>4829</v>
      </c>
      <c r="C4" s="18" t="s">
        <v>3</v>
      </c>
      <c r="D4" s="18" t="s">
        <v>209</v>
      </c>
      <c r="E4" s="18" t="s">
        <v>217</v>
      </c>
      <c r="F4" s="18" t="s">
        <v>4</v>
      </c>
      <c r="G4" s="18" t="s">
        <v>5</v>
      </c>
      <c r="H4" s="19" t="s">
        <v>4694</v>
      </c>
      <c r="I4" s="19" t="s">
        <v>4832</v>
      </c>
      <c r="J4" s="19" t="s">
        <v>4831</v>
      </c>
      <c r="K4" s="19" t="s">
        <v>4695</v>
      </c>
      <c r="L4" s="19" t="s">
        <v>4696</v>
      </c>
      <c r="M4" s="2" t="s">
        <v>4830</v>
      </c>
      <c r="N4" s="2" t="s">
        <v>4833</v>
      </c>
      <c r="O4" s="2" t="s">
        <v>4697</v>
      </c>
      <c r="P4" s="2" t="s">
        <v>4834</v>
      </c>
    </row>
    <row r="5" spans="1:16">
      <c r="A5" s="3" t="s">
        <v>6</v>
      </c>
      <c r="B5" s="4" t="s">
        <v>7</v>
      </c>
      <c r="C5" s="3">
        <v>62</v>
      </c>
      <c r="D5" s="3">
        <v>42</v>
      </c>
      <c r="E5" s="3">
        <v>15</v>
      </c>
      <c r="F5" s="3">
        <v>5</v>
      </c>
      <c r="G5" s="3"/>
      <c r="H5" s="3">
        <v>234</v>
      </c>
      <c r="I5" s="3">
        <v>83</v>
      </c>
      <c r="J5" s="3">
        <v>108</v>
      </c>
      <c r="K5" s="3">
        <v>43</v>
      </c>
      <c r="L5" s="3"/>
      <c r="M5" s="3" t="str">
        <f>INDEX(Table1[[#Headers],[Democratic]:[Others]],MATCH(MAX(Table1[[#This Row],[Democratic]:[Others]]),Table1[[#This Row],[Democratic]:[Others]],0))</f>
        <v>Democratic</v>
      </c>
      <c r="N5" s="3" t="str">
        <f>INDEX(Table1[[#Headers],[ Democratic]:[ Others]],MATCH(MAX(Table1[[#This Row],[ Democratic]:[ Others]]),Table1[[#This Row],[ Democratic]:[ Others]],0))</f>
        <v xml:space="preserve"> Republican</v>
      </c>
      <c r="O5" s="3" t="str">
        <f>INDEX(Table7[Political Party],MATCH(VLOOKUP(DATE(LEFT(Table1[[#This Row],[Years (start dates are March 4 prior to 1933, and Jan 3 thereafter)]],4),3,4),Table7[Start Date],1,TRUE),Table7[Start Date],0))</f>
        <v>Democratic</v>
      </c>
      <c r="P5" s="21" t="b">
        <f>AND(Table1[[#This Row],[Primary Senate Party]]=Table1[[#This Row],[Presidential Party]],Table1[[#This Row],[Primary House Party]]&lt;&gt;Table1[[#This Row],[Presidential Party]])</f>
        <v>1</v>
      </c>
    </row>
    <row r="6" spans="1:16">
      <c r="A6" s="3" t="s">
        <v>8</v>
      </c>
      <c r="B6" s="4" t="s">
        <v>9</v>
      </c>
      <c r="C6" s="3">
        <v>64</v>
      </c>
      <c r="D6" s="3">
        <v>39</v>
      </c>
      <c r="E6" s="3">
        <v>20</v>
      </c>
      <c r="F6" s="3">
        <v>5</v>
      </c>
      <c r="G6" s="3"/>
      <c r="H6" s="3">
        <v>237</v>
      </c>
      <c r="I6" s="3">
        <v>131</v>
      </c>
      <c r="J6" s="3">
        <v>92</v>
      </c>
      <c r="K6" s="3">
        <v>14</v>
      </c>
      <c r="L6" s="3"/>
      <c r="M6" s="3" t="str">
        <f>INDEX(Table1[[#Headers],[Democratic]:[Others]],MATCH(MAX(Table1[[#This Row],[Democratic]:[Others]]),Table1[[#This Row],[Democratic]:[Others]],0))</f>
        <v>Democratic</v>
      </c>
      <c r="N6" s="3" t="str">
        <f>INDEX(Table1[[#Headers],[ Democratic]:[ Others]],MATCH(MAX(Table1[[#This Row],[ Democratic]:[ Others]]),Table1[[#This Row],[ Democratic]:[ Others]],0))</f>
        <v xml:space="preserve"> Democratic</v>
      </c>
      <c r="O6" s="3" t="str">
        <f>INDEX(Table7[Political Party],MATCH(VLOOKUP(DATE(LEFT(Table1[[#This Row],[Years (start dates are March 4 prior to 1933, and Jan 3 thereafter)]],4),3,4),Table7[Start Date],1,TRUE),Table7[Start Date],0))</f>
        <v>Democratic</v>
      </c>
      <c r="P6" s="21" t="b">
        <f>AND(Table1[[#This Row],[Primary Senate Party]]=Table1[[#This Row],[Presidential Party]],Table1[[#This Row],[Primary House Party]]&lt;&gt;Table1[[#This Row],[Presidential Party]])</f>
        <v>1</v>
      </c>
    </row>
    <row r="7" spans="1:16">
      <c r="A7" s="3" t="s">
        <v>10</v>
      </c>
      <c r="B7" s="4" t="s">
        <v>11</v>
      </c>
      <c r="C7" s="3">
        <v>66</v>
      </c>
      <c r="D7" s="3">
        <v>38</v>
      </c>
      <c r="E7" s="3">
        <v>26</v>
      </c>
      <c r="F7" s="3">
        <v>2</v>
      </c>
      <c r="G7" s="3"/>
      <c r="H7" s="3">
        <v>237</v>
      </c>
      <c r="I7" s="3">
        <v>101</v>
      </c>
      <c r="J7" s="3">
        <v>113</v>
      </c>
      <c r="K7" s="3">
        <v>23</v>
      </c>
      <c r="L7" s="3"/>
      <c r="M7" s="3" t="str">
        <f>INDEX(Table1[[#Headers],[Democratic]:[Others]],MATCH(MAX(Table1[[#This Row],[Democratic]:[Others]]),Table1[[#This Row],[Democratic]:[Others]],0))</f>
        <v>Democratic</v>
      </c>
      <c r="N7" s="3" t="str">
        <f>INDEX(Table1[[#Headers],[ Democratic]:[ Others]],MATCH(MAX(Table1[[#This Row],[ Democratic]:[ Others]]),Table1[[#This Row],[ Democratic]:[ Others]],0))</f>
        <v xml:space="preserve"> Republican</v>
      </c>
      <c r="O7" s="3" t="str">
        <f>INDEX(Table7[Political Party],MATCH(VLOOKUP(DATE(LEFT(Table1[[#This Row],[Years (start dates are March 4 prior to 1933, and Jan 3 thereafter)]],4),3,4),Table7[Start Date],1,TRUE),Table7[Start Date],0))</f>
        <v>Democratic</v>
      </c>
      <c r="P7" s="21" t="b">
        <f>AND(Table1[[#This Row],[Primary Senate Party]]=Table1[[#This Row],[Presidential Party]],Table1[[#This Row],[Primary House Party]]&lt;&gt;Table1[[#This Row],[Presidential Party]])</f>
        <v>1</v>
      </c>
    </row>
    <row r="8" spans="1:16" hidden="1">
      <c r="A8" s="3" t="s">
        <v>12</v>
      </c>
      <c r="B8" s="4" t="s">
        <v>13</v>
      </c>
      <c r="C8" s="3">
        <v>50</v>
      </c>
      <c r="D8" s="3">
        <v>11</v>
      </c>
      <c r="E8" s="3">
        <v>31</v>
      </c>
      <c r="F8" s="3">
        <v>7</v>
      </c>
      <c r="G8" s="3">
        <v>1</v>
      </c>
      <c r="H8" s="3">
        <v>178</v>
      </c>
      <c r="I8" s="3">
        <v>42</v>
      </c>
      <c r="J8" s="3">
        <v>106</v>
      </c>
      <c r="K8" s="3">
        <v>28</v>
      </c>
      <c r="L8" s="3">
        <v>2</v>
      </c>
      <c r="M8" s="3" t="str">
        <f>INDEX(Table1[[#Headers],[Democratic]:[Others]],MATCH(MAX(Table1[[#This Row],[Democratic]:[Others]]),Table1[[#This Row],[Democratic]:[Others]],0))</f>
        <v>Republican</v>
      </c>
      <c r="N8" s="3" t="str">
        <f>INDEX(Table1[[#Headers],[ Democratic]:[ Others]],MATCH(MAX(Table1[[#This Row],[ Democratic]:[ Others]]),Table1[[#This Row],[ Democratic]:[ Others]],0))</f>
        <v xml:space="preserve"> Republican</v>
      </c>
      <c r="O8" s="3" t="str">
        <f>INDEX(Table7[Political Party],MATCH(VLOOKUP(DATE(LEFT(Table1[[#This Row],[Years (start dates are March 4 prior to 1933, and Jan 3 thereafter)]],4),3,4),Table7[Start Date],1,TRUE),Table7[Start Date],0))</f>
        <v>Democratic</v>
      </c>
      <c r="P8" s="21" t="b">
        <f>AND(Table1[[#This Row],[Primary Senate Party]]=Table1[[#This Row],[Presidential Party]],Table1[[#This Row],[Primary House Party]]&lt;&gt;Table1[[#This Row],[Presidential Party]])</f>
        <v>0</v>
      </c>
    </row>
    <row r="9" spans="1:16" hidden="1">
      <c r="A9" s="3" t="s">
        <v>14</v>
      </c>
      <c r="B9" s="4" t="s">
        <v>15</v>
      </c>
      <c r="C9" s="3">
        <v>51</v>
      </c>
      <c r="D9" s="3">
        <v>12</v>
      </c>
      <c r="E9" s="3">
        <v>39</v>
      </c>
      <c r="F9" s="3"/>
      <c r="G9" s="3"/>
      <c r="H9" s="3">
        <v>183</v>
      </c>
      <c r="I9" s="3">
        <v>80</v>
      </c>
      <c r="J9" s="3">
        <v>103</v>
      </c>
      <c r="K9" s="3"/>
      <c r="L9" s="3"/>
      <c r="M9" s="3" t="str">
        <f>INDEX(Table1[[#Headers],[Democratic]:[Others]],MATCH(MAX(Table1[[#This Row],[Democratic]:[Others]]),Table1[[#This Row],[Democratic]:[Others]],0))</f>
        <v>Republican</v>
      </c>
      <c r="N9" s="3" t="str">
        <f>INDEX(Table1[[#Headers],[ Democratic]:[ Others]],MATCH(MAX(Table1[[#This Row],[ Democratic]:[ Others]]),Table1[[#This Row],[ Democratic]:[ Others]],0))</f>
        <v xml:space="preserve"> Republican</v>
      </c>
      <c r="O9" s="3" t="str">
        <f>INDEX(Table7[Political Party],MATCH(VLOOKUP(DATE(LEFT(Table1[[#This Row],[Years (start dates are March 4 prior to 1933, and Jan 3 thereafter)]],4),3,4),Table7[Start Date],1,TRUE),Table7[Start Date],0))</f>
        <v>Democratic</v>
      </c>
      <c r="P9" s="21" t="b">
        <f>AND(Table1[[#This Row],[Primary Senate Party]]=Table1[[#This Row],[Presidential Party]],Table1[[#This Row],[Primary House Party]]&lt;&gt;Table1[[#This Row],[Presidential Party]])</f>
        <v>0</v>
      </c>
    </row>
    <row r="10" spans="1:16" hidden="1">
      <c r="A10" s="3" t="s">
        <v>16</v>
      </c>
      <c r="B10" s="4" t="s">
        <v>17</v>
      </c>
      <c r="C10" s="3">
        <v>52</v>
      </c>
      <c r="D10" s="3">
        <v>10</v>
      </c>
      <c r="E10" s="3">
        <v>42</v>
      </c>
      <c r="F10" s="3"/>
      <c r="G10" s="3"/>
      <c r="H10" s="3">
        <v>191</v>
      </c>
      <c r="I10" s="3">
        <v>46</v>
      </c>
      <c r="J10" s="3">
        <v>145</v>
      </c>
      <c r="K10" s="3"/>
      <c r="L10" s="3"/>
      <c r="M10" s="3" t="str">
        <f>INDEX(Table1[[#Headers],[Democratic]:[Others]],MATCH(MAX(Table1[[#This Row],[Democratic]:[Others]]),Table1[[#This Row],[Democratic]:[Others]],0))</f>
        <v>Republican</v>
      </c>
      <c r="N10" s="3" t="str">
        <f>INDEX(Table1[[#Headers],[ Democratic]:[ Others]],MATCH(MAX(Table1[[#This Row],[ Democratic]:[ Others]]),Table1[[#This Row],[ Democratic]:[ Others]],0))</f>
        <v xml:space="preserve"> Republican</v>
      </c>
      <c r="O10" s="3" t="str">
        <f>INDEX(Table7[Political Party],MATCH(VLOOKUP(DATE(LEFT(Table1[[#This Row],[Years (start dates are March 4 prior to 1933, and Jan 3 thereafter)]],4),3,4),Table7[Start Date],1,TRUE),Table7[Start Date],0))</f>
        <v>Democratic</v>
      </c>
      <c r="P10" s="21" t="b">
        <f>AND(Table1[[#This Row],[Primary Senate Party]]=Table1[[#This Row],[Presidential Party]],Table1[[#This Row],[Primary House Party]]&lt;&gt;Table1[[#This Row],[Presidential Party]])</f>
        <v>0</v>
      </c>
    </row>
    <row r="11" spans="1:16" hidden="1">
      <c r="A11" s="3" t="s">
        <v>18</v>
      </c>
      <c r="B11" s="4" t="s">
        <v>19</v>
      </c>
      <c r="C11" s="3">
        <v>53</v>
      </c>
      <c r="D11" s="3">
        <v>11</v>
      </c>
      <c r="E11" s="3">
        <v>42</v>
      </c>
      <c r="F11" s="3"/>
      <c r="G11" s="3"/>
      <c r="H11" s="3">
        <v>193</v>
      </c>
      <c r="I11" s="3">
        <v>49</v>
      </c>
      <c r="J11" s="3">
        <v>143</v>
      </c>
      <c r="K11" s="3"/>
      <c r="L11" s="3">
        <v>1</v>
      </c>
      <c r="M11" s="3" t="str">
        <f>INDEX(Table1[[#Headers],[Democratic]:[Others]],MATCH(MAX(Table1[[#This Row],[Democratic]:[Others]]),Table1[[#This Row],[Democratic]:[Others]],0))</f>
        <v>Republican</v>
      </c>
      <c r="N11" s="3" t="str">
        <f>INDEX(Table1[[#Headers],[ Democratic]:[ Others]],MATCH(MAX(Table1[[#This Row],[ Democratic]:[ Others]]),Table1[[#This Row],[ Democratic]:[ Others]],0))</f>
        <v xml:space="preserve"> Republican</v>
      </c>
      <c r="O11" s="3" t="str">
        <f>INDEX(Table7[Political Party],MATCH(VLOOKUP(DATE(LEFT(Table1[[#This Row],[Years (start dates are March 4 prior to 1933, and Jan 3 thereafter)]],4),3,4),Table7[Start Date],1,TRUE),Table7[Start Date],0))</f>
        <v>Democratic</v>
      </c>
      <c r="P11" s="21" t="b">
        <f>AND(Table1[[#This Row],[Primary Senate Party]]=Table1[[#This Row],[Presidential Party]],Table1[[#This Row],[Primary House Party]]&lt;&gt;Table1[[#This Row],[Presidential Party]])</f>
        <v>0</v>
      </c>
    </row>
    <row r="12" spans="1:16" hidden="1">
      <c r="A12" s="3" t="s">
        <v>20</v>
      </c>
      <c r="B12" s="4" t="s">
        <v>21</v>
      </c>
      <c r="C12" s="3">
        <v>74</v>
      </c>
      <c r="D12" s="3">
        <v>11</v>
      </c>
      <c r="E12" s="3">
        <v>61</v>
      </c>
      <c r="F12" s="3"/>
      <c r="G12" s="3">
        <v>2</v>
      </c>
      <c r="H12" s="3">
        <v>243</v>
      </c>
      <c r="I12" s="3">
        <v>73</v>
      </c>
      <c r="J12" s="3">
        <v>170</v>
      </c>
      <c r="K12" s="3"/>
      <c r="L12" s="3"/>
      <c r="M12" s="3" t="str">
        <f>INDEX(Table1[[#Headers],[Democratic]:[Others]],MATCH(MAX(Table1[[#This Row],[Democratic]:[Others]]),Table1[[#This Row],[Democratic]:[Others]],0))</f>
        <v>Republican</v>
      </c>
      <c r="N12" s="3" t="str">
        <f>INDEX(Table1[[#Headers],[ Democratic]:[ Others]],MATCH(MAX(Table1[[#This Row],[ Democratic]:[ Others]]),Table1[[#This Row],[ Democratic]:[ Others]],0))</f>
        <v xml:space="preserve"> Republican</v>
      </c>
      <c r="O12" s="3" t="str">
        <f>INDEX(Table7[Political Party],MATCH(VLOOKUP(DATE(LEFT(Table1[[#This Row],[Years (start dates are March 4 prior to 1933, and Jan 3 thereafter)]],4),3,4),Table7[Start Date],1,TRUE),Table7[Start Date],0))</f>
        <v>Democratic</v>
      </c>
      <c r="P12" s="21" t="b">
        <f>AND(Table1[[#This Row],[Primary Senate Party]]=Table1[[#This Row],[Presidential Party]],Table1[[#This Row],[Primary House Party]]&lt;&gt;Table1[[#This Row],[Presidential Party]])</f>
        <v>0</v>
      </c>
    </row>
    <row r="13" spans="1:16" hidden="1">
      <c r="A13" s="3" t="s">
        <v>22</v>
      </c>
      <c r="B13" s="4" t="s">
        <v>23</v>
      </c>
      <c r="C13" s="3">
        <v>74</v>
      </c>
      <c r="D13" s="3">
        <v>17</v>
      </c>
      <c r="E13" s="3">
        <v>57</v>
      </c>
      <c r="F13" s="3"/>
      <c r="G13" s="3"/>
      <c r="H13" s="3">
        <v>243</v>
      </c>
      <c r="I13" s="3">
        <v>104</v>
      </c>
      <c r="J13" s="3">
        <v>139</v>
      </c>
      <c r="K13" s="3"/>
      <c r="L13" s="3"/>
      <c r="M13" s="3" t="str">
        <f>INDEX(Table1[[#Headers],[Democratic]:[Others]],MATCH(MAX(Table1[[#This Row],[Democratic]:[Others]]),Table1[[#This Row],[Democratic]:[Others]],0))</f>
        <v>Republican</v>
      </c>
      <c r="N13" s="3" t="str">
        <f>INDEX(Table1[[#Headers],[ Democratic]:[ Others]],MATCH(MAX(Table1[[#This Row],[ Democratic]:[ Others]]),Table1[[#This Row],[ Democratic]:[ Others]],0))</f>
        <v xml:space="preserve"> Republican</v>
      </c>
      <c r="O13" s="3" t="str">
        <f>INDEX(Table7[Political Party],MATCH(VLOOKUP(DATE(LEFT(Table1[[#This Row],[Years (start dates are March 4 prior to 1933, and Jan 3 thereafter)]],4),3,4),Table7[Start Date],1,TRUE),Table7[Start Date],0))</f>
        <v>Democratic</v>
      </c>
      <c r="P13" s="21" t="b">
        <f>AND(Table1[[#This Row],[Primary Senate Party]]=Table1[[#This Row],[Presidential Party]],Table1[[#This Row],[Primary House Party]]&lt;&gt;Table1[[#This Row],[Presidential Party]])</f>
        <v>0</v>
      </c>
    </row>
    <row r="14" spans="1:16" hidden="1">
      <c r="A14" s="3" t="s">
        <v>24</v>
      </c>
      <c r="B14" s="4" t="s">
        <v>25</v>
      </c>
      <c r="C14" s="3">
        <v>74</v>
      </c>
      <c r="D14" s="3">
        <v>19</v>
      </c>
      <c r="E14" s="3">
        <v>54</v>
      </c>
      <c r="F14" s="3"/>
      <c r="G14" s="3">
        <v>1</v>
      </c>
      <c r="H14" s="3">
        <v>293</v>
      </c>
      <c r="I14" s="3">
        <v>88</v>
      </c>
      <c r="J14" s="3">
        <v>203</v>
      </c>
      <c r="K14" s="3"/>
      <c r="L14" s="3">
        <v>2</v>
      </c>
      <c r="M14" s="3" t="str">
        <f>INDEX(Table1[[#Headers],[Democratic]:[Others]],MATCH(MAX(Table1[[#This Row],[Democratic]:[Others]]),Table1[[#This Row],[Democratic]:[Others]],0))</f>
        <v>Republican</v>
      </c>
      <c r="N14" s="3" t="str">
        <f>INDEX(Table1[[#Headers],[ Democratic]:[ Others]],MATCH(MAX(Table1[[#This Row],[ Democratic]:[ Others]]),Table1[[#This Row],[ Democratic]:[ Others]],0))</f>
        <v xml:space="preserve"> Republican</v>
      </c>
      <c r="O14" s="3" t="str">
        <f>INDEX(Table7[Political Party],MATCH(VLOOKUP(DATE(LEFT(Table1[[#This Row],[Years (start dates are March 4 prior to 1933, and Jan 3 thereafter)]],4),3,4),Table7[Start Date],1,TRUE),Table7[Start Date],0))</f>
        <v>Democratic</v>
      </c>
      <c r="P14" s="21" t="b">
        <f>AND(Table1[[#This Row],[Primary Senate Party]]=Table1[[#This Row],[Presidential Party]],Table1[[#This Row],[Primary House Party]]&lt;&gt;Table1[[#This Row],[Presidential Party]])</f>
        <v>0</v>
      </c>
    </row>
    <row r="15" spans="1:16" hidden="1">
      <c r="A15" s="3" t="s">
        <v>26</v>
      </c>
      <c r="B15" s="4" t="s">
        <v>27</v>
      </c>
      <c r="C15" s="3">
        <v>76</v>
      </c>
      <c r="D15" s="3">
        <v>29</v>
      </c>
      <c r="E15" s="3">
        <v>46</v>
      </c>
      <c r="F15" s="3"/>
      <c r="G15" s="3">
        <v>1</v>
      </c>
      <c r="H15" s="3">
        <v>293</v>
      </c>
      <c r="I15" s="3">
        <v>181</v>
      </c>
      <c r="J15" s="3">
        <v>107</v>
      </c>
      <c r="K15" s="3">
        <v>3</v>
      </c>
      <c r="L15" s="3">
        <v>2</v>
      </c>
      <c r="M15" s="3" t="str">
        <f>INDEX(Table1[[#Headers],[Democratic]:[Others]],MATCH(MAX(Table1[[#This Row],[Democratic]:[Others]]),Table1[[#This Row],[Democratic]:[Others]],0))</f>
        <v>Republican</v>
      </c>
      <c r="N15" s="3" t="str">
        <f>INDEX(Table1[[#Headers],[ Democratic]:[ Others]],MATCH(MAX(Table1[[#This Row],[ Democratic]:[ Others]]),Table1[[#This Row],[ Democratic]:[ Others]],0))</f>
        <v xml:space="preserve"> Democratic</v>
      </c>
      <c r="O15" s="3" t="str">
        <f>INDEX(Table7[Political Party],MATCH(VLOOKUP(DATE(LEFT(Table1[[#This Row],[Years (start dates are March 4 prior to 1933, and Jan 3 thereafter)]],4),3,4),Table7[Start Date],1,TRUE),Table7[Start Date],0))</f>
        <v>Democratic</v>
      </c>
      <c r="P15" s="21" t="b">
        <f>AND(Table1[[#This Row],[Primary Senate Party]]=Table1[[#This Row],[Presidential Party]],Table1[[#This Row],[Primary House Party]]&lt;&gt;Table1[[#This Row],[Presidential Party]])</f>
        <v>0</v>
      </c>
    </row>
    <row r="16" spans="1:16" hidden="1">
      <c r="A16" s="3" t="s">
        <v>28</v>
      </c>
      <c r="B16" s="4" t="s">
        <v>29</v>
      </c>
      <c r="C16" s="3">
        <v>76</v>
      </c>
      <c r="D16" s="3">
        <v>36</v>
      </c>
      <c r="E16" s="3">
        <v>39</v>
      </c>
      <c r="F16" s="3">
        <v>1</v>
      </c>
      <c r="G16" s="3"/>
      <c r="H16" s="3">
        <v>293</v>
      </c>
      <c r="I16" s="3">
        <v>156</v>
      </c>
      <c r="J16" s="3">
        <v>137</v>
      </c>
      <c r="K16" s="3"/>
      <c r="L16" s="3"/>
      <c r="M16" s="3" t="str">
        <f>INDEX(Table1[[#Headers],[Democratic]:[Others]],MATCH(MAX(Table1[[#This Row],[Democratic]:[Others]]),Table1[[#This Row],[Democratic]:[Others]],0))</f>
        <v>Republican</v>
      </c>
      <c r="N16" s="3" t="str">
        <f>INDEX(Table1[[#Headers],[ Democratic]:[ Others]],MATCH(MAX(Table1[[#This Row],[ Democratic]:[ Others]]),Table1[[#This Row],[ Democratic]:[ Others]],0))</f>
        <v xml:space="preserve"> Democratic</v>
      </c>
      <c r="O16" s="3" t="str">
        <f>INDEX(Table7[Political Party],MATCH(VLOOKUP(DATE(LEFT(Table1[[#This Row],[Years (start dates are March 4 prior to 1933, and Jan 3 thereafter)]],4),3,4),Table7[Start Date],1,TRUE),Table7[Start Date],0))</f>
        <v>Democratic</v>
      </c>
      <c r="P16" s="21" t="b">
        <f>AND(Table1[[#This Row],[Primary Senate Party]]=Table1[[#This Row],[Presidential Party]],Table1[[#This Row],[Primary House Party]]&lt;&gt;Table1[[#This Row],[Presidential Party]])</f>
        <v>0</v>
      </c>
    </row>
    <row r="17" spans="1:16">
      <c r="A17" s="3" t="s">
        <v>30</v>
      </c>
      <c r="B17" s="4" t="s">
        <v>31</v>
      </c>
      <c r="C17" s="3">
        <v>76</v>
      </c>
      <c r="D17" s="3">
        <v>43</v>
      </c>
      <c r="E17" s="3">
        <v>33</v>
      </c>
      <c r="F17" s="3"/>
      <c r="G17" s="3"/>
      <c r="H17" s="3">
        <v>293</v>
      </c>
      <c r="I17" s="3">
        <v>150</v>
      </c>
      <c r="J17" s="3">
        <v>128</v>
      </c>
      <c r="K17" s="3">
        <v>14</v>
      </c>
      <c r="L17" s="3">
        <v>1</v>
      </c>
      <c r="M17" s="3" t="str">
        <f>INDEX(Table1[[#Headers],[Democratic]:[Others]],MATCH(MAX(Table1[[#This Row],[Democratic]:[Others]]),Table1[[#This Row],[Democratic]:[Others]],0))</f>
        <v>Democratic</v>
      </c>
      <c r="N17" s="3" t="str">
        <f>INDEX(Table1[[#Headers],[ Democratic]:[ Others]],MATCH(MAX(Table1[[#This Row],[ Democratic]:[ Others]]),Table1[[#This Row],[ Democratic]:[ Others]],0))</f>
        <v xml:space="preserve"> Democratic</v>
      </c>
      <c r="O17" s="3" t="str">
        <f>INDEX(Table7[Political Party],MATCH(VLOOKUP(DATE(LEFT(Table1[[#This Row],[Years (start dates are March 4 prior to 1933, and Jan 3 thereafter)]],4),3,4),Table7[Start Date],1,TRUE),Table7[Start Date],0))</f>
        <v>Democratic</v>
      </c>
      <c r="P17" s="21" t="b">
        <f>AND(Table1[[#This Row],[Primary Senate Party]]=Table1[[#This Row],[Presidential Party]],Table1[[#This Row],[Primary House Party]]&lt;&gt;Table1[[#This Row],[Presidential Party]])</f>
        <v>1</v>
      </c>
    </row>
    <row r="18" spans="1:16">
      <c r="A18" s="3" t="s">
        <v>32</v>
      </c>
      <c r="B18" s="4" t="s">
        <v>33</v>
      </c>
      <c r="C18" s="3">
        <v>76</v>
      </c>
      <c r="D18" s="3">
        <v>37</v>
      </c>
      <c r="E18" s="3">
        <v>37</v>
      </c>
      <c r="F18" s="3">
        <v>2</v>
      </c>
      <c r="G18" s="3"/>
      <c r="H18" s="3">
        <v>293</v>
      </c>
      <c r="I18" s="3">
        <v>130</v>
      </c>
      <c r="J18" s="3">
        <v>152</v>
      </c>
      <c r="K18" s="3">
        <v>11</v>
      </c>
      <c r="L18" s="3"/>
      <c r="M18" s="3" t="str">
        <f>INDEX(Table1[[#Headers],[Democratic]:[Others]],MATCH(MAX(Table1[[#This Row],[Democratic]:[Others]]),Table1[[#This Row],[Democratic]:[Others]],0))</f>
        <v>Democratic</v>
      </c>
      <c r="N18" s="3" t="str">
        <f>INDEX(Table1[[#Headers],[ Democratic]:[ Others]],MATCH(MAX(Table1[[#This Row],[ Democratic]:[ Others]]),Table1[[#This Row],[ Democratic]:[ Others]],0))</f>
        <v xml:space="preserve"> Republican</v>
      </c>
      <c r="O18" s="3" t="str">
        <f>INDEX(Table7[Political Party],MATCH(VLOOKUP(DATE(LEFT(Table1[[#This Row],[Years (start dates are March 4 prior to 1933, and Jan 3 thereafter)]],4),3,4),Table7[Start Date],1,TRUE),Table7[Start Date],0))</f>
        <v>Democratic</v>
      </c>
      <c r="P18" s="21" t="b">
        <f>AND(Table1[[#This Row],[Primary Senate Party]]=Table1[[#This Row],[Presidential Party]],Table1[[#This Row],[Primary House Party]]&lt;&gt;Table1[[#This Row],[Presidential Party]])</f>
        <v>1</v>
      </c>
    </row>
    <row r="19" spans="1:16" hidden="1">
      <c r="A19" s="3" t="s">
        <v>34</v>
      </c>
      <c r="B19" s="4" t="s">
        <v>35</v>
      </c>
      <c r="C19" s="3">
        <v>76</v>
      </c>
      <c r="D19" s="3">
        <v>36</v>
      </c>
      <c r="E19" s="3">
        <v>40</v>
      </c>
      <c r="F19" s="3"/>
      <c r="G19" s="3"/>
      <c r="H19" s="3">
        <v>325</v>
      </c>
      <c r="I19" s="3">
        <v>200</v>
      </c>
      <c r="J19" s="3">
        <v>119</v>
      </c>
      <c r="K19" s="3">
        <v>6</v>
      </c>
      <c r="L19" s="3"/>
      <c r="M19" s="3" t="str">
        <f>INDEX(Table1[[#Headers],[Democratic]:[Others]],MATCH(MAX(Table1[[#This Row],[Democratic]:[Others]]),Table1[[#This Row],[Democratic]:[Others]],0))</f>
        <v>Republican</v>
      </c>
      <c r="N19" s="3" t="str">
        <f>INDEX(Table1[[#Headers],[ Democratic]:[ Others]],MATCH(MAX(Table1[[#This Row],[ Democratic]:[ Others]]),Table1[[#This Row],[ Democratic]:[ Others]],0))</f>
        <v xml:space="preserve"> Democratic</v>
      </c>
      <c r="O19" s="3" t="str">
        <f>INDEX(Table7[Political Party],MATCH(VLOOKUP(DATE(LEFT(Table1[[#This Row],[Years (start dates are March 4 prior to 1933, and Jan 3 thereafter)]],4),3,4),Table7[Start Date],1,TRUE),Table7[Start Date],0))</f>
        <v>Democratic</v>
      </c>
      <c r="P19" s="21" t="b">
        <f>AND(Table1[[#This Row],[Primary Senate Party]]=Table1[[#This Row],[Presidential Party]],Table1[[#This Row],[Primary House Party]]&lt;&gt;Table1[[#This Row],[Presidential Party]])</f>
        <v>0</v>
      </c>
    </row>
    <row r="20" spans="1:16" hidden="1">
      <c r="A20" s="3" t="s">
        <v>36</v>
      </c>
      <c r="B20" s="4" t="s">
        <v>37</v>
      </c>
      <c r="C20" s="3">
        <v>76</v>
      </c>
      <c r="D20" s="3">
        <v>34</v>
      </c>
      <c r="E20" s="3">
        <v>41</v>
      </c>
      <c r="F20" s="3"/>
      <c r="G20" s="3">
        <v>1</v>
      </c>
      <c r="H20" s="3">
        <v>325</v>
      </c>
      <c r="I20" s="3">
        <v>182</v>
      </c>
      <c r="J20" s="3">
        <v>140</v>
      </c>
      <c r="K20" s="3">
        <v>2</v>
      </c>
      <c r="L20" s="3">
        <v>1</v>
      </c>
      <c r="M20" s="3" t="str">
        <f>INDEX(Table1[[#Headers],[Democratic]:[Others]],MATCH(MAX(Table1[[#This Row],[Democratic]:[Others]]),Table1[[#This Row],[Democratic]:[Others]],0))</f>
        <v>Republican</v>
      </c>
      <c r="N20" s="3" t="str">
        <f>INDEX(Table1[[#Headers],[ Democratic]:[ Others]],MATCH(MAX(Table1[[#This Row],[ Democratic]:[ Others]]),Table1[[#This Row],[ Democratic]:[ Others]],0))</f>
        <v xml:space="preserve"> Democratic</v>
      </c>
      <c r="O20" s="3" t="str">
        <f>INDEX(Table7[Political Party],MATCH(VLOOKUP(DATE(LEFT(Table1[[#This Row],[Years (start dates are March 4 prior to 1933, and Jan 3 thereafter)]],4),3,4),Table7[Start Date],1,TRUE),Table7[Start Date],0))</f>
        <v>Democratic</v>
      </c>
      <c r="P20" s="21" t="b">
        <f>AND(Table1[[#This Row],[Primary Senate Party]]=Table1[[#This Row],[Presidential Party]],Table1[[#This Row],[Primary House Party]]&lt;&gt;Table1[[#This Row],[Presidential Party]])</f>
        <v>0</v>
      </c>
    </row>
    <row r="21" spans="1:16" hidden="1">
      <c r="A21" s="3" t="s">
        <v>38</v>
      </c>
      <c r="B21" s="4" t="s">
        <v>39</v>
      </c>
      <c r="C21" s="3">
        <v>76</v>
      </c>
      <c r="D21" s="3">
        <v>37</v>
      </c>
      <c r="E21" s="3">
        <v>39</v>
      </c>
      <c r="F21" s="3"/>
      <c r="G21" s="3"/>
      <c r="H21" s="3">
        <v>325</v>
      </c>
      <c r="I21" s="3">
        <v>170</v>
      </c>
      <c r="J21" s="3">
        <v>151</v>
      </c>
      <c r="K21" s="3">
        <v>4</v>
      </c>
      <c r="L21" s="3"/>
      <c r="M21" s="3" t="str">
        <f>INDEX(Table1[[#Headers],[Democratic]:[Others]],MATCH(MAX(Table1[[#This Row],[Democratic]:[Others]]),Table1[[#This Row],[Democratic]:[Others]],0))</f>
        <v>Republican</v>
      </c>
      <c r="N21" s="3" t="str">
        <f>INDEX(Table1[[#Headers],[ Democratic]:[ Others]],MATCH(MAX(Table1[[#This Row],[ Democratic]:[ Others]]),Table1[[#This Row],[ Democratic]:[ Others]],0))</f>
        <v xml:space="preserve"> Democratic</v>
      </c>
      <c r="O21" s="3" t="str">
        <f>INDEX(Table7[Political Party],MATCH(VLOOKUP(DATE(LEFT(Table1[[#This Row],[Years (start dates are March 4 prior to 1933, and Jan 3 thereafter)]],4),3,4),Table7[Start Date],1,TRUE),Table7[Start Date],0))</f>
        <v>Democratic</v>
      </c>
      <c r="P21" s="21" t="b">
        <f>AND(Table1[[#This Row],[Primary Senate Party]]=Table1[[#This Row],[Presidential Party]],Table1[[#This Row],[Primary House Party]]&lt;&gt;Table1[[#This Row],[Presidential Party]])</f>
        <v>0</v>
      </c>
    </row>
    <row r="22" spans="1:16" hidden="1">
      <c r="A22" s="3" t="s">
        <v>40</v>
      </c>
      <c r="B22" s="4" t="s">
        <v>41</v>
      </c>
      <c r="C22" s="3">
        <v>84</v>
      </c>
      <c r="D22" s="3">
        <v>37</v>
      </c>
      <c r="E22" s="3">
        <v>47</v>
      </c>
      <c r="F22" s="3"/>
      <c r="G22" s="3"/>
      <c r="H22" s="3">
        <v>330</v>
      </c>
      <c r="I22" s="3">
        <v>156</v>
      </c>
      <c r="J22" s="3">
        <v>173</v>
      </c>
      <c r="K22" s="3">
        <v>1</v>
      </c>
      <c r="L22" s="3"/>
      <c r="M22" s="3" t="str">
        <f>INDEX(Table1[[#Headers],[Democratic]:[Others]],MATCH(MAX(Table1[[#This Row],[Democratic]:[Others]]),Table1[[#This Row],[Democratic]:[Others]],0))</f>
        <v>Republican</v>
      </c>
      <c r="N22" s="3" t="str">
        <f>INDEX(Table1[[#Headers],[ Democratic]:[ Others]],MATCH(MAX(Table1[[#This Row],[ Democratic]:[ Others]]),Table1[[#This Row],[ Democratic]:[ Others]],0))</f>
        <v xml:space="preserve"> Republican</v>
      </c>
      <c r="O22" s="3" t="str">
        <f>INDEX(Table7[Political Party],MATCH(VLOOKUP(DATE(LEFT(Table1[[#This Row],[Years (start dates are March 4 prior to 1933, and Jan 3 thereafter)]],4),3,4),Table7[Start Date],1,TRUE),Table7[Start Date],0))</f>
        <v>Democratic</v>
      </c>
      <c r="P22" s="21" t="b">
        <f>AND(Table1[[#This Row],[Primary Senate Party]]=Table1[[#This Row],[Presidential Party]],Table1[[#This Row],[Primary House Party]]&lt;&gt;Table1[[#This Row],[Presidential Party]])</f>
        <v>0</v>
      </c>
    </row>
    <row r="23" spans="1:16" hidden="1">
      <c r="A23" s="3" t="s">
        <v>42</v>
      </c>
      <c r="B23" s="4" t="s">
        <v>43</v>
      </c>
      <c r="C23" s="3">
        <v>88</v>
      </c>
      <c r="D23" s="3">
        <v>39</v>
      </c>
      <c r="E23" s="3">
        <v>47</v>
      </c>
      <c r="F23" s="3">
        <v>2</v>
      </c>
      <c r="G23" s="3"/>
      <c r="H23" s="3">
        <v>333</v>
      </c>
      <c r="I23" s="3">
        <v>231</v>
      </c>
      <c r="J23" s="3">
        <v>88</v>
      </c>
      <c r="K23" s="3">
        <v>14</v>
      </c>
      <c r="L23" s="3"/>
      <c r="M23" s="3" t="str">
        <f>INDEX(Table1[[#Headers],[Democratic]:[Others]],MATCH(MAX(Table1[[#This Row],[Democratic]:[Others]]),Table1[[#This Row],[Democratic]:[Others]],0))</f>
        <v>Republican</v>
      </c>
      <c r="N23" s="3" t="str">
        <f>INDEX(Table1[[#Headers],[ Democratic]:[ Others]],MATCH(MAX(Table1[[#This Row],[ Democratic]:[ Others]]),Table1[[#This Row],[ Democratic]:[ Others]],0))</f>
        <v xml:space="preserve"> Democratic</v>
      </c>
      <c r="O23" s="3" t="str">
        <f>INDEX(Table7[Political Party],MATCH(VLOOKUP(DATE(LEFT(Table1[[#This Row],[Years (start dates are March 4 prior to 1933, and Jan 3 thereafter)]],4),3,4),Table7[Start Date],1,TRUE),Table7[Start Date],0))</f>
        <v>Democratic</v>
      </c>
      <c r="P23" s="21" t="b">
        <f>AND(Table1[[#This Row],[Primary Senate Party]]=Table1[[#This Row],[Presidential Party]],Table1[[#This Row],[Primary House Party]]&lt;&gt;Table1[[#This Row],[Presidential Party]])</f>
        <v>0</v>
      </c>
    </row>
    <row r="24" spans="1:16">
      <c r="A24" s="3" t="s">
        <v>44</v>
      </c>
      <c r="B24" s="4" t="s">
        <v>45</v>
      </c>
      <c r="C24" s="3">
        <v>88</v>
      </c>
      <c r="D24" s="3">
        <v>44</v>
      </c>
      <c r="E24" s="3">
        <v>38</v>
      </c>
      <c r="F24" s="3">
        <v>3</v>
      </c>
      <c r="G24" s="3">
        <v>3</v>
      </c>
      <c r="H24" s="3">
        <v>356</v>
      </c>
      <c r="I24" s="3">
        <v>220</v>
      </c>
      <c r="J24" s="3">
        <v>126</v>
      </c>
      <c r="K24" s="3">
        <v>10</v>
      </c>
      <c r="L24" s="3"/>
      <c r="M24" s="3" t="str">
        <f>INDEX(Table1[[#Headers],[Democratic]:[Others]],MATCH(MAX(Table1[[#This Row],[Democratic]:[Others]]),Table1[[#This Row],[Democratic]:[Others]],0))</f>
        <v>Democratic</v>
      </c>
      <c r="N24" s="3" t="str">
        <f>INDEX(Table1[[#Headers],[ Democratic]:[ Others]],MATCH(MAX(Table1[[#This Row],[ Democratic]:[ Others]]),Table1[[#This Row],[ Democratic]:[ Others]],0))</f>
        <v xml:space="preserve"> Democratic</v>
      </c>
      <c r="O24" s="3" t="str">
        <f>INDEX(Table7[Political Party],MATCH(VLOOKUP(DATE(LEFT(Table1[[#This Row],[Years (start dates are March 4 prior to 1933, and Jan 3 thereafter)]],4),3,4),Table7[Start Date],1,TRUE),Table7[Start Date],0))</f>
        <v>Democratic</v>
      </c>
      <c r="P24" s="21" t="b">
        <f>AND(Table1[[#This Row],[Primary Senate Party]]=Table1[[#This Row],[Presidential Party]],Table1[[#This Row],[Primary House Party]]&lt;&gt;Table1[[#This Row],[Presidential Party]])</f>
        <v>1</v>
      </c>
    </row>
    <row r="25" spans="1:16" hidden="1">
      <c r="A25" s="3" t="s">
        <v>46</v>
      </c>
      <c r="B25" s="4" t="s">
        <v>47</v>
      </c>
      <c r="C25" s="3">
        <v>88</v>
      </c>
      <c r="D25" s="3">
        <v>39</v>
      </c>
      <c r="E25" s="3">
        <v>44</v>
      </c>
      <c r="F25" s="3">
        <v>5</v>
      </c>
      <c r="G25" s="3"/>
      <c r="H25" s="3">
        <v>357</v>
      </c>
      <c r="I25" s="3">
        <v>104</v>
      </c>
      <c r="J25" s="3">
        <v>246</v>
      </c>
      <c r="K25" s="3">
        <v>7</v>
      </c>
      <c r="L25" s="3"/>
      <c r="M25" s="3" t="str">
        <f>INDEX(Table1[[#Headers],[Democratic]:[Others]],MATCH(MAX(Table1[[#This Row],[Democratic]:[Others]]),Table1[[#This Row],[Democratic]:[Others]],0))</f>
        <v>Republican</v>
      </c>
      <c r="N25" s="3" t="str">
        <f>INDEX(Table1[[#Headers],[ Democratic]:[ Others]],MATCH(MAX(Table1[[#This Row],[ Democratic]:[ Others]]),Table1[[#This Row],[ Democratic]:[ Others]],0))</f>
        <v xml:space="preserve"> Republican</v>
      </c>
      <c r="O25" s="3" t="str">
        <f>INDEX(Table7[Political Party],MATCH(VLOOKUP(DATE(LEFT(Table1[[#This Row],[Years (start dates are March 4 prior to 1933, and Jan 3 thereafter)]],4),3,4),Table7[Start Date],1,TRUE),Table7[Start Date],0))</f>
        <v>Democratic</v>
      </c>
      <c r="P25" s="21" t="b">
        <f>AND(Table1[[#This Row],[Primary Senate Party]]=Table1[[#This Row],[Presidential Party]],Table1[[#This Row],[Primary House Party]]&lt;&gt;Table1[[#This Row],[Presidential Party]])</f>
        <v>0</v>
      </c>
    </row>
    <row r="26" spans="1:16" hidden="1">
      <c r="A26" s="3" t="s">
        <v>48</v>
      </c>
      <c r="B26" s="4" t="s">
        <v>49</v>
      </c>
      <c r="C26" s="3">
        <v>90</v>
      </c>
      <c r="D26" s="3">
        <v>34</v>
      </c>
      <c r="E26" s="3">
        <v>46</v>
      </c>
      <c r="F26" s="3">
        <v>10</v>
      </c>
      <c r="G26" s="3"/>
      <c r="H26" s="3">
        <v>357</v>
      </c>
      <c r="I26" s="3">
        <v>134</v>
      </c>
      <c r="J26" s="3">
        <v>206</v>
      </c>
      <c r="K26" s="3">
        <v>16</v>
      </c>
      <c r="L26" s="3">
        <v>1</v>
      </c>
      <c r="M26" s="3" t="str">
        <f>INDEX(Table1[[#Headers],[Democratic]:[Others]],MATCH(MAX(Table1[[#This Row],[Democratic]:[Others]]),Table1[[#This Row],[Democratic]:[Others]],0))</f>
        <v>Republican</v>
      </c>
      <c r="N26" s="3" t="str">
        <f>INDEX(Table1[[#Headers],[ Democratic]:[ Others]],MATCH(MAX(Table1[[#This Row],[ Democratic]:[ Others]]),Table1[[#This Row],[ Democratic]:[ Others]],0))</f>
        <v xml:space="preserve"> Republican</v>
      </c>
      <c r="O26" s="3" t="str">
        <f>INDEX(Table7[Political Party],MATCH(VLOOKUP(DATE(LEFT(Table1[[#This Row],[Years (start dates are March 4 prior to 1933, and Jan 3 thereafter)]],4),3,4),Table7[Start Date],1,TRUE),Table7[Start Date],0))</f>
        <v>Democratic</v>
      </c>
      <c r="P26" s="21" t="b">
        <f>AND(Table1[[#This Row],[Primary Senate Party]]=Table1[[#This Row],[Presidential Party]],Table1[[#This Row],[Primary House Party]]&lt;&gt;Table1[[#This Row],[Presidential Party]])</f>
        <v>0</v>
      </c>
    </row>
    <row r="27" spans="1:16" hidden="1">
      <c r="A27" s="3" t="s">
        <v>50</v>
      </c>
      <c r="B27" s="4" t="s">
        <v>51</v>
      </c>
      <c r="C27" s="3">
        <v>90</v>
      </c>
      <c r="D27" s="3">
        <v>26</v>
      </c>
      <c r="E27" s="3">
        <v>53</v>
      </c>
      <c r="F27" s="3">
        <v>11</v>
      </c>
      <c r="G27" s="3"/>
      <c r="H27" s="3">
        <v>357</v>
      </c>
      <c r="I27" s="3">
        <v>163</v>
      </c>
      <c r="J27" s="3">
        <v>185</v>
      </c>
      <c r="K27" s="3">
        <v>9</v>
      </c>
      <c r="L27" s="3"/>
      <c r="M27" s="3" t="str">
        <f>INDEX(Table1[[#Headers],[Democratic]:[Others]],MATCH(MAX(Table1[[#This Row],[Democratic]:[Others]]),Table1[[#This Row],[Democratic]:[Others]],0))</f>
        <v>Republican</v>
      </c>
      <c r="N27" s="3" t="str">
        <f>INDEX(Table1[[#Headers],[ Democratic]:[ Others]],MATCH(MAX(Table1[[#This Row],[ Democratic]:[ Others]]),Table1[[#This Row],[ Democratic]:[ Others]],0))</f>
        <v xml:space="preserve"> Republican</v>
      </c>
      <c r="O27" s="3" t="str">
        <f>INDEX(Table7[Political Party],MATCH(VLOOKUP(DATE(LEFT(Table1[[#This Row],[Years (start dates are March 4 prior to 1933, and Jan 3 thereafter)]],4),3,4),Table7[Start Date],1,TRUE),Table7[Start Date],0))</f>
        <v>Democratic</v>
      </c>
      <c r="P27" s="21" t="b">
        <f>AND(Table1[[#This Row],[Primary Senate Party]]=Table1[[#This Row],[Presidential Party]],Table1[[#This Row],[Primary House Party]]&lt;&gt;Table1[[#This Row],[Presidential Party]])</f>
        <v>0</v>
      </c>
    </row>
    <row r="28" spans="1:16">
      <c r="A28" s="3" t="s">
        <v>52</v>
      </c>
      <c r="B28" s="4" t="s">
        <v>53</v>
      </c>
      <c r="C28" s="3">
        <v>90</v>
      </c>
      <c r="D28" s="3">
        <v>29</v>
      </c>
      <c r="E28" s="3">
        <v>56</v>
      </c>
      <c r="F28" s="3">
        <v>3</v>
      </c>
      <c r="G28" s="3">
        <v>2</v>
      </c>
      <c r="H28" s="3">
        <v>357</v>
      </c>
      <c r="I28" s="3">
        <v>153</v>
      </c>
      <c r="J28" s="3">
        <v>198</v>
      </c>
      <c r="K28" s="3">
        <v>5</v>
      </c>
      <c r="L28" s="3">
        <v>1</v>
      </c>
      <c r="M28" s="3" t="str">
        <f>INDEX(Table1[[#Headers],[Democratic]:[Others]],MATCH(MAX(Table1[[#This Row],[Democratic]:[Others]]),Table1[[#This Row],[Democratic]:[Others]],0))</f>
        <v>Republican</v>
      </c>
      <c r="N28" s="3" t="str">
        <f>INDEX(Table1[[#Headers],[ Democratic]:[ Others]],MATCH(MAX(Table1[[#This Row],[ Democratic]:[ Others]]),Table1[[#This Row],[ Democratic]:[ Others]],0))</f>
        <v xml:space="preserve"> Republican</v>
      </c>
      <c r="O28" s="3" t="s">
        <v>217</v>
      </c>
      <c r="P28" s="21" t="b">
        <f>AND(Table1[[#This Row],[Primary Senate Party]]=Table1[[#This Row],[Presidential Party]],Table1[[#This Row],[Primary House Party]]&lt;&gt;Table1[[#This Row],[Presidential Party]])</f>
        <v>1</v>
      </c>
    </row>
    <row r="29" spans="1:16">
      <c r="A29" s="3" t="s">
        <v>54</v>
      </c>
      <c r="B29" s="4" t="s">
        <v>55</v>
      </c>
      <c r="C29" s="3">
        <v>90</v>
      </c>
      <c r="D29" s="3">
        <v>32</v>
      </c>
      <c r="E29" s="3">
        <v>58</v>
      </c>
      <c r="F29" s="3"/>
      <c r="G29" s="3"/>
      <c r="H29" s="3">
        <v>386</v>
      </c>
      <c r="I29" s="3">
        <v>178</v>
      </c>
      <c r="J29" s="3">
        <v>207</v>
      </c>
      <c r="K29" s="3"/>
      <c r="L29" s="3">
        <v>1</v>
      </c>
      <c r="M29" s="3" t="str">
        <f>INDEX(Table1[[#Headers],[Democratic]:[Others]],MATCH(MAX(Table1[[#This Row],[Democratic]:[Others]]),Table1[[#This Row],[Democratic]:[Others]],0))</f>
        <v>Republican</v>
      </c>
      <c r="N29" s="3" t="str">
        <f>INDEX(Table1[[#Headers],[ Democratic]:[ Others]],MATCH(MAX(Table1[[#This Row],[ Democratic]:[ Others]]),Table1[[#This Row],[ Democratic]:[ Others]],0))</f>
        <v xml:space="preserve"> Republican</v>
      </c>
      <c r="O29" s="3" t="str">
        <f>INDEX(Table7[Political Party],MATCH(VLOOKUP(DATE(LEFT(Table1[[#This Row],[Years (start dates are March 4 prior to 1933, and Jan 3 thereafter)]],4),3,4),Table7[Start Date],1,TRUE),Table7[Start Date],0))</f>
        <v>Republican</v>
      </c>
      <c r="P29" s="21" t="b">
        <f>AND(Table1[[#This Row],[Primary Senate Party]]=Table1[[#This Row],[Presidential Party]],Table1[[#This Row],[Primary House Party]]&lt;&gt;Table1[[#This Row],[Presidential Party]])</f>
        <v>1</v>
      </c>
    </row>
    <row r="30" spans="1:16">
      <c r="A30" s="3" t="s">
        <v>56</v>
      </c>
      <c r="B30" s="4" t="s">
        <v>57</v>
      </c>
      <c r="C30" s="3">
        <v>90</v>
      </c>
      <c r="D30" s="3">
        <v>32</v>
      </c>
      <c r="E30" s="3">
        <v>58</v>
      </c>
      <c r="F30" s="3"/>
      <c r="G30" s="3"/>
      <c r="H30" s="3">
        <v>386</v>
      </c>
      <c r="I30" s="3">
        <v>136</v>
      </c>
      <c r="J30" s="3">
        <v>250</v>
      </c>
      <c r="K30" s="3"/>
      <c r="L30" s="3"/>
      <c r="M30" s="3" t="str">
        <f>INDEX(Table1[[#Headers],[Democratic]:[Others]],MATCH(MAX(Table1[[#This Row],[Democratic]:[Others]]),Table1[[#This Row],[Democratic]:[Others]],0))</f>
        <v>Republican</v>
      </c>
      <c r="N30" s="3" t="str">
        <f>INDEX(Table1[[#Headers],[ Democratic]:[ Others]],MATCH(MAX(Table1[[#This Row],[ Democratic]:[ Others]]),Table1[[#This Row],[ Democratic]:[ Others]],0))</f>
        <v xml:space="preserve"> Republican</v>
      </c>
      <c r="O30" s="3" t="str">
        <f>INDEX(Table7[Political Party],MATCH(VLOOKUP(DATE(LEFT(Table1[[#This Row],[Years (start dates are March 4 prior to 1933, and Jan 3 thereafter)]],4),3,4),Table7[Start Date],1,TRUE),Table7[Start Date],0))</f>
        <v>Republican</v>
      </c>
      <c r="P30" s="21" t="b">
        <f>AND(Table1[[#This Row],[Primary Senate Party]]=Table1[[#This Row],[Presidential Party]],Table1[[#This Row],[Primary House Party]]&lt;&gt;Table1[[#This Row],[Presidential Party]])</f>
        <v>1</v>
      </c>
    </row>
    <row r="31" spans="1:16">
      <c r="A31" s="3" t="s">
        <v>58</v>
      </c>
      <c r="B31" s="4" t="s">
        <v>59</v>
      </c>
      <c r="C31" s="3">
        <v>92</v>
      </c>
      <c r="D31" s="3">
        <v>29</v>
      </c>
      <c r="E31" s="3">
        <v>61</v>
      </c>
      <c r="F31" s="3"/>
      <c r="G31" s="3">
        <v>2</v>
      </c>
      <c r="H31" s="3">
        <v>386</v>
      </c>
      <c r="I31" s="3">
        <v>164</v>
      </c>
      <c r="J31" s="3">
        <v>222</v>
      </c>
      <c r="K31" s="3"/>
      <c r="L31" s="3"/>
      <c r="M31" s="3" t="str">
        <f>INDEX(Table1[[#Headers],[Democratic]:[Others]],MATCH(MAX(Table1[[#This Row],[Democratic]:[Others]]),Table1[[#This Row],[Democratic]:[Others]],0))</f>
        <v>Republican</v>
      </c>
      <c r="N31" s="3" t="str">
        <f>INDEX(Table1[[#Headers],[ Democratic]:[ Others]],MATCH(MAX(Table1[[#This Row],[ Democratic]:[ Others]]),Table1[[#This Row],[ Democratic]:[ Others]],0))</f>
        <v xml:space="preserve"> Republican</v>
      </c>
      <c r="O31" s="3" t="str">
        <f>INDEX(Table7[Political Party],MATCH(VLOOKUP(DATE(LEFT(Table1[[#This Row],[Years (start dates are March 4 prior to 1933, and Jan 3 thereafter)]],4),3,4),Table7[Start Date],1,TRUE),Table7[Start Date],0))</f>
        <v>Republican</v>
      </c>
      <c r="P31" s="21" t="b">
        <f>AND(Table1[[#This Row],[Primary Senate Party]]=Table1[[#This Row],[Presidential Party]],Table1[[#This Row],[Primary House Party]]&lt;&gt;Table1[[#This Row],[Presidential Party]])</f>
        <v>1</v>
      </c>
    </row>
    <row r="32" spans="1:16">
      <c r="A32" s="3" t="s">
        <v>60</v>
      </c>
      <c r="B32" s="4" t="s">
        <v>61</v>
      </c>
      <c r="C32" s="3">
        <v>92</v>
      </c>
      <c r="D32" s="3">
        <v>32</v>
      </c>
      <c r="E32" s="3">
        <v>59</v>
      </c>
      <c r="F32" s="3"/>
      <c r="G32" s="3">
        <v>1</v>
      </c>
      <c r="H32" s="3">
        <v>391</v>
      </c>
      <c r="I32" s="3">
        <v>172</v>
      </c>
      <c r="J32" s="3">
        <v>219</v>
      </c>
      <c r="K32" s="3"/>
      <c r="L32" s="3"/>
      <c r="M32" s="3" t="str">
        <f>INDEX(Table1[[#Headers],[Democratic]:[Others]],MATCH(MAX(Table1[[#This Row],[Democratic]:[Others]]),Table1[[#This Row],[Democratic]:[Others]],0))</f>
        <v>Republican</v>
      </c>
      <c r="N32" s="3" t="str">
        <f>INDEX(Table1[[#Headers],[ Democratic]:[ Others]],MATCH(MAX(Table1[[#This Row],[ Democratic]:[ Others]]),Table1[[#This Row],[ Democratic]:[ Others]],0))</f>
        <v xml:space="preserve"> Republican</v>
      </c>
      <c r="O32" s="3" t="str">
        <f>INDEX(Table7[Political Party],MATCH(VLOOKUP(DATE(LEFT(Table1[[#This Row],[Years (start dates are March 4 prior to 1933, and Jan 3 thereafter)]],4),3,4),Table7[Start Date],1,TRUE),Table7[Start Date],0))</f>
        <v>Republican</v>
      </c>
      <c r="P32" s="21" t="b">
        <f>AND(Table1[[#This Row],[Primary Senate Party]]=Table1[[#This Row],[Presidential Party]],Table1[[#This Row],[Primary House Party]]&lt;&gt;Table1[[#This Row],[Presidential Party]])</f>
        <v>1</v>
      </c>
    </row>
    <row r="33" spans="1:16">
      <c r="A33" s="3" t="s">
        <v>62</v>
      </c>
      <c r="B33" s="4" t="s">
        <v>63</v>
      </c>
      <c r="C33" s="3">
        <v>92</v>
      </c>
      <c r="D33" s="3">
        <v>42</v>
      </c>
      <c r="E33" s="3">
        <v>49</v>
      </c>
      <c r="F33" s="3"/>
      <c r="G33" s="3">
        <v>1</v>
      </c>
      <c r="H33" s="3">
        <v>391</v>
      </c>
      <c r="I33" s="3">
        <v>228</v>
      </c>
      <c r="J33" s="3">
        <v>162</v>
      </c>
      <c r="K33" s="3">
        <v>1</v>
      </c>
      <c r="L33" s="3"/>
      <c r="M33" s="3" t="str">
        <f>INDEX(Table1[[#Headers],[Democratic]:[Others]],MATCH(MAX(Table1[[#This Row],[Democratic]:[Others]]),Table1[[#This Row],[Democratic]:[Others]],0))</f>
        <v>Republican</v>
      </c>
      <c r="N33" s="3" t="str">
        <f>INDEX(Table1[[#Headers],[ Democratic]:[ Others]],MATCH(MAX(Table1[[#This Row],[ Democratic]:[ Others]]),Table1[[#This Row],[ Democratic]:[ Others]],0))</f>
        <v xml:space="preserve"> Democratic</v>
      </c>
      <c r="O33" s="3" t="str">
        <f>INDEX(Table7[Political Party],MATCH(VLOOKUP(DATE(LEFT(Table1[[#This Row],[Years (start dates are March 4 prior to 1933, and Jan 3 thereafter)]],4),3,4),Table7[Start Date],1,TRUE),Table7[Start Date],0))</f>
        <v>Republican</v>
      </c>
      <c r="P33" s="21" t="b">
        <f>AND(Table1[[#This Row],[Primary Senate Party]]=Table1[[#This Row],[Presidential Party]],Table1[[#This Row],[Primary House Party]]&lt;&gt;Table1[[#This Row],[Presidential Party]])</f>
        <v>1</v>
      </c>
    </row>
    <row r="34" spans="1:16">
      <c r="A34" s="3" t="s">
        <v>64</v>
      </c>
      <c r="B34" s="4" t="s">
        <v>65</v>
      </c>
      <c r="C34" s="3">
        <v>96</v>
      </c>
      <c r="D34" s="3">
        <v>51</v>
      </c>
      <c r="E34" s="3">
        <v>44</v>
      </c>
      <c r="F34" s="3">
        <v>1</v>
      </c>
      <c r="G34" s="3"/>
      <c r="H34" s="3">
        <v>435</v>
      </c>
      <c r="I34" s="3">
        <v>290</v>
      </c>
      <c r="J34" s="3">
        <v>127</v>
      </c>
      <c r="K34" s="3">
        <v>18</v>
      </c>
      <c r="L34" s="3"/>
      <c r="M34" s="3" t="str">
        <f>INDEX(Table1[[#Headers],[Democratic]:[Others]],MATCH(MAX(Table1[[#This Row],[Democratic]:[Others]]),Table1[[#This Row],[Democratic]:[Others]],0))</f>
        <v>Democratic</v>
      </c>
      <c r="N34" s="3" t="str">
        <f>INDEX(Table1[[#Headers],[ Democratic]:[ Others]],MATCH(MAX(Table1[[#This Row],[ Democratic]:[ Others]]),Table1[[#This Row],[ Democratic]:[ Others]],0))</f>
        <v xml:space="preserve"> Democratic</v>
      </c>
      <c r="O34" s="3" t="str">
        <f>INDEX(Table7[Political Party],MATCH(VLOOKUP(DATE(LEFT(Table1[[#This Row],[Years (start dates are March 4 prior to 1933, and Jan 3 thereafter)]],4),3,4),Table7[Start Date],1,TRUE),Table7[Start Date],0))</f>
        <v>Democratic</v>
      </c>
      <c r="P34" s="21" t="b">
        <f>AND(Table1[[#This Row],[Primary Senate Party]]=Table1[[#This Row],[Presidential Party]],Table1[[#This Row],[Primary House Party]]&lt;&gt;Table1[[#This Row],[Presidential Party]])</f>
        <v>1</v>
      </c>
    </row>
    <row r="35" spans="1:16">
      <c r="A35" s="3" t="s">
        <v>66</v>
      </c>
      <c r="B35" s="4" t="s">
        <v>67</v>
      </c>
      <c r="C35" s="3">
        <v>96</v>
      </c>
      <c r="D35" s="3">
        <v>56</v>
      </c>
      <c r="E35" s="3">
        <v>39</v>
      </c>
      <c r="F35" s="3">
        <v>1</v>
      </c>
      <c r="G35" s="3"/>
      <c r="H35" s="3">
        <v>435</v>
      </c>
      <c r="I35" s="3">
        <v>231</v>
      </c>
      <c r="J35" s="3">
        <v>193</v>
      </c>
      <c r="K35" s="3">
        <v>8</v>
      </c>
      <c r="L35" s="3">
        <v>3</v>
      </c>
      <c r="M35" s="3" t="str">
        <f>INDEX(Table1[[#Headers],[Democratic]:[Others]],MATCH(MAX(Table1[[#This Row],[Democratic]:[Others]]),Table1[[#This Row],[Democratic]:[Others]],0))</f>
        <v>Democratic</v>
      </c>
      <c r="N35" s="3" t="str">
        <f>INDEX(Table1[[#Headers],[ Democratic]:[ Others]],MATCH(MAX(Table1[[#This Row],[ Democratic]:[ Others]]),Table1[[#This Row],[ Democratic]:[ Others]],0))</f>
        <v xml:space="preserve"> Democratic</v>
      </c>
      <c r="O35" s="3" t="str">
        <f>INDEX(Table7[Political Party],MATCH(VLOOKUP(DATE(LEFT(Table1[[#This Row],[Years (start dates are March 4 prior to 1933, and Jan 3 thereafter)]],4),3,4),Table7[Start Date],1,TRUE),Table7[Start Date],0))</f>
        <v>Democratic</v>
      </c>
      <c r="P35" s="21" t="b">
        <f>AND(Table1[[#This Row],[Primary Senate Party]]=Table1[[#This Row],[Presidential Party]],Table1[[#This Row],[Primary House Party]]&lt;&gt;Table1[[#This Row],[Presidential Party]])</f>
        <v>1</v>
      </c>
    </row>
    <row r="36" spans="1:16">
      <c r="A36" s="3" t="s">
        <v>68</v>
      </c>
      <c r="B36" s="4" t="s">
        <v>69</v>
      </c>
      <c r="C36" s="3">
        <v>96</v>
      </c>
      <c r="D36" s="3">
        <v>53</v>
      </c>
      <c r="E36" s="3">
        <v>42</v>
      </c>
      <c r="F36" s="3">
        <v>1</v>
      </c>
      <c r="G36" s="3"/>
      <c r="H36" s="3">
        <v>435</v>
      </c>
      <c r="I36" s="3">
        <v>210</v>
      </c>
      <c r="J36" s="3">
        <v>216</v>
      </c>
      <c r="K36" s="3">
        <v>9</v>
      </c>
      <c r="L36" s="3"/>
      <c r="M36" s="3" t="str">
        <f>INDEX(Table1[[#Headers],[Democratic]:[Others]],MATCH(MAX(Table1[[#This Row],[Democratic]:[Others]]),Table1[[#This Row],[Democratic]:[Others]],0))</f>
        <v>Democratic</v>
      </c>
      <c r="N36" s="3" t="str">
        <f>INDEX(Table1[[#Headers],[ Democratic]:[ Others]],MATCH(MAX(Table1[[#This Row],[ Democratic]:[ Others]]),Table1[[#This Row],[ Democratic]:[ Others]],0))</f>
        <v xml:space="preserve"> Republican</v>
      </c>
      <c r="O36" s="3" t="str">
        <f>INDEX(Table7[Political Party],MATCH(VLOOKUP(DATE(LEFT(Table1[[#This Row],[Years (start dates are March 4 prior to 1933, and Jan 3 thereafter)]],4),3,4),Table7[Start Date],1,TRUE),Table7[Start Date],0))</f>
        <v>Democratic</v>
      </c>
      <c r="P36" s="21" t="b">
        <f>AND(Table1[[#This Row],[Primary Senate Party]]=Table1[[#This Row],[Presidential Party]],Table1[[#This Row],[Primary House Party]]&lt;&gt;Table1[[#This Row],[Presidential Party]])</f>
        <v>1</v>
      </c>
    </row>
    <row r="37" spans="1:16" hidden="1">
      <c r="A37" s="3" t="s">
        <v>70</v>
      </c>
      <c r="B37" s="4" t="s">
        <v>71</v>
      </c>
      <c r="C37" s="3">
        <v>96</v>
      </c>
      <c r="D37" s="3">
        <v>47</v>
      </c>
      <c r="E37" s="3">
        <v>48</v>
      </c>
      <c r="F37" s="3">
        <v>1</v>
      </c>
      <c r="G37" s="3"/>
      <c r="H37" s="3">
        <v>435</v>
      </c>
      <c r="I37" s="3">
        <v>191</v>
      </c>
      <c r="J37" s="3">
        <v>237</v>
      </c>
      <c r="K37" s="3">
        <v>7</v>
      </c>
      <c r="L37" s="3"/>
      <c r="M37" s="3" t="str">
        <f>INDEX(Table1[[#Headers],[Democratic]:[Others]],MATCH(MAX(Table1[[#This Row],[Democratic]:[Others]]),Table1[[#This Row],[Democratic]:[Others]],0))</f>
        <v>Republican</v>
      </c>
      <c r="N37" s="3" t="str">
        <f>INDEX(Table1[[#Headers],[ Democratic]:[ Others]],MATCH(MAX(Table1[[#This Row],[ Democratic]:[ Others]]),Table1[[#This Row],[ Democratic]:[ Others]],0))</f>
        <v xml:space="preserve"> Republican</v>
      </c>
      <c r="O37" s="3" t="str">
        <f>INDEX(Table7[Political Party],MATCH(VLOOKUP(DATE(LEFT(Table1[[#This Row],[Years (start dates are March 4 prior to 1933, and Jan 3 thereafter)]],4),3,4),Table7[Start Date],1,TRUE),Table7[Start Date],0))</f>
        <v>Democratic</v>
      </c>
      <c r="P37" s="21" t="b">
        <f>AND(Table1[[#This Row],[Primary Senate Party]]=Table1[[#This Row],[Presidential Party]],Table1[[#This Row],[Primary House Party]]&lt;&gt;Table1[[#This Row],[Presidential Party]])</f>
        <v>0</v>
      </c>
    </row>
    <row r="38" spans="1:16">
      <c r="A38" s="3" t="s">
        <v>72</v>
      </c>
      <c r="B38" s="4" t="s">
        <v>73</v>
      </c>
      <c r="C38" s="3">
        <v>96</v>
      </c>
      <c r="D38" s="3">
        <v>37</v>
      </c>
      <c r="E38" s="3">
        <v>59</v>
      </c>
      <c r="F38" s="3"/>
      <c r="G38" s="3"/>
      <c r="H38" s="3">
        <v>435</v>
      </c>
      <c r="I38" s="3">
        <v>132</v>
      </c>
      <c r="J38" s="3">
        <v>300</v>
      </c>
      <c r="K38" s="3">
        <v>1</v>
      </c>
      <c r="L38" s="3">
        <v>2</v>
      </c>
      <c r="M38" s="3" t="str">
        <f>INDEX(Table1[[#Headers],[Democratic]:[Others]],MATCH(MAX(Table1[[#This Row],[Democratic]:[Others]]),Table1[[#This Row],[Democratic]:[Others]],0))</f>
        <v>Republican</v>
      </c>
      <c r="N38" s="3" t="str">
        <f>INDEX(Table1[[#Headers],[ Democratic]:[ Others]],MATCH(MAX(Table1[[#This Row],[ Democratic]:[ Others]]),Table1[[#This Row],[ Democratic]:[ Others]],0))</f>
        <v xml:space="preserve"> Republican</v>
      </c>
      <c r="O38" s="3" t="str">
        <f>INDEX(Table7[Political Party],MATCH(VLOOKUP(DATE(LEFT(Table1[[#This Row],[Years (start dates are March 4 prior to 1933, and Jan 3 thereafter)]],4),3,4),Table7[Start Date],1,TRUE),Table7[Start Date],0))</f>
        <v>Republican</v>
      </c>
      <c r="P38" s="21" t="b">
        <f>AND(Table1[[#This Row],[Primary Senate Party]]=Table1[[#This Row],[Presidential Party]],Table1[[#This Row],[Primary House Party]]&lt;&gt;Table1[[#This Row],[Presidential Party]])</f>
        <v>1</v>
      </c>
    </row>
    <row r="39" spans="1:16">
      <c r="A39" s="3" t="s">
        <v>74</v>
      </c>
      <c r="B39" s="4" t="s">
        <v>75</v>
      </c>
      <c r="C39" s="3">
        <v>96</v>
      </c>
      <c r="D39" s="3">
        <v>43</v>
      </c>
      <c r="E39" s="3">
        <v>51</v>
      </c>
      <c r="F39" s="3">
        <v>2</v>
      </c>
      <c r="G39" s="3"/>
      <c r="H39" s="3">
        <v>435</v>
      </c>
      <c r="I39" s="3">
        <v>207</v>
      </c>
      <c r="J39" s="3">
        <v>225</v>
      </c>
      <c r="K39" s="3">
        <v>3</v>
      </c>
      <c r="L39" s="3"/>
      <c r="M39" s="3" t="str">
        <f>INDEX(Table1[[#Headers],[Democratic]:[Others]],MATCH(MAX(Table1[[#This Row],[Democratic]:[Others]]),Table1[[#This Row],[Democratic]:[Others]],0))</f>
        <v>Republican</v>
      </c>
      <c r="N39" s="3" t="str">
        <f>INDEX(Table1[[#Headers],[ Democratic]:[ Others]],MATCH(MAX(Table1[[#This Row],[ Democratic]:[ Others]]),Table1[[#This Row],[ Democratic]:[ Others]],0))</f>
        <v xml:space="preserve"> Republican</v>
      </c>
      <c r="O39" s="3" t="str">
        <f>INDEX(Table7[Political Party],MATCH(VLOOKUP(DATE(LEFT(Table1[[#This Row],[Years (start dates are March 4 prior to 1933, and Jan 3 thereafter)]],4),3,4),Table7[Start Date],1,TRUE),Table7[Start Date],0))</f>
        <v>Republican</v>
      </c>
      <c r="P39" s="21" t="b">
        <f>AND(Table1[[#This Row],[Primary Senate Party]]=Table1[[#This Row],[Presidential Party]],Table1[[#This Row],[Primary House Party]]&lt;&gt;Table1[[#This Row],[Presidential Party]])</f>
        <v>1</v>
      </c>
    </row>
    <row r="40" spans="1:16">
      <c r="A40" s="3" t="s">
        <v>76</v>
      </c>
      <c r="B40" s="4" t="s">
        <v>77</v>
      </c>
      <c r="C40" s="3">
        <v>96</v>
      </c>
      <c r="D40" s="3">
        <v>40</v>
      </c>
      <c r="E40" s="3">
        <v>54</v>
      </c>
      <c r="F40" s="3">
        <v>1</v>
      </c>
      <c r="G40" s="3">
        <v>1</v>
      </c>
      <c r="H40" s="3">
        <v>435</v>
      </c>
      <c r="I40" s="3">
        <v>183</v>
      </c>
      <c r="J40" s="3">
        <v>247</v>
      </c>
      <c r="K40" s="3">
        <v>5</v>
      </c>
      <c r="L40" s="3"/>
      <c r="M40" s="3" t="str">
        <f>INDEX(Table1[[#Headers],[Democratic]:[Others]],MATCH(MAX(Table1[[#This Row],[Democratic]:[Others]]),Table1[[#This Row],[Democratic]:[Others]],0))</f>
        <v>Republican</v>
      </c>
      <c r="N40" s="3" t="str">
        <f>INDEX(Table1[[#Headers],[ Democratic]:[ Others]],MATCH(MAX(Table1[[#This Row],[ Democratic]:[ Others]]),Table1[[#This Row],[ Democratic]:[ Others]],0))</f>
        <v xml:space="preserve"> Republican</v>
      </c>
      <c r="O40" s="3" t="str">
        <f>INDEX(Table7[Political Party],MATCH(VLOOKUP(DATE(LEFT(Table1[[#This Row],[Years (start dates are March 4 prior to 1933, and Jan 3 thereafter)]],4),3,4),Table7[Start Date],1,TRUE),Table7[Start Date],0))</f>
        <v>Republican</v>
      </c>
      <c r="P40" s="21" t="b">
        <f>AND(Table1[[#This Row],[Primary Senate Party]]=Table1[[#This Row],[Presidential Party]],Table1[[#This Row],[Primary House Party]]&lt;&gt;Table1[[#This Row],[Presidential Party]])</f>
        <v>1</v>
      </c>
    </row>
    <row r="41" spans="1:16">
      <c r="A41" s="3" t="s">
        <v>78</v>
      </c>
      <c r="B41" s="4" t="s">
        <v>79</v>
      </c>
      <c r="C41" s="3">
        <v>96</v>
      </c>
      <c r="D41" s="3">
        <v>47</v>
      </c>
      <c r="E41" s="3">
        <v>48</v>
      </c>
      <c r="F41" s="3">
        <v>1</v>
      </c>
      <c r="G41" s="3"/>
      <c r="H41" s="3">
        <v>435</v>
      </c>
      <c r="I41" s="3">
        <v>195</v>
      </c>
      <c r="J41" s="3">
        <v>237</v>
      </c>
      <c r="K41" s="3">
        <v>3</v>
      </c>
      <c r="L41" s="3"/>
      <c r="M41" s="3" t="str">
        <f>INDEX(Table1[[#Headers],[Democratic]:[Others]],MATCH(MAX(Table1[[#This Row],[Democratic]:[Others]]),Table1[[#This Row],[Democratic]:[Others]],0))</f>
        <v>Republican</v>
      </c>
      <c r="N41" s="3" t="str">
        <f>INDEX(Table1[[#Headers],[ Democratic]:[ Others]],MATCH(MAX(Table1[[#This Row],[ Democratic]:[ Others]]),Table1[[#This Row],[ Democratic]:[ Others]],0))</f>
        <v xml:space="preserve"> Republican</v>
      </c>
      <c r="O41" s="3" t="str">
        <f>INDEX(Table7[Political Party],MATCH(VLOOKUP(DATE(LEFT(Table1[[#This Row],[Years (start dates are March 4 prior to 1933, and Jan 3 thereafter)]],4),3,4),Table7[Start Date],1,TRUE),Table7[Start Date],0))</f>
        <v>Republican</v>
      </c>
      <c r="P41" s="21" t="b">
        <f>AND(Table1[[#This Row],[Primary Senate Party]]=Table1[[#This Row],[Presidential Party]],Table1[[#This Row],[Primary House Party]]&lt;&gt;Table1[[#This Row],[Presidential Party]])</f>
        <v>1</v>
      </c>
    </row>
    <row r="42" spans="1:16">
      <c r="A42" s="3" t="s">
        <v>80</v>
      </c>
      <c r="B42" s="4" t="s">
        <v>81</v>
      </c>
      <c r="C42" s="3">
        <v>96</v>
      </c>
      <c r="D42" s="3">
        <v>39</v>
      </c>
      <c r="E42" s="3">
        <v>56</v>
      </c>
      <c r="F42" s="3">
        <v>1</v>
      </c>
      <c r="G42" s="3"/>
      <c r="H42" s="3">
        <v>435</v>
      </c>
      <c r="I42" s="3">
        <v>163</v>
      </c>
      <c r="J42" s="3">
        <v>267</v>
      </c>
      <c r="K42" s="3">
        <v>1</v>
      </c>
      <c r="L42" s="3">
        <v>4</v>
      </c>
      <c r="M42" s="3" t="str">
        <f>INDEX(Table1[[#Headers],[Democratic]:[Others]],MATCH(MAX(Table1[[#This Row],[Democratic]:[Others]]),Table1[[#This Row],[Democratic]:[Others]],0))</f>
        <v>Republican</v>
      </c>
      <c r="N42" s="3" t="str">
        <f>INDEX(Table1[[#Headers],[ Democratic]:[ Others]],MATCH(MAX(Table1[[#This Row],[ Democratic]:[ Others]]),Table1[[#This Row],[ Democratic]:[ Others]],0))</f>
        <v xml:space="preserve"> Republican</v>
      </c>
      <c r="O42" s="3" t="str">
        <f>INDEX(Table7[Political Party],MATCH(VLOOKUP(DATE(LEFT(Table1[[#This Row],[Years (start dates are March 4 prior to 1933, and Jan 3 thereafter)]],4),3,4),Table7[Start Date],1,TRUE),Table7[Start Date],0))</f>
        <v>Republican</v>
      </c>
      <c r="P42" s="21" t="b">
        <f>AND(Table1[[#This Row],[Primary Senate Party]]=Table1[[#This Row],[Presidential Party]],Table1[[#This Row],[Primary House Party]]&lt;&gt;Table1[[#This Row],[Presidential Party]])</f>
        <v>1</v>
      </c>
    </row>
    <row r="43" spans="1:16">
      <c r="A43" s="3" t="s">
        <v>82</v>
      </c>
      <c r="B43" s="4" t="s">
        <v>83</v>
      </c>
      <c r="C43" s="3">
        <v>96</v>
      </c>
      <c r="D43" s="3">
        <v>47</v>
      </c>
      <c r="E43" s="3">
        <v>48</v>
      </c>
      <c r="F43" s="3">
        <v>1</v>
      </c>
      <c r="G43" s="3"/>
      <c r="H43" s="3">
        <v>435</v>
      </c>
      <c r="I43" s="3">
        <v>216</v>
      </c>
      <c r="J43" s="3">
        <v>218</v>
      </c>
      <c r="K43" s="3">
        <v>1</v>
      </c>
      <c r="L43" s="3"/>
      <c r="M43" s="3" t="str">
        <f>INDEX(Table1[[#Headers],[Democratic]:[Others]],MATCH(MAX(Table1[[#This Row],[Democratic]:[Others]]),Table1[[#This Row],[Democratic]:[Others]],0))</f>
        <v>Republican</v>
      </c>
      <c r="N43" s="3" t="str">
        <f>INDEX(Table1[[#Headers],[ Democratic]:[ Others]],MATCH(MAX(Table1[[#This Row],[ Democratic]:[ Others]]),Table1[[#This Row],[ Democratic]:[ Others]],0))</f>
        <v xml:space="preserve"> Republican</v>
      </c>
      <c r="O43" s="3" t="str">
        <f>INDEX(Table7[Political Party],MATCH(VLOOKUP(DATE(LEFT(Table1[[#This Row],[Years (start dates are March 4 prior to 1933, and Jan 3 thereafter)]],4),3,4),Table7[Start Date],1,TRUE),Table7[Start Date],0))</f>
        <v>Republican</v>
      </c>
      <c r="P43" s="21" t="b">
        <f>AND(Table1[[#This Row],[Primary Senate Party]]=Table1[[#This Row],[Presidential Party]],Table1[[#This Row],[Primary House Party]]&lt;&gt;Table1[[#This Row],[Presidential Party]])</f>
        <v>1</v>
      </c>
    </row>
    <row r="44" spans="1:16" hidden="1">
      <c r="A44" s="3" t="s">
        <v>84</v>
      </c>
      <c r="B44" s="4" t="s">
        <v>85</v>
      </c>
      <c r="C44" s="3">
        <v>96</v>
      </c>
      <c r="D44" s="3">
        <v>59</v>
      </c>
      <c r="E44" s="3">
        <v>36</v>
      </c>
      <c r="F44" s="3">
        <v>1</v>
      </c>
      <c r="G44" s="3"/>
      <c r="H44" s="3">
        <v>435</v>
      </c>
      <c r="I44" s="3">
        <v>313</v>
      </c>
      <c r="J44" s="3">
        <v>117</v>
      </c>
      <c r="K44" s="3">
        <v>5</v>
      </c>
      <c r="L44" s="3"/>
      <c r="M44" s="3" t="str">
        <f>INDEX(Table1[[#Headers],[Democratic]:[Others]],MATCH(MAX(Table1[[#This Row],[Democratic]:[Others]]),Table1[[#This Row],[Democratic]:[Others]],0))</f>
        <v>Democratic</v>
      </c>
      <c r="N44" s="3" t="str">
        <f>INDEX(Table1[[#Headers],[ Democratic]:[ Others]],MATCH(MAX(Table1[[#This Row],[ Democratic]:[ Others]]),Table1[[#This Row],[ Democratic]:[ Others]],0))</f>
        <v xml:space="preserve"> Democratic</v>
      </c>
      <c r="O44" s="3" t="str">
        <f>INDEX(Table7[Political Party],MATCH(VLOOKUP(DATE(LEFT(Table1[[#This Row],[Years (start dates are March 4 prior to 1933, and Jan 3 thereafter)]],4),1,20),Table7[Start Date],1,TRUE),Table7[Start Date],0))</f>
        <v>Republican</v>
      </c>
      <c r="P44" s="21" t="b">
        <f>AND(Table1[[#This Row],[Primary Senate Party]]=Table1[[#This Row],[Presidential Party]],Table1[[#This Row],[Primary House Party]]&lt;&gt;Table1[[#This Row],[Presidential Party]])</f>
        <v>0</v>
      </c>
    </row>
    <row r="45" spans="1:16">
      <c r="A45" s="3" t="s">
        <v>86</v>
      </c>
      <c r="B45" s="4" t="s">
        <v>87</v>
      </c>
      <c r="C45" s="3">
        <v>96</v>
      </c>
      <c r="D45" s="3">
        <v>69</v>
      </c>
      <c r="E45" s="3">
        <v>25</v>
      </c>
      <c r="F45" s="3">
        <v>2</v>
      </c>
      <c r="G45" s="3"/>
      <c r="H45" s="3">
        <v>435</v>
      </c>
      <c r="I45" s="3">
        <v>322</v>
      </c>
      <c r="J45" s="3">
        <v>103</v>
      </c>
      <c r="K45" s="3">
        <v>10</v>
      </c>
      <c r="L45" s="3"/>
      <c r="M45" s="3" t="str">
        <f>INDEX(Table1[[#Headers],[Democratic]:[Others]],MATCH(MAX(Table1[[#This Row],[Democratic]:[Others]]),Table1[[#This Row],[Democratic]:[Others]],0))</f>
        <v>Democratic</v>
      </c>
      <c r="N45" s="3" t="str">
        <f>INDEX(Table1[[#Headers],[ Democratic]:[ Others]],MATCH(MAX(Table1[[#This Row],[ Democratic]:[ Others]]),Table1[[#This Row],[ Democratic]:[ Others]],0))</f>
        <v xml:space="preserve"> Democratic</v>
      </c>
      <c r="O45" s="3" t="str">
        <f>INDEX(Table7[Political Party],MATCH(VLOOKUP(DATE(LEFT(Table1[[#This Row],[Years (start dates are March 4 prior to 1933, and Jan 3 thereafter)]],4),1,20),Table7[Start Date],1,TRUE),Table7[Start Date],0))</f>
        <v>Democratic</v>
      </c>
      <c r="P45" s="21" t="b">
        <f>AND(Table1[[#This Row],[Primary Senate Party]]=Table1[[#This Row],[Presidential Party]],Table1[[#This Row],[Primary House Party]]&lt;&gt;Table1[[#This Row],[Presidential Party]])</f>
        <v>1</v>
      </c>
    </row>
    <row r="46" spans="1:16">
      <c r="A46" s="3" t="s">
        <v>88</v>
      </c>
      <c r="B46" s="4" t="s">
        <v>89</v>
      </c>
      <c r="C46" s="3">
        <v>96</v>
      </c>
      <c r="D46" s="3">
        <v>75</v>
      </c>
      <c r="E46" s="3">
        <v>17</v>
      </c>
      <c r="F46" s="3">
        <v>4</v>
      </c>
      <c r="G46" s="3"/>
      <c r="H46" s="3">
        <v>435</v>
      </c>
      <c r="I46" s="3">
        <v>333</v>
      </c>
      <c r="J46" s="3">
        <v>89</v>
      </c>
      <c r="K46" s="3">
        <v>13</v>
      </c>
      <c r="L46" s="3"/>
      <c r="M46" s="3" t="str">
        <f>INDEX(Table1[[#Headers],[Democratic]:[Others]],MATCH(MAX(Table1[[#This Row],[Democratic]:[Others]]),Table1[[#This Row],[Democratic]:[Others]],0))</f>
        <v>Democratic</v>
      </c>
      <c r="N46" s="3" t="str">
        <f>INDEX(Table1[[#Headers],[ Democratic]:[ Others]],MATCH(MAX(Table1[[#This Row],[ Democratic]:[ Others]]),Table1[[#This Row],[ Democratic]:[ Others]],0))</f>
        <v xml:space="preserve"> Democratic</v>
      </c>
      <c r="O46" s="3" t="str">
        <f>INDEX(Table7[Political Party],MATCH(VLOOKUP(DATE(LEFT(Table1[[#This Row],[Years (start dates are March 4 prior to 1933, and Jan 3 thereafter)]],4),1,20),Table7[Start Date],1,TRUE),Table7[Start Date],0))</f>
        <v>Democratic</v>
      </c>
      <c r="P46" s="21" t="b">
        <f>AND(Table1[[#This Row],[Primary Senate Party]]=Table1[[#This Row],[Presidential Party]],Table1[[#This Row],[Primary House Party]]&lt;&gt;Table1[[#This Row],[Presidential Party]])</f>
        <v>1</v>
      </c>
    </row>
    <row r="47" spans="1:16">
      <c r="A47" s="3" t="s">
        <v>90</v>
      </c>
      <c r="B47" s="4" t="s">
        <v>91</v>
      </c>
      <c r="C47" s="3">
        <v>96</v>
      </c>
      <c r="D47" s="3">
        <v>69</v>
      </c>
      <c r="E47" s="3">
        <v>23</v>
      </c>
      <c r="F47" s="3">
        <v>4</v>
      </c>
      <c r="G47" s="3"/>
      <c r="H47" s="3">
        <v>435</v>
      </c>
      <c r="I47" s="3">
        <v>262</v>
      </c>
      <c r="J47" s="3">
        <v>169</v>
      </c>
      <c r="K47" s="3">
        <v>4</v>
      </c>
      <c r="L47" s="3"/>
      <c r="M47" s="3" t="str">
        <f>INDEX(Table1[[#Headers],[Democratic]:[Others]],MATCH(MAX(Table1[[#This Row],[Democratic]:[Others]]),Table1[[#This Row],[Democratic]:[Others]],0))</f>
        <v>Democratic</v>
      </c>
      <c r="N47" s="3" t="str">
        <f>INDEX(Table1[[#Headers],[ Democratic]:[ Others]],MATCH(MAX(Table1[[#This Row],[ Democratic]:[ Others]]),Table1[[#This Row],[ Democratic]:[ Others]],0))</f>
        <v xml:space="preserve"> Democratic</v>
      </c>
      <c r="O47" s="3" t="str">
        <f>INDEX(Table7[Political Party],MATCH(VLOOKUP(DATE(LEFT(Table1[[#This Row],[Years (start dates are March 4 prior to 1933, and Jan 3 thereafter)]],4),1,20),Table7[Start Date],1,TRUE),Table7[Start Date],0))</f>
        <v>Democratic</v>
      </c>
      <c r="P47" s="21" t="b">
        <f>AND(Table1[[#This Row],[Primary Senate Party]]=Table1[[#This Row],[Presidential Party]],Table1[[#This Row],[Primary House Party]]&lt;&gt;Table1[[#This Row],[Presidential Party]])</f>
        <v>1</v>
      </c>
    </row>
    <row r="48" spans="1:16">
      <c r="A48" s="3" t="s">
        <v>92</v>
      </c>
      <c r="B48" s="4" t="s">
        <v>93</v>
      </c>
      <c r="C48" s="3">
        <v>96</v>
      </c>
      <c r="D48" s="3">
        <v>66</v>
      </c>
      <c r="E48" s="3">
        <v>28</v>
      </c>
      <c r="F48" s="3">
        <v>2</v>
      </c>
      <c r="G48" s="3"/>
      <c r="H48" s="3">
        <v>435</v>
      </c>
      <c r="I48" s="3">
        <v>267</v>
      </c>
      <c r="J48" s="3">
        <v>162</v>
      </c>
      <c r="K48" s="3">
        <v>6</v>
      </c>
      <c r="L48" s="3"/>
      <c r="M48" s="3" t="str">
        <f>INDEX(Table1[[#Headers],[Democratic]:[Others]],MATCH(MAX(Table1[[#This Row],[Democratic]:[Others]]),Table1[[#This Row],[Democratic]:[Others]],0))</f>
        <v>Democratic</v>
      </c>
      <c r="N48" s="3" t="str">
        <f>INDEX(Table1[[#Headers],[ Democratic]:[ Others]],MATCH(MAX(Table1[[#This Row],[ Democratic]:[ Others]]),Table1[[#This Row],[ Democratic]:[ Others]],0))</f>
        <v xml:space="preserve"> Democratic</v>
      </c>
      <c r="O48" s="3" t="str">
        <f>INDEX(Table7[Political Party],MATCH(VLOOKUP(DATE(LEFT(Table1[[#This Row],[Years (start dates are March 4 prior to 1933, and Jan 3 thereafter)]],4),1,20),Table7[Start Date],1,TRUE),Table7[Start Date],0))</f>
        <v>Democratic</v>
      </c>
      <c r="P48" s="21" t="b">
        <f>AND(Table1[[#This Row],[Primary Senate Party]]=Table1[[#This Row],[Presidential Party]],Table1[[#This Row],[Primary House Party]]&lt;&gt;Table1[[#This Row],[Presidential Party]])</f>
        <v>1</v>
      </c>
    </row>
    <row r="49" spans="1:16">
      <c r="A49" s="3" t="s">
        <v>94</v>
      </c>
      <c r="B49" s="4" t="s">
        <v>95</v>
      </c>
      <c r="C49" s="3">
        <v>96</v>
      </c>
      <c r="D49" s="3">
        <v>57</v>
      </c>
      <c r="E49" s="3">
        <v>38</v>
      </c>
      <c r="F49" s="3">
        <v>1</v>
      </c>
      <c r="G49" s="3"/>
      <c r="H49" s="3">
        <v>435</v>
      </c>
      <c r="I49" s="3">
        <v>222</v>
      </c>
      <c r="J49" s="3">
        <v>209</v>
      </c>
      <c r="K49" s="3">
        <v>4</v>
      </c>
      <c r="L49" s="3"/>
      <c r="M49" s="3" t="str">
        <f>INDEX(Table1[[#Headers],[Democratic]:[Others]],MATCH(MAX(Table1[[#This Row],[Democratic]:[Others]]),Table1[[#This Row],[Democratic]:[Others]],0))</f>
        <v>Democratic</v>
      </c>
      <c r="N49" s="3" t="str">
        <f>INDEX(Table1[[#Headers],[ Democratic]:[ Others]],MATCH(MAX(Table1[[#This Row],[ Democratic]:[ Others]]),Table1[[#This Row],[ Democratic]:[ Others]],0))</f>
        <v xml:space="preserve"> Democratic</v>
      </c>
      <c r="O49" s="3" t="str">
        <f>INDEX(Table7[Political Party],MATCH(VLOOKUP(DATE(LEFT(Table1[[#This Row],[Years (start dates are March 4 prior to 1933, and Jan 3 thereafter)]],4),1,20),Table7[Start Date],1,TRUE),Table7[Start Date],0))</f>
        <v>Democratic</v>
      </c>
      <c r="P49" s="21" t="b">
        <f>AND(Table1[[#This Row],[Primary Senate Party]]=Table1[[#This Row],[Presidential Party]],Table1[[#This Row],[Primary House Party]]&lt;&gt;Table1[[#This Row],[Presidential Party]])</f>
        <v>1</v>
      </c>
    </row>
    <row r="50" spans="1:16">
      <c r="A50" s="3" t="s">
        <v>96</v>
      </c>
      <c r="B50" s="4" t="s">
        <v>97</v>
      </c>
      <c r="C50" s="3">
        <v>96</v>
      </c>
      <c r="D50" s="3">
        <v>57</v>
      </c>
      <c r="E50" s="3">
        <v>38</v>
      </c>
      <c r="F50" s="3">
        <v>1</v>
      </c>
      <c r="G50" s="3"/>
      <c r="H50" s="3">
        <v>435</v>
      </c>
      <c r="I50" s="3">
        <v>243</v>
      </c>
      <c r="J50" s="3">
        <v>190</v>
      </c>
      <c r="K50" s="3">
        <v>2</v>
      </c>
      <c r="L50" s="3"/>
      <c r="M50" s="3" t="str">
        <f>INDEX(Table1[[#Headers],[Democratic]:[Others]],MATCH(MAX(Table1[[#This Row],[Democratic]:[Others]]),Table1[[#This Row],[Democratic]:[Others]],0))</f>
        <v>Democratic</v>
      </c>
      <c r="N50" s="3" t="str">
        <f>INDEX(Table1[[#Headers],[ Democratic]:[ Others]],MATCH(MAX(Table1[[#This Row],[ Democratic]:[ Others]]),Table1[[#This Row],[ Democratic]:[ Others]],0))</f>
        <v xml:space="preserve"> Democratic</v>
      </c>
      <c r="O50" s="3" t="str">
        <f>INDEX(Table7[Political Party],MATCH(VLOOKUP(DATE(LEFT(Table1[[#This Row],[Years (start dates are March 4 prior to 1933, and Jan 3 thereafter)]],4),1,20),Table7[Start Date],1,TRUE),Table7[Start Date],0))</f>
        <v>Democratic</v>
      </c>
      <c r="P50" s="21" t="b">
        <f>AND(Table1[[#This Row],[Primary Senate Party]]=Table1[[#This Row],[Presidential Party]],Table1[[#This Row],[Primary House Party]]&lt;&gt;Table1[[#This Row],[Presidential Party]])</f>
        <v>1</v>
      </c>
    </row>
    <row r="51" spans="1:16" hidden="1">
      <c r="A51" s="3" t="s">
        <v>98</v>
      </c>
      <c r="B51" s="4" t="s">
        <v>99</v>
      </c>
      <c r="C51" s="3">
        <v>96</v>
      </c>
      <c r="D51" s="3">
        <v>45</v>
      </c>
      <c r="E51" s="3">
        <v>51</v>
      </c>
      <c r="F51" s="3"/>
      <c r="G51" s="3"/>
      <c r="H51" s="3">
        <v>435</v>
      </c>
      <c r="I51" s="3">
        <v>188</v>
      </c>
      <c r="J51" s="3">
        <v>246</v>
      </c>
      <c r="K51" s="3">
        <v>1</v>
      </c>
      <c r="L51" s="3"/>
      <c r="M51" s="3" t="str">
        <f>INDEX(Table1[[#Headers],[Democratic]:[Others]],MATCH(MAX(Table1[[#This Row],[Democratic]:[Others]]),Table1[[#This Row],[Democratic]:[Others]],0))</f>
        <v>Republican</v>
      </c>
      <c r="N51" s="3" t="str">
        <f>INDEX(Table1[[#Headers],[ Democratic]:[ Others]],MATCH(MAX(Table1[[#This Row],[ Democratic]:[ Others]]),Table1[[#This Row],[ Democratic]:[ Others]],0))</f>
        <v xml:space="preserve"> Republican</v>
      </c>
      <c r="O51" s="3" t="str">
        <f>INDEX(Table7[Political Party],MATCH(VLOOKUP(DATE(LEFT(Table1[[#This Row],[Years (start dates are March 4 prior to 1933, and Jan 3 thereafter)]],4),1,20),Table7[Start Date],1,TRUE),Table7[Start Date],0))</f>
        <v>Democratic</v>
      </c>
      <c r="P51" s="21" t="b">
        <f>AND(Table1[[#This Row],[Primary Senate Party]]=Table1[[#This Row],[Presidential Party]],Table1[[#This Row],[Primary House Party]]&lt;&gt;Table1[[#This Row],[Presidential Party]])</f>
        <v>0</v>
      </c>
    </row>
    <row r="52" spans="1:16">
      <c r="A52" s="3" t="s">
        <v>100</v>
      </c>
      <c r="B52" s="4" t="s">
        <v>101</v>
      </c>
      <c r="C52" s="3">
        <v>96</v>
      </c>
      <c r="D52" s="3">
        <v>54</v>
      </c>
      <c r="E52" s="3">
        <v>42</v>
      </c>
      <c r="F52" s="3"/>
      <c r="G52" s="3"/>
      <c r="H52" s="3">
        <v>435</v>
      </c>
      <c r="I52" s="3">
        <v>263</v>
      </c>
      <c r="J52" s="3">
        <v>171</v>
      </c>
      <c r="K52" s="3">
        <v>1</v>
      </c>
      <c r="L52" s="3"/>
      <c r="M52" s="3" t="str">
        <f>INDEX(Table1[[#Headers],[Democratic]:[Others]],MATCH(MAX(Table1[[#This Row],[Democratic]:[Others]]),Table1[[#This Row],[Democratic]:[Others]],0))</f>
        <v>Democratic</v>
      </c>
      <c r="N52" s="3" t="str">
        <f>INDEX(Table1[[#Headers],[ Democratic]:[ Others]],MATCH(MAX(Table1[[#This Row],[ Democratic]:[ Others]]),Table1[[#This Row],[ Democratic]:[ Others]],0))</f>
        <v xml:space="preserve"> Democratic</v>
      </c>
      <c r="O52" s="3" t="str">
        <f>INDEX(Table7[Political Party],MATCH(VLOOKUP(DATE(LEFT(Table1[[#This Row],[Years (start dates are March 4 prior to 1933, and Jan 3 thereafter)]],4),1,20),Table7[Start Date],1,TRUE),Table7[Start Date],0))</f>
        <v>Democratic</v>
      </c>
      <c r="P52" s="21" t="b">
        <f>AND(Table1[[#This Row],[Primary Senate Party]]=Table1[[#This Row],[Presidential Party]],Table1[[#This Row],[Primary House Party]]&lt;&gt;Table1[[#This Row],[Presidential Party]])</f>
        <v>1</v>
      </c>
    </row>
    <row r="53" spans="1:16">
      <c r="A53" s="3" t="s">
        <v>102</v>
      </c>
      <c r="B53" s="4" t="s">
        <v>103</v>
      </c>
      <c r="C53" s="3">
        <v>96</v>
      </c>
      <c r="D53" s="3">
        <v>48</v>
      </c>
      <c r="E53" s="3">
        <v>47</v>
      </c>
      <c r="F53" s="3">
        <v>1</v>
      </c>
      <c r="G53" s="3"/>
      <c r="H53" s="3">
        <v>435</v>
      </c>
      <c r="I53" s="3">
        <v>234</v>
      </c>
      <c r="J53" s="3">
        <v>199</v>
      </c>
      <c r="K53" s="3">
        <v>2</v>
      </c>
      <c r="L53" s="3"/>
      <c r="M53" s="3" t="str">
        <f>INDEX(Table1[[#Headers],[Democratic]:[Others]],MATCH(MAX(Table1[[#This Row],[Democratic]:[Others]]),Table1[[#This Row],[Democratic]:[Others]],0))</f>
        <v>Democratic</v>
      </c>
      <c r="N53" s="3" t="str">
        <f>INDEX(Table1[[#Headers],[ Democratic]:[ Others]],MATCH(MAX(Table1[[#This Row],[ Democratic]:[ Others]]),Table1[[#This Row],[ Democratic]:[ Others]],0))</f>
        <v xml:space="preserve"> Democratic</v>
      </c>
      <c r="O53" s="3" t="str">
        <f>INDEX(Table7[Political Party],MATCH(VLOOKUP(DATE(LEFT(Table1[[#This Row],[Years (start dates are March 4 prior to 1933, and Jan 3 thereafter)]],4),1,20),Table7[Start Date],1,TRUE),Table7[Start Date],0))</f>
        <v>Democratic</v>
      </c>
      <c r="P53" s="21" t="b">
        <f>AND(Table1[[#This Row],[Primary Senate Party]]=Table1[[#This Row],[Presidential Party]],Table1[[#This Row],[Primary House Party]]&lt;&gt;Table1[[#This Row],[Presidential Party]])</f>
        <v>1</v>
      </c>
    </row>
    <row r="54" spans="1:16">
      <c r="A54" s="3" t="s">
        <v>104</v>
      </c>
      <c r="B54" s="4" t="s">
        <v>105</v>
      </c>
      <c r="C54" s="3">
        <v>96</v>
      </c>
      <c r="D54" s="3">
        <v>46</v>
      </c>
      <c r="E54" s="3">
        <v>48</v>
      </c>
      <c r="F54" s="3">
        <v>2</v>
      </c>
      <c r="G54" s="3"/>
      <c r="H54" s="3">
        <v>435</v>
      </c>
      <c r="I54" s="3">
        <v>213</v>
      </c>
      <c r="J54" s="3">
        <v>221</v>
      </c>
      <c r="K54" s="3">
        <v>1</v>
      </c>
      <c r="L54" s="3"/>
      <c r="M54" s="3" t="str">
        <f>INDEX(Table1[[#Headers],[Democratic]:[Others]],MATCH(MAX(Table1[[#This Row],[Democratic]:[Others]]),Table1[[#This Row],[Democratic]:[Others]],0))</f>
        <v>Republican</v>
      </c>
      <c r="N54" s="3" t="str">
        <f>INDEX(Table1[[#Headers],[ Democratic]:[ Others]],MATCH(MAX(Table1[[#This Row],[ Democratic]:[ Others]]),Table1[[#This Row],[ Democratic]:[ Others]],0))</f>
        <v xml:space="preserve"> Republican</v>
      </c>
      <c r="O54" s="3" t="str">
        <f>INDEX(Table7[Political Party],MATCH(VLOOKUP(DATE(LEFT(Table1[[#This Row],[Years (start dates are March 4 prior to 1933, and Jan 3 thereafter)]],4),1,20),Table7[Start Date],1,TRUE),Table7[Start Date],0))</f>
        <v>Republican</v>
      </c>
      <c r="P54" s="21" t="b">
        <f>AND(Table1[[#This Row],[Primary Senate Party]]=Table1[[#This Row],[Presidential Party]],Table1[[#This Row],[Primary House Party]]&lt;&gt;Table1[[#This Row],[Presidential Party]])</f>
        <v>1</v>
      </c>
    </row>
    <row r="55" spans="1:16" hidden="1">
      <c r="A55" s="3" t="s">
        <v>106</v>
      </c>
      <c r="B55" s="4" t="s">
        <v>107</v>
      </c>
      <c r="C55" s="3">
        <v>96</v>
      </c>
      <c r="D55" s="3">
        <v>48</v>
      </c>
      <c r="E55" s="3">
        <v>47</v>
      </c>
      <c r="F55" s="3">
        <v>1</v>
      </c>
      <c r="G55" s="3"/>
      <c r="H55" s="3">
        <v>435</v>
      </c>
      <c r="I55" s="3">
        <v>232</v>
      </c>
      <c r="J55" s="3">
        <v>203</v>
      </c>
      <c r="K55" s="3"/>
      <c r="L55" s="3"/>
      <c r="M55" s="3" t="str">
        <f>INDEX(Table1[[#Headers],[Democratic]:[Others]],MATCH(MAX(Table1[[#This Row],[Democratic]:[Others]]),Table1[[#This Row],[Democratic]:[Others]],0))</f>
        <v>Democratic</v>
      </c>
      <c r="N55" s="3" t="str">
        <f>INDEX(Table1[[#Headers],[ Democratic]:[ Others]],MATCH(MAX(Table1[[#This Row],[ Democratic]:[ Others]]),Table1[[#This Row],[ Democratic]:[ Others]],0))</f>
        <v xml:space="preserve"> Democratic</v>
      </c>
      <c r="O55" s="3" t="str">
        <f>INDEX(Table7[Political Party],MATCH(VLOOKUP(DATE(LEFT(Table1[[#This Row],[Years (start dates are March 4 prior to 1933, and Jan 3 thereafter)]],4),1,20),Table7[Start Date],1,TRUE),Table7[Start Date],0))</f>
        <v>Republican</v>
      </c>
      <c r="P55" s="21" t="b">
        <f>AND(Table1[[#This Row],[Primary Senate Party]]=Table1[[#This Row],[Presidential Party]],Table1[[#This Row],[Primary House Party]]&lt;&gt;Table1[[#This Row],[Presidential Party]])</f>
        <v>0</v>
      </c>
    </row>
    <row r="56" spans="1:16" hidden="1">
      <c r="A56" s="3" t="s">
        <v>108</v>
      </c>
      <c r="B56" s="4" t="s">
        <v>109</v>
      </c>
      <c r="C56" s="3">
        <v>96</v>
      </c>
      <c r="D56" s="3">
        <v>49</v>
      </c>
      <c r="E56" s="3">
        <v>47</v>
      </c>
      <c r="F56" s="3"/>
      <c r="G56" s="3"/>
      <c r="H56" s="3">
        <v>435</v>
      </c>
      <c r="I56" s="3">
        <v>234</v>
      </c>
      <c r="J56" s="3">
        <v>201</v>
      </c>
      <c r="K56" s="3"/>
      <c r="L56" s="3"/>
      <c r="M56" s="3" t="str">
        <f>INDEX(Table1[[#Headers],[Democratic]:[Others]],MATCH(MAX(Table1[[#This Row],[Democratic]:[Others]]),Table1[[#This Row],[Democratic]:[Others]],0))</f>
        <v>Democratic</v>
      </c>
      <c r="N56" s="3" t="str">
        <f>INDEX(Table1[[#Headers],[ Democratic]:[ Others]],MATCH(MAX(Table1[[#This Row],[ Democratic]:[ Others]]),Table1[[#This Row],[ Democratic]:[ Others]],0))</f>
        <v xml:space="preserve"> Democratic</v>
      </c>
      <c r="O56" s="3" t="str">
        <f>INDEX(Table7[Political Party],MATCH(VLOOKUP(DATE(LEFT(Table1[[#This Row],[Years (start dates are March 4 prior to 1933, and Jan 3 thereafter)]],4),1,20),Table7[Start Date],1,TRUE),Table7[Start Date],0))</f>
        <v>Republican</v>
      </c>
      <c r="P56" s="21" t="b">
        <f>AND(Table1[[#This Row],[Primary Senate Party]]=Table1[[#This Row],[Presidential Party]],Table1[[#This Row],[Primary House Party]]&lt;&gt;Table1[[#This Row],[Presidential Party]])</f>
        <v>0</v>
      </c>
    </row>
    <row r="57" spans="1:16" hidden="1">
      <c r="A57" s="3" t="s">
        <v>110</v>
      </c>
      <c r="B57" s="4" t="s">
        <v>111</v>
      </c>
      <c r="C57" s="3">
        <v>98</v>
      </c>
      <c r="D57" s="3">
        <v>64</v>
      </c>
      <c r="E57" s="3">
        <v>34</v>
      </c>
      <c r="F57" s="3"/>
      <c r="G57" s="3"/>
      <c r="H57" s="3">
        <v>436</v>
      </c>
      <c r="I57" s="3">
        <v>283</v>
      </c>
      <c r="J57" s="3">
        <v>153</v>
      </c>
      <c r="K57" s="3"/>
      <c r="L57" s="3"/>
      <c r="M57" s="3" t="str">
        <f>INDEX(Table1[[#Headers],[Democratic]:[Others]],MATCH(MAX(Table1[[#This Row],[Democratic]:[Others]]),Table1[[#This Row],[Democratic]:[Others]],0))</f>
        <v>Democratic</v>
      </c>
      <c r="N57" s="3" t="str">
        <f>INDEX(Table1[[#Headers],[ Democratic]:[ Others]],MATCH(MAX(Table1[[#This Row],[ Democratic]:[ Others]]),Table1[[#This Row],[ Democratic]:[ Others]],0))</f>
        <v xml:space="preserve"> Democratic</v>
      </c>
      <c r="O57" s="3" t="str">
        <f>INDEX(Table7[Political Party],MATCH(VLOOKUP(DATE(LEFT(Table1[[#This Row],[Years (start dates are March 4 prior to 1933, and Jan 3 thereafter)]],4),1,20),Table7[Start Date],1,TRUE),Table7[Start Date],0))</f>
        <v>Republican</v>
      </c>
      <c r="P57" s="21" t="b">
        <f>AND(Table1[[#This Row],[Primary Senate Party]]=Table1[[#This Row],[Presidential Party]],Table1[[#This Row],[Primary House Party]]&lt;&gt;Table1[[#This Row],[Presidential Party]])</f>
        <v>0</v>
      </c>
    </row>
    <row r="58" spans="1:16">
      <c r="A58" s="3" t="s">
        <v>112</v>
      </c>
      <c r="B58" s="4" t="s">
        <v>113</v>
      </c>
      <c r="C58" s="3">
        <v>100</v>
      </c>
      <c r="D58" s="3">
        <v>64</v>
      </c>
      <c r="E58" s="3">
        <v>36</v>
      </c>
      <c r="F58" s="3"/>
      <c r="G58" s="3"/>
      <c r="H58" s="3">
        <v>437</v>
      </c>
      <c r="I58" s="3">
        <v>262</v>
      </c>
      <c r="J58" s="3">
        <v>175</v>
      </c>
      <c r="K58" s="3"/>
      <c r="L58" s="3"/>
      <c r="M58" s="3" t="str">
        <f>INDEX(Table1[[#Headers],[Democratic]:[Others]],MATCH(MAX(Table1[[#This Row],[Democratic]:[Others]]),Table1[[#This Row],[Democratic]:[Others]],0))</f>
        <v>Democratic</v>
      </c>
      <c r="N58" s="3" t="str">
        <f>INDEX(Table1[[#Headers],[ Democratic]:[ Others]],MATCH(MAX(Table1[[#This Row],[ Democratic]:[ Others]]),Table1[[#This Row],[ Democratic]:[ Others]],0))</f>
        <v xml:space="preserve"> Democratic</v>
      </c>
      <c r="O58" s="3" t="str">
        <f>INDEX(Table7[Political Party],MATCH(VLOOKUP(DATE(LEFT(Table1[[#This Row],[Years (start dates are March 4 prior to 1933, and Jan 3 thereafter)]],4),1,20),Table7[Start Date],1,TRUE),Table7[Start Date],0))</f>
        <v>Democratic</v>
      </c>
      <c r="P58" s="21" t="b">
        <f>AND(Table1[[#This Row],[Primary Senate Party]]=Table1[[#This Row],[Presidential Party]],Table1[[#This Row],[Primary House Party]]&lt;&gt;Table1[[#This Row],[Presidential Party]])</f>
        <v>1</v>
      </c>
    </row>
    <row r="59" spans="1:16">
      <c r="A59" s="3" t="s">
        <v>114</v>
      </c>
      <c r="B59" s="4" t="s">
        <v>115</v>
      </c>
      <c r="C59" s="3">
        <v>100</v>
      </c>
      <c r="D59" s="3">
        <v>67</v>
      </c>
      <c r="E59" s="3">
        <v>33</v>
      </c>
      <c r="F59" s="3"/>
      <c r="G59" s="3"/>
      <c r="H59" s="3">
        <v>435</v>
      </c>
      <c r="I59" s="3">
        <v>258</v>
      </c>
      <c r="J59" s="3">
        <v>176</v>
      </c>
      <c r="K59" s="3"/>
      <c r="L59" s="3">
        <v>1</v>
      </c>
      <c r="M59" s="3" t="str">
        <f>INDEX(Table1[[#Headers],[Democratic]:[Others]],MATCH(MAX(Table1[[#This Row],[Democratic]:[Others]]),Table1[[#This Row],[Democratic]:[Others]],0))</f>
        <v>Democratic</v>
      </c>
      <c r="N59" s="3" t="str">
        <f>INDEX(Table1[[#Headers],[ Democratic]:[ Others]],MATCH(MAX(Table1[[#This Row],[ Democratic]:[ Others]]),Table1[[#This Row],[ Democratic]:[ Others]],0))</f>
        <v xml:space="preserve"> Democratic</v>
      </c>
      <c r="O59" s="3" t="str">
        <f>INDEX(Table7[Political Party],MATCH(VLOOKUP(DATE(LEFT(Table1[[#This Row],[Years (start dates are March 4 prior to 1933, and Jan 3 thereafter)]],4),1,20),Table7[Start Date],1,TRUE),Table7[Start Date],0))</f>
        <v>Democratic</v>
      </c>
      <c r="P59" s="21" t="b">
        <f>AND(Table1[[#This Row],[Primary Senate Party]]=Table1[[#This Row],[Presidential Party]],Table1[[#This Row],[Primary House Party]]&lt;&gt;Table1[[#This Row],[Presidential Party]])</f>
        <v>1</v>
      </c>
    </row>
    <row r="60" spans="1:16">
      <c r="A60" s="3" t="s">
        <v>116</v>
      </c>
      <c r="B60" s="4" t="s">
        <v>117</v>
      </c>
      <c r="C60" s="3">
        <v>100</v>
      </c>
      <c r="D60" s="3">
        <v>68</v>
      </c>
      <c r="E60" s="3">
        <v>32</v>
      </c>
      <c r="F60" s="3"/>
      <c r="G60" s="3"/>
      <c r="H60" s="3">
        <v>435</v>
      </c>
      <c r="I60" s="3">
        <v>295</v>
      </c>
      <c r="J60" s="3">
        <v>140</v>
      </c>
      <c r="K60" s="3"/>
      <c r="L60" s="3"/>
      <c r="M60" s="3" t="str">
        <f>INDEX(Table1[[#Headers],[Democratic]:[Others]],MATCH(MAX(Table1[[#This Row],[Democratic]:[Others]]),Table1[[#This Row],[Democratic]:[Others]],0))</f>
        <v>Democratic</v>
      </c>
      <c r="N60" s="3" t="str">
        <f>INDEX(Table1[[#Headers],[ Democratic]:[ Others]],MATCH(MAX(Table1[[#This Row],[ Democratic]:[ Others]]),Table1[[#This Row],[ Democratic]:[ Others]],0))</f>
        <v xml:space="preserve"> Democratic</v>
      </c>
      <c r="O60" s="3" t="str">
        <f>INDEX(Table7[Political Party],MATCH(VLOOKUP(DATE(LEFT(Table1[[#This Row],[Years (start dates are March 4 prior to 1933, and Jan 3 thereafter)]],4),1,20),Table7[Start Date],1,TRUE),Table7[Start Date],0))</f>
        <v>Democratic</v>
      </c>
      <c r="P60" s="21" t="b">
        <f>AND(Table1[[#This Row],[Primary Senate Party]]=Table1[[#This Row],[Presidential Party]],Table1[[#This Row],[Primary House Party]]&lt;&gt;Table1[[#This Row],[Presidential Party]])</f>
        <v>1</v>
      </c>
    </row>
    <row r="61" spans="1:16">
      <c r="A61" s="3" t="s">
        <v>118</v>
      </c>
      <c r="B61" s="4" t="s">
        <v>119</v>
      </c>
      <c r="C61" s="3">
        <v>100</v>
      </c>
      <c r="D61" s="3">
        <v>64</v>
      </c>
      <c r="E61" s="3">
        <v>36</v>
      </c>
      <c r="F61" s="3"/>
      <c r="G61" s="3"/>
      <c r="H61" s="3">
        <v>435</v>
      </c>
      <c r="I61" s="3">
        <v>248</v>
      </c>
      <c r="J61" s="3">
        <v>187</v>
      </c>
      <c r="K61" s="3"/>
      <c r="L61" s="3"/>
      <c r="M61" s="3" t="str">
        <f>INDEX(Table1[[#Headers],[Democratic]:[Others]],MATCH(MAX(Table1[[#This Row],[Democratic]:[Others]]),Table1[[#This Row],[Democratic]:[Others]],0))</f>
        <v>Democratic</v>
      </c>
      <c r="N61" s="3" t="str">
        <f>INDEX(Table1[[#Headers],[ Democratic]:[ Others]],MATCH(MAX(Table1[[#This Row],[ Democratic]:[ Others]]),Table1[[#This Row],[ Democratic]:[ Others]],0))</f>
        <v xml:space="preserve"> Democratic</v>
      </c>
      <c r="O61" s="3" t="str">
        <f>INDEX(Table7[Political Party],MATCH(VLOOKUP(DATE(LEFT(Table1[[#This Row],[Years (start dates are March 4 prior to 1933, and Jan 3 thereafter)]],4),1,20),Table7[Start Date],1,TRUE),Table7[Start Date],0))</f>
        <v>Democratic</v>
      </c>
      <c r="P61" s="21" t="b">
        <f>AND(Table1[[#This Row],[Primary Senate Party]]=Table1[[#This Row],[Presidential Party]],Table1[[#This Row],[Primary House Party]]&lt;&gt;Table1[[#This Row],[Presidential Party]])</f>
        <v>1</v>
      </c>
    </row>
    <row r="62" spans="1:16" hidden="1">
      <c r="A62" s="3" t="s">
        <v>120</v>
      </c>
      <c r="B62" s="4" t="s">
        <v>121</v>
      </c>
      <c r="C62" s="3">
        <v>100</v>
      </c>
      <c r="D62" s="3">
        <v>58</v>
      </c>
      <c r="E62" s="3">
        <v>42</v>
      </c>
      <c r="F62" s="3"/>
      <c r="G62" s="3"/>
      <c r="H62" s="3">
        <v>435</v>
      </c>
      <c r="I62" s="3">
        <v>243</v>
      </c>
      <c r="J62" s="3">
        <v>192</v>
      </c>
      <c r="K62" s="3"/>
      <c r="L62" s="3"/>
      <c r="M62" s="3" t="str">
        <f>INDEX(Table1[[#Headers],[Democratic]:[Others]],MATCH(MAX(Table1[[#This Row],[Democratic]:[Others]]),Table1[[#This Row],[Democratic]:[Others]],0))</f>
        <v>Democratic</v>
      </c>
      <c r="N62" s="3" t="str">
        <f>INDEX(Table1[[#Headers],[ Democratic]:[ Others]],MATCH(MAX(Table1[[#This Row],[ Democratic]:[ Others]]),Table1[[#This Row],[ Democratic]:[ Others]],0))</f>
        <v xml:space="preserve"> Democratic</v>
      </c>
      <c r="O62" s="3" t="str">
        <f>INDEX(Table7[Political Party],MATCH(VLOOKUP(DATE(LEFT(Table1[[#This Row],[Years (start dates are March 4 prior to 1933, and Jan 3 thereafter)]],4),1,20),Table7[Start Date],1,TRUE),Table7[Start Date],0))</f>
        <v>Republican</v>
      </c>
      <c r="P62" s="21" t="b">
        <f>AND(Table1[[#This Row],[Primary Senate Party]]=Table1[[#This Row],[Presidential Party]],Table1[[#This Row],[Primary House Party]]&lt;&gt;Table1[[#This Row],[Presidential Party]])</f>
        <v>0</v>
      </c>
    </row>
    <row r="63" spans="1:16" hidden="1">
      <c r="A63" s="3" t="s">
        <v>122</v>
      </c>
      <c r="B63" s="4" t="s">
        <v>123</v>
      </c>
      <c r="C63" s="3">
        <v>100</v>
      </c>
      <c r="D63" s="3">
        <v>54</v>
      </c>
      <c r="E63" s="3">
        <v>44</v>
      </c>
      <c r="F63" s="3">
        <v>2</v>
      </c>
      <c r="G63" s="3"/>
      <c r="H63" s="3">
        <v>435</v>
      </c>
      <c r="I63" s="3">
        <v>255</v>
      </c>
      <c r="J63" s="3">
        <v>180</v>
      </c>
      <c r="K63" s="3"/>
      <c r="L63" s="3"/>
      <c r="M63" s="3" t="str">
        <f>INDEX(Table1[[#Headers],[Democratic]:[Others]],MATCH(MAX(Table1[[#This Row],[Democratic]:[Others]]),Table1[[#This Row],[Democratic]:[Others]],0))</f>
        <v>Democratic</v>
      </c>
      <c r="N63" s="3" t="str">
        <f>INDEX(Table1[[#Headers],[ Democratic]:[ Others]],MATCH(MAX(Table1[[#This Row],[ Democratic]:[ Others]]),Table1[[#This Row],[ Democratic]:[ Others]],0))</f>
        <v xml:space="preserve"> Democratic</v>
      </c>
      <c r="O63" s="3" t="str">
        <f>INDEX(Table7[Political Party],MATCH(VLOOKUP(DATE(LEFT(Table1[[#This Row],[Years (start dates are March 4 prior to 1933, and Jan 3 thereafter)]],4),1,20),Table7[Start Date],1,TRUE),Table7[Start Date],0))</f>
        <v>Republican</v>
      </c>
      <c r="P63" s="21" t="b">
        <f>AND(Table1[[#This Row],[Primary Senate Party]]=Table1[[#This Row],[Presidential Party]],Table1[[#This Row],[Primary House Party]]&lt;&gt;Table1[[#This Row],[Presidential Party]])</f>
        <v>0</v>
      </c>
    </row>
    <row r="64" spans="1:16" hidden="1">
      <c r="A64" s="3" t="s">
        <v>124</v>
      </c>
      <c r="B64" s="4" t="s">
        <v>125</v>
      </c>
      <c r="C64" s="3">
        <v>100</v>
      </c>
      <c r="D64" s="3">
        <v>56</v>
      </c>
      <c r="E64" s="3">
        <v>42</v>
      </c>
      <c r="F64" s="3">
        <v>2</v>
      </c>
      <c r="G64" s="3"/>
      <c r="H64" s="3">
        <v>435</v>
      </c>
      <c r="I64" s="3">
        <v>242</v>
      </c>
      <c r="J64" s="3">
        <v>192</v>
      </c>
      <c r="K64" s="3">
        <v>1</v>
      </c>
      <c r="L64" s="3"/>
      <c r="M64" s="3" t="str">
        <f>INDEX(Table1[[#Headers],[Democratic]:[Others]],MATCH(MAX(Table1[[#This Row],[Democratic]:[Others]]),Table1[[#This Row],[Democratic]:[Others]],0))</f>
        <v>Democratic</v>
      </c>
      <c r="N64" s="3" t="str">
        <f>INDEX(Table1[[#Headers],[ Democratic]:[ Others]],MATCH(MAX(Table1[[#This Row],[ Democratic]:[ Others]]),Table1[[#This Row],[ Democratic]:[ Others]],0))</f>
        <v xml:space="preserve"> Democratic</v>
      </c>
      <c r="O64" s="3" t="str">
        <f>INDEX(Table7[Political Party],MATCH(VLOOKUP(DATE(LEFT(Table1[[#This Row],[Years (start dates are March 4 prior to 1933, and Jan 3 thereafter)]],4),1,20),Table7[Start Date],1,TRUE),Table7[Start Date],0))</f>
        <v>Republican</v>
      </c>
      <c r="P64" s="21" t="b">
        <f>AND(Table1[[#This Row],[Primary Senate Party]]=Table1[[#This Row],[Presidential Party]],Table1[[#This Row],[Primary House Party]]&lt;&gt;Table1[[#This Row],[Presidential Party]])</f>
        <v>0</v>
      </c>
    </row>
    <row r="65" spans="1:16" hidden="1">
      <c r="A65" s="3" t="s">
        <v>126</v>
      </c>
      <c r="B65" s="4" t="s">
        <v>127</v>
      </c>
      <c r="C65" s="3">
        <v>100</v>
      </c>
      <c r="D65" s="3">
        <v>61</v>
      </c>
      <c r="E65" s="3">
        <v>37</v>
      </c>
      <c r="F65" s="3">
        <v>2</v>
      </c>
      <c r="G65" s="3"/>
      <c r="H65" s="3">
        <v>435</v>
      </c>
      <c r="I65" s="3">
        <v>291</v>
      </c>
      <c r="J65" s="3">
        <v>144</v>
      </c>
      <c r="K65" s="3"/>
      <c r="L65" s="3"/>
      <c r="M65" s="3" t="str">
        <f>INDEX(Table1[[#Headers],[Democratic]:[Others]],MATCH(MAX(Table1[[#This Row],[Democratic]:[Others]]),Table1[[#This Row],[Democratic]:[Others]],0))</f>
        <v>Democratic</v>
      </c>
      <c r="N65" s="3" t="str">
        <f>INDEX(Table1[[#Headers],[ Democratic]:[ Others]],MATCH(MAX(Table1[[#This Row],[ Democratic]:[ Others]]),Table1[[#This Row],[ Democratic]:[ Others]],0))</f>
        <v xml:space="preserve"> Democratic</v>
      </c>
      <c r="O65" s="3" t="str">
        <f>INDEX(Table7[Political Party],MATCH(VLOOKUP(DATE(LEFT(Table1[[#This Row],[Years (start dates are March 4 prior to 1933, and Jan 3 thereafter)]],4),1,20),Table7[Start Date],1,TRUE),Table7[Start Date],0))</f>
        <v>Republican</v>
      </c>
      <c r="P65" s="21" t="b">
        <f>AND(Table1[[#This Row],[Primary Senate Party]]=Table1[[#This Row],[Presidential Party]],Table1[[#This Row],[Primary House Party]]&lt;&gt;Table1[[#This Row],[Presidential Party]])</f>
        <v>0</v>
      </c>
    </row>
    <row r="66" spans="1:16">
      <c r="A66" s="3" t="s">
        <v>128</v>
      </c>
      <c r="B66" s="4" t="s">
        <v>129</v>
      </c>
      <c r="C66" s="3">
        <v>100</v>
      </c>
      <c r="D66" s="3">
        <v>61</v>
      </c>
      <c r="E66" s="3">
        <v>38</v>
      </c>
      <c r="F66" s="3">
        <v>1</v>
      </c>
      <c r="G66" s="3"/>
      <c r="H66" s="3">
        <v>435</v>
      </c>
      <c r="I66" s="3">
        <v>292</v>
      </c>
      <c r="J66" s="3">
        <v>143</v>
      </c>
      <c r="K66" s="3"/>
      <c r="L66" s="3"/>
      <c r="M66" s="3" t="str">
        <f>INDEX(Table1[[#Headers],[Democratic]:[Others]],MATCH(MAX(Table1[[#This Row],[Democratic]:[Others]]),Table1[[#This Row],[Democratic]:[Others]],0))</f>
        <v>Democratic</v>
      </c>
      <c r="N66" s="3" t="str">
        <f>INDEX(Table1[[#Headers],[ Democratic]:[ Others]],MATCH(MAX(Table1[[#This Row],[ Democratic]:[ Others]]),Table1[[#This Row],[ Democratic]:[ Others]],0))</f>
        <v xml:space="preserve"> Democratic</v>
      </c>
      <c r="O66" s="3" t="str">
        <f>INDEX(Table7[Political Party],MATCH(VLOOKUP(DATE(LEFT(Table1[[#This Row],[Years (start dates are March 4 prior to 1933, and Jan 3 thereafter)]],4),1,20),Table7[Start Date],1,TRUE),Table7[Start Date],0))</f>
        <v>Democratic</v>
      </c>
      <c r="P66" s="21" t="b">
        <f>AND(Table1[[#This Row],[Primary Senate Party]]=Table1[[#This Row],[Presidential Party]],Table1[[#This Row],[Primary House Party]]&lt;&gt;Table1[[#This Row],[Presidential Party]])</f>
        <v>1</v>
      </c>
    </row>
    <row r="67" spans="1:16">
      <c r="A67" s="3" t="s">
        <v>130</v>
      </c>
      <c r="B67" s="4" t="s">
        <v>131</v>
      </c>
      <c r="C67" s="3">
        <v>100</v>
      </c>
      <c r="D67" s="3">
        <v>58</v>
      </c>
      <c r="E67" s="3">
        <v>41</v>
      </c>
      <c r="F67" s="3">
        <v>1</v>
      </c>
      <c r="G67" s="3"/>
      <c r="H67" s="3">
        <v>435</v>
      </c>
      <c r="I67" s="3">
        <v>277</v>
      </c>
      <c r="J67" s="3">
        <v>158</v>
      </c>
      <c r="K67" s="3"/>
      <c r="L67" s="3"/>
      <c r="M67" s="3" t="str">
        <f>INDEX(Table1[[#Headers],[Democratic]:[Others]],MATCH(MAX(Table1[[#This Row],[Democratic]:[Others]]),Table1[[#This Row],[Democratic]:[Others]],0))</f>
        <v>Democratic</v>
      </c>
      <c r="N67" s="3" t="str">
        <f>INDEX(Table1[[#Headers],[ Democratic]:[ Others]],MATCH(MAX(Table1[[#This Row],[ Democratic]:[ Others]]),Table1[[#This Row],[ Democratic]:[ Others]],0))</f>
        <v xml:space="preserve"> Democratic</v>
      </c>
      <c r="O67" s="3" t="str">
        <f>INDEX(Table7[Political Party],MATCH(VLOOKUP(DATE(LEFT(Table1[[#This Row],[Years (start dates are March 4 prior to 1933, and Jan 3 thereafter)]],4),1,20),Table7[Start Date],1,TRUE),Table7[Start Date],0))</f>
        <v>Democratic</v>
      </c>
      <c r="P67" s="21" t="b">
        <f>AND(Table1[[#This Row],[Primary Senate Party]]=Table1[[#This Row],[Presidential Party]],Table1[[#This Row],[Primary House Party]]&lt;&gt;Table1[[#This Row],[Presidential Party]])</f>
        <v>1</v>
      </c>
    </row>
    <row r="68" spans="1:16">
      <c r="A68" s="3" t="s">
        <v>132</v>
      </c>
      <c r="B68" s="4" t="s">
        <v>133</v>
      </c>
      <c r="C68" s="3">
        <v>100</v>
      </c>
      <c r="D68" s="3">
        <v>46</v>
      </c>
      <c r="E68" s="3">
        <v>53</v>
      </c>
      <c r="F68" s="3">
        <v>1</v>
      </c>
      <c r="G68" s="3"/>
      <c r="H68" s="3">
        <v>435</v>
      </c>
      <c r="I68" s="3">
        <v>242</v>
      </c>
      <c r="J68" s="3">
        <v>192</v>
      </c>
      <c r="K68" s="3">
        <v>1</v>
      </c>
      <c r="L68" s="3"/>
      <c r="M68" s="3" t="str">
        <f>INDEX(Table1[[#Headers],[Democratic]:[Others]],MATCH(MAX(Table1[[#This Row],[Democratic]:[Others]]),Table1[[#This Row],[Democratic]:[Others]],0))</f>
        <v>Republican</v>
      </c>
      <c r="N68" s="3" t="str">
        <f>INDEX(Table1[[#Headers],[ Democratic]:[ Others]],MATCH(MAX(Table1[[#This Row],[ Democratic]:[ Others]]),Table1[[#This Row],[ Democratic]:[ Others]],0))</f>
        <v xml:space="preserve"> Democratic</v>
      </c>
      <c r="O68" s="3" t="str">
        <f>INDEX(Table7[Political Party],MATCH(VLOOKUP(DATE(LEFT(Table1[[#This Row],[Years (start dates are March 4 prior to 1933, and Jan 3 thereafter)]],4),1,20),Table7[Start Date],1,TRUE),Table7[Start Date],0))</f>
        <v>Republican</v>
      </c>
      <c r="P68" s="21" t="b">
        <f>AND(Table1[[#This Row],[Primary Senate Party]]=Table1[[#This Row],[Presidential Party]],Table1[[#This Row],[Primary House Party]]&lt;&gt;Table1[[#This Row],[Presidential Party]])</f>
        <v>1</v>
      </c>
    </row>
    <row r="69" spans="1:16">
      <c r="A69" s="3" t="s">
        <v>134</v>
      </c>
      <c r="B69" s="4" t="s">
        <v>135</v>
      </c>
      <c r="C69" s="3">
        <v>100</v>
      </c>
      <c r="D69" s="3">
        <v>46</v>
      </c>
      <c r="E69" s="3">
        <v>54</v>
      </c>
      <c r="F69" s="3"/>
      <c r="G69" s="3"/>
      <c r="H69" s="3">
        <v>435</v>
      </c>
      <c r="I69" s="3">
        <v>269</v>
      </c>
      <c r="J69" s="3">
        <v>166</v>
      </c>
      <c r="K69" s="3"/>
      <c r="L69" s="3"/>
      <c r="M69" s="3" t="str">
        <f>INDEX(Table1[[#Headers],[Democratic]:[Others]],MATCH(MAX(Table1[[#This Row],[Democratic]:[Others]]),Table1[[#This Row],[Democratic]:[Others]],0))</f>
        <v>Republican</v>
      </c>
      <c r="N69" s="3" t="str">
        <f>INDEX(Table1[[#Headers],[ Democratic]:[ Others]],MATCH(MAX(Table1[[#This Row],[ Democratic]:[ Others]]),Table1[[#This Row],[ Democratic]:[ Others]],0))</f>
        <v xml:space="preserve"> Democratic</v>
      </c>
      <c r="O69" s="3" t="str">
        <f>INDEX(Table7[Political Party],MATCH(VLOOKUP(DATE(LEFT(Table1[[#This Row],[Years (start dates are March 4 prior to 1933, and Jan 3 thereafter)]],4),1,20),Table7[Start Date],1,TRUE),Table7[Start Date],0))</f>
        <v>Republican</v>
      </c>
      <c r="P69" s="21" t="b">
        <f>AND(Table1[[#This Row],[Primary Senate Party]]=Table1[[#This Row],[Presidential Party]],Table1[[#This Row],[Primary House Party]]&lt;&gt;Table1[[#This Row],[Presidential Party]])</f>
        <v>1</v>
      </c>
    </row>
    <row r="70" spans="1:16">
      <c r="A70" s="3" t="s">
        <v>136</v>
      </c>
      <c r="B70" s="4" t="s">
        <v>137</v>
      </c>
      <c r="C70" s="3">
        <v>100</v>
      </c>
      <c r="D70" s="3">
        <v>47</v>
      </c>
      <c r="E70" s="3">
        <v>53</v>
      </c>
      <c r="F70" s="3"/>
      <c r="G70" s="3"/>
      <c r="H70" s="3">
        <v>435</v>
      </c>
      <c r="I70" s="3">
        <v>253</v>
      </c>
      <c r="J70" s="3">
        <v>182</v>
      </c>
      <c r="K70" s="3"/>
      <c r="L70" s="3"/>
      <c r="M70" s="3" t="str">
        <f>INDEX(Table1[[#Headers],[Democratic]:[Others]],MATCH(MAX(Table1[[#This Row],[Democratic]:[Others]]),Table1[[#This Row],[Democratic]:[Others]],0))</f>
        <v>Republican</v>
      </c>
      <c r="N70" s="3" t="str">
        <f>INDEX(Table1[[#Headers],[ Democratic]:[ Others]],MATCH(MAX(Table1[[#This Row],[ Democratic]:[ Others]]),Table1[[#This Row],[ Democratic]:[ Others]],0))</f>
        <v xml:space="preserve"> Democratic</v>
      </c>
      <c r="O70" s="3" t="str">
        <f>INDEX(Table7[Political Party],MATCH(VLOOKUP(DATE(LEFT(Table1[[#This Row],[Years (start dates are March 4 prior to 1933, and Jan 3 thereafter)]],4),1,20),Table7[Start Date],1,TRUE),Table7[Start Date],0))</f>
        <v>Republican</v>
      </c>
      <c r="P70" s="21" t="b">
        <f>AND(Table1[[#This Row],[Primary Senate Party]]=Table1[[#This Row],[Presidential Party]],Table1[[#This Row],[Primary House Party]]&lt;&gt;Table1[[#This Row],[Presidential Party]])</f>
        <v>1</v>
      </c>
    </row>
    <row r="71" spans="1:16" hidden="1">
      <c r="A71" s="3" t="s">
        <v>138</v>
      </c>
      <c r="B71" s="4" t="s">
        <v>139</v>
      </c>
      <c r="C71" s="3">
        <v>100</v>
      </c>
      <c r="D71" s="3">
        <v>55</v>
      </c>
      <c r="E71" s="3">
        <v>45</v>
      </c>
      <c r="F71" s="3"/>
      <c r="G71" s="3"/>
      <c r="H71" s="3">
        <v>435</v>
      </c>
      <c r="I71" s="3">
        <v>258</v>
      </c>
      <c r="J71" s="3">
        <v>177</v>
      </c>
      <c r="K71" s="3"/>
      <c r="L71" s="3"/>
      <c r="M71" s="3" t="str">
        <f>INDEX(Table1[[#Headers],[Democratic]:[Others]],MATCH(MAX(Table1[[#This Row],[Democratic]:[Others]]),Table1[[#This Row],[Democratic]:[Others]],0))</f>
        <v>Democratic</v>
      </c>
      <c r="N71" s="3" t="str">
        <f>INDEX(Table1[[#Headers],[ Democratic]:[ Others]],MATCH(MAX(Table1[[#This Row],[ Democratic]:[ Others]]),Table1[[#This Row],[ Democratic]:[ Others]],0))</f>
        <v xml:space="preserve"> Democratic</v>
      </c>
      <c r="O71" s="3" t="str">
        <f>INDEX(Table7[Political Party],MATCH(VLOOKUP(DATE(LEFT(Table1[[#This Row],[Years (start dates are March 4 prior to 1933, and Jan 3 thereafter)]],4),1,20),Table7[Start Date],1,TRUE),Table7[Start Date],0))</f>
        <v>Republican</v>
      </c>
      <c r="P71" s="21" t="b">
        <f>AND(Table1[[#This Row],[Primary Senate Party]]=Table1[[#This Row],[Presidential Party]],Table1[[#This Row],[Primary House Party]]&lt;&gt;Table1[[#This Row],[Presidential Party]])</f>
        <v>0</v>
      </c>
    </row>
    <row r="72" spans="1:16" hidden="1">
      <c r="A72" s="3" t="s">
        <v>140</v>
      </c>
      <c r="B72" s="4" t="s">
        <v>141</v>
      </c>
      <c r="C72" s="3">
        <v>100</v>
      </c>
      <c r="D72" s="3">
        <v>55</v>
      </c>
      <c r="E72" s="3">
        <v>45</v>
      </c>
      <c r="F72" s="3"/>
      <c r="G72" s="3"/>
      <c r="H72" s="3">
        <v>435</v>
      </c>
      <c r="I72" s="3">
        <v>260</v>
      </c>
      <c r="J72" s="3">
        <v>175</v>
      </c>
      <c r="K72" s="3"/>
      <c r="L72" s="3"/>
      <c r="M72" s="3" t="str">
        <f>INDEX(Table1[[#Headers],[Democratic]:[Others]],MATCH(MAX(Table1[[#This Row],[Democratic]:[Others]]),Table1[[#This Row],[Democratic]:[Others]],0))</f>
        <v>Democratic</v>
      </c>
      <c r="N72" s="3" t="str">
        <f>INDEX(Table1[[#Headers],[ Democratic]:[ Others]],MATCH(MAX(Table1[[#This Row],[ Democratic]:[ Others]]),Table1[[#This Row],[ Democratic]:[ Others]],0))</f>
        <v xml:space="preserve"> Democratic</v>
      </c>
      <c r="O72" s="3" t="str">
        <f>INDEX(Table7[Political Party],MATCH(VLOOKUP(DATE(LEFT(Table1[[#This Row],[Years (start dates are March 4 prior to 1933, and Jan 3 thereafter)]],4),1,20),Table7[Start Date],1,TRUE),Table7[Start Date],0))</f>
        <v>Republican</v>
      </c>
      <c r="P72" s="21" t="b">
        <f>AND(Table1[[#This Row],[Primary Senate Party]]=Table1[[#This Row],[Presidential Party]],Table1[[#This Row],[Primary House Party]]&lt;&gt;Table1[[#This Row],[Presidential Party]])</f>
        <v>0</v>
      </c>
    </row>
    <row r="73" spans="1:16" hidden="1">
      <c r="A73" s="3" t="s">
        <v>142</v>
      </c>
      <c r="B73" s="4" t="s">
        <v>143</v>
      </c>
      <c r="C73" s="3">
        <v>100</v>
      </c>
      <c r="D73" s="3">
        <v>56</v>
      </c>
      <c r="E73" s="3">
        <v>44</v>
      </c>
      <c r="F73" s="3"/>
      <c r="G73" s="3"/>
      <c r="H73" s="3">
        <v>435</v>
      </c>
      <c r="I73" s="3">
        <v>267</v>
      </c>
      <c r="J73" s="3">
        <v>167</v>
      </c>
      <c r="K73" s="3">
        <v>1</v>
      </c>
      <c r="L73" s="3"/>
      <c r="M73" s="3" t="str">
        <f>INDEX(Table1[[#Headers],[Democratic]:[Others]],MATCH(MAX(Table1[[#This Row],[Democratic]:[Others]]),Table1[[#This Row],[Democratic]:[Others]],0))</f>
        <v>Democratic</v>
      </c>
      <c r="N73" s="3" t="str">
        <f>INDEX(Table1[[#Headers],[ Democratic]:[ Others]],MATCH(MAX(Table1[[#This Row],[ Democratic]:[ Others]]),Table1[[#This Row],[ Democratic]:[ Others]],0))</f>
        <v xml:space="preserve"> Democratic</v>
      </c>
      <c r="O73" s="3" t="str">
        <f>INDEX(Table7[Political Party],MATCH(VLOOKUP(DATE(LEFT(Table1[[#This Row],[Years (start dates are March 4 prior to 1933, and Jan 3 thereafter)]],4),1,20),Table7[Start Date],1,TRUE),Table7[Start Date],0))</f>
        <v>Republican</v>
      </c>
      <c r="P73" s="21" t="b">
        <f>AND(Table1[[#This Row],[Primary Senate Party]]=Table1[[#This Row],[Presidential Party]],Table1[[#This Row],[Primary House Party]]&lt;&gt;Table1[[#This Row],[Presidential Party]])</f>
        <v>0</v>
      </c>
    </row>
    <row r="74" spans="1:16">
      <c r="A74" s="3" t="s">
        <v>144</v>
      </c>
      <c r="B74" s="4" t="s">
        <v>145</v>
      </c>
      <c r="C74" s="3">
        <v>100</v>
      </c>
      <c r="D74" s="3">
        <v>57</v>
      </c>
      <c r="E74" s="3">
        <v>43</v>
      </c>
      <c r="F74" s="3"/>
      <c r="G74" s="3"/>
      <c r="H74" s="3">
        <v>435</v>
      </c>
      <c r="I74" s="3">
        <v>258</v>
      </c>
      <c r="J74" s="3">
        <v>176</v>
      </c>
      <c r="K74" s="3">
        <v>1</v>
      </c>
      <c r="L74" s="3"/>
      <c r="M74" s="3" t="str">
        <f>INDEX(Table1[[#Headers],[Democratic]:[Others]],MATCH(MAX(Table1[[#This Row],[Democratic]:[Others]]),Table1[[#This Row],[Democratic]:[Others]],0))</f>
        <v>Democratic</v>
      </c>
      <c r="N74" s="3" t="str">
        <f>INDEX(Table1[[#Headers],[ Democratic]:[ Others]],MATCH(MAX(Table1[[#This Row],[ Democratic]:[ Others]]),Table1[[#This Row],[ Democratic]:[ Others]],0))</f>
        <v xml:space="preserve"> Democratic</v>
      </c>
      <c r="O74" s="3" t="str">
        <f>INDEX(Table7[Political Party],MATCH(VLOOKUP(DATE(LEFT(Table1[[#This Row],[Years (start dates are March 4 prior to 1933, and Jan 3 thereafter)]],4),1,20),Table7[Start Date],1,TRUE),Table7[Start Date],0))</f>
        <v>Democratic</v>
      </c>
      <c r="P74" s="21" t="b">
        <f>AND(Table1[[#This Row],[Primary Senate Party]]=Table1[[#This Row],[Presidential Party]],Table1[[#This Row],[Primary House Party]]&lt;&gt;Table1[[#This Row],[Presidential Party]])</f>
        <v>1</v>
      </c>
    </row>
    <row r="75" spans="1:16" hidden="1">
      <c r="A75" s="3" t="s">
        <v>146</v>
      </c>
      <c r="B75" s="4" t="s">
        <v>147</v>
      </c>
      <c r="C75" s="3">
        <v>100</v>
      </c>
      <c r="D75" s="3">
        <v>48</v>
      </c>
      <c r="E75" s="3">
        <v>52</v>
      </c>
      <c r="F75" s="3"/>
      <c r="G75" s="3"/>
      <c r="H75" s="3">
        <v>435</v>
      </c>
      <c r="I75" s="3">
        <v>204</v>
      </c>
      <c r="J75" s="3">
        <v>230</v>
      </c>
      <c r="K75" s="3">
        <v>1</v>
      </c>
      <c r="L75" s="3"/>
      <c r="M75" s="3" t="str">
        <f>INDEX(Table1[[#Headers],[Democratic]:[Others]],MATCH(MAX(Table1[[#This Row],[Democratic]:[Others]]),Table1[[#This Row],[Democratic]:[Others]],0))</f>
        <v>Republican</v>
      </c>
      <c r="N75" s="3" t="str">
        <f>INDEX(Table1[[#Headers],[ Democratic]:[ Others]],MATCH(MAX(Table1[[#This Row],[ Democratic]:[ Others]]),Table1[[#This Row],[ Democratic]:[ Others]],0))</f>
        <v xml:space="preserve"> Republican</v>
      </c>
      <c r="O75" s="3" t="str">
        <f>INDEX(Table7[Political Party],MATCH(VLOOKUP(DATE(LEFT(Table1[[#This Row],[Years (start dates are March 4 prior to 1933, and Jan 3 thereafter)]],4),1,20),Table7[Start Date],1,TRUE),Table7[Start Date],0))</f>
        <v>Democratic</v>
      </c>
      <c r="P75" s="21" t="b">
        <f>AND(Table1[[#This Row],[Primary Senate Party]]=Table1[[#This Row],[Presidential Party]],Table1[[#This Row],[Primary House Party]]&lt;&gt;Table1[[#This Row],[Presidential Party]])</f>
        <v>0</v>
      </c>
    </row>
    <row r="76" spans="1:16" hidden="1">
      <c r="A76" s="3" t="s">
        <v>148</v>
      </c>
      <c r="B76" s="4" t="s">
        <v>149</v>
      </c>
      <c r="C76" s="3">
        <v>100</v>
      </c>
      <c r="D76" s="3">
        <v>45</v>
      </c>
      <c r="E76" s="3">
        <v>55</v>
      </c>
      <c r="F76" s="3"/>
      <c r="G76" s="3"/>
      <c r="H76" s="3">
        <v>435</v>
      </c>
      <c r="I76" s="3">
        <v>207</v>
      </c>
      <c r="J76" s="3">
        <v>226</v>
      </c>
      <c r="K76" s="3">
        <v>2</v>
      </c>
      <c r="L76" s="3"/>
      <c r="M76" s="3" t="str">
        <f>INDEX(Table1[[#Headers],[Democratic]:[Others]],MATCH(MAX(Table1[[#This Row],[Democratic]:[Others]]),Table1[[#This Row],[Democratic]:[Others]],0))</f>
        <v>Republican</v>
      </c>
      <c r="N76" s="3" t="str">
        <f>INDEX(Table1[[#Headers],[ Democratic]:[ Others]],MATCH(MAX(Table1[[#This Row],[ Democratic]:[ Others]]),Table1[[#This Row],[ Democratic]:[ Others]],0))</f>
        <v xml:space="preserve"> Republican</v>
      </c>
      <c r="O76" s="3" t="str">
        <f>INDEX(Table7[Political Party],MATCH(VLOOKUP(DATE(LEFT(Table1[[#This Row],[Years (start dates are March 4 prior to 1933, and Jan 3 thereafter)]],4),1,20),Table7[Start Date],1,TRUE),Table7[Start Date],0))</f>
        <v>Democratic</v>
      </c>
      <c r="P76" s="21" t="b">
        <f>AND(Table1[[#This Row],[Primary Senate Party]]=Table1[[#This Row],[Presidential Party]],Table1[[#This Row],[Primary House Party]]&lt;&gt;Table1[[#This Row],[Presidential Party]])</f>
        <v>0</v>
      </c>
    </row>
    <row r="77" spans="1:16" hidden="1">
      <c r="A77" s="3" t="s">
        <v>150</v>
      </c>
      <c r="B77" s="4" t="s">
        <v>151</v>
      </c>
      <c r="C77" s="3">
        <v>100</v>
      </c>
      <c r="D77" s="3">
        <v>45</v>
      </c>
      <c r="E77" s="3">
        <v>55</v>
      </c>
      <c r="F77" s="3"/>
      <c r="G77" s="3"/>
      <c r="H77" s="3">
        <v>435</v>
      </c>
      <c r="I77" s="3">
        <v>211</v>
      </c>
      <c r="J77" s="3">
        <v>223</v>
      </c>
      <c r="K77" s="3">
        <v>1</v>
      </c>
      <c r="L77" s="3"/>
      <c r="M77" s="3" t="str">
        <f>INDEX(Table1[[#Headers],[Democratic]:[Others]],MATCH(MAX(Table1[[#This Row],[Democratic]:[Others]]),Table1[[#This Row],[Democratic]:[Others]],0))</f>
        <v>Republican</v>
      </c>
      <c r="N77" s="3" t="str">
        <f>INDEX(Table1[[#Headers],[ Democratic]:[ Others]],MATCH(MAX(Table1[[#This Row],[ Democratic]:[ Others]]),Table1[[#This Row],[ Democratic]:[ Others]],0))</f>
        <v xml:space="preserve"> Republican</v>
      </c>
      <c r="O77" s="3" t="str">
        <f>INDEX(Table7[Political Party],MATCH(VLOOKUP(DATE(LEFT(Table1[[#This Row],[Years (start dates are March 4 prior to 1933, and Jan 3 thereafter)]],4),1,20),Table7[Start Date],1,TRUE),Table7[Start Date],0))</f>
        <v>Democratic</v>
      </c>
      <c r="P77" s="21" t="b">
        <f>AND(Table1[[#This Row],[Primary Senate Party]]=Table1[[#This Row],[Presidential Party]],Table1[[#This Row],[Primary House Party]]&lt;&gt;Table1[[#This Row],[Presidential Party]])</f>
        <v>0</v>
      </c>
    </row>
    <row r="78" spans="1:16" hidden="1">
      <c r="A78" s="3" t="s">
        <v>152</v>
      </c>
      <c r="B78" s="4" t="s">
        <v>153</v>
      </c>
      <c r="C78" s="3">
        <v>100</v>
      </c>
      <c r="D78" s="3">
        <v>50</v>
      </c>
      <c r="E78" s="3">
        <v>50</v>
      </c>
      <c r="F78" s="3"/>
      <c r="G78" s="3"/>
      <c r="H78" s="3">
        <v>435</v>
      </c>
      <c r="I78" s="3">
        <v>212</v>
      </c>
      <c r="J78" s="3">
        <v>221</v>
      </c>
      <c r="K78" s="3">
        <v>2</v>
      </c>
      <c r="L78" s="3"/>
      <c r="M78" s="3" t="str">
        <f>INDEX(Table1[[#Headers],[Democratic]:[Others]],MATCH(MAX(Table1[[#This Row],[Democratic]:[Others]]),Table1[[#This Row],[Democratic]:[Others]],0))</f>
        <v>Democratic</v>
      </c>
      <c r="N78" s="3" t="str">
        <f>INDEX(Table1[[#Headers],[ Democratic]:[ Others]],MATCH(MAX(Table1[[#This Row],[ Democratic]:[ Others]]),Table1[[#This Row],[ Democratic]:[ Others]],0))</f>
        <v xml:space="preserve"> Republican</v>
      </c>
      <c r="O78" s="3" t="str">
        <f>INDEX(Table7[Political Party],MATCH(VLOOKUP(DATE(LEFT(Table1[[#This Row],[Years (start dates are March 4 prior to 1933, and Jan 3 thereafter)]],4),1,20),Table7[Start Date],1,TRUE),Table7[Start Date],0))</f>
        <v>Republican</v>
      </c>
      <c r="P78" s="21" t="b">
        <f>AND(Table1[[#This Row],[Primary Senate Party]]=Table1[[#This Row],[Presidential Party]],Table1[[#This Row],[Primary House Party]]&lt;&gt;Table1[[#This Row],[Presidential Party]])</f>
        <v>0</v>
      </c>
    </row>
    <row r="79" spans="1:16">
      <c r="A79" s="3" t="s">
        <v>154</v>
      </c>
      <c r="B79" s="4" t="s">
        <v>155</v>
      </c>
      <c r="C79" s="3">
        <v>100</v>
      </c>
      <c r="D79" s="3">
        <v>48</v>
      </c>
      <c r="E79" s="3">
        <v>51</v>
      </c>
      <c r="F79" s="3">
        <v>1</v>
      </c>
      <c r="G79" s="3"/>
      <c r="H79" s="3">
        <v>435</v>
      </c>
      <c r="I79" s="3">
        <v>205</v>
      </c>
      <c r="J79" s="3">
        <v>229</v>
      </c>
      <c r="K79" s="3">
        <v>1</v>
      </c>
      <c r="L79" s="3"/>
      <c r="M79" s="3" t="str">
        <f>INDEX(Table1[[#Headers],[Democratic]:[Others]],MATCH(MAX(Table1[[#This Row],[Democratic]:[Others]]),Table1[[#This Row],[Democratic]:[Others]],0))</f>
        <v>Republican</v>
      </c>
      <c r="N79" s="3" t="str">
        <f>INDEX(Table1[[#Headers],[ Democratic]:[ Others]],MATCH(MAX(Table1[[#This Row],[ Democratic]:[ Others]]),Table1[[#This Row],[ Democratic]:[ Others]],0))</f>
        <v xml:space="preserve"> Republican</v>
      </c>
      <c r="O79" s="3" t="str">
        <f>INDEX(Table7[Political Party],MATCH(VLOOKUP(DATE(LEFT(Table1[[#This Row],[Years (start dates are March 4 prior to 1933, and Jan 3 thereafter)]],4),1,20),Table7[Start Date],1,TRUE),Table7[Start Date],0))</f>
        <v>Republican</v>
      </c>
      <c r="P79" s="21" t="b">
        <f>AND(Table1[[#This Row],[Primary Senate Party]]=Table1[[#This Row],[Presidential Party]],Table1[[#This Row],[Primary House Party]]&lt;&gt;Table1[[#This Row],[Presidential Party]])</f>
        <v>1</v>
      </c>
    </row>
    <row r="80" spans="1:16">
      <c r="A80" s="3" t="s">
        <v>156</v>
      </c>
      <c r="B80" s="4" t="s">
        <v>157</v>
      </c>
      <c r="C80" s="3">
        <v>100</v>
      </c>
      <c r="D80" s="3">
        <v>44</v>
      </c>
      <c r="E80" s="3">
        <v>55</v>
      </c>
      <c r="F80" s="3">
        <v>1</v>
      </c>
      <c r="G80" s="3"/>
      <c r="H80" s="3">
        <v>435</v>
      </c>
      <c r="I80" s="3">
        <v>202</v>
      </c>
      <c r="J80" s="3">
        <v>231</v>
      </c>
      <c r="K80" s="3">
        <v>1</v>
      </c>
      <c r="L80" s="3">
        <v>1</v>
      </c>
      <c r="M80" s="3" t="str">
        <f>INDEX(Table1[[#Headers],[Democratic]:[Others]],MATCH(MAX(Table1[[#This Row],[Democratic]:[Others]]),Table1[[#This Row],[Democratic]:[Others]],0))</f>
        <v>Republican</v>
      </c>
      <c r="N80" s="3" t="str">
        <f>INDEX(Table1[[#Headers],[ Democratic]:[ Others]],MATCH(MAX(Table1[[#This Row],[ Democratic]:[ Others]]),Table1[[#This Row],[ Democratic]:[ Others]],0))</f>
        <v xml:space="preserve"> Republican</v>
      </c>
      <c r="O80" s="3" t="str">
        <f>INDEX(Table7[Political Party],MATCH(VLOOKUP(DATE(LEFT(Table1[[#This Row],[Years (start dates are March 4 prior to 1933, and Jan 3 thereafter)]],4),1,20),Table7[Start Date],1,TRUE),Table7[Start Date],0))</f>
        <v>Republican</v>
      </c>
      <c r="P80" s="21" t="b">
        <f>AND(Table1[[#This Row],[Primary Senate Party]]=Table1[[#This Row],[Presidential Party]],Table1[[#This Row],[Primary House Party]]&lt;&gt;Table1[[#This Row],[Presidential Party]])</f>
        <v>1</v>
      </c>
    </row>
    <row r="81" spans="1:16" hidden="1">
      <c r="A81" s="3" t="s">
        <v>158</v>
      </c>
      <c r="B81" s="4" t="s">
        <v>159</v>
      </c>
      <c r="C81" s="3">
        <v>100</v>
      </c>
      <c r="D81" s="3">
        <v>49</v>
      </c>
      <c r="E81" s="3">
        <v>49</v>
      </c>
      <c r="F81" s="3">
        <v>2</v>
      </c>
      <c r="G81" s="3"/>
      <c r="H81" s="3">
        <v>435</v>
      </c>
      <c r="I81" s="3">
        <v>233</v>
      </c>
      <c r="J81" s="3">
        <v>198</v>
      </c>
      <c r="K81" s="3"/>
      <c r="L81" s="3">
        <v>4</v>
      </c>
      <c r="M81" s="3" t="str">
        <f>INDEX(Table1[[#Headers],[Democratic]:[Others]],MATCH(MAX(Table1[[#This Row],[Democratic]:[Others]]),Table1[[#This Row],[Democratic]:[Others]],0))</f>
        <v>Democratic</v>
      </c>
      <c r="N81" s="3" t="str">
        <f>INDEX(Table1[[#Headers],[ Democratic]:[ Others]],MATCH(MAX(Table1[[#This Row],[ Democratic]:[ Others]]),Table1[[#This Row],[ Democratic]:[ Others]],0))</f>
        <v xml:space="preserve"> Democratic</v>
      </c>
      <c r="O81" s="3" t="str">
        <f>INDEX(Table7[Political Party],MATCH(VLOOKUP(DATE(LEFT(Table1[[#This Row],[Years (start dates are March 4 prior to 1933, and Jan 3 thereafter)]],4),1,20),Table7[Start Date],1,TRUE),Table7[Start Date],0))</f>
        <v>Republican</v>
      </c>
      <c r="P81" s="21" t="b">
        <f>AND(Table1[[#This Row],[Primary Senate Party]]=Table1[[#This Row],[Presidential Party]],Table1[[#This Row],[Primary House Party]]&lt;&gt;Table1[[#This Row],[Presidential Party]])</f>
        <v>0</v>
      </c>
    </row>
    <row r="82" spans="1:16">
      <c r="A82" s="3" t="s">
        <v>160</v>
      </c>
      <c r="B82" s="4" t="s">
        <v>161</v>
      </c>
      <c r="C82" s="3">
        <v>100</v>
      </c>
      <c r="D82" s="3">
        <v>57</v>
      </c>
      <c r="E82" s="3">
        <v>41</v>
      </c>
      <c r="F82" s="3">
        <v>2</v>
      </c>
      <c r="G82" s="3">
        <v>2</v>
      </c>
      <c r="H82" s="3">
        <v>435</v>
      </c>
      <c r="I82" s="3">
        <v>256</v>
      </c>
      <c r="J82" s="3">
        <v>178</v>
      </c>
      <c r="K82" s="3"/>
      <c r="L82" s="3">
        <v>1</v>
      </c>
      <c r="M82" s="3" t="str">
        <f>INDEX(Table1[[#Headers],[Democratic]:[Others]],MATCH(MAX(Table1[[#This Row],[Democratic]:[Others]]),Table1[[#This Row],[Democratic]:[Others]],0))</f>
        <v>Democratic</v>
      </c>
      <c r="N82" s="3" t="str">
        <f>INDEX(Table1[[#Headers],[ Democratic]:[ Others]],MATCH(MAX(Table1[[#This Row],[ Democratic]:[ Others]]),Table1[[#This Row],[ Democratic]:[ Others]],0))</f>
        <v xml:space="preserve"> Democratic</v>
      </c>
      <c r="O82" s="3" t="str">
        <f>INDEX(Table7[Political Party],MATCH(VLOOKUP(DATE(LEFT(Table1[[#This Row],[Years (start dates are March 4 prior to 1933, and Jan 3 thereafter)]],4),1,20),Table7[Start Date],1,TRUE),Table7[Start Date],0))</f>
        <v>Democratic</v>
      </c>
      <c r="P82" s="21" t="b">
        <f>AND(Table1[[#This Row],[Primary Senate Party]]=Table1[[#This Row],[Presidential Party]],Table1[[#This Row],[Primary House Party]]&lt;&gt;Table1[[#This Row],[Presidential Party]])</f>
        <v>1</v>
      </c>
    </row>
    <row r="83" spans="1:16">
      <c r="A83" s="3" t="s">
        <v>162</v>
      </c>
      <c r="B83" s="4" t="s">
        <v>163</v>
      </c>
      <c r="C83" s="3">
        <v>100</v>
      </c>
      <c r="D83" s="3">
        <v>51</v>
      </c>
      <c r="E83" s="3">
        <v>47</v>
      </c>
      <c r="F83" s="3">
        <v>2</v>
      </c>
      <c r="G83" s="3"/>
      <c r="H83" s="3">
        <v>435</v>
      </c>
      <c r="I83" s="3">
        <v>193</v>
      </c>
      <c r="J83" s="3">
        <v>242</v>
      </c>
      <c r="K83" s="3"/>
      <c r="L83" s="3"/>
      <c r="M83" s="3" t="str">
        <f>INDEX(Table1[[#Headers],[Democratic]:[Others]],MATCH(MAX(Table1[[#This Row],[Democratic]:[Others]]),Table1[[#This Row],[Democratic]:[Others]],0))</f>
        <v>Democratic</v>
      </c>
      <c r="N83" s="3" t="str">
        <f>INDEX(Table1[[#Headers],[ Democratic]:[ Others]],MATCH(MAX(Table1[[#This Row],[ Democratic]:[ Others]]),Table1[[#This Row],[ Democratic]:[ Others]],0))</f>
        <v xml:space="preserve"> Republican</v>
      </c>
      <c r="O83" s="3" t="str">
        <f>INDEX(Table7[Political Party],MATCH(VLOOKUP(DATE(LEFT(Table1[[#This Row],[Years (start dates are March 4 prior to 1933, and Jan 3 thereafter)]],4),1,20),Table7[Start Date],1,TRUE),Table7[Start Date],0))</f>
        <v>Democratic</v>
      </c>
      <c r="P83" s="21" t="b">
        <f>AND(Table1[[#This Row],[Primary Senate Party]]=Table1[[#This Row],[Presidential Party]],Table1[[#This Row],[Primary House Party]]&lt;&gt;Table1[[#This Row],[Presidential Party]])</f>
        <v>1</v>
      </c>
    </row>
    <row r="84" spans="1:16">
      <c r="A84" s="3" t="s">
        <v>164</v>
      </c>
      <c r="B84" s="4" t="s">
        <v>165</v>
      </c>
      <c r="C84" s="3">
        <v>100</v>
      </c>
      <c r="D84" s="3">
        <v>54</v>
      </c>
      <c r="E84" s="3">
        <v>45</v>
      </c>
      <c r="F84" s="3">
        <v>1</v>
      </c>
      <c r="G84" s="3"/>
      <c r="H84" s="3">
        <v>435</v>
      </c>
      <c r="I84" s="3">
        <v>201</v>
      </c>
      <c r="J84" s="3">
        <v>234</v>
      </c>
      <c r="K84" s="3"/>
      <c r="L84" s="3"/>
      <c r="M84" s="3" t="str">
        <f>INDEX(Table1[[#Headers],[Democratic]:[Others]],MATCH(MAX(Table1[[#This Row],[Democratic]:[Others]]),Table1[[#This Row],[Democratic]:[Others]],0))</f>
        <v>Democratic</v>
      </c>
      <c r="N84" s="3" t="str">
        <f>INDEX(Table1[[#Headers],[ Democratic]:[ Others]],MATCH(MAX(Table1[[#This Row],[ Democratic]:[ Others]]),Table1[[#This Row],[ Democratic]:[ Others]],0))</f>
        <v xml:space="preserve"> Republican</v>
      </c>
      <c r="O84" s="3" t="str">
        <f>INDEX(Table7[Political Party],MATCH(VLOOKUP(DATE(LEFT(Table1[[#This Row],[Years (start dates are March 4 prior to 1933, and Jan 3 thereafter)]],4),1,20),Table7[Start Date],1,TRUE),Table7[Start Date],0))</f>
        <v>Democratic</v>
      </c>
      <c r="P84" s="21" t="b">
        <f>AND(Table1[[#This Row],[Primary Senate Party]]=Table1[[#This Row],[Presidential Party]],Table1[[#This Row],[Primary House Party]]&lt;&gt;Table1[[#This Row],[Presidential Party]])</f>
        <v>1</v>
      </c>
    </row>
    <row r="85" spans="1:16" hidden="1">
      <c r="A85" s="3" t="s">
        <v>166</v>
      </c>
      <c r="B85" s="4" t="s">
        <v>167</v>
      </c>
      <c r="C85" s="3">
        <v>100</v>
      </c>
      <c r="D85" s="3">
        <v>44</v>
      </c>
      <c r="E85" s="3">
        <v>54</v>
      </c>
      <c r="F85" s="3">
        <v>2</v>
      </c>
      <c r="G85" s="3"/>
      <c r="H85" s="3">
        <v>435</v>
      </c>
      <c r="I85" s="3">
        <v>188</v>
      </c>
      <c r="J85" s="3">
        <v>246</v>
      </c>
      <c r="K85" s="3"/>
      <c r="L85" s="3">
        <v>1</v>
      </c>
      <c r="M85" s="3" t="str">
        <f>INDEX(Table1[[#Headers],[Democratic]:[Others]],MATCH(MAX(Table1[[#This Row],[Democratic]:[Others]]),Table1[[#This Row],[Democratic]:[Others]],0))</f>
        <v>Republican</v>
      </c>
      <c r="N85" s="3" t="str">
        <f>INDEX(Table1[[#Headers],[ Democratic]:[ Others]],MATCH(MAX(Table1[[#This Row],[ Democratic]:[ Others]]),Table1[[#This Row],[ Democratic]:[ Others]],0))</f>
        <v xml:space="preserve"> Republican</v>
      </c>
      <c r="O85" s="3" t="str">
        <f>INDEX(Table7[Political Party],MATCH(VLOOKUP(DATE(LEFT(Table1[[#This Row],[Years (start dates are March 4 prior to 1933, and Jan 3 thereafter)]],4),1,20),Table7[Start Date],1,TRUE),Table7[Start Date],0))</f>
        <v>Democratic</v>
      </c>
      <c r="P85" s="21" t="b">
        <f>AND(Table1[[#This Row],[Primary Senate Party]]=Table1[[#This Row],[Presidential Party]],Table1[[#This Row],[Primary House Party]]&lt;&gt;Table1[[#This Row],[Presidential Party]])</f>
        <v>0</v>
      </c>
    </row>
  </sheetData>
  <mergeCells count="2">
    <mergeCell ref="C3:G3"/>
    <mergeCell ref="H3:L3"/>
  </mergeCells>
  <hyperlinks>
    <hyperlink ref="A2" r:id="rId1"/>
  </hyperlinks>
  <pageMargins left="0.75" right="0.75" top="1" bottom="1" header="0.5" footer="0.5"/>
  <pageSetup orientation="portrait" horizontalDpi="4294967292" verticalDpi="4294967292"/>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F49"/>
  <sheetViews>
    <sheetView showGridLines="0" workbookViewId="0">
      <selection activeCell="D30" sqref="D30"/>
    </sheetView>
  </sheetViews>
  <sheetFormatPr baseColWidth="10" defaultColWidth="11" defaultRowHeight="15" x14ac:dyDescent="0"/>
  <cols>
    <col min="1" max="1" width="12.1640625" customWidth="1"/>
    <col min="2" max="3" width="11.33203125" bestFit="1" customWidth="1"/>
    <col min="4" max="5" width="11.33203125" customWidth="1"/>
    <col min="6" max="6" width="12.1640625" customWidth="1"/>
  </cols>
  <sheetData>
    <row r="1" spans="1:6" ht="23.25">
      <c r="A1" s="17" t="s">
        <v>4800</v>
      </c>
    </row>
    <row r="2" spans="1:6">
      <c r="A2" s="6" t="s">
        <v>197</v>
      </c>
      <c r="B2" s="6" t="s">
        <v>4801</v>
      </c>
    </row>
    <row r="5" spans="1:6" ht="31.5">
      <c r="A5" s="7" t="s">
        <v>198</v>
      </c>
      <c r="B5" s="7" t="s">
        <v>4698</v>
      </c>
      <c r="C5" s="7" t="s">
        <v>4699</v>
      </c>
      <c r="D5" s="7" t="s">
        <v>4802</v>
      </c>
      <c r="E5" s="7" t="s">
        <v>4803</v>
      </c>
      <c r="F5" s="7" t="s">
        <v>4700</v>
      </c>
    </row>
    <row r="6" spans="1:6" ht="31.5">
      <c r="A6" s="7" t="s">
        <v>199</v>
      </c>
      <c r="B6" s="7"/>
      <c r="C6" s="7" t="s">
        <v>4701</v>
      </c>
      <c r="D6" s="7" t="s">
        <v>4804</v>
      </c>
      <c r="E6" s="7" t="s">
        <v>4805</v>
      </c>
      <c r="F6" s="7" t="s">
        <v>200</v>
      </c>
    </row>
    <row r="7" spans="1:6" ht="31.5">
      <c r="A7" s="7" t="s">
        <v>200</v>
      </c>
      <c r="B7" s="7" t="s">
        <v>201</v>
      </c>
      <c r="C7" s="7" t="s">
        <v>4702</v>
      </c>
      <c r="D7" s="7" t="s">
        <v>4805</v>
      </c>
      <c r="E7" s="7" t="s">
        <v>4806</v>
      </c>
      <c r="F7" s="7" t="s">
        <v>202</v>
      </c>
    </row>
    <row r="8" spans="1:6" ht="63">
      <c r="A8" s="7" t="s">
        <v>202</v>
      </c>
      <c r="B8" s="7" t="s">
        <v>203</v>
      </c>
      <c r="C8" s="7" t="s">
        <v>4703</v>
      </c>
      <c r="D8" s="7" t="s">
        <v>4806</v>
      </c>
      <c r="E8" s="7" t="s">
        <v>4807</v>
      </c>
      <c r="F8" s="7" t="s">
        <v>4704</v>
      </c>
    </row>
    <row r="9" spans="1:6" ht="236.25">
      <c r="A9" s="7" t="s">
        <v>204</v>
      </c>
      <c r="B9" s="7" t="s">
        <v>203</v>
      </c>
      <c r="C9" s="7" t="s">
        <v>4705</v>
      </c>
      <c r="D9" s="7" t="s">
        <v>4807</v>
      </c>
      <c r="E9" s="7" t="s">
        <v>4808</v>
      </c>
      <c r="F9" s="7" t="s">
        <v>4706</v>
      </c>
    </row>
    <row r="10" spans="1:6" ht="31.5">
      <c r="A10" s="7" t="s">
        <v>205</v>
      </c>
      <c r="B10" s="7" t="s">
        <v>203</v>
      </c>
      <c r="C10" s="7" t="s">
        <v>4707</v>
      </c>
      <c r="D10" s="7" t="s">
        <v>4808</v>
      </c>
      <c r="E10" s="7" t="s">
        <v>4809</v>
      </c>
      <c r="F10" s="7" t="s">
        <v>4708</v>
      </c>
    </row>
    <row r="11" spans="1:6" ht="31.5">
      <c r="A11" s="7" t="s">
        <v>206</v>
      </c>
      <c r="B11" s="7" t="s">
        <v>203</v>
      </c>
      <c r="C11" s="7" t="s">
        <v>4709</v>
      </c>
      <c r="D11" s="7" t="s">
        <v>4809</v>
      </c>
      <c r="E11" s="7" t="s">
        <v>4810</v>
      </c>
      <c r="F11" s="7" t="s">
        <v>4710</v>
      </c>
    </row>
    <row r="12" spans="1:6" ht="157.5">
      <c r="A12" s="7" t="s">
        <v>207</v>
      </c>
      <c r="B12" s="7" t="s">
        <v>209</v>
      </c>
      <c r="C12" s="7" t="s">
        <v>4711</v>
      </c>
      <c r="D12" s="7" t="s">
        <v>4810</v>
      </c>
      <c r="E12" s="7" t="s">
        <v>4811</v>
      </c>
      <c r="F12" s="7" t="s">
        <v>4712</v>
      </c>
    </row>
    <row r="13" spans="1:6" ht="31.5">
      <c r="A13" s="7" t="s">
        <v>208</v>
      </c>
      <c r="B13" s="7" t="s">
        <v>209</v>
      </c>
      <c r="C13" s="7" t="s">
        <v>4713</v>
      </c>
      <c r="D13" s="7" t="s">
        <v>4811</v>
      </c>
      <c r="E13" s="7" t="s">
        <v>4812</v>
      </c>
      <c r="F13" s="7" t="s">
        <v>4714</v>
      </c>
    </row>
    <row r="14" spans="1:6" ht="47.25">
      <c r="A14" s="7" t="s">
        <v>4715</v>
      </c>
      <c r="B14" s="7" t="s">
        <v>210</v>
      </c>
      <c r="C14" s="7">
        <v>1841</v>
      </c>
      <c r="D14" s="7" t="s">
        <v>4812</v>
      </c>
      <c r="E14" s="7" t="s">
        <v>4813</v>
      </c>
      <c r="F14" s="7" t="s">
        <v>211</v>
      </c>
    </row>
    <row r="15" spans="1:6" ht="31.5">
      <c r="A15" s="7" t="s">
        <v>211</v>
      </c>
      <c r="B15" s="7" t="s">
        <v>210</v>
      </c>
      <c r="C15" s="7" t="s">
        <v>4716</v>
      </c>
      <c r="D15" s="7" t="s">
        <v>4813</v>
      </c>
      <c r="E15" s="7" t="s">
        <v>4814</v>
      </c>
      <c r="F15" s="7" t="s">
        <v>4717</v>
      </c>
    </row>
    <row r="16" spans="1:6" ht="31.5">
      <c r="A16" s="7" t="s">
        <v>4718</v>
      </c>
      <c r="B16" s="7" t="s">
        <v>209</v>
      </c>
      <c r="C16" s="7" t="s">
        <v>4719</v>
      </c>
      <c r="D16" s="7" t="s">
        <v>4814</v>
      </c>
      <c r="E16" s="7" t="s">
        <v>4815</v>
      </c>
      <c r="F16" s="7" t="s">
        <v>4720</v>
      </c>
    </row>
    <row r="17" spans="1:6" ht="31.5">
      <c r="A17" s="7" t="s">
        <v>212</v>
      </c>
      <c r="B17" s="7" t="s">
        <v>210</v>
      </c>
      <c r="C17" s="7" t="s">
        <v>4721</v>
      </c>
      <c r="D17" s="7" t="s">
        <v>4815</v>
      </c>
      <c r="E17" s="7" t="s">
        <v>4816</v>
      </c>
      <c r="F17" s="7" t="s">
        <v>213</v>
      </c>
    </row>
    <row r="18" spans="1:6" ht="31.5">
      <c r="A18" s="7" t="s">
        <v>213</v>
      </c>
      <c r="B18" s="7" t="s">
        <v>210</v>
      </c>
      <c r="C18" s="7" t="s">
        <v>4722</v>
      </c>
      <c r="D18" s="7" t="s">
        <v>4816</v>
      </c>
      <c r="E18" s="7" t="s">
        <v>4817</v>
      </c>
      <c r="F18" s="7" t="s">
        <v>4717</v>
      </c>
    </row>
    <row r="19" spans="1:6" ht="110.25">
      <c r="A19" s="7" t="s">
        <v>214</v>
      </c>
      <c r="B19" s="7" t="s">
        <v>209</v>
      </c>
      <c r="C19" s="7" t="s">
        <v>4723</v>
      </c>
      <c r="D19" s="7" t="s">
        <v>4817</v>
      </c>
      <c r="E19" s="7" t="s">
        <v>4818</v>
      </c>
      <c r="F19" s="7" t="s">
        <v>4724</v>
      </c>
    </row>
    <row r="20" spans="1:6" ht="31.5">
      <c r="A20" s="7" t="s">
        <v>215</v>
      </c>
      <c r="B20" s="7" t="s">
        <v>209</v>
      </c>
      <c r="C20" s="7" t="s">
        <v>4725</v>
      </c>
      <c r="D20" s="7" t="s">
        <v>4818</v>
      </c>
      <c r="E20" s="7" t="s">
        <v>4819</v>
      </c>
      <c r="F20" s="7" t="s">
        <v>4726</v>
      </c>
    </row>
    <row r="21" spans="1:6" ht="78.75">
      <c r="A21" s="7" t="s">
        <v>216</v>
      </c>
      <c r="B21" s="7" t="s">
        <v>217</v>
      </c>
      <c r="C21" s="7" t="s">
        <v>4727</v>
      </c>
      <c r="D21" s="7" t="s">
        <v>4819</v>
      </c>
      <c r="E21" s="7" t="s">
        <v>4820</v>
      </c>
      <c r="F21" s="7" t="s">
        <v>4728</v>
      </c>
    </row>
    <row r="22" spans="1:6" ht="47.25">
      <c r="A22" s="7" t="s">
        <v>218</v>
      </c>
      <c r="B22" s="7" t="s">
        <v>4729</v>
      </c>
      <c r="C22" s="7" t="s">
        <v>4730</v>
      </c>
      <c r="D22" s="7" t="s">
        <v>4820</v>
      </c>
      <c r="E22" s="7" t="s">
        <v>4821</v>
      </c>
      <c r="F22" s="7" t="s">
        <v>4717</v>
      </c>
    </row>
    <row r="23" spans="1:6" ht="157.5">
      <c r="A23" s="7" t="s">
        <v>4731</v>
      </c>
      <c r="B23" s="7" t="s">
        <v>217</v>
      </c>
      <c r="C23" s="7" t="s">
        <v>4732</v>
      </c>
      <c r="D23" s="7" t="s">
        <v>4821</v>
      </c>
      <c r="E23" s="7" t="s">
        <v>4822</v>
      </c>
      <c r="F23" s="7" t="s">
        <v>4733</v>
      </c>
    </row>
    <row r="24" spans="1:6" ht="47.25">
      <c r="A24" s="7" t="s">
        <v>4734</v>
      </c>
      <c r="B24" s="7" t="s">
        <v>217</v>
      </c>
      <c r="C24" s="7" t="s">
        <v>4735</v>
      </c>
      <c r="D24" s="7" t="s">
        <v>4822</v>
      </c>
      <c r="E24" s="7" t="s">
        <v>4823</v>
      </c>
      <c r="F24" s="7" t="s">
        <v>4736</v>
      </c>
    </row>
    <row r="25" spans="1:6" ht="31.5">
      <c r="A25" s="7" t="s">
        <v>4737</v>
      </c>
      <c r="B25" s="7" t="s">
        <v>217</v>
      </c>
      <c r="C25" s="7">
        <v>1881</v>
      </c>
      <c r="D25" s="7" t="s">
        <v>4823</v>
      </c>
      <c r="E25" s="7" t="s">
        <v>4824</v>
      </c>
      <c r="F25" s="7" t="s">
        <v>4738</v>
      </c>
    </row>
    <row r="26" spans="1:6" ht="31.5">
      <c r="A26" s="7" t="s">
        <v>4739</v>
      </c>
      <c r="B26" s="7" t="s">
        <v>217</v>
      </c>
      <c r="C26" s="7" t="s">
        <v>4740</v>
      </c>
      <c r="D26" s="7" t="s">
        <v>4824</v>
      </c>
      <c r="E26" s="7" t="s">
        <v>4825</v>
      </c>
      <c r="F26" s="7" t="s">
        <v>4717</v>
      </c>
    </row>
    <row r="27" spans="1:6" ht="110.25">
      <c r="A27" s="7" t="s">
        <v>219</v>
      </c>
      <c r="B27" s="7" t="s">
        <v>209</v>
      </c>
      <c r="C27" s="7" t="s">
        <v>4741</v>
      </c>
      <c r="D27" s="7" t="s">
        <v>4825</v>
      </c>
      <c r="E27" s="7" t="s">
        <v>4826</v>
      </c>
      <c r="F27" s="7" t="s">
        <v>4742</v>
      </c>
    </row>
    <row r="28" spans="1:6" ht="31.5">
      <c r="A28" s="7" t="s">
        <v>220</v>
      </c>
      <c r="B28" s="7" t="s">
        <v>217</v>
      </c>
      <c r="C28" s="7" t="s">
        <v>4743</v>
      </c>
      <c r="D28" s="7" t="s">
        <v>4826</v>
      </c>
      <c r="E28" s="7" t="s">
        <v>4827</v>
      </c>
      <c r="F28" s="7" t="s">
        <v>4744</v>
      </c>
    </row>
    <row r="29" spans="1:6" ht="31.5">
      <c r="A29" s="7" t="s">
        <v>219</v>
      </c>
      <c r="B29" s="7" t="s">
        <v>209</v>
      </c>
      <c r="C29" s="7" t="s">
        <v>4745</v>
      </c>
      <c r="D29" s="7" t="s">
        <v>4827</v>
      </c>
      <c r="E29" s="7" t="s">
        <v>4828</v>
      </c>
      <c r="F29" s="7" t="s">
        <v>4746</v>
      </c>
    </row>
    <row r="30" spans="1:6" ht="157.5">
      <c r="A30" s="7" t="s">
        <v>221</v>
      </c>
      <c r="B30" s="7" t="s">
        <v>217</v>
      </c>
      <c r="C30" s="7" t="s">
        <v>4747</v>
      </c>
      <c r="D30" s="7" t="s">
        <v>4828</v>
      </c>
      <c r="E30" s="20">
        <v>623</v>
      </c>
      <c r="F30" s="7" t="s">
        <v>4748</v>
      </c>
    </row>
    <row r="31" spans="1:6" ht="110.25">
      <c r="A31" s="7" t="s">
        <v>222</v>
      </c>
      <c r="B31" s="7" t="s">
        <v>217</v>
      </c>
      <c r="C31" s="7" t="s">
        <v>4749</v>
      </c>
      <c r="D31" s="20">
        <v>623</v>
      </c>
      <c r="E31" s="20">
        <v>3351</v>
      </c>
      <c r="F31" s="7" t="s">
        <v>4750</v>
      </c>
    </row>
    <row r="32" spans="1:6" ht="126">
      <c r="A32" s="7" t="s">
        <v>4751</v>
      </c>
      <c r="B32" s="7" t="s">
        <v>217</v>
      </c>
      <c r="C32" s="7" t="s">
        <v>4752</v>
      </c>
      <c r="D32" s="20">
        <v>3351</v>
      </c>
      <c r="E32" s="20">
        <v>4812</v>
      </c>
      <c r="F32" s="7" t="s">
        <v>4753</v>
      </c>
    </row>
    <row r="33" spans="1:6" ht="31.5">
      <c r="A33" s="7" t="s">
        <v>223</v>
      </c>
      <c r="B33" s="7" t="s">
        <v>209</v>
      </c>
      <c r="C33" s="7" t="s">
        <v>4754</v>
      </c>
      <c r="D33" s="20">
        <v>4812</v>
      </c>
      <c r="E33" s="20">
        <v>7734</v>
      </c>
      <c r="F33" s="7" t="s">
        <v>4755</v>
      </c>
    </row>
    <row r="34" spans="1:6" ht="47.25">
      <c r="A34" s="7" t="s">
        <v>4756</v>
      </c>
      <c r="B34" s="7" t="s">
        <v>217</v>
      </c>
      <c r="C34" s="7" t="s">
        <v>4757</v>
      </c>
      <c r="D34" s="20">
        <v>7734</v>
      </c>
      <c r="E34" s="20">
        <v>8615</v>
      </c>
      <c r="F34" s="7" t="s">
        <v>224</v>
      </c>
    </row>
    <row r="35" spans="1:6" ht="94.5">
      <c r="A35" s="7" t="s">
        <v>224</v>
      </c>
      <c r="B35" s="7" t="s">
        <v>217</v>
      </c>
      <c r="C35" s="7" t="s">
        <v>4758</v>
      </c>
      <c r="D35" s="20">
        <v>8615</v>
      </c>
      <c r="E35" s="20">
        <v>10656</v>
      </c>
      <c r="F35" s="7" t="s">
        <v>4759</v>
      </c>
    </row>
    <row r="36" spans="1:6" ht="31.5">
      <c r="A36" s="7" t="s">
        <v>4760</v>
      </c>
      <c r="B36" s="7" t="s">
        <v>217</v>
      </c>
      <c r="C36" s="7" t="s">
        <v>4761</v>
      </c>
      <c r="D36" s="20">
        <v>10656</v>
      </c>
      <c r="E36" s="20">
        <v>12117</v>
      </c>
      <c r="F36" s="7" t="s">
        <v>4762</v>
      </c>
    </row>
    <row r="37" spans="1:6" ht="110.25">
      <c r="A37" s="7" t="s">
        <v>4763</v>
      </c>
      <c r="B37" s="7" t="s">
        <v>209</v>
      </c>
      <c r="C37" s="7" t="s">
        <v>4764</v>
      </c>
      <c r="D37" s="20">
        <v>12117</v>
      </c>
      <c r="E37" s="20">
        <v>16539</v>
      </c>
      <c r="F37" s="7" t="s">
        <v>4765</v>
      </c>
    </row>
    <row r="38" spans="1:6" ht="78.75">
      <c r="A38" s="7" t="s">
        <v>4766</v>
      </c>
      <c r="B38" s="7" t="s">
        <v>209</v>
      </c>
      <c r="C38" s="7" t="s">
        <v>4767</v>
      </c>
      <c r="D38" s="20">
        <v>16539</v>
      </c>
      <c r="E38" s="20">
        <v>19379</v>
      </c>
      <c r="F38" s="7" t="s">
        <v>4768</v>
      </c>
    </row>
    <row r="39" spans="1:6" ht="31.5">
      <c r="A39" s="7" t="s">
        <v>4769</v>
      </c>
      <c r="B39" s="7" t="s">
        <v>217</v>
      </c>
      <c r="C39" s="7" t="s">
        <v>4770</v>
      </c>
      <c r="D39" s="20">
        <v>19379</v>
      </c>
      <c r="E39" s="20">
        <v>22301</v>
      </c>
      <c r="F39" s="7" t="s">
        <v>4771</v>
      </c>
    </row>
    <row r="40" spans="1:6" ht="47.25">
      <c r="A40" s="7" t="s">
        <v>4772</v>
      </c>
      <c r="B40" s="7" t="s">
        <v>209</v>
      </c>
      <c r="C40" s="7" t="s">
        <v>4773</v>
      </c>
      <c r="D40" s="20">
        <v>22301</v>
      </c>
      <c r="E40" s="20">
        <v>23337</v>
      </c>
      <c r="F40" s="7" t="s">
        <v>4774</v>
      </c>
    </row>
    <row r="41" spans="1:6" ht="94.5">
      <c r="A41" s="7" t="s">
        <v>4775</v>
      </c>
      <c r="B41" s="7" t="s">
        <v>209</v>
      </c>
      <c r="C41" s="7" t="s">
        <v>4776</v>
      </c>
      <c r="D41" s="20">
        <v>23337</v>
      </c>
      <c r="E41" s="20">
        <v>25223</v>
      </c>
      <c r="F41" s="7" t="s">
        <v>4777</v>
      </c>
    </row>
    <row r="42" spans="1:6" ht="157.5">
      <c r="A42" s="7" t="s">
        <v>4778</v>
      </c>
      <c r="B42" s="7" t="s">
        <v>217</v>
      </c>
      <c r="C42" s="7" t="s">
        <v>4779</v>
      </c>
      <c r="D42" s="20">
        <v>25223</v>
      </c>
      <c r="E42" s="20">
        <v>27250</v>
      </c>
      <c r="F42" s="7" t="s">
        <v>4780</v>
      </c>
    </row>
    <row r="43" spans="1:6" ht="141.75">
      <c r="A43" s="7" t="s">
        <v>4781</v>
      </c>
      <c r="B43" s="7" t="s">
        <v>217</v>
      </c>
      <c r="C43" s="7" t="s">
        <v>4782</v>
      </c>
      <c r="D43" s="20">
        <v>27250</v>
      </c>
      <c r="E43" s="20">
        <v>28145</v>
      </c>
      <c r="F43" s="7" t="s">
        <v>4783</v>
      </c>
    </row>
    <row r="44" spans="1:6" ht="31.5">
      <c r="A44" s="7" t="s">
        <v>225</v>
      </c>
      <c r="B44" s="7" t="s">
        <v>209</v>
      </c>
      <c r="C44" s="7" t="s">
        <v>4784</v>
      </c>
      <c r="D44" s="20">
        <v>28145</v>
      </c>
      <c r="E44" s="20">
        <v>29606</v>
      </c>
      <c r="F44" s="7" t="s">
        <v>4785</v>
      </c>
    </row>
    <row r="45" spans="1:6" ht="47.25">
      <c r="A45" s="7" t="s">
        <v>4786</v>
      </c>
      <c r="B45" s="7" t="s">
        <v>217</v>
      </c>
      <c r="C45" s="7" t="s">
        <v>4787</v>
      </c>
      <c r="D45" s="20">
        <v>29606</v>
      </c>
      <c r="E45" s="20">
        <v>32528</v>
      </c>
      <c r="F45" s="7" t="s">
        <v>4788</v>
      </c>
    </row>
    <row r="46" spans="1:6" ht="47.25">
      <c r="A46" s="7" t="s">
        <v>4789</v>
      </c>
      <c r="B46" s="7" t="s">
        <v>217</v>
      </c>
      <c r="C46" s="7" t="s">
        <v>4790</v>
      </c>
      <c r="D46" s="20">
        <v>32528</v>
      </c>
      <c r="E46" s="20">
        <v>33989</v>
      </c>
      <c r="F46" s="7" t="s">
        <v>4791</v>
      </c>
    </row>
    <row r="47" spans="1:6" ht="31.5">
      <c r="A47" s="7" t="s">
        <v>226</v>
      </c>
      <c r="B47" s="7" t="s">
        <v>209</v>
      </c>
      <c r="C47" s="7" t="s">
        <v>4792</v>
      </c>
      <c r="D47" s="20">
        <v>33989</v>
      </c>
      <c r="E47" s="20">
        <v>36911</v>
      </c>
      <c r="F47" s="7" t="s">
        <v>4793</v>
      </c>
    </row>
    <row r="48" spans="1:6" ht="31.5">
      <c r="A48" s="7" t="s">
        <v>4794</v>
      </c>
      <c r="B48" s="7" t="s">
        <v>217</v>
      </c>
      <c r="C48" s="7" t="s">
        <v>4795</v>
      </c>
      <c r="D48" s="20">
        <v>36911</v>
      </c>
      <c r="E48" s="20">
        <v>39833</v>
      </c>
      <c r="F48" s="7" t="s">
        <v>4796</v>
      </c>
    </row>
    <row r="49" spans="1:6" ht="47.25">
      <c r="A49" s="7" t="s">
        <v>4797</v>
      </c>
      <c r="B49" s="7" t="s">
        <v>209</v>
      </c>
      <c r="C49" s="7" t="s">
        <v>4798</v>
      </c>
      <c r="D49" s="20">
        <v>39833</v>
      </c>
      <c r="E49" s="7"/>
      <c r="F49" s="7" t="s">
        <v>4799</v>
      </c>
    </row>
  </sheetData>
  <hyperlinks>
    <hyperlink ref="A2" r:id="rId1"/>
    <hyperlink ref="B2" r:id="rId2"/>
  </hyperlinks>
  <pageMargins left="0.75" right="0.75" top="1" bottom="1" header="0.5" footer="0.5"/>
  <pageSetup orientation="portrait" horizontalDpi="4294967292" verticalDpi="4294967292"/>
  <tableParts count="1">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I26"/>
  <sheetViews>
    <sheetView showGridLines="0" workbookViewId="0">
      <selection activeCell="A6" sqref="A6"/>
    </sheetView>
  </sheetViews>
  <sheetFormatPr baseColWidth="10" defaultColWidth="11" defaultRowHeight="15" x14ac:dyDescent="0"/>
  <cols>
    <col min="1" max="1" width="11.1640625" customWidth="1"/>
    <col min="2" max="2" width="15" customWidth="1"/>
    <col min="3" max="3" width="19.6640625" customWidth="1"/>
    <col min="4" max="4" width="12.83203125" customWidth="1"/>
    <col min="5" max="5" width="18" customWidth="1"/>
    <col min="6" max="6" width="26.5" customWidth="1"/>
    <col min="7" max="7" width="18" customWidth="1"/>
  </cols>
  <sheetData>
    <row r="1" spans="1:9" ht="23.25">
      <c r="A1" s="17" t="s">
        <v>194</v>
      </c>
    </row>
    <row r="2" spans="1:9">
      <c r="A2" s="6" t="s">
        <v>195</v>
      </c>
    </row>
    <row r="4" spans="1:9" ht="126">
      <c r="A4" s="5" t="s">
        <v>2</v>
      </c>
      <c r="B4" s="5" t="s">
        <v>168</v>
      </c>
      <c r="C4" s="5" t="s">
        <v>169</v>
      </c>
      <c r="D4" s="5" t="s">
        <v>170</v>
      </c>
      <c r="E4" s="5" t="s">
        <v>171</v>
      </c>
      <c r="F4" s="5" t="s">
        <v>172</v>
      </c>
      <c r="G4" s="5" t="s">
        <v>173</v>
      </c>
      <c r="H4" s="5" t="s">
        <v>174</v>
      </c>
      <c r="I4" s="2" t="s">
        <v>4834</v>
      </c>
    </row>
    <row r="5" spans="1:9" ht="18">
      <c r="A5" s="14" t="s">
        <v>4672</v>
      </c>
      <c r="B5" s="16">
        <v>229</v>
      </c>
      <c r="C5" s="15">
        <v>667</v>
      </c>
      <c r="D5" s="15">
        <v>662</v>
      </c>
      <c r="E5" s="15">
        <v>21</v>
      </c>
      <c r="F5" s="15">
        <v>7</v>
      </c>
      <c r="G5" s="15">
        <v>10058</v>
      </c>
      <c r="H5" s="15">
        <v>11644</v>
      </c>
      <c r="I5" s="15" t="b">
        <f>INDEX(Table1[Senate and President Same Party, House and President Different Party],MATCH(Table6[[#This Row],[Congress]],Table1[Congress],0))</f>
        <v>0</v>
      </c>
    </row>
    <row r="6" spans="1:9" ht="18">
      <c r="A6" s="14" t="s">
        <v>4673</v>
      </c>
      <c r="B6">
        <v>296</v>
      </c>
      <c r="C6" s="15">
        <v>663</v>
      </c>
      <c r="D6" s="15">
        <v>474</v>
      </c>
      <c r="E6" s="15">
        <v>20</v>
      </c>
      <c r="F6" s="15">
        <v>0</v>
      </c>
      <c r="G6" s="15">
        <v>9184</v>
      </c>
      <c r="H6" s="15">
        <v>10637</v>
      </c>
      <c r="I6" s="15" t="b">
        <f>INDEX(Table1[Senate and President Same Party, House and President Different Party],MATCH(Table6[[#This Row],[Congress]],Table1[Congress],0))</f>
        <v>1</v>
      </c>
    </row>
    <row r="7" spans="1:9" ht="18">
      <c r="A7" s="14" t="s">
        <v>4674</v>
      </c>
      <c r="B7">
        <v>284</v>
      </c>
      <c r="C7" s="15">
        <v>722</v>
      </c>
      <c r="D7" s="15">
        <v>390</v>
      </c>
      <c r="E7" s="15">
        <v>38</v>
      </c>
      <c r="F7" s="15">
        <v>0</v>
      </c>
      <c r="G7" s="15">
        <v>10865</v>
      </c>
      <c r="H7" s="15">
        <v>12299</v>
      </c>
      <c r="I7" s="15" t="b">
        <f>INDEX(Table1[Senate and President Same Party, House and President Different Party],MATCH(Table6[[#This Row],[Congress]],Table1[Congress],0))</f>
        <v>1</v>
      </c>
    </row>
    <row r="8" spans="1:9" ht="18">
      <c r="A8" s="14" t="s">
        <v>4675</v>
      </c>
      <c r="B8">
        <v>385</v>
      </c>
      <c r="C8" s="15">
        <v>1464</v>
      </c>
      <c r="D8" s="15">
        <v>601</v>
      </c>
      <c r="E8" s="15">
        <v>31</v>
      </c>
      <c r="F8" s="15">
        <v>2</v>
      </c>
      <c r="G8" s="15">
        <v>11192</v>
      </c>
      <c r="H8" s="15">
        <v>13675</v>
      </c>
      <c r="I8" s="15" t="b">
        <f>INDEX(Table1[Senate and President Same Party, House and President Different Party],MATCH(Table6[[#This Row],[Congress]],Table1[Congress],0))</f>
        <v>1</v>
      </c>
    </row>
    <row r="9" spans="1:9" ht="18">
      <c r="A9" s="14" t="s">
        <v>4676</v>
      </c>
      <c r="B9">
        <v>460</v>
      </c>
      <c r="C9" s="15">
        <v>1435</v>
      </c>
      <c r="D9" s="15">
        <v>861</v>
      </c>
      <c r="E9" s="15">
        <v>37</v>
      </c>
      <c r="F9" s="15">
        <v>7</v>
      </c>
      <c r="G9" s="15">
        <v>11242</v>
      </c>
      <c r="H9" s="15">
        <v>14042</v>
      </c>
      <c r="I9" s="15" t="b">
        <f>INDEX(Table1[Senate and President Same Party, House and President Different Party],MATCH(Table6[[#This Row],[Congress]],Table1[Congress],0))</f>
        <v>0</v>
      </c>
    </row>
    <row r="10" spans="1:9" ht="18">
      <c r="A10" s="14" t="s">
        <v>4677</v>
      </c>
      <c r="B10">
        <v>483</v>
      </c>
      <c r="C10" s="15">
        <v>1027</v>
      </c>
      <c r="D10" s="15">
        <v>597</v>
      </c>
      <c r="E10" s="15">
        <v>31</v>
      </c>
      <c r="F10" s="15">
        <v>1</v>
      </c>
      <c r="G10" s="15">
        <v>10933</v>
      </c>
      <c r="H10" s="15">
        <v>13072</v>
      </c>
      <c r="I10" s="15" t="b">
        <f>INDEX(Table1[Senate and President Same Party, House and President Different Party],MATCH(Table6[[#This Row],[Congress]],Table1[Congress],0))</f>
        <v>1</v>
      </c>
    </row>
    <row r="11" spans="1:9" ht="18">
      <c r="A11" s="14" t="s">
        <v>4678</v>
      </c>
      <c r="B11">
        <v>504</v>
      </c>
      <c r="C11" s="15">
        <v>865</v>
      </c>
      <c r="D11" s="15">
        <v>694</v>
      </c>
      <c r="E11" s="15">
        <v>17</v>
      </c>
      <c r="F11" s="15">
        <v>0</v>
      </c>
      <c r="G11" s="15">
        <v>8589</v>
      </c>
      <c r="H11" s="15">
        <v>10669</v>
      </c>
      <c r="I11" s="15" t="b">
        <f>INDEX(Table1[Senate and President Same Party, House and President Different Party],MATCH(Table6[[#This Row],[Congress]],Table1[Congress],0))</f>
        <v>1</v>
      </c>
    </row>
    <row r="12" spans="1:9" ht="18">
      <c r="A12" s="14" t="s">
        <v>4679</v>
      </c>
      <c r="B12">
        <v>383</v>
      </c>
      <c r="C12" s="15">
        <v>681</v>
      </c>
      <c r="D12" s="15">
        <v>602</v>
      </c>
      <c r="E12" s="15">
        <v>16</v>
      </c>
      <c r="F12" s="15">
        <v>0</v>
      </c>
      <c r="G12" s="15">
        <v>9107</v>
      </c>
      <c r="H12" s="15">
        <v>10789</v>
      </c>
      <c r="I12" s="15" t="b">
        <f>INDEX(Table1[Senate and President Same Party, House and President Different Party],MATCH(Table6[[#This Row],[Congress]],Table1[Congress],0))</f>
        <v>0</v>
      </c>
    </row>
    <row r="13" spans="1:9" ht="18">
      <c r="A13" s="14" t="s">
        <v>4680</v>
      </c>
      <c r="B13">
        <v>604</v>
      </c>
      <c r="C13" s="15">
        <v>769</v>
      </c>
      <c r="D13" s="15">
        <v>650</v>
      </c>
      <c r="E13" s="15">
        <v>33</v>
      </c>
      <c r="F13" s="15">
        <v>12</v>
      </c>
      <c r="G13" s="15">
        <v>8772</v>
      </c>
      <c r="H13" s="15">
        <v>10840</v>
      </c>
      <c r="I13" s="15" t="b">
        <f>INDEX(Table1[Senate and President Same Party, House and President Different Party],MATCH(Table6[[#This Row],[Congress]],Table1[Congress],0))</f>
        <v>0</v>
      </c>
    </row>
    <row r="14" spans="1:9" ht="18">
      <c r="A14" s="14" t="s">
        <v>4681</v>
      </c>
      <c r="B14">
        <v>404</v>
      </c>
      <c r="C14" s="15">
        <v>621</v>
      </c>
      <c r="D14" s="15">
        <v>557</v>
      </c>
      <c r="E14" s="15">
        <v>43</v>
      </c>
      <c r="F14" s="15">
        <v>7</v>
      </c>
      <c r="G14" s="15">
        <v>7509</v>
      </c>
      <c r="H14" s="15">
        <v>9141</v>
      </c>
      <c r="I14" s="15" t="b">
        <f>INDEX(Table1[Senate and President Same Party, House and President Different Party],MATCH(Table6[[#This Row],[Congress]],Table1[Congress],0))</f>
        <v>0</v>
      </c>
    </row>
    <row r="15" spans="1:9" ht="18">
      <c r="A15" s="14" t="s">
        <v>4682</v>
      </c>
      <c r="B15">
        <v>337</v>
      </c>
      <c r="C15" s="15">
        <v>598</v>
      </c>
      <c r="D15" s="15">
        <v>444</v>
      </c>
      <c r="E15" s="15">
        <v>28</v>
      </c>
      <c r="F15" s="15">
        <v>16</v>
      </c>
      <c r="G15" s="15">
        <v>6568</v>
      </c>
      <c r="H15" s="15">
        <v>7991</v>
      </c>
      <c r="I15" s="15" t="b">
        <f>INDEX(Table1[Senate and President Same Party, House and President Different Party],MATCH(Table6[[#This Row],[Congress]],Table1[Congress],0))</f>
        <v>0</v>
      </c>
    </row>
    <row r="16" spans="1:9" ht="18">
      <c r="A16" s="14" t="s">
        <v>4683</v>
      </c>
      <c r="B16">
        <v>473</v>
      </c>
      <c r="C16" s="15">
        <v>509</v>
      </c>
      <c r="D16" s="15">
        <v>502</v>
      </c>
      <c r="E16" s="15">
        <v>17</v>
      </c>
      <c r="F16" s="15">
        <v>0</v>
      </c>
      <c r="G16" s="15">
        <v>8321</v>
      </c>
      <c r="H16" s="15">
        <v>9822</v>
      </c>
      <c r="I16" s="15" t="b">
        <f>INDEX(Table1[Senate and President Same Party, House and President Different Party],MATCH(Table6[[#This Row],[Congress]],Table1[Congress],0))</f>
        <v>1</v>
      </c>
    </row>
    <row r="17" spans="1:9" ht="18">
      <c r="A17" s="14" t="s">
        <v>4684</v>
      </c>
      <c r="B17">
        <v>610</v>
      </c>
      <c r="C17" s="15">
        <v>586</v>
      </c>
      <c r="D17" s="15">
        <v>656</v>
      </c>
      <c r="E17" s="15">
        <v>31</v>
      </c>
      <c r="F17" s="15">
        <v>23</v>
      </c>
      <c r="G17" s="15">
        <v>10110</v>
      </c>
      <c r="H17" s="15">
        <v>12016</v>
      </c>
      <c r="I17" s="15" t="b">
        <f>INDEX(Table1[Senate and President Same Party, House and President Different Party],MATCH(Table6[[#This Row],[Congress]],Table1[Congress],0))</f>
        <v>0</v>
      </c>
    </row>
    <row r="18" spans="1:9" ht="18">
      <c r="A18" s="14" t="s">
        <v>4685</v>
      </c>
      <c r="B18">
        <v>665</v>
      </c>
      <c r="C18" s="15">
        <v>599</v>
      </c>
      <c r="D18" s="15">
        <v>620</v>
      </c>
      <c r="E18" s="15">
        <v>22</v>
      </c>
      <c r="F18" s="15">
        <v>20</v>
      </c>
      <c r="G18" s="15">
        <v>9861</v>
      </c>
      <c r="H18" s="15">
        <v>11787</v>
      </c>
      <c r="I18" s="15" t="b">
        <f>INDEX(Table1[Senate and President Same Party, House and President Different Party],MATCH(Table6[[#This Row],[Congress]],Table1[Congress],0))</f>
        <v>0</v>
      </c>
    </row>
    <row r="19" spans="1:9" ht="18">
      <c r="A19" s="14" t="s">
        <v>4686</v>
      </c>
      <c r="B19">
        <v>761</v>
      </c>
      <c r="C19" s="15">
        <v>342</v>
      </c>
      <c r="D19" s="15">
        <v>578</v>
      </c>
      <c r="E19" s="15">
        <v>6</v>
      </c>
      <c r="F19" s="15">
        <v>16</v>
      </c>
      <c r="G19" s="15">
        <v>9575</v>
      </c>
      <c r="H19" s="15">
        <v>11278</v>
      </c>
      <c r="I19" s="15" t="b">
        <f>INDEX(Table1[Senate and President Same Party, House and President Different Party],MATCH(Table6[[#This Row],[Congress]],Table1[Congress],0))</f>
        <v>0</v>
      </c>
    </row>
    <row r="20" spans="1:9" ht="18">
      <c r="A20" s="14" t="s">
        <v>4687</v>
      </c>
      <c r="B20">
        <v>687</v>
      </c>
      <c r="C20" s="15">
        <v>332</v>
      </c>
      <c r="D20" s="15">
        <v>545</v>
      </c>
      <c r="E20" s="15">
        <v>3</v>
      </c>
      <c r="F20" s="15">
        <v>18</v>
      </c>
      <c r="G20" s="15">
        <v>10017</v>
      </c>
      <c r="H20" s="15">
        <v>11602</v>
      </c>
      <c r="I20" s="15" t="b">
        <f>INDEX(Table1[Senate and President Same Party, House and President Different Party],MATCH(Table6[[#This Row],[Congress]],Table1[Congress],0))</f>
        <v>1</v>
      </c>
    </row>
    <row r="21" spans="1:9" ht="18">
      <c r="A21" s="14" t="s">
        <v>4688</v>
      </c>
      <c r="B21">
        <v>677</v>
      </c>
      <c r="C21" s="15">
        <v>331</v>
      </c>
      <c r="D21" s="15">
        <v>561</v>
      </c>
      <c r="E21" s="15">
        <v>3</v>
      </c>
      <c r="F21" s="15">
        <v>21</v>
      </c>
      <c r="G21" s="15">
        <v>10609</v>
      </c>
      <c r="H21" s="15">
        <v>12202</v>
      </c>
      <c r="I21" s="15" t="b">
        <f>INDEX(Table1[Senate and President Same Party, House and President Different Party],MATCH(Table6[[#This Row],[Congress]],Table1[Congress],0))</f>
        <v>1</v>
      </c>
    </row>
    <row r="22" spans="1:9" ht="18">
      <c r="A22" s="14" t="s">
        <v>4689</v>
      </c>
      <c r="B22">
        <v>529</v>
      </c>
      <c r="C22" s="15">
        <v>370</v>
      </c>
      <c r="D22" s="15">
        <v>498</v>
      </c>
      <c r="E22" s="15">
        <v>2</v>
      </c>
      <c r="F22" s="15">
        <v>13</v>
      </c>
      <c r="G22" s="15">
        <v>11824</v>
      </c>
      <c r="H22" s="15">
        <v>13236</v>
      </c>
      <c r="I22" s="15" t="b">
        <f>INDEX(Table1[Senate and President Same Party, House and President Different Party],MATCH(Table6[[#This Row],[Congress]],Table1[Congress],0))</f>
        <v>1</v>
      </c>
    </row>
    <row r="23" spans="1:9" ht="18">
      <c r="A23" s="14" t="s">
        <v>4690</v>
      </c>
      <c r="B23">
        <v>736</v>
      </c>
      <c r="C23" s="15">
        <v>906</v>
      </c>
      <c r="D23" s="15">
        <v>573</v>
      </c>
      <c r="E23" s="15">
        <v>0</v>
      </c>
      <c r="F23" s="15">
        <v>10</v>
      </c>
      <c r="G23" s="15">
        <v>12365</v>
      </c>
      <c r="H23" s="15">
        <v>14590</v>
      </c>
      <c r="I23" s="15" t="b">
        <f>INDEX(Table1[Senate and President Same Party, House and President Different Party],MATCH(Table6[[#This Row],[Congress]],Table1[Congress],0))</f>
        <v>1</v>
      </c>
    </row>
    <row r="24" spans="1:9" ht="18">
      <c r="A24" s="14" t="s">
        <v>4691</v>
      </c>
      <c r="B24">
        <v>804</v>
      </c>
      <c r="C24" s="15">
        <v>981</v>
      </c>
      <c r="D24" s="15">
        <v>589</v>
      </c>
      <c r="E24" s="15">
        <v>0</v>
      </c>
      <c r="F24" s="15">
        <v>18</v>
      </c>
      <c r="G24" s="15">
        <v>19921</v>
      </c>
      <c r="H24" s="15">
        <v>22313</v>
      </c>
      <c r="I24" s="15" t="b">
        <f>INDEX(Table1[Senate and President Same Party, House and President Different Party],MATCH(Table6[[#This Row],[Congress]],Table1[Congress],0))</f>
        <v>1</v>
      </c>
    </row>
    <row r="25" spans="1:9" ht="18">
      <c r="A25" s="14" t="s">
        <v>4692</v>
      </c>
      <c r="B25">
        <v>729</v>
      </c>
      <c r="C25" s="15">
        <v>1023</v>
      </c>
      <c r="D25" s="15">
        <v>609</v>
      </c>
      <c r="E25" s="15">
        <v>0</v>
      </c>
      <c r="F25" s="15">
        <v>26</v>
      </c>
      <c r="G25" s="15">
        <v>21898</v>
      </c>
      <c r="H25" s="15">
        <v>24285</v>
      </c>
      <c r="I25" s="15" t="b">
        <f>INDEX(Table1[Senate and President Same Party, House and President Different Party],MATCH(Table6[[#This Row],[Congress]],Table1[Congress],0))</f>
        <v>0</v>
      </c>
    </row>
    <row r="26" spans="1:9" ht="18">
      <c r="A26" s="14" t="s">
        <v>4693</v>
      </c>
      <c r="B26">
        <v>772</v>
      </c>
      <c r="C26" s="15">
        <v>903</v>
      </c>
      <c r="D26" s="15">
        <v>562</v>
      </c>
      <c r="E26" s="15">
        <v>0</v>
      </c>
      <c r="F26" s="15">
        <v>35</v>
      </c>
      <c r="G26" s="15">
        <v>23950</v>
      </c>
      <c r="H26" s="15">
        <v>26222</v>
      </c>
      <c r="I26" s="15" t="b">
        <f>INDEX(Table1[Senate and President Same Party, House and President Different Party],MATCH(Table6[[#This Row],[Congress]],Table1[Congress],0))</f>
        <v>0</v>
      </c>
    </row>
  </sheetData>
  <hyperlinks>
    <hyperlink ref="A2" r:id="rId1"/>
  </hyperlinks>
  <pageMargins left="0.75" right="0.75" top="1" bottom="1" header="0.5" footer="0.5"/>
  <pageSetup orientation="portrait" horizontalDpi="4294967292" verticalDpi="4294967292"/>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766"/>
  <sheetViews>
    <sheetView showGridLines="0" workbookViewId="0">
      <selection activeCell="O6" sqref="O6"/>
    </sheetView>
  </sheetViews>
  <sheetFormatPr baseColWidth="10" defaultColWidth="11" defaultRowHeight="15" x14ac:dyDescent="0"/>
  <cols>
    <col min="1" max="1" width="39.33203125" style="9" customWidth="1"/>
    <col min="2" max="2" width="11" customWidth="1"/>
    <col min="3" max="3" width="25.83203125" style="9" customWidth="1"/>
    <col min="4" max="4" width="14.5" style="13" customWidth="1"/>
    <col min="5" max="5" width="18.5" style="9" customWidth="1"/>
    <col min="6" max="6" width="11.33203125" bestFit="1" customWidth="1"/>
    <col min="7" max="7" width="17.33203125" style="9" customWidth="1"/>
    <col min="8" max="8" width="40.5" style="9" customWidth="1"/>
    <col min="10" max="10" width="24" customWidth="1"/>
    <col min="12" max="12" width="25" customWidth="1"/>
  </cols>
  <sheetData>
    <row r="1" spans="1:12" ht="23.25">
      <c r="A1" s="11" t="s">
        <v>989</v>
      </c>
    </row>
    <row r="2" spans="1:12">
      <c r="A2" s="10" t="s">
        <v>990</v>
      </c>
      <c r="F2" s="9"/>
    </row>
    <row r="4" spans="1:12" ht="78.75">
      <c r="A4" s="9" t="s">
        <v>996</v>
      </c>
      <c r="B4" t="s">
        <v>991</v>
      </c>
      <c r="C4" s="9" t="s">
        <v>992</v>
      </c>
      <c r="D4" s="13" t="s">
        <v>998</v>
      </c>
      <c r="E4" s="9" t="s">
        <v>993</v>
      </c>
      <c r="F4" s="9" t="s">
        <v>3785</v>
      </c>
      <c r="G4" s="9" t="s">
        <v>994</v>
      </c>
      <c r="H4" s="9" t="s">
        <v>995</v>
      </c>
      <c r="I4" s="9" t="s">
        <v>3784</v>
      </c>
      <c r="J4" t="s">
        <v>3786</v>
      </c>
      <c r="K4" t="s">
        <v>4671</v>
      </c>
      <c r="L4" s="2" t="s">
        <v>4835</v>
      </c>
    </row>
    <row r="5" spans="1:12" ht="173.25">
      <c r="A5" s="9" t="s">
        <v>227</v>
      </c>
      <c r="B5" t="s">
        <v>1001</v>
      </c>
      <c r="C5" s="9" t="s">
        <v>999</v>
      </c>
      <c r="D5" s="13" t="s">
        <v>1000</v>
      </c>
      <c r="E5" s="9" t="s">
        <v>1002</v>
      </c>
      <c r="F5"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5" s="9" t="s">
        <v>997</v>
      </c>
      <c r="H5" s="9" t="s">
        <v>1003</v>
      </c>
      <c r="I5" s="12" t="str">
        <f>RIGHT(LEFT(Table4[[#This Row],[Latest Senate Action]],FIND(" Congress",Table4[[#This Row],[Latest Senate Action]])-1),LEN(LEFT(Table4[[#This Row],[Latest Senate Action]],FIND(" Congress",Table4[[#This Row],[Latest Senate Action]])-1))-FIND("-",Table4[[#This Row],[Latest Senate Action]])-1)</f>
        <v>114th</v>
      </c>
      <c r="J5" s="12" t="str">
        <f>RIGHT(Table4[[#This Row],[Latest Senate Action]],LEN(Table4[[#This Row],[Latest Senate Action]])-FIND(") - ",Table4[[#This Row],[Latest Senate Action]])-3)</f>
        <v xml:space="preserve">Resolution of advice and consent to ratification agreed to in Senate by Division Vote. (All Actions) </v>
      </c>
      <c r="K5" s="12" t="str">
        <f>INDEX(Table5[type],MATCH(Table4[[#This Row],[Action]],Table5[Action],0))</f>
        <v>Passed</v>
      </c>
      <c r="L5" s="15" t="b">
        <f>INDEX(Table1[Senate and President Same Party, House and President Different Party],MATCH(Table4[[#This Row],[Congress Acting]],Table1[Congress],0))</f>
        <v>0</v>
      </c>
    </row>
    <row r="6" spans="1:12" ht="157.5">
      <c r="A6" s="9" t="s">
        <v>228</v>
      </c>
      <c r="B6" t="s">
        <v>1004</v>
      </c>
      <c r="C6" s="9" t="s">
        <v>1005</v>
      </c>
      <c r="D6" s="13" t="s">
        <v>1006</v>
      </c>
      <c r="E6" s="9" t="s">
        <v>1007</v>
      </c>
      <c r="F6"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6" s="9" t="s">
        <v>1008</v>
      </c>
      <c r="H6" s="9" t="s">
        <v>1003</v>
      </c>
      <c r="I6" s="12" t="str">
        <f>RIGHT(LEFT(Table4[[#This Row],[Latest Senate Action]],FIND(" Congress",Table4[[#This Row],[Latest Senate Action]])-1),LEN(LEFT(Table4[[#This Row],[Latest Senate Action]],FIND(" Congress",Table4[[#This Row],[Latest Senate Action]])-1))-FIND("-",Table4[[#This Row],[Latest Senate Action]])-1)</f>
        <v>114th</v>
      </c>
      <c r="J6" s="12" t="str">
        <f>RIGHT(Table4[[#This Row],[Latest Senate Action]],LEN(Table4[[#This Row],[Latest Senate Action]])-FIND(") - ",Table4[[#This Row],[Latest Senate Action]])-3)</f>
        <v xml:space="preserve">Resolution of advice and consent to ratification agreed to in Senate by Division Vote. (All Actions) </v>
      </c>
      <c r="K6" s="12" t="str">
        <f>INDEX(Table5[type],MATCH(Table4[[#This Row],[Action]],Table5[Action],0))</f>
        <v>Passed</v>
      </c>
      <c r="L6" s="22" t="b">
        <f>INDEX(Table1[Senate and President Same Party, House and President Different Party],MATCH(Table4[[#This Row],[Congress Acting]],Table1[Congress],0))</f>
        <v>0</v>
      </c>
    </row>
    <row r="7" spans="1:12" ht="173.25">
      <c r="A7" s="9" t="s">
        <v>229</v>
      </c>
      <c r="B7" t="s">
        <v>1009</v>
      </c>
      <c r="C7" s="9" t="s">
        <v>1010</v>
      </c>
      <c r="D7" s="13" t="s">
        <v>1011</v>
      </c>
      <c r="E7" s="9" t="s">
        <v>1012</v>
      </c>
      <c r="F7"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7" s="9" t="s">
        <v>1013</v>
      </c>
      <c r="H7" s="9" t="s">
        <v>1014</v>
      </c>
      <c r="I7" s="12" t="str">
        <f>RIGHT(LEFT(Table4[[#This Row],[Latest Senate Action]],FIND(" Congress",Table4[[#This Row],[Latest Senate Action]])-1),LEN(LEFT(Table4[[#This Row],[Latest Senate Action]],FIND(" Congress",Table4[[#This Row],[Latest Senate Action]])-1))-FIND("-",Table4[[#This Row],[Latest Senate Action]])-1)</f>
        <v>114th</v>
      </c>
      <c r="J7" s="12" t="str">
        <f>RIGHT(Table4[[#This Row],[Latest Senate Action]],LEN(Table4[[#This Row],[Latest Senate Action]])-FIND(") - ",Table4[[#This Row],[Latest Senate Action]])-3)</f>
        <v xml:space="preserve">Resolution of advice and consent to ratification agreed to in Senate by Division Vote. (All Actions) </v>
      </c>
      <c r="K7" s="12" t="str">
        <f>INDEX(Table5[type],MATCH(Table4[[#This Row],[Action]],Table5[Action],0))</f>
        <v>Passed</v>
      </c>
      <c r="L7" s="22" t="b">
        <f>INDEX(Table1[Senate and President Same Party, House and President Different Party],MATCH(Table4[[#This Row],[Congress Acting]],Table1[Congress],0))</f>
        <v>0</v>
      </c>
    </row>
    <row r="8" spans="1:12" ht="173.25">
      <c r="A8" s="9" t="s">
        <v>230</v>
      </c>
      <c r="B8" t="s">
        <v>1015</v>
      </c>
      <c r="C8" s="9" t="s">
        <v>1016</v>
      </c>
      <c r="D8" s="13" t="s">
        <v>1017</v>
      </c>
      <c r="E8" s="9" t="s">
        <v>1018</v>
      </c>
      <c r="F8"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8" s="9" t="s">
        <v>1019</v>
      </c>
      <c r="H8" s="9" t="s">
        <v>1014</v>
      </c>
      <c r="I8" s="12" t="str">
        <f>RIGHT(LEFT(Table4[[#This Row],[Latest Senate Action]],FIND(" Congress",Table4[[#This Row],[Latest Senate Action]])-1),LEN(LEFT(Table4[[#This Row],[Latest Senate Action]],FIND(" Congress",Table4[[#This Row],[Latest Senate Action]])-1))-FIND("-",Table4[[#This Row],[Latest Senate Action]])-1)</f>
        <v>114th</v>
      </c>
      <c r="J8" s="12" t="str">
        <f>RIGHT(Table4[[#This Row],[Latest Senate Action]],LEN(Table4[[#This Row],[Latest Senate Action]])-FIND(") - ",Table4[[#This Row],[Latest Senate Action]])-3)</f>
        <v xml:space="preserve">Resolution of advice and consent to ratification agreed to in Senate by Division Vote. (All Actions) </v>
      </c>
      <c r="K8" s="12" t="str">
        <f>INDEX(Table5[type],MATCH(Table4[[#This Row],[Action]],Table5[Action],0))</f>
        <v>Passed</v>
      </c>
      <c r="L8" s="22" t="b">
        <f>INDEX(Table1[Senate and President Same Party, House and President Different Party],MATCH(Table4[[#This Row],[Congress Acting]],Table1[Congress],0))</f>
        <v>0</v>
      </c>
    </row>
    <row r="9" spans="1:12" ht="173.25">
      <c r="A9" s="9" t="s">
        <v>231</v>
      </c>
      <c r="B9" t="s">
        <v>1020</v>
      </c>
      <c r="C9" s="9" t="s">
        <v>1021</v>
      </c>
      <c r="D9" s="13" t="s">
        <v>1022</v>
      </c>
      <c r="E9" s="9" t="s">
        <v>1023</v>
      </c>
      <c r="F9"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9" s="9" t="s">
        <v>1019</v>
      </c>
      <c r="H9" s="9" t="s">
        <v>1014</v>
      </c>
      <c r="I9" s="12" t="str">
        <f>RIGHT(LEFT(Table4[[#This Row],[Latest Senate Action]],FIND(" Congress",Table4[[#This Row],[Latest Senate Action]])-1),LEN(LEFT(Table4[[#This Row],[Latest Senate Action]],FIND(" Congress",Table4[[#This Row],[Latest Senate Action]])-1))-FIND("-",Table4[[#This Row],[Latest Senate Action]])-1)</f>
        <v>114th</v>
      </c>
      <c r="J9" s="12" t="str">
        <f>RIGHT(Table4[[#This Row],[Latest Senate Action]],LEN(Table4[[#This Row],[Latest Senate Action]])-FIND(") - ",Table4[[#This Row],[Latest Senate Action]])-3)</f>
        <v xml:space="preserve">Resolution of advice and consent to ratification agreed to in Senate by Division Vote. (All Actions) </v>
      </c>
      <c r="K9" s="12" t="str">
        <f>INDEX(Table5[type],MATCH(Table4[[#This Row],[Action]],Table5[Action],0))</f>
        <v>Passed</v>
      </c>
      <c r="L9" s="22" t="b">
        <f>INDEX(Table1[Senate and President Same Party, House and President Different Party],MATCH(Table4[[#This Row],[Congress Acting]],Table1[Congress],0))</f>
        <v>0</v>
      </c>
    </row>
    <row r="10" spans="1:12" ht="157.5">
      <c r="A10" s="9" t="s">
        <v>232</v>
      </c>
      <c r="B10" t="s">
        <v>1024</v>
      </c>
      <c r="C10" s="9" t="s">
        <v>1025</v>
      </c>
      <c r="D10" s="13" t="s">
        <v>1026</v>
      </c>
      <c r="E10" s="9" t="s">
        <v>1027</v>
      </c>
      <c r="F10"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10" s="9" t="s">
        <v>1028</v>
      </c>
      <c r="H10" s="9" t="s">
        <v>1029</v>
      </c>
      <c r="I10" s="12" t="str">
        <f>RIGHT(LEFT(Table4[[#This Row],[Latest Senate Action]],FIND(" Congress",Table4[[#This Row],[Latest Senate Action]])-1),LEN(LEFT(Table4[[#This Row],[Latest Senate Action]],FIND(" Congress",Table4[[#This Row],[Latest Senate Action]])-1))-FIND("-",Table4[[#This Row],[Latest Senate Action]])-1)</f>
        <v>114th</v>
      </c>
      <c r="J10" s="12" t="str">
        <f>RIGHT(Table4[[#This Row],[Latest Senate Action]],LEN(Table4[[#This Row],[Latest Senate Action]])-FIND(") - ",Table4[[#This Row],[Latest Senate Action]])-3)</f>
        <v xml:space="preserve">Resolution of advice and consent to ratification agreed to in Senate by Division Vote. (All Actions) </v>
      </c>
      <c r="K10" s="12" t="str">
        <f>INDEX(Table5[type],MATCH(Table4[[#This Row],[Action]],Table5[Action],0))</f>
        <v>Passed</v>
      </c>
      <c r="L10" s="22" t="b">
        <f>INDEX(Table1[Senate and President Same Party, House and President Different Party],MATCH(Table4[[#This Row],[Congress Acting]],Table1[Congress],0))</f>
        <v>0</v>
      </c>
    </row>
    <row r="11" spans="1:12" ht="157.5">
      <c r="A11" s="9" t="s">
        <v>233</v>
      </c>
      <c r="B11" t="s">
        <v>1030</v>
      </c>
      <c r="C11" s="9" t="s">
        <v>1031</v>
      </c>
      <c r="D11" s="13" t="s">
        <v>1032</v>
      </c>
      <c r="E11" s="9" t="s">
        <v>1033</v>
      </c>
      <c r="F11"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1" s="9" t="s">
        <v>1028</v>
      </c>
      <c r="H11" s="9" t="s">
        <v>1029</v>
      </c>
      <c r="I11" s="12" t="str">
        <f>RIGHT(LEFT(Table4[[#This Row],[Latest Senate Action]],FIND(" Congress",Table4[[#This Row],[Latest Senate Action]])-1),LEN(LEFT(Table4[[#This Row],[Latest Senate Action]],FIND(" Congress",Table4[[#This Row],[Latest Senate Action]])-1))-FIND("-",Table4[[#This Row],[Latest Senate Action]])-1)</f>
        <v>114th</v>
      </c>
      <c r="J11" s="12" t="str">
        <f>RIGHT(Table4[[#This Row],[Latest Senate Action]],LEN(Table4[[#This Row],[Latest Senate Action]])-FIND(") - ",Table4[[#This Row],[Latest Senate Action]])-3)</f>
        <v xml:space="preserve">Resolution of advice and consent to ratification agreed to in Senate by Division Vote. (All Actions) </v>
      </c>
      <c r="K11" s="12" t="str">
        <f>INDEX(Table5[type],MATCH(Table4[[#This Row],[Action]],Table5[Action],0))</f>
        <v>Passed</v>
      </c>
      <c r="L11" s="22" t="b">
        <f>INDEX(Table1[Senate and President Same Party, House and President Different Party],MATCH(Table4[[#This Row],[Congress Acting]],Table1[Congress],0))</f>
        <v>0</v>
      </c>
    </row>
    <row r="12" spans="1:12" ht="189">
      <c r="A12" s="9" t="s">
        <v>234</v>
      </c>
      <c r="B12" t="s">
        <v>1034</v>
      </c>
      <c r="C12" s="9" t="s">
        <v>1035</v>
      </c>
      <c r="D12" s="13" t="s">
        <v>1036</v>
      </c>
      <c r="E12" s="9" t="s">
        <v>1037</v>
      </c>
      <c r="F12"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2" s="9" t="s">
        <v>1038</v>
      </c>
      <c r="H12" s="9" t="s">
        <v>1039</v>
      </c>
      <c r="I12" s="12" t="str">
        <f>RIGHT(LEFT(Table4[[#This Row],[Latest Senate Action]],FIND(" Congress",Table4[[#This Row],[Latest Senate Action]])-1),LEN(LEFT(Table4[[#This Row],[Latest Senate Action]],FIND(" Congress",Table4[[#This Row],[Latest Senate Action]])-1))-FIND("-",Table4[[#This Row],[Latest Senate Action]])-1)</f>
        <v>114th</v>
      </c>
      <c r="J12"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2" s="12" t="str">
        <f>INDEX(Table5[type],MATCH(Table4[[#This Row],[Action]],Table5[Action],0))</f>
        <v>In Process</v>
      </c>
      <c r="L12" s="22" t="b">
        <f>INDEX(Table1[Senate and President Same Party, House and President Different Party],MATCH(Table4[[#This Row],[Congress Acting]],Table1[Congress],0))</f>
        <v>0</v>
      </c>
    </row>
    <row r="13" spans="1:12" ht="189">
      <c r="A13" s="9" t="s">
        <v>235</v>
      </c>
      <c r="B13" t="s">
        <v>1040</v>
      </c>
      <c r="C13" s="9" t="s">
        <v>1041</v>
      </c>
      <c r="D13" s="13" t="s">
        <v>1042</v>
      </c>
      <c r="E13" s="9" t="s">
        <v>1033</v>
      </c>
      <c r="F13"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3" s="9" t="s">
        <v>1043</v>
      </c>
      <c r="H13" s="9" t="s">
        <v>1044</v>
      </c>
      <c r="I13" s="12" t="str">
        <f>RIGHT(LEFT(Table4[[#This Row],[Latest Senate Action]],FIND(" Congress",Table4[[#This Row],[Latest Senate Action]])-1),LEN(LEFT(Table4[[#This Row],[Latest Senate Action]],FIND(" Congress",Table4[[#This Row],[Latest Senate Action]])-1))-FIND("-",Table4[[#This Row],[Latest Senate Action]])-1)</f>
        <v>114th</v>
      </c>
      <c r="J13"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3" s="12" t="str">
        <f>INDEX(Table5[type],MATCH(Table4[[#This Row],[Action]],Table5[Action],0))</f>
        <v>In Process</v>
      </c>
      <c r="L13" s="22" t="b">
        <f>INDEX(Table1[Senate and President Same Party, House and President Different Party],MATCH(Table4[[#This Row],[Congress Acting]],Table1[Congress],0))</f>
        <v>0</v>
      </c>
    </row>
    <row r="14" spans="1:12" ht="204.75">
      <c r="A14" s="9" t="s">
        <v>236</v>
      </c>
      <c r="B14" t="s">
        <v>1045</v>
      </c>
      <c r="C14" s="9" t="s">
        <v>1046</v>
      </c>
      <c r="D14" s="13" t="s">
        <v>1047</v>
      </c>
      <c r="E14" s="9" t="s">
        <v>1033</v>
      </c>
      <c r="F14"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4" s="9" t="s">
        <v>1048</v>
      </c>
      <c r="H14" s="9" t="s">
        <v>1044</v>
      </c>
      <c r="I14" s="12" t="str">
        <f>RIGHT(LEFT(Table4[[#This Row],[Latest Senate Action]],FIND(" Congress",Table4[[#This Row],[Latest Senate Action]])-1),LEN(LEFT(Table4[[#This Row],[Latest Senate Action]],FIND(" Congress",Table4[[#This Row],[Latest Senate Action]])-1))-FIND("-",Table4[[#This Row],[Latest Senate Action]])-1)</f>
        <v>114th</v>
      </c>
      <c r="J14"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4" s="12" t="str">
        <f>INDEX(Table5[type],MATCH(Table4[[#This Row],[Action]],Table5[Action],0))</f>
        <v>In Process</v>
      </c>
      <c r="L14" s="22" t="b">
        <f>INDEX(Table1[Senate and President Same Party, House and President Different Party],MATCH(Table4[[#This Row],[Congress Acting]],Table1[Congress],0))</f>
        <v>0</v>
      </c>
    </row>
    <row r="15" spans="1:12" ht="189">
      <c r="A15" s="9" t="s">
        <v>237</v>
      </c>
      <c r="B15" t="s">
        <v>1049</v>
      </c>
      <c r="C15" s="9" t="s">
        <v>1050</v>
      </c>
      <c r="D15" s="13" t="s">
        <v>1051</v>
      </c>
      <c r="E15" s="9" t="s">
        <v>1033</v>
      </c>
      <c r="F15"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5" s="9" t="s">
        <v>1052</v>
      </c>
      <c r="H15" s="9" t="s">
        <v>1044</v>
      </c>
      <c r="I15" s="12" t="str">
        <f>RIGHT(LEFT(Table4[[#This Row],[Latest Senate Action]],FIND(" Congress",Table4[[#This Row],[Latest Senate Action]])-1),LEN(LEFT(Table4[[#This Row],[Latest Senate Action]],FIND(" Congress",Table4[[#This Row],[Latest Senate Action]])-1))-FIND("-",Table4[[#This Row],[Latest Senate Action]])-1)</f>
        <v>114th</v>
      </c>
      <c r="J15"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5" s="12" t="str">
        <f>INDEX(Table5[type],MATCH(Table4[[#This Row],[Action]],Table5[Action],0))</f>
        <v>In Process</v>
      </c>
      <c r="L15" s="22" t="b">
        <f>INDEX(Table1[Senate and President Same Party, House and President Different Party],MATCH(Table4[[#This Row],[Congress Acting]],Table1[Congress],0))</f>
        <v>0</v>
      </c>
    </row>
    <row r="16" spans="1:12" ht="189">
      <c r="A16" s="9" t="s">
        <v>238</v>
      </c>
      <c r="B16" t="s">
        <v>1053</v>
      </c>
      <c r="C16" s="9" t="s">
        <v>1054</v>
      </c>
      <c r="D16" s="13" t="s">
        <v>1055</v>
      </c>
      <c r="E16" s="9" t="s">
        <v>1033</v>
      </c>
      <c r="F16"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6" s="9" t="s">
        <v>1048</v>
      </c>
      <c r="H16" s="9" t="s">
        <v>1044</v>
      </c>
      <c r="I16" s="12" t="str">
        <f>RIGHT(LEFT(Table4[[#This Row],[Latest Senate Action]],FIND(" Congress",Table4[[#This Row],[Latest Senate Action]])-1),LEN(LEFT(Table4[[#This Row],[Latest Senate Action]],FIND(" Congress",Table4[[#This Row],[Latest Senate Action]])-1))-FIND("-",Table4[[#This Row],[Latest Senate Action]])-1)</f>
        <v>114th</v>
      </c>
      <c r="J16"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6" s="12" t="str">
        <f>INDEX(Table5[type],MATCH(Table4[[#This Row],[Action]],Table5[Action],0))</f>
        <v>In Process</v>
      </c>
      <c r="L16" s="22" t="b">
        <f>INDEX(Table1[Senate and President Same Party, House and President Different Party],MATCH(Table4[[#This Row],[Congress Acting]],Table1[Congress],0))</f>
        <v>0</v>
      </c>
    </row>
    <row r="17" spans="1:12" ht="189">
      <c r="A17" s="9" t="s">
        <v>239</v>
      </c>
      <c r="B17" t="s">
        <v>1056</v>
      </c>
      <c r="C17" s="9" t="s">
        <v>1057</v>
      </c>
      <c r="D17" s="13" t="s">
        <v>1058</v>
      </c>
      <c r="E17" s="9" t="s">
        <v>1033</v>
      </c>
      <c r="F17"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7" s="9" t="s">
        <v>1052</v>
      </c>
      <c r="H17" s="9" t="s">
        <v>1044</v>
      </c>
      <c r="I17" s="12" t="str">
        <f>RIGHT(LEFT(Table4[[#This Row],[Latest Senate Action]],FIND(" Congress",Table4[[#This Row],[Latest Senate Action]])-1),LEN(LEFT(Table4[[#This Row],[Latest Senate Action]],FIND(" Congress",Table4[[#This Row],[Latest Senate Action]])-1))-FIND("-",Table4[[#This Row],[Latest Senate Action]])-1)</f>
        <v>114th</v>
      </c>
      <c r="J17"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17" s="12" t="str">
        <f>INDEX(Table5[type],MATCH(Table4[[#This Row],[Action]],Table5[Action],0))</f>
        <v>In Process</v>
      </c>
      <c r="L17" s="22" t="b">
        <f>INDEX(Table1[Senate and President Same Party, House and President Different Party],MATCH(Table4[[#This Row],[Congress Acting]],Table1[Congress],0))</f>
        <v>0</v>
      </c>
    </row>
    <row r="18" spans="1:12" ht="204.75">
      <c r="A18" s="9" t="s">
        <v>240</v>
      </c>
      <c r="B18" t="s">
        <v>1059</v>
      </c>
      <c r="C18" s="9" t="s">
        <v>1060</v>
      </c>
      <c r="D18" s="13" t="s">
        <v>1061</v>
      </c>
      <c r="E18" s="9" t="s">
        <v>1062</v>
      </c>
      <c r="F18"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18" s="9" t="s">
        <v>1063</v>
      </c>
      <c r="H18" s="9" t="s">
        <v>1064</v>
      </c>
      <c r="I18" s="12" t="str">
        <f>RIGHT(LEFT(Table4[[#This Row],[Latest Senate Action]],FIND(" Congress",Table4[[#This Row],[Latest Senate Action]])-1),LEN(LEFT(Table4[[#This Row],[Latest Senate Action]],FIND(" Congress",Table4[[#This Row],[Latest Senate Action]])-1))-FIND("-",Table4[[#This Row],[Latest Senate Action]])-1)</f>
        <v>114th</v>
      </c>
      <c r="J18" s="12" t="str">
        <f>RIGHT(Table4[[#This Row],[Latest Senate Action]],LEN(Table4[[#This Row],[Latest Senate Action]])-FIND(") - ",Table4[[#This Row],[Latest Senate Action]])-3)</f>
        <v xml:space="preserve">Reported favorably by Senator Corker, Committee on Foreign Relations with printed Ex. Rept. 114-1 and a resolution of advice and consent to ratification with 4 conditions and 1 declaration. Executive Calendar No. 1. (All Actions) </v>
      </c>
      <c r="K18" s="12" t="str">
        <f>INDEX(Table5[type],MATCH(Table4[[#This Row],[Action]],Table5[Action],0))</f>
        <v>In Process</v>
      </c>
      <c r="L18" s="22" t="b">
        <f>INDEX(Table1[Senate and President Same Party, House and President Different Party],MATCH(Table4[[#This Row],[Congress Acting]],Table1[Congress],0))</f>
        <v>0</v>
      </c>
    </row>
    <row r="19" spans="1:12" ht="204.75">
      <c r="A19" s="9" t="s">
        <v>241</v>
      </c>
      <c r="B19" t="s">
        <v>1065</v>
      </c>
      <c r="C19" s="9" t="s">
        <v>1066</v>
      </c>
      <c r="D19" s="13" t="s">
        <v>1067</v>
      </c>
      <c r="E19" s="9" t="s">
        <v>1068</v>
      </c>
      <c r="F19"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19" s="9" t="s">
        <v>1063</v>
      </c>
      <c r="H19" s="9" t="s">
        <v>1069</v>
      </c>
      <c r="I19" s="12" t="str">
        <f>RIGHT(LEFT(Table4[[#This Row],[Latest Senate Action]],FIND(" Congress",Table4[[#This Row],[Latest Senate Action]])-1),LEN(LEFT(Table4[[#This Row],[Latest Senate Action]],FIND(" Congress",Table4[[#This Row],[Latest Senate Action]])-1))-FIND("-",Table4[[#This Row],[Latest Senate Action]])-1)</f>
        <v>114th</v>
      </c>
      <c r="J19" s="12" t="str">
        <f>RIGHT(Table4[[#This Row],[Latest Senate Action]],LEN(Table4[[#This Row],[Latest Senate Action]])-FIND(") - ",Table4[[#This Row],[Latest Senate Action]])-3)</f>
        <v xml:space="preserve">Reported favorably by Senator Corker, Committee on Foreign Relations with printed Ex. Rept. 114-5 and a resolution of advice and consent to ratification with 4 conditions and 1 declaration. Executive Calendar No. 5. (All Actions) </v>
      </c>
      <c r="K19" s="12" t="str">
        <f>INDEX(Table5[type],MATCH(Table4[[#This Row],[Action]],Table5[Action],0))</f>
        <v>In Process</v>
      </c>
      <c r="L19" s="22" t="b">
        <f>INDEX(Table1[Senate and President Same Party, House and President Different Party],MATCH(Table4[[#This Row],[Congress Acting]],Table1[Congress],0))</f>
        <v>0</v>
      </c>
    </row>
    <row r="20" spans="1:12" ht="204.75">
      <c r="A20" s="9" t="s">
        <v>242</v>
      </c>
      <c r="B20" t="s">
        <v>1070</v>
      </c>
      <c r="C20" s="9" t="s">
        <v>1071</v>
      </c>
      <c r="D20" s="13" t="s">
        <v>1072</v>
      </c>
      <c r="E20" s="9" t="s">
        <v>1073</v>
      </c>
      <c r="F20"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20" s="9" t="s">
        <v>1063</v>
      </c>
      <c r="H20" s="9" t="s">
        <v>1074</v>
      </c>
      <c r="I20" s="12" t="str">
        <f>RIGHT(LEFT(Table4[[#This Row],[Latest Senate Action]],FIND(" Congress",Table4[[#This Row],[Latest Senate Action]])-1),LEN(LEFT(Table4[[#This Row],[Latest Senate Action]],FIND(" Congress",Table4[[#This Row],[Latest Senate Action]])-1))-FIND("-",Table4[[#This Row],[Latest Senate Action]])-1)</f>
        <v>114th</v>
      </c>
      <c r="J20" s="12" t="str">
        <f>RIGHT(Table4[[#This Row],[Latest Senate Action]],LEN(Table4[[#This Row],[Latest Senate Action]])-FIND(") - ",Table4[[#This Row],[Latest Senate Action]])-3)</f>
        <v xml:space="preserve">Reported favorably by Senator Corker, Committee on Foreign Relations with printed Ex. Rept. 114-2 and a resolution of advice and consent to ratification with 4 conditions and 1 declaration. Executive Calendar No. 2. (All Actions) </v>
      </c>
      <c r="K20" s="12" t="str">
        <f>INDEX(Table5[type],MATCH(Table4[[#This Row],[Action]],Table5[Action],0))</f>
        <v>In Process</v>
      </c>
      <c r="L20" s="22" t="b">
        <f>INDEX(Table1[Senate and President Same Party, House and President Different Party],MATCH(Table4[[#This Row],[Congress Acting]],Table1[Congress],0))</f>
        <v>0</v>
      </c>
    </row>
    <row r="21" spans="1:12" ht="204.75">
      <c r="A21" s="9" t="s">
        <v>243</v>
      </c>
      <c r="B21" t="s">
        <v>1075</v>
      </c>
      <c r="C21" s="9" t="s">
        <v>1076</v>
      </c>
      <c r="D21" s="13" t="s">
        <v>1077</v>
      </c>
      <c r="E21" s="9" t="s">
        <v>1002</v>
      </c>
      <c r="F21"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21" s="9" t="s">
        <v>1063</v>
      </c>
      <c r="H21" s="9" t="s">
        <v>1078</v>
      </c>
      <c r="I21" s="12" t="str">
        <f>RIGHT(LEFT(Table4[[#This Row],[Latest Senate Action]],FIND(" Congress",Table4[[#This Row],[Latest Senate Action]])-1),LEN(LEFT(Table4[[#This Row],[Latest Senate Action]],FIND(" Congress",Table4[[#This Row],[Latest Senate Action]])-1))-FIND("-",Table4[[#This Row],[Latest Senate Action]])-1)</f>
        <v>114th</v>
      </c>
      <c r="J21" s="12" t="str">
        <f>RIGHT(Table4[[#This Row],[Latest Senate Action]],LEN(Table4[[#This Row],[Latest Senate Action]])-FIND(") - ",Table4[[#This Row],[Latest Senate Action]])-3)</f>
        <v xml:space="preserve">Reported favorably by Senator Corker, Committee on Foreign Relations with printed Ex. Rept. 114-8 and a resolution of advice and consent to ratification with 1 declaration. Executive Calendar No. 8. (All Actions) </v>
      </c>
      <c r="K21" s="12" t="str">
        <f>INDEX(Table5[type],MATCH(Table4[[#This Row],[Action]],Table5[Action],0))</f>
        <v>In Process</v>
      </c>
      <c r="L21" s="22" t="b">
        <f>INDEX(Table1[Senate and President Same Party, House and President Different Party],MATCH(Table4[[#This Row],[Congress Acting]],Table1[Congress],0))</f>
        <v>0</v>
      </c>
    </row>
    <row r="22" spans="1:12" ht="189">
      <c r="A22" s="9" t="s">
        <v>244</v>
      </c>
      <c r="B22" t="s">
        <v>1079</v>
      </c>
      <c r="C22" s="9" t="s">
        <v>1080</v>
      </c>
      <c r="D22" s="13" t="s">
        <v>1081</v>
      </c>
      <c r="E22" s="9" t="s">
        <v>1082</v>
      </c>
      <c r="F22"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22" s="9" t="s">
        <v>1063</v>
      </c>
      <c r="H22" s="9" t="s">
        <v>1083</v>
      </c>
      <c r="I22" s="12" t="str">
        <f>RIGHT(LEFT(Table4[[#This Row],[Latest Senate Action]],FIND(" Congress",Table4[[#This Row],[Latest Senate Action]])-1),LEN(LEFT(Table4[[#This Row],[Latest Senate Action]],FIND(" Congress",Table4[[#This Row],[Latest Senate Action]])-1))-FIND("-",Table4[[#This Row],[Latest Senate Action]])-1)</f>
        <v>114th</v>
      </c>
      <c r="J22" s="12" t="str">
        <f>RIGHT(Table4[[#This Row],[Latest Senate Action]],LEN(Table4[[#This Row],[Latest Senate Action]])-FIND(") - ",Table4[[#This Row],[Latest Senate Action]])-3)</f>
        <v xml:space="preserve">Reported favorably by Senator Corker, Committee on Foreign Relations with printed Ex. Rept. 114-3 and a resolution of advice and consent to ratification with 1 declaration. Executive Calendar No. 3. (All Actions) </v>
      </c>
      <c r="K22" s="12" t="str">
        <f>INDEX(Table5[type],MATCH(Table4[[#This Row],[Action]],Table5[Action],0))</f>
        <v>In Process</v>
      </c>
      <c r="L22" s="22" t="b">
        <f>INDEX(Table1[Senate and President Same Party, House and President Different Party],MATCH(Table4[[#This Row],[Congress Acting]],Table1[Congress],0))</f>
        <v>0</v>
      </c>
    </row>
    <row r="23" spans="1:12" ht="189">
      <c r="A23" s="9" t="s">
        <v>245</v>
      </c>
      <c r="B23" t="s">
        <v>1084</v>
      </c>
      <c r="C23" s="9" t="s">
        <v>1085</v>
      </c>
      <c r="D23" s="13" t="s">
        <v>1086</v>
      </c>
      <c r="E23" s="9" t="s">
        <v>1087</v>
      </c>
      <c r="F23"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23" s="9" t="s">
        <v>1063</v>
      </c>
      <c r="H23" s="9" t="s">
        <v>1088</v>
      </c>
      <c r="I23" s="12" t="str">
        <f>RIGHT(LEFT(Table4[[#This Row],[Latest Senate Action]],FIND(" Congress",Table4[[#This Row],[Latest Senate Action]])-1),LEN(LEFT(Table4[[#This Row],[Latest Senate Action]],FIND(" Congress",Table4[[#This Row],[Latest Senate Action]])-1))-FIND("-",Table4[[#This Row],[Latest Senate Action]])-1)</f>
        <v>114th</v>
      </c>
      <c r="J23" s="12" t="str">
        <f>RIGHT(Table4[[#This Row],[Latest Senate Action]],LEN(Table4[[#This Row],[Latest Senate Action]])-FIND(") - ",Table4[[#This Row],[Latest Senate Action]])-3)</f>
        <v xml:space="preserve">Reported favorably by Senator Corker, Committee on Foreign Relations with printed Ex. Rept. 114-7 and a resolution of advice and consent to ratification with 1 declaration. Executive Calendar No. 7. (All Actions) </v>
      </c>
      <c r="K23" s="12" t="str">
        <f>INDEX(Table5[type],MATCH(Table4[[#This Row],[Action]],Table5[Action],0))</f>
        <v>In Process</v>
      </c>
      <c r="L23" s="22" t="b">
        <f>INDEX(Table1[Senate and President Same Party, House and President Different Party],MATCH(Table4[[#This Row],[Congress Acting]],Table1[Congress],0))</f>
        <v>0</v>
      </c>
    </row>
    <row r="24" spans="1:12" ht="189">
      <c r="A24" s="9" t="s">
        <v>246</v>
      </c>
      <c r="B24" t="s">
        <v>1089</v>
      </c>
      <c r="C24" s="9" t="s">
        <v>1090</v>
      </c>
      <c r="D24" s="13" t="s">
        <v>1091</v>
      </c>
      <c r="E24" s="9" t="s">
        <v>1087</v>
      </c>
      <c r="F24"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24" s="9" t="s">
        <v>1063</v>
      </c>
      <c r="H24" s="9" t="s">
        <v>1092</v>
      </c>
      <c r="I24" s="12" t="str">
        <f>RIGHT(LEFT(Table4[[#This Row],[Latest Senate Action]],FIND(" Congress",Table4[[#This Row],[Latest Senate Action]])-1),LEN(LEFT(Table4[[#This Row],[Latest Senate Action]],FIND(" Congress",Table4[[#This Row],[Latest Senate Action]])-1))-FIND("-",Table4[[#This Row],[Latest Senate Action]])-1)</f>
        <v>114th</v>
      </c>
      <c r="J24" s="12" t="str">
        <f>RIGHT(Table4[[#This Row],[Latest Senate Action]],LEN(Table4[[#This Row],[Latest Senate Action]])-FIND(") - ",Table4[[#This Row],[Latest Senate Action]])-3)</f>
        <v xml:space="preserve">Reported favorably by Senator Corker, Committee on Foreign Relations with printed Ex. Rept. 114-6 and a resolution of advice and consent to ratification with 1 declaration. Executive Calendar No. 6. (All Actions) </v>
      </c>
      <c r="K24" s="12" t="str">
        <f>INDEX(Table5[type],MATCH(Table4[[#This Row],[Action]],Table5[Action],0))</f>
        <v>In Process</v>
      </c>
      <c r="L24" s="22" t="b">
        <f>INDEX(Table1[Senate and President Same Party, House and President Different Party],MATCH(Table4[[#This Row],[Congress Acting]],Table1[Congress],0))</f>
        <v>0</v>
      </c>
    </row>
    <row r="25" spans="1:12" ht="189">
      <c r="A25" s="9" t="s">
        <v>247</v>
      </c>
      <c r="B25" t="s">
        <v>1093</v>
      </c>
      <c r="C25" s="9" t="s">
        <v>1094</v>
      </c>
      <c r="D25" s="13" t="s">
        <v>1095</v>
      </c>
      <c r="E25" s="9" t="s">
        <v>1002</v>
      </c>
      <c r="F25"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25" s="9" t="s">
        <v>1063</v>
      </c>
      <c r="H25" s="9" t="s">
        <v>1096</v>
      </c>
      <c r="I25" s="12" t="str">
        <f>RIGHT(LEFT(Table4[[#This Row],[Latest Senate Action]],FIND(" Congress",Table4[[#This Row],[Latest Senate Action]])-1),LEN(LEFT(Table4[[#This Row],[Latest Senate Action]],FIND(" Congress",Table4[[#This Row],[Latest Senate Action]])-1))-FIND("-",Table4[[#This Row],[Latest Senate Action]])-1)</f>
        <v>114th</v>
      </c>
      <c r="J25" s="12" t="str">
        <f>RIGHT(Table4[[#This Row],[Latest Senate Action]],LEN(Table4[[#This Row],[Latest Senate Action]])-FIND(") - ",Table4[[#This Row],[Latest Senate Action]])-3)</f>
        <v xml:space="preserve">Reported favorably by Senator Corker, Committee on Foreign Relations with printed Ex. Rept. 114-4 and a resolution of advice and consent to ratification with 1 declaration. Executive Calendar No. 4. (All Actions) </v>
      </c>
      <c r="K25" s="12" t="str">
        <f>INDEX(Table5[type],MATCH(Table4[[#This Row],[Action]],Table5[Action],0))</f>
        <v>In Process</v>
      </c>
      <c r="L25" s="22" t="b">
        <f>INDEX(Table1[Senate and President Same Party, House and President Different Party],MATCH(Table4[[#This Row],[Congress Acting]],Table1[Congress],0))</f>
        <v>0</v>
      </c>
    </row>
    <row r="26" spans="1:12" ht="189">
      <c r="A26" s="9" t="s">
        <v>248</v>
      </c>
      <c r="B26" t="s">
        <v>1097</v>
      </c>
      <c r="C26" s="9" t="s">
        <v>1098</v>
      </c>
      <c r="D26" s="13" t="s">
        <v>1099</v>
      </c>
      <c r="E26" s="9" t="s">
        <v>1100</v>
      </c>
      <c r="F26" t="str">
        <f>RIGHT(LEFT(Table4[[#This Row],[Date Received from President]],FIND(" Congress",Table4[[#This Row],[Date Received from President]])-1),LEN(LEFT(Table4[[#This Row],[Date Received from President]],FIND(" Congress",Table4[[#This Row],[Date Received from President]])-1))-FIND("-",Table4[[#This Row],[Date Received from President]])-1)</f>
        <v>114th</v>
      </c>
      <c r="G26" s="9" t="s">
        <v>1101</v>
      </c>
      <c r="H26" s="9" t="s">
        <v>1102</v>
      </c>
      <c r="I26" s="12" t="str">
        <f>RIGHT(LEFT(Table4[[#This Row],[Latest Senate Action]],FIND(" Congress",Table4[[#This Row],[Latest Senate Action]])-1),LEN(LEFT(Table4[[#This Row],[Latest Senate Action]],FIND(" Congress",Table4[[#This Row],[Latest Senate Action]])-1))-FIND("-",Table4[[#This Row],[Latest Senate Action]])-1)</f>
        <v>114th</v>
      </c>
      <c r="J26"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26" s="12" t="str">
        <f>INDEX(Table5[type],MATCH(Table4[[#This Row],[Action]],Table5[Action],0))</f>
        <v>In Process</v>
      </c>
      <c r="L26" s="22" t="b">
        <f>INDEX(Table1[Senate and President Same Party, House and President Different Party],MATCH(Table4[[#This Row],[Congress Acting]],Table1[Congress],0))</f>
        <v>0</v>
      </c>
    </row>
    <row r="27" spans="1:12" ht="204.75">
      <c r="A27" s="9" t="s">
        <v>249</v>
      </c>
      <c r="B27" t="s">
        <v>1103</v>
      </c>
      <c r="C27" s="9" t="s">
        <v>1104</v>
      </c>
      <c r="D27" s="13" t="s">
        <v>1105</v>
      </c>
      <c r="E27" s="9" t="s">
        <v>1002</v>
      </c>
      <c r="F27"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27" s="9" t="s">
        <v>1106</v>
      </c>
      <c r="H27" s="9" t="s">
        <v>1107</v>
      </c>
      <c r="I27" s="12" t="str">
        <f>RIGHT(LEFT(Table4[[#This Row],[Latest Senate Action]],FIND(" Congress",Table4[[#This Row],[Latest Senate Action]])-1),LEN(LEFT(Table4[[#This Row],[Latest Senate Action]],FIND(" Congress",Table4[[#This Row],[Latest Senate Action]])-1))-FIND("-",Table4[[#This Row],[Latest Senate Action]])-1)</f>
        <v>113th</v>
      </c>
      <c r="J27" s="12" t="str">
        <f>RIGHT(Table4[[#This Row],[Latest Senate Action]],LEN(Table4[[#This Row],[Latest Senate Action]])-FIND(") - ",Table4[[#This Row],[Latest Senate Action]])-3)</f>
        <v xml:space="preserve">No further action at sine die adjournment of the 113 Congress; automatically rereferred to the Committee on Foreign Relations under the provisions of Rule XXX, section 2, of the Standing Rules of the Senate. (All Actions) </v>
      </c>
      <c r="K27" s="12" t="str">
        <f>INDEX(Table5[type],MATCH(Table4[[#This Row],[Action]],Table5[Action],0))</f>
        <v>In Process</v>
      </c>
      <c r="L27" s="22" t="b">
        <f>INDEX(Table1[Senate and President Same Party, House and President Different Party],MATCH(Table4[[#This Row],[Congress Acting]],Table1[Congress],0))</f>
        <v>1</v>
      </c>
    </row>
    <row r="28" spans="1:12" ht="189">
      <c r="A28" s="9" t="s">
        <v>250</v>
      </c>
      <c r="B28" t="s">
        <v>1108</v>
      </c>
      <c r="C28" s="9" t="s">
        <v>1109</v>
      </c>
      <c r="D28" s="13" t="s">
        <v>1110</v>
      </c>
      <c r="E28" s="9" t="s">
        <v>1111</v>
      </c>
      <c r="F28"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28" s="9" t="s">
        <v>1112</v>
      </c>
      <c r="H28" s="9" t="s">
        <v>1113</v>
      </c>
      <c r="I28" s="12" t="str">
        <f>RIGHT(LEFT(Table4[[#This Row],[Latest Senate Action]],FIND(" Congress",Table4[[#This Row],[Latest Senate Action]])-1),LEN(LEFT(Table4[[#This Row],[Latest Senate Action]],FIND(" Congress",Table4[[#This Row],[Latest Senate Action]])-1))-FIND("-",Table4[[#This Row],[Latest Senate Action]])-1)</f>
        <v>113th</v>
      </c>
      <c r="J28" s="12" t="str">
        <f>RIGHT(Table4[[#This Row],[Latest Senate Action]],LEN(Table4[[#This Row],[Latest Senate Action]])-FIND(") - ",Table4[[#This Row],[Latest Senate Action]])-3)</f>
        <v xml:space="preserve">Resolution of advice and consent to ratification agreed to in Senate by Division Vote. (All Actions) </v>
      </c>
      <c r="K28" s="12" t="str">
        <f>INDEX(Table5[type],MATCH(Table4[[#This Row],[Action]],Table5[Action],0))</f>
        <v>Passed</v>
      </c>
      <c r="L28" s="22" t="b">
        <f>INDEX(Table1[Senate and President Same Party, House and President Different Party],MATCH(Table4[[#This Row],[Congress Acting]],Table1[Congress],0))</f>
        <v>1</v>
      </c>
    </row>
    <row r="29" spans="1:12" ht="189">
      <c r="A29" s="9" t="s">
        <v>251</v>
      </c>
      <c r="B29" t="s">
        <v>1114</v>
      </c>
      <c r="C29" s="9" t="s">
        <v>1115</v>
      </c>
      <c r="D29" s="13" t="s">
        <v>1116</v>
      </c>
      <c r="E29" s="9" t="s">
        <v>1111</v>
      </c>
      <c r="F29"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29" s="9" t="s">
        <v>1112</v>
      </c>
      <c r="H29" s="9" t="s">
        <v>1113</v>
      </c>
      <c r="I29" s="12" t="str">
        <f>RIGHT(LEFT(Table4[[#This Row],[Latest Senate Action]],FIND(" Congress",Table4[[#This Row],[Latest Senate Action]])-1),LEN(LEFT(Table4[[#This Row],[Latest Senate Action]],FIND(" Congress",Table4[[#This Row],[Latest Senate Action]])-1))-FIND("-",Table4[[#This Row],[Latest Senate Action]])-1)</f>
        <v>113th</v>
      </c>
      <c r="J29" s="12" t="str">
        <f>RIGHT(Table4[[#This Row],[Latest Senate Action]],LEN(Table4[[#This Row],[Latest Senate Action]])-FIND(") - ",Table4[[#This Row],[Latest Senate Action]])-3)</f>
        <v xml:space="preserve">Resolution of advice and consent to ratification agreed to in Senate by Division Vote. (All Actions) </v>
      </c>
      <c r="K29" s="12" t="str">
        <f>INDEX(Table5[type],MATCH(Table4[[#This Row],[Action]],Table5[Action],0))</f>
        <v>Passed</v>
      </c>
      <c r="L29" s="22" t="b">
        <f>INDEX(Table1[Senate and President Same Party, House and President Different Party],MATCH(Table4[[#This Row],[Congress Acting]],Table1[Congress],0))</f>
        <v>1</v>
      </c>
    </row>
    <row r="30" spans="1:12" ht="173.25">
      <c r="A30" s="9" t="s">
        <v>252</v>
      </c>
      <c r="B30" t="s">
        <v>1117</v>
      </c>
      <c r="C30" s="9" t="s">
        <v>1118</v>
      </c>
      <c r="D30" s="13" t="s">
        <v>1119</v>
      </c>
      <c r="E30" s="9" t="s">
        <v>1111</v>
      </c>
      <c r="F30" t="str">
        <f>RIGHT(LEFT(Table4[[#This Row],[Date Received from President]],FIND(" Congress",Table4[[#This Row],[Date Received from President]])-1),LEN(LEFT(Table4[[#This Row],[Date Received from President]],FIND(" Congress",Table4[[#This Row],[Date Received from President]])-1))-FIND("-",Table4[[#This Row],[Date Received from President]])-1)</f>
        <v>113th</v>
      </c>
      <c r="G30" s="9" t="s">
        <v>1112</v>
      </c>
      <c r="H30" s="9" t="s">
        <v>1113</v>
      </c>
      <c r="I30" s="12" t="str">
        <f>RIGHT(LEFT(Table4[[#This Row],[Latest Senate Action]],FIND(" Congress",Table4[[#This Row],[Latest Senate Action]])-1),LEN(LEFT(Table4[[#This Row],[Latest Senate Action]],FIND(" Congress",Table4[[#This Row],[Latest Senate Action]])-1))-FIND("-",Table4[[#This Row],[Latest Senate Action]])-1)</f>
        <v>113th</v>
      </c>
      <c r="J30" s="12" t="str">
        <f>RIGHT(Table4[[#This Row],[Latest Senate Action]],LEN(Table4[[#This Row],[Latest Senate Action]])-FIND(") - ",Table4[[#This Row],[Latest Senate Action]])-3)</f>
        <v xml:space="preserve">Resolution of advice and consent to ratification agreed to in Senate by Division Vote. (All Actions) </v>
      </c>
      <c r="K30" s="12" t="str">
        <f>INDEX(Table5[type],MATCH(Table4[[#This Row],[Action]],Table5[Action],0))</f>
        <v>Passed</v>
      </c>
      <c r="L30" s="22" t="b">
        <f>INDEX(Table1[Senate and President Same Party, House and President Different Party],MATCH(Table4[[#This Row],[Congress Acting]],Table1[Congress],0))</f>
        <v>1</v>
      </c>
    </row>
    <row r="31" spans="1:12" ht="173.25">
      <c r="A31" s="9" t="s">
        <v>253</v>
      </c>
      <c r="B31" t="s">
        <v>1120</v>
      </c>
      <c r="C31" s="9" t="s">
        <v>1121</v>
      </c>
      <c r="D31" s="13" t="s">
        <v>1122</v>
      </c>
      <c r="E31" s="9" t="s">
        <v>1123</v>
      </c>
      <c r="F31"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31" s="9" t="s">
        <v>1112</v>
      </c>
      <c r="H31" s="9" t="s">
        <v>1113</v>
      </c>
      <c r="I31" s="12" t="str">
        <f>RIGHT(LEFT(Table4[[#This Row],[Latest Senate Action]],FIND(" Congress",Table4[[#This Row],[Latest Senate Action]])-1),LEN(LEFT(Table4[[#This Row],[Latest Senate Action]],FIND(" Congress",Table4[[#This Row],[Latest Senate Action]])-1))-FIND("-",Table4[[#This Row],[Latest Senate Action]])-1)</f>
        <v>113th</v>
      </c>
      <c r="J31" s="12" t="str">
        <f>RIGHT(Table4[[#This Row],[Latest Senate Action]],LEN(Table4[[#This Row],[Latest Senate Action]])-FIND(") - ",Table4[[#This Row],[Latest Senate Action]])-3)</f>
        <v xml:space="preserve">Resolution of advice and consent to ratification agreed to in Senate by Division Vote. (All Actions) </v>
      </c>
      <c r="K31" s="12" t="str">
        <f>INDEX(Table5[type],MATCH(Table4[[#This Row],[Action]],Table5[Action],0))</f>
        <v>Passed</v>
      </c>
      <c r="L31" s="22" t="b">
        <f>INDEX(Table1[Senate and President Same Party, House and President Different Party],MATCH(Table4[[#This Row],[Congress Acting]],Table1[Congress],0))</f>
        <v>1</v>
      </c>
    </row>
    <row r="32" spans="1:12" ht="157.5">
      <c r="A32" s="9" t="s">
        <v>254</v>
      </c>
      <c r="B32" t="s">
        <v>1124</v>
      </c>
      <c r="C32" s="9" t="s">
        <v>1125</v>
      </c>
      <c r="D32" s="13" t="s">
        <v>3787</v>
      </c>
      <c r="E32" s="9" t="s">
        <v>1126</v>
      </c>
      <c r="F32"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 s="9" t="s">
        <v>1038</v>
      </c>
      <c r="H32" s="9" t="s">
        <v>1127</v>
      </c>
      <c r="I32" s="12" t="str">
        <f>RIGHT(LEFT(Table4[[#This Row],[Latest Senate Action]],FIND(" Congress",Table4[[#This Row],[Latest Senate Action]])-1),LEN(LEFT(Table4[[#This Row],[Latest Senate Action]],FIND(" Congress",Table4[[#This Row],[Latest Senate Action]])-1))-FIND("-",Table4[[#This Row],[Latest Senate Action]])-1)</f>
        <v>112th</v>
      </c>
      <c r="J32" s="12" t="str">
        <f>RIGHT(Table4[[#This Row],[Latest Senate Action]],LEN(Table4[[#This Row],[Latest Senate Action]])-FIND(") - ",Table4[[#This Row],[Latest Senate Action]])-3)</f>
        <v xml:space="preserve">Committee on Foreign Relations. Hearings held. Hearings printed: S.Hrg. 112-654. (All Actions) </v>
      </c>
      <c r="K32" s="12" t="str">
        <f>INDEX(Table5[type],MATCH(Table4[[#This Row],[Action]],Table5[Action],0))</f>
        <v>In Process</v>
      </c>
      <c r="L32" s="22" t="b">
        <f>INDEX(Table1[Senate and President Same Party, House and President Different Party],MATCH(Table4[[#This Row],[Congress Acting]],Table1[Congress],0))</f>
        <v>1</v>
      </c>
    </row>
    <row r="33" spans="1:12" ht="157.5">
      <c r="A33" s="9" t="s">
        <v>255</v>
      </c>
      <c r="B33" t="s">
        <v>1128</v>
      </c>
      <c r="C33" s="9" t="s">
        <v>1129</v>
      </c>
      <c r="D33" s="13" t="s">
        <v>1130</v>
      </c>
      <c r="E33" s="9" t="s">
        <v>1131</v>
      </c>
      <c r="F33"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33" s="9" t="s">
        <v>1019</v>
      </c>
      <c r="H33" s="9" t="s">
        <v>1132</v>
      </c>
      <c r="I33" s="12" t="str">
        <f>RIGHT(LEFT(Table4[[#This Row],[Latest Senate Action]],FIND(" Congress",Table4[[#This Row],[Latest Senate Action]])-1),LEN(LEFT(Table4[[#This Row],[Latest Senate Action]],FIND(" Congress",Table4[[#This Row],[Latest Senate Action]])-1))-FIND("-",Table4[[#This Row],[Latest Senate Action]])-1)</f>
        <v>112th</v>
      </c>
      <c r="J33" s="12" t="str">
        <f>RIGHT(Table4[[#This Row],[Latest Senate Action]],LEN(Table4[[#This Row],[Latest Senate Action]])-FIND(") - ",Table4[[#This Row],[Latest Senate Action]])-3)</f>
        <v xml:space="preserve">Resolution of advice and consent to ratification agreed to in Senate by Division Vote. (All Actions) </v>
      </c>
      <c r="K33" s="12" t="str">
        <f>INDEX(Table5[type],MATCH(Table4[[#This Row],[Action]],Table5[Action],0))</f>
        <v>Passed</v>
      </c>
      <c r="L33" s="22" t="b">
        <f>INDEX(Table1[Senate and President Same Party, House and President Different Party],MATCH(Table4[[#This Row],[Congress Acting]],Table1[Congress],0))</f>
        <v>1</v>
      </c>
    </row>
    <row r="34" spans="1:12" ht="141.75">
      <c r="A34" s="9" t="s">
        <v>256</v>
      </c>
      <c r="B34" t="s">
        <v>1133</v>
      </c>
      <c r="C34" s="9" t="s">
        <v>1134</v>
      </c>
      <c r="D34" s="13" t="s">
        <v>1135</v>
      </c>
      <c r="E34" s="9" t="s">
        <v>1136</v>
      </c>
      <c r="F34"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34" s="9" t="s">
        <v>997</v>
      </c>
      <c r="H34" s="9" t="s">
        <v>1132</v>
      </c>
      <c r="I34" s="12" t="str">
        <f>RIGHT(LEFT(Table4[[#This Row],[Latest Senate Action]],FIND(" Congress",Table4[[#This Row],[Latest Senate Action]])-1),LEN(LEFT(Table4[[#This Row],[Latest Senate Action]],FIND(" Congress",Table4[[#This Row],[Latest Senate Action]])-1))-FIND("-",Table4[[#This Row],[Latest Senate Action]])-1)</f>
        <v>112th</v>
      </c>
      <c r="J34" s="12" t="str">
        <f>RIGHT(Table4[[#This Row],[Latest Senate Action]],LEN(Table4[[#This Row],[Latest Senate Action]])-FIND(") - ",Table4[[#This Row],[Latest Senate Action]])-3)</f>
        <v xml:space="preserve">Resolution of advice and consent to ratification agreed to in Senate by Division Vote. (All Actions) </v>
      </c>
      <c r="K34" s="12" t="str">
        <f>INDEX(Table5[type],MATCH(Table4[[#This Row],[Action]],Table5[Action],0))</f>
        <v>Passed</v>
      </c>
      <c r="L34" s="22" t="b">
        <f>INDEX(Table1[Senate and President Same Party, House and President Different Party],MATCH(Table4[[#This Row],[Congress Acting]],Table1[Congress],0))</f>
        <v>1</v>
      </c>
    </row>
    <row r="35" spans="1:12" ht="173.25">
      <c r="A35" s="9" t="s">
        <v>257</v>
      </c>
      <c r="B35" t="s">
        <v>1137</v>
      </c>
      <c r="C35" s="9" t="s">
        <v>1138</v>
      </c>
      <c r="D35" s="13" t="s">
        <v>1139</v>
      </c>
      <c r="E35" s="9" t="s">
        <v>1140</v>
      </c>
      <c r="F35"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35" s="9" t="s">
        <v>1101</v>
      </c>
      <c r="H35" s="9" t="s">
        <v>1141</v>
      </c>
      <c r="I35" s="12" t="str">
        <f>RIGHT(LEFT(Table4[[#This Row],[Latest Senate Action]],FIND(" Congress",Table4[[#This Row],[Latest Senate Action]])-1),LEN(LEFT(Table4[[#This Row],[Latest Senate Action]],FIND(" Congress",Table4[[#This Row],[Latest Senate Action]])-1))-FIND("-",Table4[[#This Row],[Latest Senate Action]])-1)</f>
        <v>112th</v>
      </c>
      <c r="J35" s="12" t="str">
        <f>RIGHT(Table4[[#This Row],[Latest Senate Action]],LEN(Table4[[#This Row],[Latest Senate Action]])-FIND(") - ",Table4[[#This Row],[Latest Senate Action]])-3)</f>
        <v xml:space="preserve">Received in the Senate and referred to the Committee on Foreign Relations pursuant to the removal of the injunction of secrecy. (All Actions) </v>
      </c>
      <c r="K35" s="12" t="str">
        <f>INDEX(Table5[type],MATCH(Table4[[#This Row],[Action]],Table5[Action],0))</f>
        <v>In Process</v>
      </c>
      <c r="L35" s="22" t="b">
        <f>INDEX(Table1[Senate and President Same Party, House and President Different Party],MATCH(Table4[[#This Row],[Congress Acting]],Table1[Congress],0))</f>
        <v>1</v>
      </c>
    </row>
    <row r="36" spans="1:12" ht="173.25">
      <c r="A36" s="9" t="s">
        <v>258</v>
      </c>
      <c r="B36" t="s">
        <v>1142</v>
      </c>
      <c r="C36" s="9" t="s">
        <v>1143</v>
      </c>
      <c r="D36" s="13" t="s">
        <v>1144</v>
      </c>
      <c r="E36" s="9" t="s">
        <v>1140</v>
      </c>
      <c r="F36" t="str">
        <f>RIGHT(LEFT(Table4[[#This Row],[Date Received from President]],FIND(" Congress",Table4[[#This Row],[Date Received from President]])-1),LEN(LEFT(Table4[[#This Row],[Date Received from President]],FIND(" Congress",Table4[[#This Row],[Date Received from President]])-1))-FIND("-",Table4[[#This Row],[Date Received from President]])-1)</f>
        <v>112th</v>
      </c>
      <c r="G36" s="9" t="s">
        <v>1101</v>
      </c>
      <c r="H36" s="9" t="s">
        <v>1145</v>
      </c>
      <c r="I36" s="12" t="str">
        <f>RIGHT(LEFT(Table4[[#This Row],[Latest Senate Action]],FIND(" Congress",Table4[[#This Row],[Latest Senate Action]])-1),LEN(LEFT(Table4[[#This Row],[Latest Senate Action]],FIND(" Congress",Table4[[#This Row],[Latest Senate Action]])-1))-FIND("-",Table4[[#This Row],[Latest Senate Action]])-1)</f>
        <v>112th</v>
      </c>
      <c r="J36" s="12" t="str">
        <f>RIGHT(Table4[[#This Row],[Latest Senate Action]],LEN(Table4[[#This Row],[Latest Senate Action]])-FIND(") - ",Table4[[#This Row],[Latest Senate Action]])-3)</f>
        <v xml:space="preserve">Received in the Senate and referred to the Committee on Foreign Relations pursuant to removal of the injunction of secrecy. (All Actions) </v>
      </c>
      <c r="K36" s="12" t="str">
        <f>INDEX(Table5[type],MATCH(Table4[[#This Row],[Action]],Table5[Action],0))</f>
        <v>In Process</v>
      </c>
      <c r="L36" s="22" t="b">
        <f>INDEX(Table1[Senate and President Same Party, House and President Different Party],MATCH(Table4[[#This Row],[Congress Acting]],Table1[Congress],0))</f>
        <v>1</v>
      </c>
    </row>
    <row r="37" spans="1:12" ht="189">
      <c r="A37" s="9" t="s">
        <v>259</v>
      </c>
      <c r="B37" t="s">
        <v>1146</v>
      </c>
      <c r="C37" s="9" t="s">
        <v>1147</v>
      </c>
      <c r="D37" s="13" t="s">
        <v>1148</v>
      </c>
      <c r="E37" s="9" t="s">
        <v>1149</v>
      </c>
      <c r="F37"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37" s="9" t="s">
        <v>1101</v>
      </c>
      <c r="H37" s="9" t="s">
        <v>1150</v>
      </c>
      <c r="I37" s="12" t="str">
        <f>RIGHT(LEFT(Table4[[#This Row],[Latest Senate Action]],FIND(" Congress",Table4[[#This Row],[Latest Senate Action]])-1),LEN(LEFT(Table4[[#This Row],[Latest Senate Action]],FIND(" Congress",Table4[[#This Row],[Latest Senate Action]])-1))-FIND("-",Table4[[#This Row],[Latest Senate Action]])-1)</f>
        <v>111th</v>
      </c>
      <c r="J37" s="12" t="str">
        <f>RIGHT(Table4[[#This Row],[Latest Senate Action]],LEN(Table4[[#This Row],[Latest Senate Action]])-FIND(") - ",Table4[[#This Row],[Latest Senate Action]])-3)</f>
        <v xml:space="preserve">Resolution of advice and consent to ratification agreed to as amended in Senate by Yea-Nay Vote. 71 - 26. Record Vote Number: 298. (All Actions) </v>
      </c>
      <c r="K37" s="12" t="str">
        <f>INDEX(Table5[type],MATCH(Table4[[#This Row],[Action]],Table5[Action],0))</f>
        <v>Passed</v>
      </c>
      <c r="L37" s="22" t="b">
        <f>INDEX(Table1[Senate and President Same Party, House and President Different Party],MATCH(Table4[[#This Row],[Congress Acting]],Table1[Congress],0))</f>
        <v>1</v>
      </c>
    </row>
    <row r="38" spans="1:12" ht="157.5">
      <c r="A38" s="9" t="s">
        <v>260</v>
      </c>
      <c r="B38" t="s">
        <v>1151</v>
      </c>
      <c r="C38" s="9" t="s">
        <v>1152</v>
      </c>
      <c r="D38" s="13" t="s">
        <v>1153</v>
      </c>
      <c r="E38" s="9" t="s">
        <v>1154</v>
      </c>
      <c r="F38"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38" s="9" t="s">
        <v>1101</v>
      </c>
      <c r="H38" s="9" t="s">
        <v>1155</v>
      </c>
      <c r="I38" s="12" t="str">
        <f>RIGHT(LEFT(Table4[[#This Row],[Latest Senate Action]],FIND(" Congress",Table4[[#This Row],[Latest Senate Action]])-1),LEN(LEFT(Table4[[#This Row],[Latest Senate Action]],FIND(" Congress",Table4[[#This Row],[Latest Senate Action]])-1))-FIND("-",Table4[[#This Row],[Latest Senate Action]])-1)</f>
        <v>111th</v>
      </c>
      <c r="J38" s="12" t="str">
        <f>RIGHT(Table4[[#This Row],[Latest Senate Action]],LEN(Table4[[#This Row],[Latest Senate Action]])-FIND(") - ",Table4[[#This Row],[Latest Senate Action]])-3)</f>
        <v xml:space="preserve">Resolution of advice and consent to ratification agreed to in Senate by Division Vote. (All Actions) </v>
      </c>
      <c r="K38" s="12" t="str">
        <f>INDEX(Table5[type],MATCH(Table4[[#This Row],[Action]],Table5[Action],0))</f>
        <v>Passed</v>
      </c>
      <c r="L38" s="22" t="b">
        <f>INDEX(Table1[Senate and President Same Party, House and President Different Party],MATCH(Table4[[#This Row],[Congress Acting]],Table1[Congress],0))</f>
        <v>1</v>
      </c>
    </row>
    <row r="39" spans="1:12" ht="157.5">
      <c r="A39" s="9" t="s">
        <v>261</v>
      </c>
      <c r="B39" t="s">
        <v>1156</v>
      </c>
      <c r="C39" s="9" t="s">
        <v>1157</v>
      </c>
      <c r="D39" s="13" t="s">
        <v>1158</v>
      </c>
      <c r="E39" s="9" t="s">
        <v>1159</v>
      </c>
      <c r="F39"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39" s="9" t="s">
        <v>1101</v>
      </c>
      <c r="H39" s="9" t="s">
        <v>1155</v>
      </c>
      <c r="I39" s="12" t="str">
        <f>RIGHT(LEFT(Table4[[#This Row],[Latest Senate Action]],FIND(" Congress",Table4[[#This Row],[Latest Senate Action]])-1),LEN(LEFT(Table4[[#This Row],[Latest Senate Action]],FIND(" Congress",Table4[[#This Row],[Latest Senate Action]])-1))-FIND("-",Table4[[#This Row],[Latest Senate Action]])-1)</f>
        <v>111th</v>
      </c>
      <c r="J39" s="12" t="str">
        <f>RIGHT(Table4[[#This Row],[Latest Senate Action]],LEN(Table4[[#This Row],[Latest Senate Action]])-FIND(") - ",Table4[[#This Row],[Latest Senate Action]])-3)</f>
        <v xml:space="preserve">Resolution of advice and consent to ratification agreed to in Senate by Division Vote. (All Actions) </v>
      </c>
      <c r="K39" s="12" t="str">
        <f>INDEX(Table5[type],MATCH(Table4[[#This Row],[Action]],Table5[Action],0))</f>
        <v>Passed</v>
      </c>
      <c r="L39" s="22" t="b">
        <f>INDEX(Table1[Senate and President Same Party, House and President Different Party],MATCH(Table4[[#This Row],[Congress Acting]],Table1[Congress],0))</f>
        <v>1</v>
      </c>
    </row>
    <row r="40" spans="1:12" ht="173.25">
      <c r="A40" s="9" t="s">
        <v>262</v>
      </c>
      <c r="B40" t="s">
        <v>1160</v>
      </c>
      <c r="C40" s="9" t="s">
        <v>1161</v>
      </c>
      <c r="D40" s="13" t="s">
        <v>1162</v>
      </c>
      <c r="E40" s="9" t="s">
        <v>1163</v>
      </c>
      <c r="F40"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40" s="9" t="s">
        <v>1164</v>
      </c>
      <c r="H40" s="9" t="s">
        <v>1165</v>
      </c>
      <c r="I40" s="12" t="str">
        <f>RIGHT(LEFT(Table4[[#This Row],[Latest Senate Action]],FIND(" Congress",Table4[[#This Row],[Latest Senate Action]])-1),LEN(LEFT(Table4[[#This Row],[Latest Senate Action]],FIND(" Congress",Table4[[#This Row],[Latest Senate Action]])-1))-FIND("-",Table4[[#This Row],[Latest Senate Action]])-1)</f>
        <v>111th</v>
      </c>
      <c r="J40" s="12" t="str">
        <f>RIGHT(Table4[[#This Row],[Latest Senate Action]],LEN(Table4[[#This Row],[Latest Senate Action]])-FIND(") - ",Table4[[#This Row],[Latest Senate Action]])-3)</f>
        <v xml:space="preserve">Resolution of advice and consent to ratification agreed to as amended in Senate by Division Vote. (All Actions) </v>
      </c>
      <c r="K40" s="12" t="str">
        <f>INDEX(Table5[type],MATCH(Table4[[#This Row],[Action]],Table5[Action],0))</f>
        <v>Passed</v>
      </c>
      <c r="L40" s="22" t="b">
        <f>INDEX(Table1[Senate and President Same Party, House and President Different Party],MATCH(Table4[[#This Row],[Congress Acting]],Table1[Congress],0))</f>
        <v>1</v>
      </c>
    </row>
    <row r="41" spans="1:12" ht="141.75">
      <c r="A41" s="9" t="s">
        <v>263</v>
      </c>
      <c r="B41" t="s">
        <v>1166</v>
      </c>
      <c r="C41" s="9" t="s">
        <v>1167</v>
      </c>
      <c r="D41" s="13" t="s">
        <v>1168</v>
      </c>
      <c r="E41" s="9" t="s">
        <v>1169</v>
      </c>
      <c r="F41"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41" s="9" t="s">
        <v>1063</v>
      </c>
      <c r="H41" s="9" t="s">
        <v>1170</v>
      </c>
      <c r="I41" s="12" t="str">
        <f>RIGHT(LEFT(Table4[[#This Row],[Latest Senate Action]],FIND(" Congress",Table4[[#This Row],[Latest Senate Action]])-1),LEN(LEFT(Table4[[#This Row],[Latest Senate Action]],FIND(" Congress",Table4[[#This Row],[Latest Senate Action]])-1))-FIND("-",Table4[[#This Row],[Latest Senate Action]])-1)</f>
        <v>111th</v>
      </c>
      <c r="J41" s="12" t="str">
        <f>RIGHT(Table4[[#This Row],[Latest Senate Action]],LEN(Table4[[#This Row],[Latest Senate Action]])-FIND(") - ",Table4[[#This Row],[Latest Senate Action]])-3)</f>
        <v xml:space="preserve">Resolution of advice and consent to ratification agreed to in Senate by Division Vote. (All Actions) </v>
      </c>
      <c r="K41" s="12" t="str">
        <f>INDEX(Table5[type],MATCH(Table4[[#This Row],[Action]],Table5[Action],0))</f>
        <v>Passed</v>
      </c>
      <c r="L41" s="22" t="b">
        <f>INDEX(Table1[Senate and President Same Party, House and President Different Party],MATCH(Table4[[#This Row],[Congress Acting]],Table1[Congress],0))</f>
        <v>1</v>
      </c>
    </row>
    <row r="42" spans="1:12" ht="157.5">
      <c r="A42" s="9" t="s">
        <v>264</v>
      </c>
      <c r="B42" t="s">
        <v>1171</v>
      </c>
      <c r="C42" s="9" t="s">
        <v>1172</v>
      </c>
      <c r="D42" s="13" t="s">
        <v>1173</v>
      </c>
      <c r="E42" s="9" t="s">
        <v>1174</v>
      </c>
      <c r="F42"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42" s="9" t="s">
        <v>1063</v>
      </c>
      <c r="H42" s="9" t="s">
        <v>1170</v>
      </c>
      <c r="I42" s="12" t="str">
        <f>RIGHT(LEFT(Table4[[#This Row],[Latest Senate Action]],FIND(" Congress",Table4[[#This Row],[Latest Senate Action]])-1),LEN(LEFT(Table4[[#This Row],[Latest Senate Action]],FIND(" Congress",Table4[[#This Row],[Latest Senate Action]])-1))-FIND("-",Table4[[#This Row],[Latest Senate Action]])-1)</f>
        <v>111th</v>
      </c>
      <c r="J42" s="12" t="str">
        <f>RIGHT(Table4[[#This Row],[Latest Senate Action]],LEN(Table4[[#This Row],[Latest Senate Action]])-FIND(") - ",Table4[[#This Row],[Latest Senate Action]])-3)</f>
        <v xml:space="preserve">Resolution of advice and consent to ratification agreed to in Senate by Division Vote. (All Actions) </v>
      </c>
      <c r="K42" s="12" t="str">
        <f>INDEX(Table5[type],MATCH(Table4[[#This Row],[Action]],Table5[Action],0))</f>
        <v>Passed</v>
      </c>
      <c r="L42" s="22" t="b">
        <f>INDEX(Table1[Senate and President Same Party, House and President Different Party],MATCH(Table4[[#This Row],[Congress Acting]],Table1[Congress],0))</f>
        <v>1</v>
      </c>
    </row>
    <row r="43" spans="1:12" ht="157.5">
      <c r="A43" s="9" t="s">
        <v>265</v>
      </c>
      <c r="B43" t="s">
        <v>1175</v>
      </c>
      <c r="C43" s="9" t="s">
        <v>1176</v>
      </c>
      <c r="D43" s="13" t="s">
        <v>1177</v>
      </c>
      <c r="E43" s="9" t="s">
        <v>1178</v>
      </c>
      <c r="F43"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43" s="9" t="s">
        <v>1063</v>
      </c>
      <c r="H43" s="9" t="s">
        <v>1179</v>
      </c>
      <c r="I43" s="12" t="str">
        <f>RIGHT(LEFT(Table4[[#This Row],[Latest Senate Action]],FIND(" Congress",Table4[[#This Row],[Latest Senate Action]])-1),LEN(LEFT(Table4[[#This Row],[Latest Senate Action]],FIND(" Congress",Table4[[#This Row],[Latest Senate Action]])-1))-FIND("-",Table4[[#This Row],[Latest Senate Action]])-1)</f>
        <v>111th</v>
      </c>
      <c r="J43" s="12" t="str">
        <f>RIGHT(Table4[[#This Row],[Latest Senate Action]],LEN(Table4[[#This Row],[Latest Senate Action]])-FIND(") - ",Table4[[#This Row],[Latest Senate Action]])-3)</f>
        <v xml:space="preserve">Resolution of advice and consent to ratification agreed to in Senate by Division Vote. (All Actions) </v>
      </c>
      <c r="K43" s="12" t="str">
        <f>INDEX(Table5[type],MATCH(Table4[[#This Row],[Action]],Table5[Action],0))</f>
        <v>Passed</v>
      </c>
      <c r="L43" s="22" t="b">
        <f>INDEX(Table1[Senate and President Same Party, House and President Different Party],MATCH(Table4[[#This Row],[Congress Acting]],Table1[Congress],0))</f>
        <v>1</v>
      </c>
    </row>
    <row r="44" spans="1:12" ht="189">
      <c r="A44" s="9" t="s">
        <v>266</v>
      </c>
      <c r="B44" t="s">
        <v>1180</v>
      </c>
      <c r="C44" s="9" t="s">
        <v>1181</v>
      </c>
      <c r="D44" s="13" t="s">
        <v>1182</v>
      </c>
      <c r="E44" s="9" t="s">
        <v>1183</v>
      </c>
      <c r="F44" t="str">
        <f>RIGHT(LEFT(Table4[[#This Row],[Date Received from President]],FIND(" Congress",Table4[[#This Row],[Date Received from President]])-1),LEN(LEFT(Table4[[#This Row],[Date Received from President]],FIND(" Congress",Table4[[#This Row],[Date Received from President]])-1))-FIND("-",Table4[[#This Row],[Date Received from President]])-1)</f>
        <v>111th</v>
      </c>
      <c r="G44" s="9" t="s">
        <v>1184</v>
      </c>
      <c r="H44" s="9" t="s">
        <v>1185</v>
      </c>
      <c r="I44" s="12" t="str">
        <f>RIGHT(LEFT(Table4[[#This Row],[Latest Senate Action]],FIND(" Congress",Table4[[#This Row],[Latest Senate Action]])-1),LEN(LEFT(Table4[[#This Row],[Latest Senate Action]],FIND(" Congress",Table4[[#This Row],[Latest Senate Action]])-1))-FIND("-",Table4[[#This Row],[Latest Senate Action]])-1)</f>
        <v>111th</v>
      </c>
      <c r="J44"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44" s="12" t="str">
        <f>INDEX(Table5[type],MATCH(Table4[[#This Row],[Action]],Table5[Action],0))</f>
        <v>In Process</v>
      </c>
      <c r="L44" s="22" t="b">
        <f>INDEX(Table1[Senate and President Same Party, House and President Different Party],MATCH(Table4[[#This Row],[Congress Acting]],Table1[Congress],0))</f>
        <v>1</v>
      </c>
    </row>
    <row r="45" spans="1:12" ht="204.75">
      <c r="A45" s="9" t="s">
        <v>267</v>
      </c>
      <c r="B45" t="s">
        <v>1186</v>
      </c>
      <c r="C45" s="9" t="s">
        <v>1187</v>
      </c>
      <c r="D45" s="13" t="s">
        <v>1188</v>
      </c>
      <c r="E45" s="9" t="s">
        <v>1189</v>
      </c>
      <c r="F45"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45" s="9" t="s">
        <v>1184</v>
      </c>
      <c r="H45" s="9" t="s">
        <v>1190</v>
      </c>
      <c r="I45" s="12" t="str">
        <f>RIGHT(LEFT(Table4[[#This Row],[Latest Senate Action]],FIND(" Congress",Table4[[#This Row],[Latest Senate Action]])-1),LEN(LEFT(Table4[[#This Row],[Latest Senate Action]],FIND(" Congress",Table4[[#This Row],[Latest Senate Action]])-1))-FIND("-",Table4[[#This Row],[Latest Senate Action]])-1)</f>
        <v>111th</v>
      </c>
      <c r="J45" s="12" t="str">
        <f>RIGHT(Table4[[#This Row],[Latest Senate Action]],LEN(Table4[[#This Row],[Latest Senate Action]])-FIND(") - ",Table4[[#This Row],[Latest Senate Action]])-3)</f>
        <v xml:space="preserve">No further action at sine die adjournment of the 110th Congress; automatically rereferred to the Committee on Foreign Relations under the provisions of Rule XXX, section 2, of the Standing Rules of the Senate. (All Actions) </v>
      </c>
      <c r="K45" s="12" t="str">
        <f>INDEX(Table5[type],MATCH(Table4[[#This Row],[Action]],Table5[Action],0))</f>
        <v>In Process</v>
      </c>
      <c r="L45" s="22" t="b">
        <f>INDEX(Table1[Senate and President Same Party, House and President Different Party],MATCH(Table4[[#This Row],[Congress Acting]],Table1[Congress],0))</f>
        <v>1</v>
      </c>
    </row>
    <row r="46" spans="1:12" ht="157.5">
      <c r="A46" s="9" t="s">
        <v>268</v>
      </c>
      <c r="B46" t="s">
        <v>1191</v>
      </c>
      <c r="C46" s="9" t="s">
        <v>1192</v>
      </c>
      <c r="D46" s="13" t="s">
        <v>1193</v>
      </c>
      <c r="E46" s="9" t="s">
        <v>1194</v>
      </c>
      <c r="F46"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46" s="9" t="s">
        <v>1101</v>
      </c>
      <c r="H46" s="9" t="s">
        <v>1195</v>
      </c>
      <c r="I46" s="12" t="str">
        <f>RIGHT(LEFT(Table4[[#This Row],[Latest Senate Action]],FIND(" Congress",Table4[[#This Row],[Latest Senate Action]])-1),LEN(LEFT(Table4[[#This Row],[Latest Senate Action]],FIND(" Congress",Table4[[#This Row],[Latest Senate Action]])-1))-FIND("-",Table4[[#This Row],[Latest Senate Action]])-1)</f>
        <v>110th</v>
      </c>
      <c r="J46" s="12" t="str">
        <f>RIGHT(Table4[[#This Row],[Latest Senate Action]],LEN(Table4[[#This Row],[Latest Senate Action]])-FIND(") - ",Table4[[#This Row],[Latest Senate Action]])-3)</f>
        <v xml:space="preserve">Resolution of advice and consent to ratification agreed to in Senate by Division Vote. (All Actions) </v>
      </c>
      <c r="K46" s="12" t="str">
        <f>INDEX(Table5[type],MATCH(Table4[[#This Row],[Action]],Table5[Action],0))</f>
        <v>Passed</v>
      </c>
      <c r="L46" s="22" t="b">
        <f>INDEX(Table1[Senate and President Same Party, House and President Different Party],MATCH(Table4[[#This Row],[Congress Acting]],Table1[Congress],0))</f>
        <v>0</v>
      </c>
    </row>
    <row r="47" spans="1:12" ht="173.25">
      <c r="A47" s="9" t="s">
        <v>269</v>
      </c>
      <c r="B47" t="s">
        <v>1196</v>
      </c>
      <c r="C47" s="9" t="s">
        <v>1197</v>
      </c>
      <c r="D47" s="13" t="s">
        <v>1198</v>
      </c>
      <c r="E47" s="9" t="s">
        <v>1199</v>
      </c>
      <c r="F47"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47" s="9" t="s">
        <v>1200</v>
      </c>
      <c r="H47" s="9" t="s">
        <v>1195</v>
      </c>
      <c r="I47" s="12" t="str">
        <f>RIGHT(LEFT(Table4[[#This Row],[Latest Senate Action]],FIND(" Congress",Table4[[#This Row],[Latest Senate Action]])-1),LEN(LEFT(Table4[[#This Row],[Latest Senate Action]],FIND(" Congress",Table4[[#This Row],[Latest Senate Action]])-1))-FIND("-",Table4[[#This Row],[Latest Senate Action]])-1)</f>
        <v>110th</v>
      </c>
      <c r="J47" s="12" t="str">
        <f>RIGHT(Table4[[#This Row],[Latest Senate Action]],LEN(Table4[[#This Row],[Latest Senate Action]])-FIND(") - ",Table4[[#This Row],[Latest Senate Action]])-3)</f>
        <v xml:space="preserve">Resolution of advice and consent to ratification agreed to in Senate by Division Vote. (All Actions) </v>
      </c>
      <c r="K47" s="12" t="str">
        <f>INDEX(Table5[type],MATCH(Table4[[#This Row],[Action]],Table5[Action],0))</f>
        <v>Passed</v>
      </c>
      <c r="L47" s="22" t="b">
        <f>INDEX(Table1[Senate and President Same Party, House and President Different Party],MATCH(Table4[[#This Row],[Congress Acting]],Table1[Congress],0))</f>
        <v>0</v>
      </c>
    </row>
    <row r="48" spans="1:12" ht="173.25">
      <c r="A48" s="9" t="s">
        <v>270</v>
      </c>
      <c r="B48" t="s">
        <v>1201</v>
      </c>
      <c r="C48" s="9" t="s">
        <v>1202</v>
      </c>
      <c r="D48" s="13" t="s">
        <v>1203</v>
      </c>
      <c r="E48" s="9" t="s">
        <v>1204</v>
      </c>
      <c r="F48"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48" s="9" t="s">
        <v>1112</v>
      </c>
      <c r="H48" s="9" t="s">
        <v>1205</v>
      </c>
      <c r="I48" s="12" t="str">
        <f>RIGHT(LEFT(Table4[[#This Row],[Latest Senate Action]],FIND(" Congress",Table4[[#This Row],[Latest Senate Action]])-1),LEN(LEFT(Table4[[#This Row],[Latest Senate Action]],FIND(" Congress",Table4[[#This Row],[Latest Senate Action]])-1))-FIND("-",Table4[[#This Row],[Latest Senate Action]])-1)</f>
        <v>110th</v>
      </c>
      <c r="J48"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48" s="12" t="str">
        <f>INDEX(Table5[type],MATCH(Table4[[#This Row],[Action]],Table5[Action],0))</f>
        <v>In Process</v>
      </c>
      <c r="L48" s="22" t="b">
        <f>INDEX(Table1[Senate and President Same Party, House and President Different Party],MATCH(Table4[[#This Row],[Congress Acting]],Table1[Congress],0))</f>
        <v>0</v>
      </c>
    </row>
    <row r="49" spans="1:12" ht="157.5">
      <c r="A49" s="9" t="s">
        <v>271</v>
      </c>
      <c r="B49" t="s">
        <v>1206</v>
      </c>
      <c r="C49" s="9" t="s">
        <v>1207</v>
      </c>
      <c r="D49" s="13" t="s">
        <v>1208</v>
      </c>
      <c r="E49" s="9" t="s">
        <v>1209</v>
      </c>
      <c r="F49"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49" s="9" t="s">
        <v>1200</v>
      </c>
      <c r="H49" s="9" t="s">
        <v>1210</v>
      </c>
      <c r="I49" s="12" t="str">
        <f>RIGHT(LEFT(Table4[[#This Row],[Latest Senate Action]],FIND(" Congress",Table4[[#This Row],[Latest Senate Action]])-1),LEN(LEFT(Table4[[#This Row],[Latest Senate Action]],FIND(" Congress",Table4[[#This Row],[Latest Senate Action]])-1))-FIND("-",Table4[[#This Row],[Latest Senate Action]])-1)</f>
        <v>110th</v>
      </c>
      <c r="J49" s="12" t="str">
        <f>RIGHT(Table4[[#This Row],[Latest Senate Action]],LEN(Table4[[#This Row],[Latest Senate Action]])-FIND(") - ",Table4[[#This Row],[Latest Senate Action]])-3)</f>
        <v xml:space="preserve">Resolution of advice and consent to ratification agreed to in Senate by Division Vote. (All Actions) </v>
      </c>
      <c r="K49" s="12" t="str">
        <f>INDEX(Table5[type],MATCH(Table4[[#This Row],[Action]],Table5[Action],0))</f>
        <v>Passed</v>
      </c>
      <c r="L49" s="22" t="b">
        <f>INDEX(Table1[Senate and President Same Party, House and President Different Party],MATCH(Table4[[#This Row],[Congress Acting]],Table1[Congress],0))</f>
        <v>0</v>
      </c>
    </row>
    <row r="50" spans="1:12" ht="157.5">
      <c r="A50" s="9" t="s">
        <v>272</v>
      </c>
      <c r="B50" t="s">
        <v>1211</v>
      </c>
      <c r="C50" s="9" t="s">
        <v>1212</v>
      </c>
      <c r="D50" s="13" t="s">
        <v>1213</v>
      </c>
      <c r="E50" s="9" t="s">
        <v>1214</v>
      </c>
      <c r="F5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50" s="9" t="s">
        <v>1164</v>
      </c>
      <c r="H50" s="9" t="s">
        <v>1210</v>
      </c>
      <c r="I50" s="12" t="str">
        <f>RIGHT(LEFT(Table4[[#This Row],[Latest Senate Action]],FIND(" Congress",Table4[[#This Row],[Latest Senate Action]])-1),LEN(LEFT(Table4[[#This Row],[Latest Senate Action]],FIND(" Congress",Table4[[#This Row],[Latest Senate Action]])-1))-FIND("-",Table4[[#This Row],[Latest Senate Action]])-1)</f>
        <v>110th</v>
      </c>
      <c r="J50" s="12" t="str">
        <f>RIGHT(Table4[[#This Row],[Latest Senate Action]],LEN(Table4[[#This Row],[Latest Senate Action]])-FIND(") - ",Table4[[#This Row],[Latest Senate Action]])-3)</f>
        <v xml:space="preserve">Resolution of advice and consent to ratification agreed to in Senate by Division Vote. (All Actions) </v>
      </c>
      <c r="K50" s="12" t="str">
        <f>INDEX(Table5[type],MATCH(Table4[[#This Row],[Action]],Table5[Action],0))</f>
        <v>Passed</v>
      </c>
      <c r="L50" s="22" t="b">
        <f>INDEX(Table1[Senate and President Same Party, House and President Different Party],MATCH(Table4[[#This Row],[Congress Acting]],Table1[Congress],0))</f>
        <v>0</v>
      </c>
    </row>
    <row r="51" spans="1:12" ht="157.5">
      <c r="A51" s="9" t="s">
        <v>273</v>
      </c>
      <c r="B51" t="s">
        <v>1215</v>
      </c>
      <c r="C51" s="9" t="s">
        <v>1216</v>
      </c>
      <c r="D51" s="13" t="s">
        <v>1217</v>
      </c>
      <c r="E51" s="9" t="s">
        <v>1218</v>
      </c>
      <c r="F51"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51" s="9" t="s">
        <v>1219</v>
      </c>
      <c r="H51" s="9" t="s">
        <v>1210</v>
      </c>
      <c r="I51" s="12" t="str">
        <f>RIGHT(LEFT(Table4[[#This Row],[Latest Senate Action]],FIND(" Congress",Table4[[#This Row],[Latest Senate Action]])-1),LEN(LEFT(Table4[[#This Row],[Latest Senate Action]],FIND(" Congress",Table4[[#This Row],[Latest Senate Action]])-1))-FIND("-",Table4[[#This Row],[Latest Senate Action]])-1)</f>
        <v>110th</v>
      </c>
      <c r="J51" s="12" t="str">
        <f>RIGHT(Table4[[#This Row],[Latest Senate Action]],LEN(Table4[[#This Row],[Latest Senate Action]])-FIND(") - ",Table4[[#This Row],[Latest Senate Action]])-3)</f>
        <v xml:space="preserve">Resolution of advice and consent to ratification agreed to in Senate by Division Vote. (All Actions) </v>
      </c>
      <c r="K51" s="12" t="str">
        <f>INDEX(Table5[type],MATCH(Table4[[#This Row],[Action]],Table5[Action],0))</f>
        <v>Passed</v>
      </c>
      <c r="L51" s="22" t="b">
        <f>INDEX(Table1[Senate and President Same Party, House and President Different Party],MATCH(Table4[[#This Row],[Congress Acting]],Table1[Congress],0))</f>
        <v>0</v>
      </c>
    </row>
    <row r="52" spans="1:12" ht="189">
      <c r="A52" s="9" t="s">
        <v>274</v>
      </c>
      <c r="B52" t="s">
        <v>1220</v>
      </c>
      <c r="C52" s="9" t="s">
        <v>1221</v>
      </c>
      <c r="D52" s="13" t="s">
        <v>1222</v>
      </c>
      <c r="E52" s="9" t="s">
        <v>1223</v>
      </c>
      <c r="F52"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52" s="9" t="s">
        <v>1052</v>
      </c>
      <c r="H52" s="9" t="s">
        <v>1210</v>
      </c>
      <c r="I52" s="12" t="str">
        <f>RIGHT(LEFT(Table4[[#This Row],[Latest Senate Action]],FIND(" Congress",Table4[[#This Row],[Latest Senate Action]])-1),LEN(LEFT(Table4[[#This Row],[Latest Senate Action]],FIND(" Congress",Table4[[#This Row],[Latest Senate Action]])-1))-FIND("-",Table4[[#This Row],[Latest Senate Action]])-1)</f>
        <v>110th</v>
      </c>
      <c r="J52" s="12" t="str">
        <f>RIGHT(Table4[[#This Row],[Latest Senate Action]],LEN(Table4[[#This Row],[Latest Senate Action]])-FIND(") - ",Table4[[#This Row],[Latest Senate Action]])-3)</f>
        <v xml:space="preserve">Resolution of advice and consent to ratification agreed to in Senate by Division Vote. (All Actions) </v>
      </c>
      <c r="K52" s="12" t="str">
        <f>INDEX(Table5[type],MATCH(Table4[[#This Row],[Action]],Table5[Action],0))</f>
        <v>Passed</v>
      </c>
      <c r="L52" s="22" t="b">
        <f>INDEX(Table1[Senate and President Same Party, House and President Different Party],MATCH(Table4[[#This Row],[Congress Acting]],Table1[Congress],0))</f>
        <v>0</v>
      </c>
    </row>
    <row r="53" spans="1:12" ht="157.5">
      <c r="A53" s="9" t="s">
        <v>275</v>
      </c>
      <c r="B53" t="s">
        <v>1224</v>
      </c>
      <c r="C53" s="9" t="s">
        <v>1225</v>
      </c>
      <c r="D53" s="13" t="s">
        <v>1226</v>
      </c>
      <c r="E53" s="9" t="s">
        <v>1189</v>
      </c>
      <c r="F53"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53" s="9" t="s">
        <v>1219</v>
      </c>
      <c r="H53" s="9" t="s">
        <v>1210</v>
      </c>
      <c r="I53" s="12" t="str">
        <f>RIGHT(LEFT(Table4[[#This Row],[Latest Senate Action]],FIND(" Congress",Table4[[#This Row],[Latest Senate Action]])-1),LEN(LEFT(Table4[[#This Row],[Latest Senate Action]],FIND(" Congress",Table4[[#This Row],[Latest Senate Action]])-1))-FIND("-",Table4[[#This Row],[Latest Senate Action]])-1)</f>
        <v>110th</v>
      </c>
      <c r="J53" s="12" t="str">
        <f>RIGHT(Table4[[#This Row],[Latest Senate Action]],LEN(Table4[[#This Row],[Latest Senate Action]])-FIND(") - ",Table4[[#This Row],[Latest Senate Action]])-3)</f>
        <v xml:space="preserve">Resolution of advice and consent to ratification agreed to in Senate by Division Vote. (All Actions) </v>
      </c>
      <c r="K53" s="12" t="str">
        <f>INDEX(Table5[type],MATCH(Table4[[#This Row],[Action]],Table5[Action],0))</f>
        <v>Passed</v>
      </c>
      <c r="L53" s="22" t="b">
        <f>INDEX(Table1[Senate and President Same Party, House and President Different Party],MATCH(Table4[[#This Row],[Congress Acting]],Table1[Congress],0))</f>
        <v>0</v>
      </c>
    </row>
    <row r="54" spans="1:12" ht="189">
      <c r="A54" s="9" t="s">
        <v>276</v>
      </c>
      <c r="B54" t="s">
        <v>1227</v>
      </c>
      <c r="C54" s="9" t="s">
        <v>1228</v>
      </c>
      <c r="D54" s="13" t="s">
        <v>1229</v>
      </c>
      <c r="E54" s="9" t="s">
        <v>1230</v>
      </c>
      <c r="F54"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54" s="9" t="s">
        <v>1219</v>
      </c>
      <c r="H54" s="9" t="s">
        <v>1210</v>
      </c>
      <c r="I54" s="12" t="str">
        <f>RIGHT(LEFT(Table4[[#This Row],[Latest Senate Action]],FIND(" Congress",Table4[[#This Row],[Latest Senate Action]])-1),LEN(LEFT(Table4[[#This Row],[Latest Senate Action]],FIND(" Congress",Table4[[#This Row],[Latest Senate Action]])-1))-FIND("-",Table4[[#This Row],[Latest Senate Action]])-1)</f>
        <v>110th</v>
      </c>
      <c r="J54" s="12" t="str">
        <f>RIGHT(Table4[[#This Row],[Latest Senate Action]],LEN(Table4[[#This Row],[Latest Senate Action]])-FIND(") - ",Table4[[#This Row],[Latest Senate Action]])-3)</f>
        <v xml:space="preserve">Resolution of advice and consent to ratification agreed to in Senate by Division Vote. (All Actions) </v>
      </c>
      <c r="K54" s="12" t="str">
        <f>INDEX(Table5[type],MATCH(Table4[[#This Row],[Action]],Table5[Action],0))</f>
        <v>Passed</v>
      </c>
      <c r="L54" s="22" t="b">
        <f>INDEX(Table1[Senate and President Same Party, House and President Different Party],MATCH(Table4[[#This Row],[Congress Acting]],Table1[Congress],0))</f>
        <v>0</v>
      </c>
    </row>
    <row r="55" spans="1:12" ht="173.25">
      <c r="A55" s="9" t="s">
        <v>277</v>
      </c>
      <c r="B55" t="s">
        <v>1231</v>
      </c>
      <c r="C55" s="9" t="s">
        <v>1232</v>
      </c>
      <c r="D55" s="13" t="s">
        <v>1233</v>
      </c>
      <c r="E55" s="9" t="s">
        <v>1234</v>
      </c>
      <c r="F55"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55" s="9" t="s">
        <v>1043</v>
      </c>
      <c r="H55" s="9" t="s">
        <v>1210</v>
      </c>
      <c r="I55" s="12" t="str">
        <f>RIGHT(LEFT(Table4[[#This Row],[Latest Senate Action]],FIND(" Congress",Table4[[#This Row],[Latest Senate Action]])-1),LEN(LEFT(Table4[[#This Row],[Latest Senate Action]],FIND(" Congress",Table4[[#This Row],[Latest Senate Action]])-1))-FIND("-",Table4[[#This Row],[Latest Senate Action]])-1)</f>
        <v>110th</v>
      </c>
      <c r="J55" s="12" t="str">
        <f>RIGHT(Table4[[#This Row],[Latest Senate Action]],LEN(Table4[[#This Row],[Latest Senate Action]])-FIND(") - ",Table4[[#This Row],[Latest Senate Action]])-3)</f>
        <v xml:space="preserve">Resolution of advice and consent to ratification agreed to in Senate by Division Vote. (All Actions) </v>
      </c>
      <c r="K55" s="12" t="str">
        <f>INDEX(Table5[type],MATCH(Table4[[#This Row],[Action]],Table5[Action],0))</f>
        <v>Passed</v>
      </c>
      <c r="L55" s="22" t="b">
        <f>INDEX(Table1[Senate and President Same Party, House and President Different Party],MATCH(Table4[[#This Row],[Congress Acting]],Table1[Congress],0))</f>
        <v>0</v>
      </c>
    </row>
    <row r="56" spans="1:12" ht="189">
      <c r="A56" s="9" t="s">
        <v>278</v>
      </c>
      <c r="B56" t="s">
        <v>1235</v>
      </c>
      <c r="C56" s="9" t="s">
        <v>1236</v>
      </c>
      <c r="D56" s="13" t="s">
        <v>1237</v>
      </c>
      <c r="E56" s="9" t="s">
        <v>1238</v>
      </c>
      <c r="F56"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56" s="9" t="s">
        <v>1043</v>
      </c>
      <c r="H56" s="9" t="s">
        <v>1210</v>
      </c>
      <c r="I56" s="12" t="str">
        <f>RIGHT(LEFT(Table4[[#This Row],[Latest Senate Action]],FIND(" Congress",Table4[[#This Row],[Latest Senate Action]])-1),LEN(LEFT(Table4[[#This Row],[Latest Senate Action]],FIND(" Congress",Table4[[#This Row],[Latest Senate Action]])-1))-FIND("-",Table4[[#This Row],[Latest Senate Action]])-1)</f>
        <v>110th</v>
      </c>
      <c r="J56" s="12" t="str">
        <f>RIGHT(Table4[[#This Row],[Latest Senate Action]],LEN(Table4[[#This Row],[Latest Senate Action]])-FIND(") - ",Table4[[#This Row],[Latest Senate Action]])-3)</f>
        <v xml:space="preserve">Resolution of advice and consent to ratification agreed to in Senate by Division Vote. (All Actions) </v>
      </c>
      <c r="K56" s="12" t="str">
        <f>INDEX(Table5[type],MATCH(Table4[[#This Row],[Action]],Table5[Action],0))</f>
        <v>Passed</v>
      </c>
      <c r="L56" s="22" t="b">
        <f>INDEX(Table1[Senate and President Same Party, House and President Different Party],MATCH(Table4[[#This Row],[Congress Acting]],Table1[Congress],0))</f>
        <v>0</v>
      </c>
    </row>
    <row r="57" spans="1:12" ht="173.25">
      <c r="A57" s="9" t="s">
        <v>279</v>
      </c>
      <c r="B57" t="s">
        <v>1239</v>
      </c>
      <c r="C57" s="9" t="s">
        <v>1240</v>
      </c>
      <c r="D57" s="13" t="s">
        <v>1241</v>
      </c>
      <c r="E57" s="9" t="s">
        <v>1242</v>
      </c>
      <c r="F57"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57" s="9" t="s">
        <v>1038</v>
      </c>
      <c r="H57" s="9" t="s">
        <v>1210</v>
      </c>
      <c r="I57" s="12" t="str">
        <f>RIGHT(LEFT(Table4[[#This Row],[Latest Senate Action]],FIND(" Congress",Table4[[#This Row],[Latest Senate Action]])-1),LEN(LEFT(Table4[[#This Row],[Latest Senate Action]],FIND(" Congress",Table4[[#This Row],[Latest Senate Action]])-1))-FIND("-",Table4[[#This Row],[Latest Senate Action]])-1)</f>
        <v>110th</v>
      </c>
      <c r="J57" s="12" t="str">
        <f>RIGHT(Table4[[#This Row],[Latest Senate Action]],LEN(Table4[[#This Row],[Latest Senate Action]])-FIND(") - ",Table4[[#This Row],[Latest Senate Action]])-3)</f>
        <v xml:space="preserve">Resolution of advice and consent to ratification agreed to in Senate by Division Vote. (All Actions) </v>
      </c>
      <c r="K57" s="12" t="str">
        <f>INDEX(Table5[type],MATCH(Table4[[#This Row],[Action]],Table5[Action],0))</f>
        <v>Passed</v>
      </c>
      <c r="L57" s="22" t="b">
        <f>INDEX(Table1[Senate and President Same Party, House and President Different Party],MATCH(Table4[[#This Row],[Congress Acting]],Table1[Congress],0))</f>
        <v>0</v>
      </c>
    </row>
    <row r="58" spans="1:12" ht="141.75">
      <c r="A58" s="9" t="s">
        <v>280</v>
      </c>
      <c r="B58" t="s">
        <v>1243</v>
      </c>
      <c r="C58" s="9" t="s">
        <v>1244</v>
      </c>
      <c r="D58" s="13" t="s">
        <v>1245</v>
      </c>
      <c r="E58" s="9" t="s">
        <v>1246</v>
      </c>
      <c r="F5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58" s="9" t="s">
        <v>1101</v>
      </c>
      <c r="H58" s="9" t="s">
        <v>1247</v>
      </c>
      <c r="I58" s="12" t="str">
        <f>RIGHT(LEFT(Table4[[#This Row],[Latest Senate Action]],FIND(" Congress",Table4[[#This Row],[Latest Senate Action]])-1),LEN(LEFT(Table4[[#This Row],[Latest Senate Action]],FIND(" Congress",Table4[[#This Row],[Latest Senate Action]])-1))-FIND("-",Table4[[#This Row],[Latest Senate Action]])-1)</f>
        <v>110th</v>
      </c>
      <c r="J58" s="12" t="str">
        <f>RIGHT(Table4[[#This Row],[Latest Senate Action]],LEN(Table4[[#This Row],[Latest Senate Action]])-FIND(") - ",Table4[[#This Row],[Latest Senate Action]])-3)</f>
        <v xml:space="preserve">Resolution of advice and consent to ratification agreed to in Senate by Division Vote. (All Actions) </v>
      </c>
      <c r="K58" s="12" t="str">
        <f>INDEX(Table5[type],MATCH(Table4[[#This Row],[Action]],Table5[Action],0))</f>
        <v>Passed</v>
      </c>
      <c r="L58" s="22" t="b">
        <f>INDEX(Table1[Senate and President Same Party, House and President Different Party],MATCH(Table4[[#This Row],[Congress Acting]],Table1[Congress],0))</f>
        <v>0</v>
      </c>
    </row>
    <row r="59" spans="1:12" ht="157.5">
      <c r="A59" s="9" t="s">
        <v>281</v>
      </c>
      <c r="B59" t="s">
        <v>1248</v>
      </c>
      <c r="C59" s="9" t="s">
        <v>1249</v>
      </c>
      <c r="D59" s="13" t="s">
        <v>1250</v>
      </c>
      <c r="E59" s="9" t="s">
        <v>1246</v>
      </c>
      <c r="F5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59" s="9" t="s">
        <v>1101</v>
      </c>
      <c r="H59" s="9" t="s">
        <v>1247</v>
      </c>
      <c r="I59" s="12" t="str">
        <f>RIGHT(LEFT(Table4[[#This Row],[Latest Senate Action]],FIND(" Congress",Table4[[#This Row],[Latest Senate Action]])-1),LEN(LEFT(Table4[[#This Row],[Latest Senate Action]],FIND(" Congress",Table4[[#This Row],[Latest Senate Action]])-1))-FIND("-",Table4[[#This Row],[Latest Senate Action]])-1)</f>
        <v>110th</v>
      </c>
      <c r="J59" s="12" t="str">
        <f>RIGHT(Table4[[#This Row],[Latest Senate Action]],LEN(Table4[[#This Row],[Latest Senate Action]])-FIND(") - ",Table4[[#This Row],[Latest Senate Action]])-3)</f>
        <v xml:space="preserve">Resolution of advice and consent to ratification agreed to in Senate by Division Vote. (All Actions) </v>
      </c>
      <c r="K59" s="12" t="str">
        <f>INDEX(Table5[type],MATCH(Table4[[#This Row],[Action]],Table5[Action],0))</f>
        <v>Passed</v>
      </c>
      <c r="L59" s="22" t="b">
        <f>INDEX(Table1[Senate and President Same Party, House and President Different Party],MATCH(Table4[[#This Row],[Congress Acting]],Table1[Congress],0))</f>
        <v>0</v>
      </c>
    </row>
    <row r="60" spans="1:12" ht="204.75">
      <c r="A60" s="9" t="s">
        <v>282</v>
      </c>
      <c r="B60" t="s">
        <v>1251</v>
      </c>
      <c r="C60" s="9" t="s">
        <v>1252</v>
      </c>
      <c r="D60" s="13" t="s">
        <v>1253</v>
      </c>
      <c r="E60" s="9" t="s">
        <v>1194</v>
      </c>
      <c r="F60"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0" s="9" t="s">
        <v>1101</v>
      </c>
      <c r="H60" s="9" t="s">
        <v>1247</v>
      </c>
      <c r="I60" s="12" t="str">
        <f>RIGHT(LEFT(Table4[[#This Row],[Latest Senate Action]],FIND(" Congress",Table4[[#This Row],[Latest Senate Action]])-1),LEN(LEFT(Table4[[#This Row],[Latest Senate Action]],FIND(" Congress",Table4[[#This Row],[Latest Senate Action]])-1))-FIND("-",Table4[[#This Row],[Latest Senate Action]])-1)</f>
        <v>110th</v>
      </c>
      <c r="J60" s="12" t="str">
        <f>RIGHT(Table4[[#This Row],[Latest Senate Action]],LEN(Table4[[#This Row],[Latest Senate Action]])-FIND(") - ",Table4[[#This Row],[Latest Senate Action]])-3)</f>
        <v xml:space="preserve">Resolution of advice and consent to ratification agreed to in Senate by Division Vote. (All Actions) </v>
      </c>
      <c r="K60" s="12" t="str">
        <f>INDEX(Table5[type],MATCH(Table4[[#This Row],[Action]],Table5[Action],0))</f>
        <v>Passed</v>
      </c>
      <c r="L60" s="22" t="b">
        <f>INDEX(Table1[Senate and President Same Party, House and President Different Party],MATCH(Table4[[#This Row],[Congress Acting]],Table1[Congress],0))</f>
        <v>0</v>
      </c>
    </row>
    <row r="61" spans="1:12" ht="189">
      <c r="A61" s="9" t="s">
        <v>283</v>
      </c>
      <c r="B61" t="s">
        <v>1254</v>
      </c>
      <c r="C61" s="9" t="s">
        <v>1255</v>
      </c>
      <c r="D61" s="13" t="s">
        <v>1256</v>
      </c>
      <c r="E61" s="9" t="s">
        <v>1199</v>
      </c>
      <c r="F61"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61" s="9" t="s">
        <v>1013</v>
      </c>
      <c r="H61" s="9" t="s">
        <v>1247</v>
      </c>
      <c r="I61" s="12" t="str">
        <f>RIGHT(LEFT(Table4[[#This Row],[Latest Senate Action]],FIND(" Congress",Table4[[#This Row],[Latest Senate Action]])-1),LEN(LEFT(Table4[[#This Row],[Latest Senate Action]],FIND(" Congress",Table4[[#This Row],[Latest Senate Action]])-1))-FIND("-",Table4[[#This Row],[Latest Senate Action]])-1)</f>
        <v>110th</v>
      </c>
      <c r="J61" s="12" t="str">
        <f>RIGHT(Table4[[#This Row],[Latest Senate Action]],LEN(Table4[[#This Row],[Latest Senate Action]])-FIND(") - ",Table4[[#This Row],[Latest Senate Action]])-3)</f>
        <v xml:space="preserve">Resolution of advice and consent to ratification agreed to in Senate by Division Vote. (All Actions) </v>
      </c>
      <c r="K61" s="12" t="str">
        <f>INDEX(Table5[type],MATCH(Table4[[#This Row],[Action]],Table5[Action],0))</f>
        <v>Passed</v>
      </c>
      <c r="L61" s="22" t="b">
        <f>INDEX(Table1[Senate and President Same Party, House and President Different Party],MATCH(Table4[[#This Row],[Congress Acting]],Table1[Congress],0))</f>
        <v>0</v>
      </c>
    </row>
    <row r="62" spans="1:12" ht="173.25">
      <c r="A62" s="9" t="s">
        <v>284</v>
      </c>
      <c r="B62" t="s">
        <v>1257</v>
      </c>
      <c r="C62" s="9" t="s">
        <v>1258</v>
      </c>
      <c r="D62" s="13" t="s">
        <v>1259</v>
      </c>
      <c r="E62" s="9" t="s">
        <v>1260</v>
      </c>
      <c r="F62"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62" s="9" t="s">
        <v>1013</v>
      </c>
      <c r="H62" s="9" t="s">
        <v>1247</v>
      </c>
      <c r="I62" s="12" t="str">
        <f>RIGHT(LEFT(Table4[[#This Row],[Latest Senate Action]],FIND(" Congress",Table4[[#This Row],[Latest Senate Action]])-1),LEN(LEFT(Table4[[#This Row],[Latest Senate Action]],FIND(" Congress",Table4[[#This Row],[Latest Senate Action]])-1))-FIND("-",Table4[[#This Row],[Latest Senate Action]])-1)</f>
        <v>110th</v>
      </c>
      <c r="J62" s="12" t="str">
        <f>RIGHT(Table4[[#This Row],[Latest Senate Action]],LEN(Table4[[#This Row],[Latest Senate Action]])-FIND(") - ",Table4[[#This Row],[Latest Senate Action]])-3)</f>
        <v xml:space="preserve">Resolution of advice and consent to ratification agreed to in Senate by Division Vote. (All Actions) </v>
      </c>
      <c r="K62" s="12" t="str">
        <f>INDEX(Table5[type],MATCH(Table4[[#This Row],[Action]],Table5[Action],0))</f>
        <v>Passed</v>
      </c>
      <c r="L62" s="22" t="b">
        <f>INDEX(Table1[Senate and President Same Party, House and President Different Party],MATCH(Table4[[#This Row],[Congress Acting]],Table1[Congress],0))</f>
        <v>0</v>
      </c>
    </row>
    <row r="63" spans="1:12" ht="189">
      <c r="A63" s="9" t="s">
        <v>285</v>
      </c>
      <c r="B63" t="s">
        <v>1261</v>
      </c>
      <c r="C63" s="9" t="s">
        <v>1262</v>
      </c>
      <c r="D63" s="13" t="s">
        <v>1263</v>
      </c>
      <c r="E63" s="9" t="s">
        <v>1199</v>
      </c>
      <c r="F63"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63" s="9" t="s">
        <v>1013</v>
      </c>
      <c r="H63" s="9" t="s">
        <v>1247</v>
      </c>
      <c r="I63" s="12" t="str">
        <f>RIGHT(LEFT(Table4[[#This Row],[Latest Senate Action]],FIND(" Congress",Table4[[#This Row],[Latest Senate Action]])-1),LEN(LEFT(Table4[[#This Row],[Latest Senate Action]],FIND(" Congress",Table4[[#This Row],[Latest Senate Action]])-1))-FIND("-",Table4[[#This Row],[Latest Senate Action]])-1)</f>
        <v>110th</v>
      </c>
      <c r="J63" s="12" t="str">
        <f>RIGHT(Table4[[#This Row],[Latest Senate Action]],LEN(Table4[[#This Row],[Latest Senate Action]])-FIND(") - ",Table4[[#This Row],[Latest Senate Action]])-3)</f>
        <v xml:space="preserve">Resolution of advice and consent to ratification agreed to in Senate by Division Vote. (All Actions) </v>
      </c>
      <c r="K63" s="12" t="str">
        <f>INDEX(Table5[type],MATCH(Table4[[#This Row],[Action]],Table5[Action],0))</f>
        <v>Passed</v>
      </c>
      <c r="L63" s="22" t="b">
        <f>INDEX(Table1[Senate and President Same Party, House and President Different Party],MATCH(Table4[[#This Row],[Congress Acting]],Table1[Congress],0))</f>
        <v>0</v>
      </c>
    </row>
    <row r="64" spans="1:12" ht="157.5">
      <c r="A64" s="9" t="s">
        <v>286</v>
      </c>
      <c r="B64" t="s">
        <v>1264</v>
      </c>
      <c r="C64" s="9" t="s">
        <v>1265</v>
      </c>
      <c r="D64" s="13" t="s">
        <v>1266</v>
      </c>
      <c r="E64" s="9" t="s">
        <v>1267</v>
      </c>
      <c r="F64"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4" s="9" t="s">
        <v>1019</v>
      </c>
      <c r="H64" s="9" t="s">
        <v>1247</v>
      </c>
      <c r="I64" s="12" t="str">
        <f>RIGHT(LEFT(Table4[[#This Row],[Latest Senate Action]],FIND(" Congress",Table4[[#This Row],[Latest Senate Action]])-1),LEN(LEFT(Table4[[#This Row],[Latest Senate Action]],FIND(" Congress",Table4[[#This Row],[Latest Senate Action]])-1))-FIND("-",Table4[[#This Row],[Latest Senate Action]])-1)</f>
        <v>110th</v>
      </c>
      <c r="J64" s="12" t="str">
        <f>RIGHT(Table4[[#This Row],[Latest Senate Action]],LEN(Table4[[#This Row],[Latest Senate Action]])-FIND(") - ",Table4[[#This Row],[Latest Senate Action]])-3)</f>
        <v xml:space="preserve">Resolution of advice and consent to ratification agreed to in Senate by Division Vote. (All Actions) </v>
      </c>
      <c r="K64" s="12" t="str">
        <f>INDEX(Table5[type],MATCH(Table4[[#This Row],[Action]],Table5[Action],0))</f>
        <v>Passed</v>
      </c>
      <c r="L64" s="22" t="b">
        <f>INDEX(Table1[Senate and President Same Party, House and President Different Party],MATCH(Table4[[#This Row],[Congress Acting]],Table1[Congress],0))</f>
        <v>0</v>
      </c>
    </row>
    <row r="65" spans="1:12" ht="157.5">
      <c r="A65" s="9" t="s">
        <v>287</v>
      </c>
      <c r="B65" t="s">
        <v>1268</v>
      </c>
      <c r="C65" s="9" t="s">
        <v>1269</v>
      </c>
      <c r="D65" s="13" t="s">
        <v>1270</v>
      </c>
      <c r="E65" s="9" t="s">
        <v>1267</v>
      </c>
      <c r="F65"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5" s="9" t="s">
        <v>1028</v>
      </c>
      <c r="H65" s="9" t="s">
        <v>1247</v>
      </c>
      <c r="I65" s="12" t="str">
        <f>RIGHT(LEFT(Table4[[#This Row],[Latest Senate Action]],FIND(" Congress",Table4[[#This Row],[Latest Senate Action]])-1),LEN(LEFT(Table4[[#This Row],[Latest Senate Action]],FIND(" Congress",Table4[[#This Row],[Latest Senate Action]])-1))-FIND("-",Table4[[#This Row],[Latest Senate Action]])-1)</f>
        <v>110th</v>
      </c>
      <c r="J65" s="12" t="str">
        <f>RIGHT(Table4[[#This Row],[Latest Senate Action]],LEN(Table4[[#This Row],[Latest Senate Action]])-FIND(") - ",Table4[[#This Row],[Latest Senate Action]])-3)</f>
        <v xml:space="preserve">Resolution of advice and consent to ratification agreed to in Senate by Division Vote. (All Actions) </v>
      </c>
      <c r="K65" s="12" t="str">
        <f>INDEX(Table5[type],MATCH(Table4[[#This Row],[Action]],Table5[Action],0))</f>
        <v>Passed</v>
      </c>
      <c r="L65" s="22" t="b">
        <f>INDEX(Table1[Senate and President Same Party, House and President Different Party],MATCH(Table4[[#This Row],[Congress Acting]],Table1[Congress],0))</f>
        <v>0</v>
      </c>
    </row>
    <row r="66" spans="1:12" ht="157.5">
      <c r="A66" s="9" t="s">
        <v>288</v>
      </c>
      <c r="B66" t="s">
        <v>1271</v>
      </c>
      <c r="C66" s="9" t="s">
        <v>1272</v>
      </c>
      <c r="D66" s="13" t="s">
        <v>1273</v>
      </c>
      <c r="E66" s="9" t="s">
        <v>1274</v>
      </c>
      <c r="F66"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6" s="9" t="s">
        <v>1013</v>
      </c>
      <c r="H66" s="9" t="s">
        <v>1247</v>
      </c>
      <c r="I66" s="12" t="str">
        <f>RIGHT(LEFT(Table4[[#This Row],[Latest Senate Action]],FIND(" Congress",Table4[[#This Row],[Latest Senate Action]])-1),LEN(LEFT(Table4[[#This Row],[Latest Senate Action]],FIND(" Congress",Table4[[#This Row],[Latest Senate Action]])-1))-FIND("-",Table4[[#This Row],[Latest Senate Action]])-1)</f>
        <v>110th</v>
      </c>
      <c r="J66" s="12" t="str">
        <f>RIGHT(Table4[[#This Row],[Latest Senate Action]],LEN(Table4[[#This Row],[Latest Senate Action]])-FIND(") - ",Table4[[#This Row],[Latest Senate Action]])-3)</f>
        <v xml:space="preserve">Resolution of advice and consent to ratification agreed to in Senate by Division Vote. (All Actions) </v>
      </c>
      <c r="K66" s="12" t="str">
        <f>INDEX(Table5[type],MATCH(Table4[[#This Row],[Action]],Table5[Action],0))</f>
        <v>Passed</v>
      </c>
      <c r="L66" s="22" t="b">
        <f>INDEX(Table1[Senate and President Same Party, House and President Different Party],MATCH(Table4[[#This Row],[Congress Acting]],Table1[Congress],0))</f>
        <v>0</v>
      </c>
    </row>
    <row r="67" spans="1:12" ht="157.5">
      <c r="A67" s="9" t="s">
        <v>289</v>
      </c>
      <c r="B67" t="s">
        <v>1275</v>
      </c>
      <c r="C67" s="9" t="s">
        <v>1276</v>
      </c>
      <c r="D67" s="13" t="s">
        <v>1277</v>
      </c>
      <c r="E67" s="9" t="s">
        <v>1278</v>
      </c>
      <c r="F67"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67" s="9" t="s">
        <v>1063</v>
      </c>
      <c r="H67" s="9" t="s">
        <v>1247</v>
      </c>
      <c r="I67" s="12" t="str">
        <f>RIGHT(LEFT(Table4[[#This Row],[Latest Senate Action]],FIND(" Congress",Table4[[#This Row],[Latest Senate Action]])-1),LEN(LEFT(Table4[[#This Row],[Latest Senate Action]],FIND(" Congress",Table4[[#This Row],[Latest Senate Action]])-1))-FIND("-",Table4[[#This Row],[Latest Senate Action]])-1)</f>
        <v>110th</v>
      </c>
      <c r="J67" s="12" t="str">
        <f>RIGHT(Table4[[#This Row],[Latest Senate Action]],LEN(Table4[[#This Row],[Latest Senate Action]])-FIND(") - ",Table4[[#This Row],[Latest Senate Action]])-3)</f>
        <v xml:space="preserve">Resolution of advice and consent to ratification agreed to in Senate by Division Vote. (All Actions) </v>
      </c>
      <c r="K67" s="12" t="str">
        <f>INDEX(Table5[type],MATCH(Table4[[#This Row],[Action]],Table5[Action],0))</f>
        <v>Passed</v>
      </c>
      <c r="L67" s="22" t="b">
        <f>INDEX(Table1[Senate and President Same Party, House and President Different Party],MATCH(Table4[[#This Row],[Congress Acting]],Table1[Congress],0))</f>
        <v>0</v>
      </c>
    </row>
    <row r="68" spans="1:12" ht="157.5">
      <c r="A68" s="9" t="s">
        <v>290</v>
      </c>
      <c r="B68" t="s">
        <v>1279</v>
      </c>
      <c r="C68" s="9" t="s">
        <v>1280</v>
      </c>
      <c r="D68" s="13" t="s">
        <v>1281</v>
      </c>
      <c r="E68" s="9" t="s">
        <v>1274</v>
      </c>
      <c r="F68"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8" s="9" t="s">
        <v>1013</v>
      </c>
      <c r="H68" s="9" t="s">
        <v>1247</v>
      </c>
      <c r="I68" s="12" t="str">
        <f>RIGHT(LEFT(Table4[[#This Row],[Latest Senate Action]],FIND(" Congress",Table4[[#This Row],[Latest Senate Action]])-1),LEN(LEFT(Table4[[#This Row],[Latest Senate Action]],FIND(" Congress",Table4[[#This Row],[Latest Senate Action]])-1))-FIND("-",Table4[[#This Row],[Latest Senate Action]])-1)</f>
        <v>110th</v>
      </c>
      <c r="J68" s="12" t="str">
        <f>RIGHT(Table4[[#This Row],[Latest Senate Action]],LEN(Table4[[#This Row],[Latest Senate Action]])-FIND(") - ",Table4[[#This Row],[Latest Senate Action]])-3)</f>
        <v xml:space="preserve">Resolution of advice and consent to ratification agreed to in Senate by Division Vote. (All Actions) </v>
      </c>
      <c r="K68" s="12" t="str">
        <f>INDEX(Table5[type],MATCH(Table4[[#This Row],[Action]],Table5[Action],0))</f>
        <v>Passed</v>
      </c>
      <c r="L68" s="22" t="b">
        <f>INDEX(Table1[Senate and President Same Party, House and President Different Party],MATCH(Table4[[#This Row],[Congress Acting]],Table1[Congress],0))</f>
        <v>0</v>
      </c>
    </row>
    <row r="69" spans="1:12" ht="157.5">
      <c r="A69" s="9" t="s">
        <v>291</v>
      </c>
      <c r="B69" t="s">
        <v>1282</v>
      </c>
      <c r="C69" s="9" t="s">
        <v>1283</v>
      </c>
      <c r="D69" s="13" t="s">
        <v>1284</v>
      </c>
      <c r="E69" s="9" t="s">
        <v>1274</v>
      </c>
      <c r="F69"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69" s="9" t="s">
        <v>1013</v>
      </c>
      <c r="H69" s="9" t="s">
        <v>1247</v>
      </c>
      <c r="I69" s="12" t="str">
        <f>RIGHT(LEFT(Table4[[#This Row],[Latest Senate Action]],FIND(" Congress",Table4[[#This Row],[Latest Senate Action]])-1),LEN(LEFT(Table4[[#This Row],[Latest Senate Action]],FIND(" Congress",Table4[[#This Row],[Latest Senate Action]])-1))-FIND("-",Table4[[#This Row],[Latest Senate Action]])-1)</f>
        <v>110th</v>
      </c>
      <c r="J69" s="12" t="str">
        <f>RIGHT(Table4[[#This Row],[Latest Senate Action]],LEN(Table4[[#This Row],[Latest Senate Action]])-FIND(") - ",Table4[[#This Row],[Latest Senate Action]])-3)</f>
        <v xml:space="preserve">Resolution of advice and consent to ratification agreed to in Senate by Division Vote. (All Actions) </v>
      </c>
      <c r="K69" s="12" t="str">
        <f>INDEX(Table5[type],MATCH(Table4[[#This Row],[Action]],Table5[Action],0))</f>
        <v>Passed</v>
      </c>
      <c r="L69" s="22" t="b">
        <f>INDEX(Table1[Senate and President Same Party, House and President Different Party],MATCH(Table4[[#This Row],[Congress Acting]],Table1[Congress],0))</f>
        <v>0</v>
      </c>
    </row>
    <row r="70" spans="1:12" ht="157.5">
      <c r="A70" s="9" t="s">
        <v>292</v>
      </c>
      <c r="B70" t="s">
        <v>1285</v>
      </c>
      <c r="C70" s="9" t="s">
        <v>1286</v>
      </c>
      <c r="D70" s="13" t="s">
        <v>1287</v>
      </c>
      <c r="E70" s="9" t="s">
        <v>1288</v>
      </c>
      <c r="F70"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70" s="9" t="s">
        <v>997</v>
      </c>
      <c r="H70" s="9" t="s">
        <v>1247</v>
      </c>
      <c r="I70" s="12" t="str">
        <f>RIGHT(LEFT(Table4[[#This Row],[Latest Senate Action]],FIND(" Congress",Table4[[#This Row],[Latest Senate Action]])-1),LEN(LEFT(Table4[[#This Row],[Latest Senate Action]],FIND(" Congress",Table4[[#This Row],[Latest Senate Action]])-1))-FIND("-",Table4[[#This Row],[Latest Senate Action]])-1)</f>
        <v>110th</v>
      </c>
      <c r="J70" s="12" t="str">
        <f>RIGHT(Table4[[#This Row],[Latest Senate Action]],LEN(Table4[[#This Row],[Latest Senate Action]])-FIND(") - ",Table4[[#This Row],[Latest Senate Action]])-3)</f>
        <v xml:space="preserve">Resolution of advice and consent to ratification agreed to in Senate by Division Vote. (All Actions) </v>
      </c>
      <c r="K70" s="12" t="str">
        <f>INDEX(Table5[type],MATCH(Table4[[#This Row],[Action]],Table5[Action],0))</f>
        <v>Passed</v>
      </c>
      <c r="L70" s="22" t="b">
        <f>INDEX(Table1[Senate and President Same Party, House and President Different Party],MATCH(Table4[[#This Row],[Congress Acting]],Table1[Congress],0))</f>
        <v>0</v>
      </c>
    </row>
    <row r="71" spans="1:12" ht="141.75">
      <c r="A71" s="9" t="s">
        <v>293</v>
      </c>
      <c r="B71" t="s">
        <v>1289</v>
      </c>
      <c r="C71" s="9" t="s">
        <v>1290</v>
      </c>
      <c r="D71" s="13" t="s">
        <v>1291</v>
      </c>
      <c r="E71" s="9" t="s">
        <v>1292</v>
      </c>
      <c r="F71"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71" s="9" t="s">
        <v>1063</v>
      </c>
      <c r="H71" s="9" t="s">
        <v>1247</v>
      </c>
      <c r="I71" s="12" t="str">
        <f>RIGHT(LEFT(Table4[[#This Row],[Latest Senate Action]],FIND(" Congress",Table4[[#This Row],[Latest Senate Action]])-1),LEN(LEFT(Table4[[#This Row],[Latest Senate Action]],FIND(" Congress",Table4[[#This Row],[Latest Senate Action]])-1))-FIND("-",Table4[[#This Row],[Latest Senate Action]])-1)</f>
        <v>110th</v>
      </c>
      <c r="J71" s="12" t="str">
        <f>RIGHT(Table4[[#This Row],[Latest Senate Action]],LEN(Table4[[#This Row],[Latest Senate Action]])-FIND(") - ",Table4[[#This Row],[Latest Senate Action]])-3)</f>
        <v xml:space="preserve">Resolution of advice and consent to ratification agreed to in Senate by Division Vote. (All Actions) </v>
      </c>
      <c r="K71" s="12" t="str">
        <f>INDEX(Table5[type],MATCH(Table4[[#This Row],[Action]],Table5[Action],0))</f>
        <v>Passed</v>
      </c>
      <c r="L71" s="22" t="b">
        <f>INDEX(Table1[Senate and President Same Party, House and President Different Party],MATCH(Table4[[#This Row],[Congress Acting]],Table1[Congress],0))</f>
        <v>0</v>
      </c>
    </row>
    <row r="72" spans="1:12" ht="157.5">
      <c r="A72" s="9" t="s">
        <v>294</v>
      </c>
      <c r="B72" t="s">
        <v>1293</v>
      </c>
      <c r="C72" s="9" t="s">
        <v>1294</v>
      </c>
      <c r="D72" s="13" t="s">
        <v>1295</v>
      </c>
      <c r="E72" s="9" t="s">
        <v>1296</v>
      </c>
      <c r="F72"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72" s="9" t="s">
        <v>1063</v>
      </c>
      <c r="H72" s="9" t="s">
        <v>1247</v>
      </c>
      <c r="I72" s="12" t="str">
        <f>RIGHT(LEFT(Table4[[#This Row],[Latest Senate Action]],FIND(" Congress",Table4[[#This Row],[Latest Senate Action]])-1),LEN(LEFT(Table4[[#This Row],[Latest Senate Action]],FIND(" Congress",Table4[[#This Row],[Latest Senate Action]])-1))-FIND("-",Table4[[#This Row],[Latest Senate Action]])-1)</f>
        <v>110th</v>
      </c>
      <c r="J72" s="12" t="str">
        <f>RIGHT(Table4[[#This Row],[Latest Senate Action]],LEN(Table4[[#This Row],[Latest Senate Action]])-FIND(") - ",Table4[[#This Row],[Latest Senate Action]])-3)</f>
        <v xml:space="preserve">Resolution of advice and consent to ratification agreed to in Senate by Division Vote. (All Actions) </v>
      </c>
      <c r="K72" s="12" t="str">
        <f>INDEX(Table5[type],MATCH(Table4[[#This Row],[Action]],Table5[Action],0))</f>
        <v>Passed</v>
      </c>
      <c r="L72" s="22" t="b">
        <f>INDEX(Table1[Senate and President Same Party, House and President Different Party],MATCH(Table4[[#This Row],[Congress Acting]],Table1[Congress],0))</f>
        <v>0</v>
      </c>
    </row>
    <row r="73" spans="1:12" ht="141.75">
      <c r="A73" s="9" t="s">
        <v>295</v>
      </c>
      <c r="B73" t="s">
        <v>1297</v>
      </c>
      <c r="C73" s="9" t="s">
        <v>1298</v>
      </c>
      <c r="D73" s="13" t="s">
        <v>1299</v>
      </c>
      <c r="E73" s="9" t="s">
        <v>4257</v>
      </c>
      <c r="F73"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H73" s="9" t="s">
        <v>1247</v>
      </c>
      <c r="I73" s="12" t="str">
        <f>RIGHT(LEFT(Table4[[#This Row],[Latest Senate Action]],FIND(" Congress",Table4[[#This Row],[Latest Senate Action]])-1),LEN(LEFT(Table4[[#This Row],[Latest Senate Action]],FIND(" Congress",Table4[[#This Row],[Latest Senate Action]])-1))-FIND("-",Table4[[#This Row],[Latest Senate Action]])-1)</f>
        <v>110th</v>
      </c>
      <c r="J73" s="12" t="str">
        <f>RIGHT(Table4[[#This Row],[Latest Senate Action]],LEN(Table4[[#This Row],[Latest Senate Action]])-FIND(") - ",Table4[[#This Row],[Latest Senate Action]])-3)</f>
        <v xml:space="preserve">Resolution of advice and consent to ratification agreed to in Senate by Division Vote. (All Actions) </v>
      </c>
      <c r="K73" s="12" t="str">
        <f>INDEX(Table5[type],MATCH(Table4[[#This Row],[Action]],Table5[Action],0))</f>
        <v>Passed</v>
      </c>
      <c r="L73" s="22" t="b">
        <f>INDEX(Table1[Senate and President Same Party, House and President Different Party],MATCH(Table4[[#This Row],[Congress Acting]],Table1[Congress],0))</f>
        <v>0</v>
      </c>
    </row>
    <row r="74" spans="1:12" ht="157.5">
      <c r="A74" s="9" t="s">
        <v>296</v>
      </c>
      <c r="B74" t="s">
        <v>1300</v>
      </c>
      <c r="C74" s="9" t="s">
        <v>1301</v>
      </c>
      <c r="D74" s="13" t="s">
        <v>1302</v>
      </c>
      <c r="E74" s="9" t="s">
        <v>1303</v>
      </c>
      <c r="F74"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74" s="9" t="s">
        <v>1043</v>
      </c>
      <c r="H74" s="9" t="s">
        <v>1247</v>
      </c>
      <c r="I74" s="12" t="str">
        <f>RIGHT(LEFT(Table4[[#This Row],[Latest Senate Action]],FIND(" Congress",Table4[[#This Row],[Latest Senate Action]])-1),LEN(LEFT(Table4[[#This Row],[Latest Senate Action]],FIND(" Congress",Table4[[#This Row],[Latest Senate Action]])-1))-FIND("-",Table4[[#This Row],[Latest Senate Action]])-1)</f>
        <v>110th</v>
      </c>
      <c r="J74" s="12" t="str">
        <f>RIGHT(Table4[[#This Row],[Latest Senate Action]],LEN(Table4[[#This Row],[Latest Senate Action]])-FIND(") - ",Table4[[#This Row],[Latest Senate Action]])-3)</f>
        <v xml:space="preserve">Resolution of advice and consent to ratification agreed to in Senate by Division Vote. (All Actions) </v>
      </c>
      <c r="K74" s="12" t="str">
        <f>INDEX(Table5[type],MATCH(Table4[[#This Row],[Action]],Table5[Action],0))</f>
        <v>Passed</v>
      </c>
      <c r="L74" s="22" t="b">
        <f>INDEX(Table1[Senate and President Same Party, House and President Different Party],MATCH(Table4[[#This Row],[Congress Acting]],Table1[Congress],0))</f>
        <v>0</v>
      </c>
    </row>
    <row r="75" spans="1:12" ht="173.25">
      <c r="A75" s="9" t="s">
        <v>297</v>
      </c>
      <c r="B75" t="s">
        <v>1304</v>
      </c>
      <c r="C75" s="9" t="s">
        <v>1305</v>
      </c>
      <c r="D75" s="13" t="s">
        <v>1306</v>
      </c>
      <c r="E75" s="9" t="s">
        <v>1307</v>
      </c>
      <c r="F75"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75" s="9" t="s">
        <v>1038</v>
      </c>
      <c r="H75" s="9" t="s">
        <v>1308</v>
      </c>
      <c r="I75" s="12" t="str">
        <f>RIGHT(LEFT(Table4[[#This Row],[Latest Senate Action]],FIND(" Congress",Table4[[#This Row],[Latest Senate Action]])-1),LEN(LEFT(Table4[[#This Row],[Latest Senate Action]],FIND(" Congress",Table4[[#This Row],[Latest Senate Action]])-1))-FIND("-",Table4[[#This Row],[Latest Senate Action]])-1)</f>
        <v>110th</v>
      </c>
      <c r="J75" s="12" t="str">
        <f>RIGHT(Table4[[#This Row],[Latest Senate Action]],LEN(Table4[[#This Row],[Latest Senate Action]])-FIND(") - ",Table4[[#This Row],[Latest Senate Action]])-3)</f>
        <v xml:space="preserve">Resolution of advice and consent to ratification agreed to in Senate by Division Vote. (All Actions) </v>
      </c>
      <c r="K75" s="12" t="str">
        <f>INDEX(Table5[type],MATCH(Table4[[#This Row],[Action]],Table5[Action],0))</f>
        <v>Passed</v>
      </c>
      <c r="L75" s="22" t="b">
        <f>INDEX(Table1[Senate and President Same Party, House and President Different Party],MATCH(Table4[[#This Row],[Congress Acting]],Table1[Congress],0))</f>
        <v>0</v>
      </c>
    </row>
    <row r="76" spans="1:12" ht="157.5">
      <c r="A76" s="9" t="s">
        <v>298</v>
      </c>
      <c r="B76" t="s">
        <v>1309</v>
      </c>
      <c r="C76" s="9" t="s">
        <v>1310</v>
      </c>
      <c r="D76" s="13" t="s">
        <v>1311</v>
      </c>
      <c r="E76" s="9" t="s">
        <v>1312</v>
      </c>
      <c r="F76"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76" s="9" t="s">
        <v>1313</v>
      </c>
      <c r="H76" s="9" t="s">
        <v>1308</v>
      </c>
      <c r="I76" s="12" t="str">
        <f>RIGHT(LEFT(Table4[[#This Row],[Latest Senate Action]],FIND(" Congress",Table4[[#This Row],[Latest Senate Action]])-1),LEN(LEFT(Table4[[#This Row],[Latest Senate Action]],FIND(" Congress",Table4[[#This Row],[Latest Senate Action]])-1))-FIND("-",Table4[[#This Row],[Latest Senate Action]])-1)</f>
        <v>110th</v>
      </c>
      <c r="J76" s="12" t="str">
        <f>RIGHT(Table4[[#This Row],[Latest Senate Action]],LEN(Table4[[#This Row],[Latest Senate Action]])-FIND(") - ",Table4[[#This Row],[Latest Senate Action]])-3)</f>
        <v xml:space="preserve">Resolution of advice and consent to ratification agreed to in Senate by Division Vote. (All Actions) </v>
      </c>
      <c r="K76" s="12" t="str">
        <f>INDEX(Table5[type],MATCH(Table4[[#This Row],[Action]],Table5[Action],0))</f>
        <v>Passed</v>
      </c>
      <c r="L76" s="22" t="b">
        <f>INDEX(Table1[Senate and President Same Party, House and President Different Party],MATCH(Table4[[#This Row],[Congress Acting]],Table1[Congress],0))</f>
        <v>0</v>
      </c>
    </row>
    <row r="77" spans="1:12" ht="173.25">
      <c r="A77" s="9" t="s">
        <v>299</v>
      </c>
      <c r="B77" t="s">
        <v>1314</v>
      </c>
      <c r="C77" s="9" t="s">
        <v>1315</v>
      </c>
      <c r="D77" s="13" t="s">
        <v>1316</v>
      </c>
      <c r="E77" s="9" t="s">
        <v>1214</v>
      </c>
      <c r="F77"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77" s="9" t="s">
        <v>1164</v>
      </c>
      <c r="H77" s="9" t="s">
        <v>1317</v>
      </c>
      <c r="I77" s="12" t="str">
        <f>RIGHT(LEFT(Table4[[#This Row],[Latest Senate Action]],FIND(" Congress",Table4[[#This Row],[Latest Senate Action]])-1),LEN(LEFT(Table4[[#This Row],[Latest Senate Action]],FIND(" Congress",Table4[[#This Row],[Latest Senate Action]])-1))-FIND("-",Table4[[#This Row],[Latest Senate Action]])-1)</f>
        <v>110th</v>
      </c>
      <c r="J77" s="12" t="str">
        <f>RIGHT(Table4[[#This Row],[Latest Senate Action]],LEN(Table4[[#This Row],[Latest Senate Action]])-FIND(") - ",Table4[[#This Row],[Latest Senate Action]])-3)</f>
        <v xml:space="preserve">Committee on Foreign Relations. Treaty divided into 2 treaties. 106-1A - the Hague Covention and 106-1B the Hague Protocol. (All Actions) </v>
      </c>
      <c r="K77" s="12" t="str">
        <f>INDEX(Table5[type],MATCH(Table4[[#This Row],[Action]],Table5[Action],0))</f>
        <v>Not Passed - Divided into new treaties</v>
      </c>
      <c r="L77" s="22" t="b">
        <f>INDEX(Table1[Senate and President Same Party, House and President Different Party],MATCH(Table4[[#This Row],[Congress Acting]],Table1[Congress],0))</f>
        <v>0</v>
      </c>
    </row>
    <row r="78" spans="1:12" ht="141.75">
      <c r="A78" s="9" t="s">
        <v>300</v>
      </c>
      <c r="B78" t="s">
        <v>1318</v>
      </c>
      <c r="C78" s="9" t="s">
        <v>1319</v>
      </c>
      <c r="D78" s="13" t="s">
        <v>1320</v>
      </c>
      <c r="E78" s="9" t="s">
        <v>1321</v>
      </c>
      <c r="F78"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78" s="9" t="s">
        <v>1063</v>
      </c>
      <c r="H78" s="9" t="s">
        <v>1322</v>
      </c>
      <c r="I78" s="12" t="str">
        <f>RIGHT(LEFT(Table4[[#This Row],[Latest Senate Action]],FIND(" Congress",Table4[[#This Row],[Latest Senate Action]])-1),LEN(LEFT(Table4[[#This Row],[Latest Senate Action]],FIND(" Congress",Table4[[#This Row],[Latest Senate Action]])-1))-FIND("-",Table4[[#This Row],[Latest Senate Action]])-1)</f>
        <v>110th</v>
      </c>
      <c r="J78" s="12" t="str">
        <f>RIGHT(Table4[[#This Row],[Latest Senate Action]],LEN(Table4[[#This Row],[Latest Senate Action]])-FIND(") - ",Table4[[#This Row],[Latest Senate Action]])-3)</f>
        <v xml:space="preserve">Resolution of advice and consent to ratification agreed to in Senate by Division Vote. (All Actions) </v>
      </c>
      <c r="K78" s="12" t="str">
        <f>INDEX(Table5[type],MATCH(Table4[[#This Row],[Action]],Table5[Action],0))</f>
        <v>Passed</v>
      </c>
      <c r="L78" s="22" t="b">
        <f>INDEX(Table1[Senate and President Same Party, House and President Different Party],MATCH(Table4[[#This Row],[Congress Acting]],Table1[Congress],0))</f>
        <v>0</v>
      </c>
    </row>
    <row r="79" spans="1:12" ht="157.5">
      <c r="A79" s="9" t="s">
        <v>301</v>
      </c>
      <c r="B79" t="s">
        <v>1323</v>
      </c>
      <c r="C79" s="9" t="s">
        <v>1324</v>
      </c>
      <c r="D79" s="13" t="s">
        <v>1325</v>
      </c>
      <c r="E79" s="9" t="s">
        <v>1274</v>
      </c>
      <c r="F79"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79" s="9" t="s">
        <v>1063</v>
      </c>
      <c r="H79" s="9" t="s">
        <v>1322</v>
      </c>
      <c r="I79" s="12" t="str">
        <f>RIGHT(LEFT(Table4[[#This Row],[Latest Senate Action]],FIND(" Congress",Table4[[#This Row],[Latest Senate Action]])-1),LEN(LEFT(Table4[[#This Row],[Latest Senate Action]],FIND(" Congress",Table4[[#This Row],[Latest Senate Action]])-1))-FIND("-",Table4[[#This Row],[Latest Senate Action]])-1)</f>
        <v>110th</v>
      </c>
      <c r="J79" s="12" t="str">
        <f>RIGHT(Table4[[#This Row],[Latest Senate Action]],LEN(Table4[[#This Row],[Latest Senate Action]])-FIND(") - ",Table4[[#This Row],[Latest Senate Action]])-3)</f>
        <v xml:space="preserve">Resolution of advice and consent to ratification agreed to in Senate by Division Vote. (All Actions) </v>
      </c>
      <c r="K79" s="12" t="str">
        <f>INDEX(Table5[type],MATCH(Table4[[#This Row],[Action]],Table5[Action],0))</f>
        <v>Passed</v>
      </c>
      <c r="L79" s="22" t="b">
        <f>INDEX(Table1[Senate and President Same Party, House and President Different Party],MATCH(Table4[[#This Row],[Congress Acting]],Table1[Congress],0))</f>
        <v>0</v>
      </c>
    </row>
    <row r="80" spans="1:12" ht="157.5">
      <c r="A80" s="9" t="s">
        <v>302</v>
      </c>
      <c r="B80" t="s">
        <v>1326</v>
      </c>
      <c r="C80" s="9" t="s">
        <v>1327</v>
      </c>
      <c r="D80" s="13" t="s">
        <v>1328</v>
      </c>
      <c r="E80" s="9" t="s">
        <v>1329</v>
      </c>
      <c r="F80" t="str">
        <f>RIGHT(LEFT(Table4[[#This Row],[Date Received from President]],FIND(" Congress",Table4[[#This Row],[Date Received from President]])-1),LEN(LEFT(Table4[[#This Row],[Date Received from President]],FIND(" Congress",Table4[[#This Row],[Date Received from President]])-1))-FIND("-",Table4[[#This Row],[Date Received from President]])-1)</f>
        <v>110th</v>
      </c>
      <c r="G80" s="9" t="s">
        <v>1330</v>
      </c>
      <c r="H80" s="9" t="s">
        <v>1331</v>
      </c>
      <c r="I80" s="12" t="str">
        <f>RIGHT(LEFT(Table4[[#This Row],[Latest Senate Action]],FIND(" Congress",Table4[[#This Row],[Latest Senate Action]])-1),LEN(LEFT(Table4[[#This Row],[Latest Senate Action]],FIND(" Congress",Table4[[#This Row],[Latest Senate Action]])-1))-FIND("-",Table4[[#This Row],[Latest Senate Action]])-1)</f>
        <v>110th</v>
      </c>
      <c r="J80" s="12" t="str">
        <f>RIGHT(Table4[[#This Row],[Latest Senate Action]],LEN(Table4[[#This Row],[Latest Senate Action]])-FIND(") - ",Table4[[#This Row],[Latest Senate Action]])-3)</f>
        <v xml:space="preserve">Resolution of advice and consent to ratification agreed to in Senate by Division Vote. (All Actions) </v>
      </c>
      <c r="K80" s="12" t="str">
        <f>INDEX(Table5[type],MATCH(Table4[[#This Row],[Action]],Table5[Action],0))</f>
        <v>Passed</v>
      </c>
      <c r="L80" s="22" t="b">
        <f>INDEX(Table1[Senate and President Same Party, House and President Different Party],MATCH(Table4[[#This Row],[Congress Acting]],Table1[Congress],0))</f>
        <v>0</v>
      </c>
    </row>
    <row r="81" spans="1:12" ht="173.25">
      <c r="A81" s="9" t="s">
        <v>303</v>
      </c>
      <c r="B81" t="s">
        <v>1332</v>
      </c>
      <c r="C81" s="9" t="s">
        <v>1333</v>
      </c>
      <c r="D81" s="13" t="s">
        <v>1334</v>
      </c>
      <c r="E81" s="9" t="s">
        <v>1335</v>
      </c>
      <c r="F81"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1" s="9" t="s">
        <v>1048</v>
      </c>
      <c r="H81" s="9" t="s">
        <v>1331</v>
      </c>
      <c r="I81" s="12" t="str">
        <f>RIGHT(LEFT(Table4[[#This Row],[Latest Senate Action]],FIND(" Congress",Table4[[#This Row],[Latest Senate Action]])-1),LEN(LEFT(Table4[[#This Row],[Latest Senate Action]],FIND(" Congress",Table4[[#This Row],[Latest Senate Action]])-1))-FIND("-",Table4[[#This Row],[Latest Senate Action]])-1)</f>
        <v>110th</v>
      </c>
      <c r="J81" s="12" t="str">
        <f>RIGHT(Table4[[#This Row],[Latest Senate Action]],LEN(Table4[[#This Row],[Latest Senate Action]])-FIND(") - ",Table4[[#This Row],[Latest Senate Action]])-3)</f>
        <v xml:space="preserve">Resolution of advice and consent to ratification agreed to in Senate by Division Vote. (All Actions) </v>
      </c>
      <c r="K81" s="12" t="str">
        <f>INDEX(Table5[type],MATCH(Table4[[#This Row],[Action]],Table5[Action],0))</f>
        <v>Passed</v>
      </c>
      <c r="L81" s="22" t="b">
        <f>INDEX(Table1[Senate and President Same Party, House and President Different Party],MATCH(Table4[[#This Row],[Congress Acting]],Table1[Congress],0))</f>
        <v>0</v>
      </c>
    </row>
    <row r="82" spans="1:12" ht="173.25">
      <c r="A82" s="9" t="s">
        <v>304</v>
      </c>
      <c r="B82" t="s">
        <v>1336</v>
      </c>
      <c r="C82" s="9" t="s">
        <v>1337</v>
      </c>
      <c r="D82" s="13" t="s">
        <v>1338</v>
      </c>
      <c r="E82" s="9" t="s">
        <v>1339</v>
      </c>
      <c r="F82"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2" s="9" t="s">
        <v>1164</v>
      </c>
      <c r="H82" s="9" t="s">
        <v>1331</v>
      </c>
      <c r="I82" s="12" t="str">
        <f>RIGHT(LEFT(Table4[[#This Row],[Latest Senate Action]],FIND(" Congress",Table4[[#This Row],[Latest Senate Action]])-1),LEN(LEFT(Table4[[#This Row],[Latest Senate Action]],FIND(" Congress",Table4[[#This Row],[Latest Senate Action]])-1))-FIND("-",Table4[[#This Row],[Latest Senate Action]])-1)</f>
        <v>110th</v>
      </c>
      <c r="J82" s="12" t="str">
        <f>RIGHT(Table4[[#This Row],[Latest Senate Action]],LEN(Table4[[#This Row],[Latest Senate Action]])-FIND(") - ",Table4[[#This Row],[Latest Senate Action]])-3)</f>
        <v xml:space="preserve">Resolution of advice and consent to ratification agreed to in Senate by Division Vote. (All Actions) </v>
      </c>
      <c r="K82" s="12" t="str">
        <f>INDEX(Table5[type],MATCH(Table4[[#This Row],[Action]],Table5[Action],0))</f>
        <v>Passed</v>
      </c>
      <c r="L82" s="22" t="b">
        <f>INDEX(Table1[Senate and President Same Party, House and President Different Party],MATCH(Table4[[#This Row],[Congress Acting]],Table1[Congress],0))</f>
        <v>0</v>
      </c>
    </row>
    <row r="83" spans="1:12" ht="157.5">
      <c r="A83" s="9" t="s">
        <v>305</v>
      </c>
      <c r="B83" t="s">
        <v>1340</v>
      </c>
      <c r="C83" s="9" t="s">
        <v>1341</v>
      </c>
      <c r="D83" s="13" t="s">
        <v>1342</v>
      </c>
      <c r="E83" s="9" t="s">
        <v>1274</v>
      </c>
      <c r="F83"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3" s="9" t="s">
        <v>1063</v>
      </c>
      <c r="H83" s="9" t="s">
        <v>1343</v>
      </c>
      <c r="I83" s="12" t="str">
        <f>RIGHT(LEFT(Table4[[#This Row],[Latest Senate Action]],FIND(" Congress",Table4[[#This Row],[Latest Senate Action]])-1),LEN(LEFT(Table4[[#This Row],[Latest Senate Action]],FIND(" Congress",Table4[[#This Row],[Latest Senate Action]])-1))-FIND("-",Table4[[#This Row],[Latest Senate Action]])-1)</f>
        <v>110th</v>
      </c>
      <c r="J83" s="12" t="str">
        <f>RIGHT(Table4[[#This Row],[Latest Senate Action]],LEN(Table4[[#This Row],[Latest Senate Action]])-FIND(") - ",Table4[[#This Row],[Latest Senate Action]])-3)</f>
        <v xml:space="preserve">Resolution of advice and consent to ratification agreed to in Senate by Division Vote. (All Actions) </v>
      </c>
      <c r="K83" s="12" t="str">
        <f>INDEX(Table5[type],MATCH(Table4[[#This Row],[Action]],Table5[Action],0))</f>
        <v>Passed</v>
      </c>
      <c r="L83" s="22" t="b">
        <f>INDEX(Table1[Senate and President Same Party, House and President Different Party],MATCH(Table4[[#This Row],[Congress Acting]],Table1[Congress],0))</f>
        <v>0</v>
      </c>
    </row>
    <row r="84" spans="1:12" ht="157.5">
      <c r="A84" s="9" t="s">
        <v>306</v>
      </c>
      <c r="B84" t="s">
        <v>1344</v>
      </c>
      <c r="C84" s="9" t="s">
        <v>1345</v>
      </c>
      <c r="D84" s="13" t="s">
        <v>1346</v>
      </c>
      <c r="E84" s="9" t="s">
        <v>1274</v>
      </c>
      <c r="F84"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4" s="9" t="s">
        <v>1063</v>
      </c>
      <c r="H84" s="9" t="s">
        <v>1343</v>
      </c>
      <c r="I84" s="12" t="str">
        <f>RIGHT(LEFT(Table4[[#This Row],[Latest Senate Action]],FIND(" Congress",Table4[[#This Row],[Latest Senate Action]])-1),LEN(LEFT(Table4[[#This Row],[Latest Senate Action]],FIND(" Congress",Table4[[#This Row],[Latest Senate Action]])-1))-FIND("-",Table4[[#This Row],[Latest Senate Action]])-1)</f>
        <v>110th</v>
      </c>
      <c r="J84" s="12" t="str">
        <f>RIGHT(Table4[[#This Row],[Latest Senate Action]],LEN(Table4[[#This Row],[Latest Senate Action]])-FIND(") - ",Table4[[#This Row],[Latest Senate Action]])-3)</f>
        <v xml:space="preserve">Resolution of advice and consent to ratification agreed to in Senate by Division Vote. (All Actions) </v>
      </c>
      <c r="K84" s="12" t="str">
        <f>INDEX(Table5[type],MATCH(Table4[[#This Row],[Action]],Table5[Action],0))</f>
        <v>Passed</v>
      </c>
      <c r="L84" s="22" t="b">
        <f>INDEX(Table1[Senate and President Same Party, House and President Different Party],MATCH(Table4[[#This Row],[Congress Acting]],Table1[Congress],0))</f>
        <v>0</v>
      </c>
    </row>
    <row r="85" spans="1:12" ht="173.25">
      <c r="A85" s="9" t="s">
        <v>307</v>
      </c>
      <c r="B85" t="s">
        <v>1347</v>
      </c>
      <c r="C85" s="9" t="s">
        <v>1348</v>
      </c>
      <c r="D85" s="13" t="s">
        <v>1349</v>
      </c>
      <c r="E85" s="9" t="s">
        <v>1350</v>
      </c>
      <c r="F85"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85" s="9" t="s">
        <v>1048</v>
      </c>
      <c r="H85" s="9" t="s">
        <v>1351</v>
      </c>
      <c r="I85" s="12" t="str">
        <f>RIGHT(LEFT(Table4[[#This Row],[Latest Senate Action]],FIND(" Congress",Table4[[#This Row],[Latest Senate Action]])-1),LEN(LEFT(Table4[[#This Row],[Latest Senate Action]],FIND(" Congress",Table4[[#This Row],[Latest Senate Action]])-1))-FIND("-",Table4[[#This Row],[Latest Senate Action]])-1)</f>
        <v>110th</v>
      </c>
      <c r="J85" s="12" t="str">
        <f>RIGHT(Table4[[#This Row],[Latest Senate Action]],LEN(Table4[[#This Row],[Latest Senate Action]])-FIND(") - ",Table4[[#This Row],[Latest Senate Action]])-3)</f>
        <v xml:space="preserve">Resolution of advice and consent to ratification agreed to in Senate by Division Vote. (All Actions) </v>
      </c>
      <c r="K85" s="12" t="str">
        <f>INDEX(Table5[type],MATCH(Table4[[#This Row],[Action]],Table5[Action],0))</f>
        <v>Passed</v>
      </c>
      <c r="L85" s="22" t="b">
        <f>INDEX(Table1[Senate and President Same Party, House and President Different Party],MATCH(Table4[[#This Row],[Congress Acting]],Table1[Congress],0))</f>
        <v>0</v>
      </c>
    </row>
    <row r="86" spans="1:12" ht="189">
      <c r="A86" s="9" t="s">
        <v>308</v>
      </c>
      <c r="B86" t="s">
        <v>1352</v>
      </c>
      <c r="C86" s="9" t="s">
        <v>1353</v>
      </c>
      <c r="D86" s="13" t="s">
        <v>1354</v>
      </c>
      <c r="E86" s="9" t="s">
        <v>1194</v>
      </c>
      <c r="F86"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H86" s="9" t="s">
        <v>1355</v>
      </c>
      <c r="I86" s="12" t="str">
        <f>RIGHT(LEFT(Table4[[#This Row],[Latest Senate Action]],FIND(" Congress",Table4[[#This Row],[Latest Senate Action]])-1),LEN(LEFT(Table4[[#This Row],[Latest Senate Action]],FIND(" Congress",Table4[[#This Row],[Latest Senate Action]])-1))-FIND("-",Table4[[#This Row],[Latest Senate Action]])-1)</f>
        <v>109th</v>
      </c>
      <c r="J86" s="12" t="str">
        <f>RIGHT(Table4[[#This Row],[Latest Senate Action]],LEN(Table4[[#This Row],[Latest Senate Action]])-FIND(") - ",Table4[[#This Row],[Latest Senate Action]])-3)</f>
        <v xml:space="preserve">Resolution of advice and consent to ratification agreed to in Senate by Division Vote. (All Actions) </v>
      </c>
      <c r="K86" s="12" t="str">
        <f>INDEX(Table5[type],MATCH(Table4[[#This Row],[Action]],Table5[Action],0))</f>
        <v>Passed</v>
      </c>
      <c r="L86" s="22" t="b">
        <f>INDEX(Table1[Senate and President Same Party, House and President Different Party],MATCH(Table4[[#This Row],[Congress Acting]],Table1[Congress],0))</f>
        <v>1</v>
      </c>
    </row>
    <row r="87" spans="1:12" ht="157.5">
      <c r="A87" s="9" t="s">
        <v>309</v>
      </c>
      <c r="B87" t="s">
        <v>1356</v>
      </c>
      <c r="C87" s="9" t="s">
        <v>1357</v>
      </c>
      <c r="D87" s="13" t="s">
        <v>1358</v>
      </c>
      <c r="E87" s="9" t="s">
        <v>1359</v>
      </c>
      <c r="F87"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87" s="9" t="s">
        <v>1013</v>
      </c>
      <c r="H87" s="9" t="s">
        <v>1355</v>
      </c>
      <c r="I87" s="12" t="str">
        <f>RIGHT(LEFT(Table4[[#This Row],[Latest Senate Action]],FIND(" Congress",Table4[[#This Row],[Latest Senate Action]])-1),LEN(LEFT(Table4[[#This Row],[Latest Senate Action]],FIND(" Congress",Table4[[#This Row],[Latest Senate Action]])-1))-FIND("-",Table4[[#This Row],[Latest Senate Action]])-1)</f>
        <v>109th</v>
      </c>
      <c r="J87" s="12" t="str">
        <f>RIGHT(Table4[[#This Row],[Latest Senate Action]],LEN(Table4[[#This Row],[Latest Senate Action]])-FIND(") - ",Table4[[#This Row],[Latest Senate Action]])-3)</f>
        <v xml:space="preserve">Resolution of advice and consent to ratification agreed to in Senate by Division Vote. (All Actions) </v>
      </c>
      <c r="K87" s="12" t="str">
        <f>INDEX(Table5[type],MATCH(Table4[[#This Row],[Action]],Table5[Action],0))</f>
        <v>Passed</v>
      </c>
      <c r="L87" s="22" t="b">
        <f>INDEX(Table1[Senate and President Same Party, House and President Different Party],MATCH(Table4[[#This Row],[Congress Acting]],Table1[Congress],0))</f>
        <v>1</v>
      </c>
    </row>
    <row r="88" spans="1:12" ht="189">
      <c r="A88" s="9" t="s">
        <v>310</v>
      </c>
      <c r="B88" t="s">
        <v>1360</v>
      </c>
      <c r="C88" s="9" t="s">
        <v>1361</v>
      </c>
      <c r="D88" s="13" t="s">
        <v>1362</v>
      </c>
      <c r="E88" s="9" t="s">
        <v>1194</v>
      </c>
      <c r="F88"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8" s="9" t="s">
        <v>1164</v>
      </c>
      <c r="H88" s="9" t="s">
        <v>1363</v>
      </c>
      <c r="I88" s="12" t="str">
        <f>RIGHT(LEFT(Table4[[#This Row],[Latest Senate Action]],FIND(" Congress",Table4[[#This Row],[Latest Senate Action]])-1),LEN(LEFT(Table4[[#This Row],[Latest Senate Action]],FIND(" Congress",Table4[[#This Row],[Latest Senate Action]])-1))-FIND("-",Table4[[#This Row],[Latest Senate Action]])-1)</f>
        <v>109th</v>
      </c>
      <c r="J88" s="12" t="str">
        <f>RIGHT(Table4[[#This Row],[Latest Senate Action]],LEN(Table4[[#This Row],[Latest Senate Action]])-FIND(") - ",Table4[[#This Row],[Latest Senate Action]])-3)</f>
        <v xml:space="preserve">By unanimous consent agreement, treaty divided into 3 separate treaties: A, B, and C. (All Actions) </v>
      </c>
      <c r="K88" s="12" t="str">
        <f>INDEX(Table5[type],MATCH(Table4[[#This Row],[Action]],Table5[Action],0))</f>
        <v>Not Passed - Divided into new treaties</v>
      </c>
      <c r="L88" s="22" t="b">
        <f>INDEX(Table1[Senate and President Same Party, House and President Different Party],MATCH(Table4[[#This Row],[Congress Acting]],Table1[Congress],0))</f>
        <v>1</v>
      </c>
    </row>
    <row r="89" spans="1:12" ht="173.25">
      <c r="A89" s="9" t="s">
        <v>311</v>
      </c>
      <c r="B89" t="s">
        <v>1364</v>
      </c>
      <c r="C89" s="9" t="s">
        <v>1365</v>
      </c>
      <c r="D89" s="13" t="s">
        <v>1366</v>
      </c>
      <c r="E89" s="9" t="s">
        <v>1367</v>
      </c>
      <c r="F89"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89" s="9" t="s">
        <v>1013</v>
      </c>
      <c r="H89" s="9" t="s">
        <v>1368</v>
      </c>
      <c r="I89" s="12" t="str">
        <f>RIGHT(LEFT(Table4[[#This Row],[Latest Senate Action]],FIND(" Congress",Table4[[#This Row],[Latest Senate Action]])-1),LEN(LEFT(Table4[[#This Row],[Latest Senate Action]],FIND(" Congress",Table4[[#This Row],[Latest Senate Action]])-1))-FIND("-",Table4[[#This Row],[Latest Senate Action]])-1)</f>
        <v>109th</v>
      </c>
      <c r="J89" s="12" t="str">
        <f>RIGHT(Table4[[#This Row],[Latest Senate Action]],LEN(Table4[[#This Row],[Latest Senate Action]])-FIND(") - ",Table4[[#This Row],[Latest Senate Action]])-3)</f>
        <v xml:space="preserve">Resolution of advice and consent to ratification agreed to in Senate by Division Vote. (All Actions) </v>
      </c>
      <c r="K89" s="12" t="str">
        <f>INDEX(Table5[type],MATCH(Table4[[#This Row],[Action]],Table5[Action],0))</f>
        <v>Passed</v>
      </c>
      <c r="L89" s="22" t="b">
        <f>INDEX(Table1[Senate and President Same Party, House and President Different Party],MATCH(Table4[[#This Row],[Congress Acting]],Table1[Congress],0))</f>
        <v>1</v>
      </c>
    </row>
    <row r="90" spans="1:12" ht="157.5">
      <c r="A90" s="9" t="s">
        <v>312</v>
      </c>
      <c r="B90" t="s">
        <v>1369</v>
      </c>
      <c r="C90" s="9" t="s">
        <v>1370</v>
      </c>
      <c r="D90" s="13" t="s">
        <v>1371</v>
      </c>
      <c r="E90" s="9" t="s">
        <v>1372</v>
      </c>
      <c r="F90"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90" s="9" t="s">
        <v>1013</v>
      </c>
      <c r="H90" s="9" t="s">
        <v>1368</v>
      </c>
      <c r="I90" s="12" t="str">
        <f>RIGHT(LEFT(Table4[[#This Row],[Latest Senate Action]],FIND(" Congress",Table4[[#This Row],[Latest Senate Action]])-1),LEN(LEFT(Table4[[#This Row],[Latest Senate Action]],FIND(" Congress",Table4[[#This Row],[Latest Senate Action]])-1))-FIND("-",Table4[[#This Row],[Latest Senate Action]])-1)</f>
        <v>109th</v>
      </c>
      <c r="J90" s="12" t="str">
        <f>RIGHT(Table4[[#This Row],[Latest Senate Action]],LEN(Table4[[#This Row],[Latest Senate Action]])-FIND(") - ",Table4[[#This Row],[Latest Senate Action]])-3)</f>
        <v xml:space="preserve">Resolution of advice and consent to ratification agreed to in Senate by Division Vote. (All Actions) </v>
      </c>
      <c r="K90" s="12" t="str">
        <f>INDEX(Table5[type],MATCH(Table4[[#This Row],[Action]],Table5[Action],0))</f>
        <v>Passed</v>
      </c>
      <c r="L90" s="22" t="b">
        <f>INDEX(Table1[Senate and President Same Party, House and President Different Party],MATCH(Table4[[#This Row],[Congress Acting]],Table1[Congress],0))</f>
        <v>1</v>
      </c>
    </row>
    <row r="91" spans="1:12" ht="141.75">
      <c r="A91" s="9" t="s">
        <v>313</v>
      </c>
      <c r="B91" t="s">
        <v>1373</v>
      </c>
      <c r="C91" s="9" t="s">
        <v>1374</v>
      </c>
      <c r="D91" s="13" t="s">
        <v>1375</v>
      </c>
      <c r="E91" s="9" t="s">
        <v>1376</v>
      </c>
      <c r="F91"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91" s="9" t="s">
        <v>997</v>
      </c>
      <c r="H91" s="9" t="s">
        <v>1377</v>
      </c>
      <c r="I91" s="12" t="str">
        <f>RIGHT(LEFT(Table4[[#This Row],[Latest Senate Action]],FIND(" Congress",Table4[[#This Row],[Latest Senate Action]])-1),LEN(LEFT(Table4[[#This Row],[Latest Senate Action]],FIND(" Congress",Table4[[#This Row],[Latest Senate Action]])-1))-FIND("-",Table4[[#This Row],[Latest Senate Action]])-1)</f>
        <v>109th</v>
      </c>
      <c r="J91" s="12" t="str">
        <f>RIGHT(Table4[[#This Row],[Latest Senate Action]],LEN(Table4[[#This Row],[Latest Senate Action]])-FIND(") - ",Table4[[#This Row],[Latest Senate Action]])-3)</f>
        <v xml:space="preserve">Resolution of advice and consent to ratification agreed to in Senate by Division Vote. (All Actions) </v>
      </c>
      <c r="K91" s="12" t="str">
        <f>INDEX(Table5[type],MATCH(Table4[[#This Row],[Action]],Table5[Action],0))</f>
        <v>Passed</v>
      </c>
      <c r="L91" s="22" t="b">
        <f>INDEX(Table1[Senate and President Same Party, House and President Different Party],MATCH(Table4[[#This Row],[Congress Acting]],Table1[Congress],0))</f>
        <v>1</v>
      </c>
    </row>
    <row r="92" spans="1:12" ht="173.25">
      <c r="A92" s="9" t="s">
        <v>314</v>
      </c>
      <c r="B92" t="s">
        <v>1378</v>
      </c>
      <c r="C92" s="9" t="s">
        <v>1379</v>
      </c>
      <c r="D92" s="13" t="s">
        <v>1380</v>
      </c>
      <c r="E92" s="9" t="s">
        <v>1381</v>
      </c>
      <c r="F92"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92" s="9" t="s">
        <v>1038</v>
      </c>
      <c r="H92" s="9" t="s">
        <v>1382</v>
      </c>
      <c r="I92" s="12" t="str">
        <f>RIGHT(LEFT(Table4[[#This Row],[Latest Senate Action]],FIND(" Congress",Table4[[#This Row],[Latest Senate Action]])-1),LEN(LEFT(Table4[[#This Row],[Latest Senate Action]],FIND(" Congress",Table4[[#This Row],[Latest Senate Action]])-1))-FIND("-",Table4[[#This Row],[Latest Senate Action]])-1)</f>
        <v>109th</v>
      </c>
      <c r="J92" s="12" t="str">
        <f>RIGHT(Table4[[#This Row],[Latest Senate Action]],LEN(Table4[[#This Row],[Latest Senate Action]])-FIND(") - ",Table4[[#This Row],[Latest Senate Action]])-3)</f>
        <v xml:space="preserve">Resolution of advice and consent to ratification agreed to in Senate by Division Vote. (All Actions) </v>
      </c>
      <c r="K92" s="12" t="str">
        <f>INDEX(Table5[type],MATCH(Table4[[#This Row],[Action]],Table5[Action],0))</f>
        <v>Passed</v>
      </c>
      <c r="L92" s="22" t="b">
        <f>INDEX(Table1[Senate and President Same Party, House and President Different Party],MATCH(Table4[[#This Row],[Congress Acting]],Table1[Congress],0))</f>
        <v>1</v>
      </c>
    </row>
    <row r="93" spans="1:12" ht="173.25">
      <c r="A93" s="9" t="s">
        <v>315</v>
      </c>
      <c r="B93" t="s">
        <v>1383</v>
      </c>
      <c r="C93" s="9" t="s">
        <v>1384</v>
      </c>
      <c r="D93" s="13" t="s">
        <v>1385</v>
      </c>
      <c r="E93" s="9" t="s">
        <v>1386</v>
      </c>
      <c r="F93"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93" s="9" t="s">
        <v>1038</v>
      </c>
      <c r="H93" s="9" t="s">
        <v>1382</v>
      </c>
      <c r="I93" s="12" t="str">
        <f>RIGHT(LEFT(Table4[[#This Row],[Latest Senate Action]],FIND(" Congress",Table4[[#This Row],[Latest Senate Action]])-1),LEN(LEFT(Table4[[#This Row],[Latest Senate Action]],FIND(" Congress",Table4[[#This Row],[Latest Senate Action]])-1))-FIND("-",Table4[[#This Row],[Latest Senate Action]])-1)</f>
        <v>109th</v>
      </c>
      <c r="J93" s="12" t="str">
        <f>RIGHT(Table4[[#This Row],[Latest Senate Action]],LEN(Table4[[#This Row],[Latest Senate Action]])-FIND(") - ",Table4[[#This Row],[Latest Senate Action]])-3)</f>
        <v xml:space="preserve">Resolution of advice and consent to ratification agreed to in Senate by Division Vote. (All Actions) </v>
      </c>
      <c r="K93" s="12" t="str">
        <f>INDEX(Table5[type],MATCH(Table4[[#This Row],[Action]],Table5[Action],0))</f>
        <v>Passed</v>
      </c>
      <c r="L93" s="22" t="b">
        <f>INDEX(Table1[Senate and President Same Party, House and President Different Party],MATCH(Table4[[#This Row],[Congress Acting]],Table1[Congress],0))</f>
        <v>1</v>
      </c>
    </row>
    <row r="94" spans="1:12" ht="173.25">
      <c r="A94" s="9" t="s">
        <v>316</v>
      </c>
      <c r="B94" t="s">
        <v>1387</v>
      </c>
      <c r="C94" s="9" t="s">
        <v>1388</v>
      </c>
      <c r="D94" s="13" t="s">
        <v>1389</v>
      </c>
      <c r="E94" s="9" t="s">
        <v>1390</v>
      </c>
      <c r="F94"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94" s="9" t="s">
        <v>1038</v>
      </c>
      <c r="H94" s="9" t="s">
        <v>1391</v>
      </c>
      <c r="I94" s="12" t="str">
        <f>RIGHT(LEFT(Table4[[#This Row],[Latest Senate Action]],FIND(" Congress",Table4[[#This Row],[Latest Senate Action]])-1),LEN(LEFT(Table4[[#This Row],[Latest Senate Action]],FIND(" Congress",Table4[[#This Row],[Latest Senate Action]])-1))-FIND("-",Table4[[#This Row],[Latest Senate Action]])-1)</f>
        <v>109th</v>
      </c>
      <c r="J94" s="12" t="str">
        <f>RIGHT(Table4[[#This Row],[Latest Senate Action]],LEN(Table4[[#This Row],[Latest Senate Action]])-FIND(") - ",Table4[[#This Row],[Latest Senate Action]])-3)</f>
        <v xml:space="preserve">Resolution of advice and consent to ratification agreed to in Senate by Division Vote. (All Actions) </v>
      </c>
      <c r="K94" s="12" t="str">
        <f>INDEX(Table5[type],MATCH(Table4[[#This Row],[Action]],Table5[Action],0))</f>
        <v>Passed</v>
      </c>
      <c r="L94" s="22" t="b">
        <f>INDEX(Table1[Senate and President Same Party, House and President Different Party],MATCH(Table4[[#This Row],[Congress Acting]],Table1[Congress],0))</f>
        <v>1</v>
      </c>
    </row>
    <row r="95" spans="1:12" ht="157.5">
      <c r="A95" s="9" t="s">
        <v>317</v>
      </c>
      <c r="B95" t="s">
        <v>1392</v>
      </c>
      <c r="C95" s="9" t="s">
        <v>1393</v>
      </c>
      <c r="D95" s="13" t="s">
        <v>1394</v>
      </c>
      <c r="E95" s="9" t="s">
        <v>1395</v>
      </c>
      <c r="F95"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95" s="9" t="s">
        <v>1200</v>
      </c>
      <c r="H95" s="9" t="s">
        <v>1396</v>
      </c>
      <c r="I95" s="12" t="str">
        <f>RIGHT(LEFT(Table4[[#This Row],[Latest Senate Action]],FIND(" Congress",Table4[[#This Row],[Latest Senate Action]])-1),LEN(LEFT(Table4[[#This Row],[Latest Senate Action]],FIND(" Congress",Table4[[#This Row],[Latest Senate Action]])-1))-FIND("-",Table4[[#This Row],[Latest Senate Action]])-1)</f>
        <v>109th</v>
      </c>
      <c r="J95" s="12" t="str">
        <f>RIGHT(Table4[[#This Row],[Latest Senate Action]],LEN(Table4[[#This Row],[Latest Senate Action]])-FIND(") - ",Table4[[#This Row],[Latest Senate Action]])-3)</f>
        <v xml:space="preserve">Resolution of advice and consent to ratification agreed to in Senate by Division Vote. (All Actions) </v>
      </c>
      <c r="K95" s="12" t="str">
        <f>INDEX(Table5[type],MATCH(Table4[[#This Row],[Action]],Table5[Action],0))</f>
        <v>Passed</v>
      </c>
      <c r="L95" s="22" t="b">
        <f>INDEX(Table1[Senate and President Same Party, House and President Different Party],MATCH(Table4[[#This Row],[Congress Acting]],Table1[Congress],0))</f>
        <v>1</v>
      </c>
    </row>
    <row r="96" spans="1:12" ht="157.5">
      <c r="A96" s="9" t="s">
        <v>318</v>
      </c>
      <c r="B96" t="s">
        <v>1397</v>
      </c>
      <c r="C96" s="9" t="s">
        <v>1398</v>
      </c>
      <c r="D96" s="13" t="s">
        <v>1399</v>
      </c>
      <c r="E96" s="9" t="s">
        <v>1400</v>
      </c>
      <c r="F96"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96" s="9" t="s">
        <v>1013</v>
      </c>
      <c r="H96" s="9" t="s">
        <v>1396</v>
      </c>
      <c r="I96" s="12" t="str">
        <f>RIGHT(LEFT(Table4[[#This Row],[Latest Senate Action]],FIND(" Congress",Table4[[#This Row],[Latest Senate Action]])-1),LEN(LEFT(Table4[[#This Row],[Latest Senate Action]],FIND(" Congress",Table4[[#This Row],[Latest Senate Action]])-1))-FIND("-",Table4[[#This Row],[Latest Senate Action]])-1)</f>
        <v>109th</v>
      </c>
      <c r="J96" s="12" t="str">
        <f>RIGHT(Table4[[#This Row],[Latest Senate Action]],LEN(Table4[[#This Row],[Latest Senate Action]])-FIND(") - ",Table4[[#This Row],[Latest Senate Action]])-3)</f>
        <v xml:space="preserve">Resolution of advice and consent to ratification agreed to in Senate by Division Vote. (All Actions) </v>
      </c>
      <c r="K96" s="12" t="str">
        <f>INDEX(Table5[type],MATCH(Table4[[#This Row],[Action]],Table5[Action],0))</f>
        <v>Passed</v>
      </c>
      <c r="L96" s="22" t="b">
        <f>INDEX(Table1[Senate and President Same Party, House and President Different Party],MATCH(Table4[[#This Row],[Congress Acting]],Table1[Congress],0))</f>
        <v>1</v>
      </c>
    </row>
    <row r="97" spans="1:12" ht="157.5">
      <c r="A97" s="9" t="s">
        <v>319</v>
      </c>
      <c r="B97" t="s">
        <v>1401</v>
      </c>
      <c r="C97" s="9" t="s">
        <v>1402</v>
      </c>
      <c r="D97" s="13" t="s">
        <v>1403</v>
      </c>
      <c r="E97" s="9" t="s">
        <v>1404</v>
      </c>
      <c r="F97"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97" s="9" t="s">
        <v>1063</v>
      </c>
      <c r="H97" s="9" t="s">
        <v>1405</v>
      </c>
      <c r="I97" s="12" t="str">
        <f>RIGHT(LEFT(Table4[[#This Row],[Latest Senate Action]],FIND(" Congress",Table4[[#This Row],[Latest Senate Action]])-1),LEN(LEFT(Table4[[#This Row],[Latest Senate Action]],FIND(" Congress",Table4[[#This Row],[Latest Senate Action]])-1))-FIND("-",Table4[[#This Row],[Latest Senate Action]])-1)</f>
        <v>109th</v>
      </c>
      <c r="J97" s="12" t="str">
        <f>RIGHT(Table4[[#This Row],[Latest Senate Action]],LEN(Table4[[#This Row],[Latest Senate Action]])-FIND(") - ",Table4[[#This Row],[Latest Senate Action]])-3)</f>
        <v xml:space="preserve">Resolution of advice and consent to ratification agreed to in Senate by Division Vote. (All Actions) </v>
      </c>
      <c r="K97" s="12" t="str">
        <f>INDEX(Table5[type],MATCH(Table4[[#This Row],[Action]],Table5[Action],0))</f>
        <v>Passed</v>
      </c>
      <c r="L97" s="22" t="b">
        <f>INDEX(Table1[Senate and President Same Party, House and President Different Party],MATCH(Table4[[#This Row],[Congress Acting]],Table1[Congress],0))</f>
        <v>1</v>
      </c>
    </row>
    <row r="98" spans="1:12" ht="141.75">
      <c r="A98" s="9" t="s">
        <v>320</v>
      </c>
      <c r="B98" t="s">
        <v>1406</v>
      </c>
      <c r="C98" s="9" t="s">
        <v>1407</v>
      </c>
      <c r="D98" s="13" t="s">
        <v>1408</v>
      </c>
      <c r="E98" s="9" t="s">
        <v>1372</v>
      </c>
      <c r="F98"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98" s="9" t="s">
        <v>1063</v>
      </c>
      <c r="H98" s="9" t="s">
        <v>1405</v>
      </c>
      <c r="I98" s="12" t="str">
        <f>RIGHT(LEFT(Table4[[#This Row],[Latest Senate Action]],FIND(" Congress",Table4[[#This Row],[Latest Senate Action]])-1),LEN(LEFT(Table4[[#This Row],[Latest Senate Action]],FIND(" Congress",Table4[[#This Row],[Latest Senate Action]])-1))-FIND("-",Table4[[#This Row],[Latest Senate Action]])-1)</f>
        <v>109th</v>
      </c>
      <c r="J98" s="12" t="str">
        <f>RIGHT(Table4[[#This Row],[Latest Senate Action]],LEN(Table4[[#This Row],[Latest Senate Action]])-FIND(") - ",Table4[[#This Row],[Latest Senate Action]])-3)</f>
        <v xml:space="preserve">Resolution of advice and consent to ratification agreed to in Senate by Division Vote. (All Actions) </v>
      </c>
      <c r="K98" s="12" t="str">
        <f>INDEX(Table5[type],MATCH(Table4[[#This Row],[Action]],Table5[Action],0))</f>
        <v>Passed</v>
      </c>
      <c r="L98" s="22" t="b">
        <f>INDEX(Table1[Senate and President Same Party, House and President Different Party],MATCH(Table4[[#This Row],[Congress Acting]],Table1[Congress],0))</f>
        <v>1</v>
      </c>
    </row>
    <row r="99" spans="1:12" ht="157.5">
      <c r="A99" s="9" t="s">
        <v>321</v>
      </c>
      <c r="B99" t="s">
        <v>1409</v>
      </c>
      <c r="C99" s="9" t="s">
        <v>1410</v>
      </c>
      <c r="D99" s="13" t="s">
        <v>1411</v>
      </c>
      <c r="E99" s="9" t="s">
        <v>1412</v>
      </c>
      <c r="F99"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99" s="9" t="s">
        <v>1063</v>
      </c>
      <c r="H99" s="9" t="s">
        <v>1405</v>
      </c>
      <c r="I99" s="12" t="str">
        <f>RIGHT(LEFT(Table4[[#This Row],[Latest Senate Action]],FIND(" Congress",Table4[[#This Row],[Latest Senate Action]])-1),LEN(LEFT(Table4[[#This Row],[Latest Senate Action]],FIND(" Congress",Table4[[#This Row],[Latest Senate Action]])-1))-FIND("-",Table4[[#This Row],[Latest Senate Action]])-1)</f>
        <v>109th</v>
      </c>
      <c r="J99" s="12" t="str">
        <f>RIGHT(Table4[[#This Row],[Latest Senate Action]],LEN(Table4[[#This Row],[Latest Senate Action]])-FIND(") - ",Table4[[#This Row],[Latest Senate Action]])-3)</f>
        <v xml:space="preserve">Resolution of advice and consent to ratification agreed to in Senate by Division Vote. (All Actions) </v>
      </c>
      <c r="K99" s="12" t="str">
        <f>INDEX(Table5[type],MATCH(Table4[[#This Row],[Action]],Table5[Action],0))</f>
        <v>Passed</v>
      </c>
      <c r="L99" s="22" t="b">
        <f>INDEX(Table1[Senate and President Same Party, House and President Different Party],MATCH(Table4[[#This Row],[Congress Acting]],Table1[Congress],0))</f>
        <v>1</v>
      </c>
    </row>
    <row r="100" spans="1:12" ht="157.5">
      <c r="A100" s="9" t="s">
        <v>322</v>
      </c>
      <c r="B100" t="s">
        <v>1413</v>
      </c>
      <c r="C100" s="9" t="s">
        <v>1414</v>
      </c>
      <c r="D100" s="13" t="s">
        <v>1415</v>
      </c>
      <c r="E100" s="9" t="s">
        <v>1416</v>
      </c>
      <c r="F100"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100" s="9" t="s">
        <v>1063</v>
      </c>
      <c r="H100" s="9" t="s">
        <v>1405</v>
      </c>
      <c r="I100" s="12" t="str">
        <f>RIGHT(LEFT(Table4[[#This Row],[Latest Senate Action]],FIND(" Congress",Table4[[#This Row],[Latest Senate Action]])-1),LEN(LEFT(Table4[[#This Row],[Latest Senate Action]],FIND(" Congress",Table4[[#This Row],[Latest Senate Action]])-1))-FIND("-",Table4[[#This Row],[Latest Senate Action]])-1)</f>
        <v>109th</v>
      </c>
      <c r="J100" s="12" t="str">
        <f>RIGHT(Table4[[#This Row],[Latest Senate Action]],LEN(Table4[[#This Row],[Latest Senate Action]])-FIND(") - ",Table4[[#This Row],[Latest Senate Action]])-3)</f>
        <v xml:space="preserve">Resolution of advice and consent to ratification agreed to in Senate by Division Vote. (All Actions) </v>
      </c>
      <c r="K100" s="12" t="str">
        <f>INDEX(Table5[type],MATCH(Table4[[#This Row],[Action]],Table5[Action],0))</f>
        <v>Passed</v>
      </c>
      <c r="L100" s="22" t="b">
        <f>INDEX(Table1[Senate and President Same Party, House and President Different Party],MATCH(Table4[[#This Row],[Congress Acting]],Table1[Congress],0))</f>
        <v>1</v>
      </c>
    </row>
    <row r="101" spans="1:12" ht="173.25">
      <c r="A101" s="9" t="s">
        <v>323</v>
      </c>
      <c r="B101" t="s">
        <v>1417</v>
      </c>
      <c r="C101" s="9" t="s">
        <v>1418</v>
      </c>
      <c r="D101" s="13" t="s">
        <v>1419</v>
      </c>
      <c r="E101" s="9" t="s">
        <v>1420</v>
      </c>
      <c r="F101"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101" s="9" t="s">
        <v>1112</v>
      </c>
      <c r="H101" s="9" t="s">
        <v>1421</v>
      </c>
      <c r="I101" s="12" t="str">
        <f>RIGHT(LEFT(Table4[[#This Row],[Latest Senate Action]],FIND(" Congress",Table4[[#This Row],[Latest Senate Action]])-1),LEN(LEFT(Table4[[#This Row],[Latest Senate Action]],FIND(" Congress",Table4[[#This Row],[Latest Senate Action]])-1))-FIND("-",Table4[[#This Row],[Latest Senate Action]])-1)</f>
        <v>109th</v>
      </c>
      <c r="J101" s="12" t="str">
        <f>RIGHT(Table4[[#This Row],[Latest Senate Action]],LEN(Table4[[#This Row],[Latest Senate Action]])-FIND(") - ",Table4[[#This Row],[Latest Senate Action]])-3)</f>
        <v xml:space="preserve">Resolution of advice and consent to ratification agreed to in Senate by Division Vote. (All Actions) </v>
      </c>
      <c r="K101" s="12" t="str">
        <f>INDEX(Table5[type],MATCH(Table4[[#This Row],[Action]],Table5[Action],0))</f>
        <v>Passed</v>
      </c>
      <c r="L101" s="22" t="b">
        <f>INDEX(Table1[Senate and President Same Party, House and President Different Party],MATCH(Table4[[#This Row],[Congress Acting]],Table1[Congress],0))</f>
        <v>1</v>
      </c>
    </row>
    <row r="102" spans="1:12" ht="157.5">
      <c r="A102" s="9" t="s">
        <v>324</v>
      </c>
      <c r="B102" t="s">
        <v>1422</v>
      </c>
      <c r="C102" s="9" t="s">
        <v>1423</v>
      </c>
      <c r="D102" s="13" t="s">
        <v>1424</v>
      </c>
      <c r="E102" s="9" t="s">
        <v>1420</v>
      </c>
      <c r="F102" t="str">
        <f>RIGHT(LEFT(Table4[[#This Row],[Date Received from President]],FIND(" Congress",Table4[[#This Row],[Date Received from President]])-1),LEN(LEFT(Table4[[#This Row],[Date Received from President]],FIND(" Congress",Table4[[#This Row],[Date Received from President]])-1))-FIND("-",Table4[[#This Row],[Date Received from President]])-1)</f>
        <v>109th</v>
      </c>
      <c r="G102" s="9" t="s">
        <v>1112</v>
      </c>
      <c r="H102" s="9" t="s">
        <v>1421</v>
      </c>
      <c r="I102" s="12" t="str">
        <f>RIGHT(LEFT(Table4[[#This Row],[Latest Senate Action]],FIND(" Congress",Table4[[#This Row],[Latest Senate Action]])-1),LEN(LEFT(Table4[[#This Row],[Latest Senate Action]],FIND(" Congress",Table4[[#This Row],[Latest Senate Action]])-1))-FIND("-",Table4[[#This Row],[Latest Senate Action]])-1)</f>
        <v>109th</v>
      </c>
      <c r="J102" s="12" t="str">
        <f>RIGHT(Table4[[#This Row],[Latest Senate Action]],LEN(Table4[[#This Row],[Latest Senate Action]])-FIND(") - ",Table4[[#This Row],[Latest Senate Action]])-3)</f>
        <v xml:space="preserve">Resolution of advice and consent to ratification agreed to in Senate by Division Vote. (All Actions) </v>
      </c>
      <c r="K102" s="12" t="str">
        <f>INDEX(Table5[type],MATCH(Table4[[#This Row],[Action]],Table5[Action],0))</f>
        <v>Passed</v>
      </c>
      <c r="L102" s="22" t="b">
        <f>INDEX(Table1[Senate and President Same Party, House and President Different Party],MATCH(Table4[[#This Row],[Congress Acting]],Table1[Congress],0))</f>
        <v>1</v>
      </c>
    </row>
    <row r="103" spans="1:12" ht="157.5">
      <c r="A103" s="9" t="s">
        <v>325</v>
      </c>
      <c r="B103" t="s">
        <v>1425</v>
      </c>
      <c r="C103" s="9" t="s">
        <v>1426</v>
      </c>
      <c r="D103" s="13" t="s">
        <v>1427</v>
      </c>
      <c r="E103" s="9" t="s">
        <v>1428</v>
      </c>
      <c r="F103"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3" s="9" t="s">
        <v>1112</v>
      </c>
      <c r="H103" s="9" t="s">
        <v>1421</v>
      </c>
      <c r="I103" s="12" t="str">
        <f>RIGHT(LEFT(Table4[[#This Row],[Latest Senate Action]],FIND(" Congress",Table4[[#This Row],[Latest Senate Action]])-1),LEN(LEFT(Table4[[#This Row],[Latest Senate Action]],FIND(" Congress",Table4[[#This Row],[Latest Senate Action]])-1))-FIND("-",Table4[[#This Row],[Latest Senate Action]])-1)</f>
        <v>109th</v>
      </c>
      <c r="J103" s="12" t="str">
        <f>RIGHT(Table4[[#This Row],[Latest Senate Action]],LEN(Table4[[#This Row],[Latest Senate Action]])-FIND(") - ",Table4[[#This Row],[Latest Senate Action]])-3)</f>
        <v xml:space="preserve">Resolution of advice and consent to ratification agreed to in Senate by Division Vote. (All Actions) </v>
      </c>
      <c r="K103" s="12" t="str">
        <f>INDEX(Table5[type],MATCH(Table4[[#This Row],[Action]],Table5[Action],0))</f>
        <v>Passed</v>
      </c>
      <c r="L103" s="22" t="b">
        <f>INDEX(Table1[Senate and President Same Party, House and President Different Party],MATCH(Table4[[#This Row],[Congress Acting]],Table1[Congress],0))</f>
        <v>1</v>
      </c>
    </row>
    <row r="104" spans="1:12" ht="157.5">
      <c r="A104" s="9" t="s">
        <v>326</v>
      </c>
      <c r="B104" t="s">
        <v>1429</v>
      </c>
      <c r="C104" s="9" t="s">
        <v>1430</v>
      </c>
      <c r="D104" s="13" t="s">
        <v>1431</v>
      </c>
      <c r="E104" s="9" t="s">
        <v>1432</v>
      </c>
      <c r="F104"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4" s="9" t="s">
        <v>1106</v>
      </c>
      <c r="H104" s="9" t="s">
        <v>1433</v>
      </c>
      <c r="I104" s="12" t="str">
        <f>RIGHT(LEFT(Table4[[#This Row],[Latest Senate Action]],FIND(" Congress",Table4[[#This Row],[Latest Senate Action]])-1),LEN(LEFT(Table4[[#This Row],[Latest Senate Action]],FIND(" Congress",Table4[[#This Row],[Latest Senate Action]])-1))-FIND("-",Table4[[#This Row],[Latest Senate Action]])-1)</f>
        <v>109th</v>
      </c>
      <c r="J104" s="12" t="str">
        <f>RIGHT(Table4[[#This Row],[Latest Senate Action]],LEN(Table4[[#This Row],[Latest Senate Action]])-FIND(") - ",Table4[[#This Row],[Latest Senate Action]])-3)</f>
        <v xml:space="preserve">Resolution of advice and consent to ratification agreed to in Senate by Division Vote. (All Actions) </v>
      </c>
      <c r="K104" s="12" t="str">
        <f>INDEX(Table5[type],MATCH(Table4[[#This Row],[Action]],Table5[Action],0))</f>
        <v>Passed</v>
      </c>
      <c r="L104" s="22" t="b">
        <f>INDEX(Table1[Senate and President Same Party, House and President Different Party],MATCH(Table4[[#This Row],[Congress Acting]],Table1[Congress],0))</f>
        <v>1</v>
      </c>
    </row>
    <row r="105" spans="1:12" ht="157.5">
      <c r="A105" s="9" t="s">
        <v>327</v>
      </c>
      <c r="B105" t="s">
        <v>1434</v>
      </c>
      <c r="C105" s="9" t="s">
        <v>1435</v>
      </c>
      <c r="D105" s="13" t="s">
        <v>1436</v>
      </c>
      <c r="E105" s="9" t="s">
        <v>1437</v>
      </c>
      <c r="F105"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05" s="9" t="s">
        <v>1219</v>
      </c>
      <c r="H105" s="9" t="s">
        <v>1433</v>
      </c>
      <c r="I105" s="12" t="str">
        <f>RIGHT(LEFT(Table4[[#This Row],[Latest Senate Action]],FIND(" Congress",Table4[[#This Row],[Latest Senate Action]])-1),LEN(LEFT(Table4[[#This Row],[Latest Senate Action]],FIND(" Congress",Table4[[#This Row],[Latest Senate Action]])-1))-FIND("-",Table4[[#This Row],[Latest Senate Action]])-1)</f>
        <v>109th</v>
      </c>
      <c r="J105" s="12" t="str">
        <f>RIGHT(Table4[[#This Row],[Latest Senate Action]],LEN(Table4[[#This Row],[Latest Senate Action]])-FIND(") - ",Table4[[#This Row],[Latest Senate Action]])-3)</f>
        <v xml:space="preserve">Resolution of advice and consent to ratification agreed to in Senate by Division Vote. (All Actions) </v>
      </c>
      <c r="K105" s="12" t="str">
        <f>INDEX(Table5[type],MATCH(Table4[[#This Row],[Action]],Table5[Action],0))</f>
        <v>Passed</v>
      </c>
      <c r="L105" s="22" t="b">
        <f>INDEX(Table1[Senate and President Same Party, House and President Different Party],MATCH(Table4[[#This Row],[Congress Acting]],Table1[Congress],0))</f>
        <v>1</v>
      </c>
    </row>
    <row r="106" spans="1:12" ht="204.75">
      <c r="A106" s="9" t="s">
        <v>328</v>
      </c>
      <c r="B106" t="s">
        <v>1438</v>
      </c>
      <c r="C106" s="9" t="s">
        <v>1439</v>
      </c>
      <c r="D106" s="13" t="s">
        <v>1440</v>
      </c>
      <c r="E106" s="9" t="s">
        <v>1223</v>
      </c>
      <c r="F106"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6" s="9" t="s">
        <v>1038</v>
      </c>
      <c r="H106" s="9" t="s">
        <v>1441</v>
      </c>
      <c r="I106" s="12" t="str">
        <f>RIGHT(LEFT(Table4[[#This Row],[Latest Senate Action]],FIND(" Congress",Table4[[#This Row],[Latest Senate Action]])-1),LEN(LEFT(Table4[[#This Row],[Latest Senate Action]],FIND(" Congress",Table4[[#This Row],[Latest Senate Action]])-1))-FIND("-",Table4[[#This Row],[Latest Senate Action]])-1)</f>
        <v>109th</v>
      </c>
      <c r="J106" s="12" t="str">
        <f>RIGHT(Table4[[#This Row],[Latest Senate Action]],LEN(Table4[[#This Row],[Latest Senate Action]])-FIND(") - ",Table4[[#This Row],[Latest Senate Action]])-3)</f>
        <v xml:space="preserve">Resolution of advice and consent to ratification agreed to in Senate by Yea-Nay Vote. 87 - 0. Record Vote Number: 244. (All Actions) </v>
      </c>
      <c r="K106" s="12" t="str">
        <f>INDEX(Table5[type],MATCH(Table4[[#This Row],[Action]],Table5[Action],0))</f>
        <v>Passed</v>
      </c>
      <c r="L106" s="22" t="b">
        <f>INDEX(Table1[Senate and President Same Party, House and President Different Party],MATCH(Table4[[#This Row],[Congress Acting]],Table1[Congress],0))</f>
        <v>1</v>
      </c>
    </row>
    <row r="107" spans="1:12" ht="157.5">
      <c r="A107" s="9" t="s">
        <v>329</v>
      </c>
      <c r="B107" t="s">
        <v>1442</v>
      </c>
      <c r="C107" s="9" t="s">
        <v>1443</v>
      </c>
      <c r="D107" s="13" t="s">
        <v>1444</v>
      </c>
      <c r="E107" s="9" t="s">
        <v>1445</v>
      </c>
      <c r="F107"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7" s="9" t="s">
        <v>1063</v>
      </c>
      <c r="H107" s="9" t="s">
        <v>1446</v>
      </c>
      <c r="I107" s="12" t="str">
        <f>RIGHT(LEFT(Table4[[#This Row],[Latest Senate Action]],FIND(" Congress",Table4[[#This Row],[Latest Senate Action]])-1),LEN(LEFT(Table4[[#This Row],[Latest Senate Action]],FIND(" Congress",Table4[[#This Row],[Latest Senate Action]])-1))-FIND("-",Table4[[#This Row],[Latest Senate Action]])-1)</f>
        <v>108th</v>
      </c>
      <c r="J107" s="12" t="str">
        <f>RIGHT(Table4[[#This Row],[Latest Senate Action]],LEN(Table4[[#This Row],[Latest Senate Action]])-FIND(") - ",Table4[[#This Row],[Latest Senate Action]])-3)</f>
        <v xml:space="preserve">Resolution of advice and consent to ratification agreed to in Senate by Division Vote. (All Actions) </v>
      </c>
      <c r="K107" s="12" t="str">
        <f>INDEX(Table5[type],MATCH(Table4[[#This Row],[Action]],Table5[Action],0))</f>
        <v>Passed</v>
      </c>
      <c r="L107" s="22" t="b">
        <f>INDEX(Table1[Senate and President Same Party, House and President Different Party],MATCH(Table4[[#This Row],[Congress Acting]],Table1[Congress],0))</f>
        <v>1</v>
      </c>
    </row>
    <row r="108" spans="1:12" ht="157.5">
      <c r="A108" s="9" t="s">
        <v>330</v>
      </c>
      <c r="B108" t="s">
        <v>1447</v>
      </c>
      <c r="C108" s="9" t="s">
        <v>1448</v>
      </c>
      <c r="D108" s="13" t="s">
        <v>1449</v>
      </c>
      <c r="E108" s="9" t="s">
        <v>1450</v>
      </c>
      <c r="F108"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8" s="9" t="s">
        <v>1063</v>
      </c>
      <c r="H108" s="9" t="s">
        <v>1451</v>
      </c>
      <c r="I108" s="12" t="str">
        <f>RIGHT(LEFT(Table4[[#This Row],[Latest Senate Action]],FIND(" Congress",Table4[[#This Row],[Latest Senate Action]])-1),LEN(LEFT(Table4[[#This Row],[Latest Senate Action]],FIND(" Congress",Table4[[#This Row],[Latest Senate Action]])-1))-FIND("-",Table4[[#This Row],[Latest Senate Action]])-1)</f>
        <v>108th</v>
      </c>
      <c r="J108" s="12" t="str">
        <f>RIGHT(Table4[[#This Row],[Latest Senate Action]],LEN(Table4[[#This Row],[Latest Senate Action]])-FIND(") - ",Table4[[#This Row],[Latest Senate Action]])-3)</f>
        <v xml:space="preserve">Resolution of advice and consent to ratification agreed to in Senate by Division Vote. (All Actions) </v>
      </c>
      <c r="K108" s="12" t="str">
        <f>INDEX(Table5[type],MATCH(Table4[[#This Row],[Action]],Table5[Action],0))</f>
        <v>Passed</v>
      </c>
      <c r="L108" s="22" t="b">
        <f>INDEX(Table1[Senate and President Same Party, House and President Different Party],MATCH(Table4[[#This Row],[Congress Acting]],Table1[Congress],0))</f>
        <v>1</v>
      </c>
    </row>
    <row r="109" spans="1:12" ht="189">
      <c r="A109" s="9" t="s">
        <v>331</v>
      </c>
      <c r="B109" t="s">
        <v>1452</v>
      </c>
      <c r="C109" s="9" t="s">
        <v>1453</v>
      </c>
      <c r="D109" s="13" t="s">
        <v>1454</v>
      </c>
      <c r="E109" s="9" t="s">
        <v>1455</v>
      </c>
      <c r="F109"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09" s="9" t="s">
        <v>1456</v>
      </c>
      <c r="H109" s="9" t="s">
        <v>1457</v>
      </c>
      <c r="I109" s="12" t="str">
        <f>RIGHT(LEFT(Table4[[#This Row],[Latest Senate Action]],FIND(" Congress",Table4[[#This Row],[Latest Senate Action]])-1),LEN(LEFT(Table4[[#This Row],[Latest Senate Action]],FIND(" Congress",Table4[[#This Row],[Latest Senate Action]])-1))-FIND("-",Table4[[#This Row],[Latest Senate Action]])-1)</f>
        <v>108th</v>
      </c>
      <c r="J109" s="12" t="str">
        <f>RIGHT(Table4[[#This Row],[Latest Senate Action]],LEN(Table4[[#This Row],[Latest Senate Action]])-FIND(") - ",Table4[[#This Row],[Latest Senate Action]])-3)</f>
        <v xml:space="preserve">Resolution of advice and consent to ratification agreed to in Senate by Division Vote. (All Actions) </v>
      </c>
      <c r="K109" s="12" t="str">
        <f>INDEX(Table5[type],MATCH(Table4[[#This Row],[Action]],Table5[Action],0))</f>
        <v>Passed</v>
      </c>
      <c r="L109" s="22" t="b">
        <f>INDEX(Table1[Senate and President Same Party, House and President Different Party],MATCH(Table4[[#This Row],[Congress Acting]],Table1[Congress],0))</f>
        <v>1</v>
      </c>
    </row>
    <row r="110" spans="1:12" ht="157.5">
      <c r="A110" s="9" t="s">
        <v>332</v>
      </c>
      <c r="B110" t="s">
        <v>1458</v>
      </c>
      <c r="C110" s="9" t="s">
        <v>1459</v>
      </c>
      <c r="D110" s="13" t="s">
        <v>1460</v>
      </c>
      <c r="E110" s="9" t="s">
        <v>1461</v>
      </c>
      <c r="F110"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0" s="9" t="s">
        <v>1048</v>
      </c>
      <c r="H110" s="9" t="s">
        <v>1462</v>
      </c>
      <c r="I110" s="12" t="str">
        <f>RIGHT(LEFT(Table4[[#This Row],[Latest Senate Action]],FIND(" Congress",Table4[[#This Row],[Latest Senate Action]])-1),LEN(LEFT(Table4[[#This Row],[Latest Senate Action]],FIND(" Congress",Table4[[#This Row],[Latest Senate Action]])-1))-FIND("-",Table4[[#This Row],[Latest Senate Action]])-1)</f>
        <v>108th</v>
      </c>
      <c r="J110" s="12" t="str">
        <f>RIGHT(Table4[[#This Row],[Latest Senate Action]],LEN(Table4[[#This Row],[Latest Senate Action]])-FIND(") - ",Table4[[#This Row],[Latest Senate Action]])-3)</f>
        <v xml:space="preserve">Resolution of advice and consent to ratification agreed to in Senate by Division Vote. (All Actions) </v>
      </c>
      <c r="K110" s="12" t="str">
        <f>INDEX(Table5[type],MATCH(Table4[[#This Row],[Action]],Table5[Action],0))</f>
        <v>Passed</v>
      </c>
      <c r="L110" s="22" t="b">
        <f>INDEX(Table1[Senate and President Same Party, House and President Different Party],MATCH(Table4[[#This Row],[Congress Acting]],Table1[Congress],0))</f>
        <v>1</v>
      </c>
    </row>
    <row r="111" spans="1:12" ht="173.25">
      <c r="A111" s="9" t="s">
        <v>333</v>
      </c>
      <c r="B111" t="s">
        <v>1463</v>
      </c>
      <c r="C111" s="9" t="s">
        <v>1464</v>
      </c>
      <c r="D111" s="13" t="s">
        <v>1465</v>
      </c>
      <c r="E111" s="9" t="s">
        <v>1466</v>
      </c>
      <c r="F111"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1" s="9" t="s">
        <v>1048</v>
      </c>
      <c r="H111" s="9" t="s">
        <v>1462</v>
      </c>
      <c r="I111" s="12" t="str">
        <f>RIGHT(LEFT(Table4[[#This Row],[Latest Senate Action]],FIND(" Congress",Table4[[#This Row],[Latest Senate Action]])-1),LEN(LEFT(Table4[[#This Row],[Latest Senate Action]],FIND(" Congress",Table4[[#This Row],[Latest Senate Action]])-1))-FIND("-",Table4[[#This Row],[Latest Senate Action]])-1)</f>
        <v>108th</v>
      </c>
      <c r="J111" s="12" t="str">
        <f>RIGHT(Table4[[#This Row],[Latest Senate Action]],LEN(Table4[[#This Row],[Latest Senate Action]])-FIND(") - ",Table4[[#This Row],[Latest Senate Action]])-3)</f>
        <v xml:space="preserve">Resolution of advice and consent to ratification agreed to in Senate by Division Vote. (All Actions) </v>
      </c>
      <c r="K111" s="12" t="str">
        <f>INDEX(Table5[type],MATCH(Table4[[#This Row],[Action]],Table5[Action],0))</f>
        <v>Passed</v>
      </c>
      <c r="L111" s="22" t="b">
        <f>INDEX(Table1[Senate and President Same Party, House and President Different Party],MATCH(Table4[[#This Row],[Congress Acting]],Table1[Congress],0))</f>
        <v>1</v>
      </c>
    </row>
    <row r="112" spans="1:12" ht="157.5">
      <c r="A112" s="9" t="s">
        <v>334</v>
      </c>
      <c r="B112" t="s">
        <v>1467</v>
      </c>
      <c r="C112" s="9" t="s">
        <v>1468</v>
      </c>
      <c r="D112" s="13" t="s">
        <v>1469</v>
      </c>
      <c r="E112" s="9" t="s">
        <v>1470</v>
      </c>
      <c r="F112"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2" s="9" t="s">
        <v>1048</v>
      </c>
      <c r="H112" s="9" t="s">
        <v>1462</v>
      </c>
      <c r="I112" s="12" t="str">
        <f>RIGHT(LEFT(Table4[[#This Row],[Latest Senate Action]],FIND(" Congress",Table4[[#This Row],[Latest Senate Action]])-1),LEN(LEFT(Table4[[#This Row],[Latest Senate Action]],FIND(" Congress",Table4[[#This Row],[Latest Senate Action]])-1))-FIND("-",Table4[[#This Row],[Latest Senate Action]])-1)</f>
        <v>108th</v>
      </c>
      <c r="J112" s="12" t="str">
        <f>RIGHT(Table4[[#This Row],[Latest Senate Action]],LEN(Table4[[#This Row],[Latest Senate Action]])-FIND(") - ",Table4[[#This Row],[Latest Senate Action]])-3)</f>
        <v xml:space="preserve">Resolution of advice and consent to ratification agreed to in Senate by Division Vote. (All Actions) </v>
      </c>
      <c r="K112" s="12" t="str">
        <f>INDEX(Table5[type],MATCH(Table4[[#This Row],[Action]],Table5[Action],0))</f>
        <v>Passed</v>
      </c>
      <c r="L112" s="22" t="b">
        <f>INDEX(Table1[Senate and President Same Party, House and President Different Party],MATCH(Table4[[#This Row],[Congress Acting]],Table1[Congress],0))</f>
        <v>1</v>
      </c>
    </row>
    <row r="113" spans="1:12" ht="173.25">
      <c r="A113" s="9" t="s">
        <v>335</v>
      </c>
      <c r="B113" t="s">
        <v>1471</v>
      </c>
      <c r="C113" s="9" t="s">
        <v>1472</v>
      </c>
      <c r="D113" s="13" t="s">
        <v>1473</v>
      </c>
      <c r="E113" s="9" t="s">
        <v>1470</v>
      </c>
      <c r="F113"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3" s="9" t="s">
        <v>1048</v>
      </c>
      <c r="H113" s="9" t="s">
        <v>1462</v>
      </c>
      <c r="I113" s="12" t="str">
        <f>RIGHT(LEFT(Table4[[#This Row],[Latest Senate Action]],FIND(" Congress",Table4[[#This Row],[Latest Senate Action]])-1),LEN(LEFT(Table4[[#This Row],[Latest Senate Action]],FIND(" Congress",Table4[[#This Row],[Latest Senate Action]])-1))-FIND("-",Table4[[#This Row],[Latest Senate Action]])-1)</f>
        <v>108th</v>
      </c>
      <c r="J113" s="12" t="str">
        <f>RIGHT(Table4[[#This Row],[Latest Senate Action]],LEN(Table4[[#This Row],[Latest Senate Action]])-FIND(") - ",Table4[[#This Row],[Latest Senate Action]])-3)</f>
        <v xml:space="preserve">Resolution of advice and consent to ratification agreed to in Senate by Division Vote. (All Actions) </v>
      </c>
      <c r="K113" s="12" t="str">
        <f>INDEX(Table5[type],MATCH(Table4[[#This Row],[Action]],Table5[Action],0))</f>
        <v>Passed</v>
      </c>
      <c r="L113" s="22" t="b">
        <f>INDEX(Table1[Senate and President Same Party, House and President Different Party],MATCH(Table4[[#This Row],[Congress Acting]],Table1[Congress],0))</f>
        <v>1</v>
      </c>
    </row>
    <row r="114" spans="1:12" ht="173.25">
      <c r="A114" s="9" t="s">
        <v>336</v>
      </c>
      <c r="B114" t="s">
        <v>1474</v>
      </c>
      <c r="C114" s="9" t="s">
        <v>1475</v>
      </c>
      <c r="D114" s="13" t="s">
        <v>1476</v>
      </c>
      <c r="E114" s="9" t="s">
        <v>1470</v>
      </c>
      <c r="F114"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4" s="9" t="s">
        <v>1048</v>
      </c>
      <c r="H114" s="9" t="s">
        <v>1462</v>
      </c>
      <c r="I114" s="12" t="str">
        <f>RIGHT(LEFT(Table4[[#This Row],[Latest Senate Action]],FIND(" Congress",Table4[[#This Row],[Latest Senate Action]])-1),LEN(LEFT(Table4[[#This Row],[Latest Senate Action]],FIND(" Congress",Table4[[#This Row],[Latest Senate Action]])-1))-FIND("-",Table4[[#This Row],[Latest Senate Action]])-1)</f>
        <v>108th</v>
      </c>
      <c r="J114" s="12" t="str">
        <f>RIGHT(Table4[[#This Row],[Latest Senate Action]],LEN(Table4[[#This Row],[Latest Senate Action]])-FIND(") - ",Table4[[#This Row],[Latest Senate Action]])-3)</f>
        <v xml:space="preserve">Resolution of advice and consent to ratification agreed to in Senate by Division Vote. (All Actions) </v>
      </c>
      <c r="K114" s="12" t="str">
        <f>INDEX(Table5[type],MATCH(Table4[[#This Row],[Action]],Table5[Action],0))</f>
        <v>Passed</v>
      </c>
      <c r="L114" s="22" t="b">
        <f>INDEX(Table1[Senate and President Same Party, House and President Different Party],MATCH(Table4[[#This Row],[Congress Acting]],Table1[Congress],0))</f>
        <v>1</v>
      </c>
    </row>
    <row r="115" spans="1:12" ht="157.5">
      <c r="A115" s="9" t="s">
        <v>337</v>
      </c>
      <c r="B115" t="s">
        <v>1477</v>
      </c>
      <c r="C115" s="9" t="s">
        <v>1478</v>
      </c>
      <c r="D115" s="13" t="s">
        <v>1479</v>
      </c>
      <c r="E115" s="9" t="s">
        <v>1470</v>
      </c>
      <c r="F115"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5" s="9" t="s">
        <v>1048</v>
      </c>
      <c r="H115" s="9" t="s">
        <v>1462</v>
      </c>
      <c r="I115" s="12" t="str">
        <f>RIGHT(LEFT(Table4[[#This Row],[Latest Senate Action]],FIND(" Congress",Table4[[#This Row],[Latest Senate Action]])-1),LEN(LEFT(Table4[[#This Row],[Latest Senate Action]],FIND(" Congress",Table4[[#This Row],[Latest Senate Action]])-1))-FIND("-",Table4[[#This Row],[Latest Senate Action]])-1)</f>
        <v>108th</v>
      </c>
      <c r="J115" s="12" t="str">
        <f>RIGHT(Table4[[#This Row],[Latest Senate Action]],LEN(Table4[[#This Row],[Latest Senate Action]])-FIND(") - ",Table4[[#This Row],[Latest Senate Action]])-3)</f>
        <v xml:space="preserve">Resolution of advice and consent to ratification agreed to in Senate by Division Vote. (All Actions) </v>
      </c>
      <c r="K115" s="12" t="str">
        <f>INDEX(Table5[type],MATCH(Table4[[#This Row],[Action]],Table5[Action],0))</f>
        <v>Passed</v>
      </c>
      <c r="L115" s="22" t="b">
        <f>INDEX(Table1[Senate and President Same Party, House and President Different Party],MATCH(Table4[[#This Row],[Congress Acting]],Table1[Congress],0))</f>
        <v>1</v>
      </c>
    </row>
    <row r="116" spans="1:12" ht="157.5">
      <c r="A116" s="9" t="s">
        <v>338</v>
      </c>
      <c r="B116" t="s">
        <v>1480</v>
      </c>
      <c r="C116" s="9" t="s">
        <v>1481</v>
      </c>
      <c r="D116" s="13" t="s">
        <v>1482</v>
      </c>
      <c r="E116" s="9" t="s">
        <v>1470</v>
      </c>
      <c r="F116"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6" s="9" t="s">
        <v>1048</v>
      </c>
      <c r="H116" s="9" t="s">
        <v>1462</v>
      </c>
      <c r="I116" s="12" t="str">
        <f>RIGHT(LEFT(Table4[[#This Row],[Latest Senate Action]],FIND(" Congress",Table4[[#This Row],[Latest Senate Action]])-1),LEN(LEFT(Table4[[#This Row],[Latest Senate Action]],FIND(" Congress",Table4[[#This Row],[Latest Senate Action]])-1))-FIND("-",Table4[[#This Row],[Latest Senate Action]])-1)</f>
        <v>108th</v>
      </c>
      <c r="J116" s="12" t="str">
        <f>RIGHT(Table4[[#This Row],[Latest Senate Action]],LEN(Table4[[#This Row],[Latest Senate Action]])-FIND(") - ",Table4[[#This Row],[Latest Senate Action]])-3)</f>
        <v xml:space="preserve">Resolution of advice and consent to ratification agreed to in Senate by Division Vote. (All Actions) </v>
      </c>
      <c r="K116" s="12" t="str">
        <f>INDEX(Table5[type],MATCH(Table4[[#This Row],[Action]],Table5[Action],0))</f>
        <v>Passed</v>
      </c>
      <c r="L116" s="22" t="b">
        <f>INDEX(Table1[Senate and President Same Party, House and President Different Party],MATCH(Table4[[#This Row],[Congress Acting]],Table1[Congress],0))</f>
        <v>1</v>
      </c>
    </row>
    <row r="117" spans="1:12" ht="173.25">
      <c r="A117" s="9" t="s">
        <v>339</v>
      </c>
      <c r="B117" t="s">
        <v>1483</v>
      </c>
      <c r="C117" s="9" t="s">
        <v>1484</v>
      </c>
      <c r="D117" s="13" t="s">
        <v>1485</v>
      </c>
      <c r="E117" s="9" t="s">
        <v>1470</v>
      </c>
      <c r="F117"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7" s="9" t="s">
        <v>1048</v>
      </c>
      <c r="H117" s="9" t="s">
        <v>1462</v>
      </c>
      <c r="I117" s="12" t="str">
        <f>RIGHT(LEFT(Table4[[#This Row],[Latest Senate Action]],FIND(" Congress",Table4[[#This Row],[Latest Senate Action]])-1),LEN(LEFT(Table4[[#This Row],[Latest Senate Action]],FIND(" Congress",Table4[[#This Row],[Latest Senate Action]])-1))-FIND("-",Table4[[#This Row],[Latest Senate Action]])-1)</f>
        <v>108th</v>
      </c>
      <c r="J117" s="12" t="str">
        <f>RIGHT(Table4[[#This Row],[Latest Senate Action]],LEN(Table4[[#This Row],[Latest Senate Action]])-FIND(") - ",Table4[[#This Row],[Latest Senate Action]])-3)</f>
        <v xml:space="preserve">Resolution of advice and consent to ratification agreed to in Senate by Division Vote. (All Actions) </v>
      </c>
      <c r="K117" s="12" t="str">
        <f>INDEX(Table5[type],MATCH(Table4[[#This Row],[Action]],Table5[Action],0))</f>
        <v>Passed</v>
      </c>
      <c r="L117" s="22" t="b">
        <f>INDEX(Table1[Senate and President Same Party, House and President Different Party],MATCH(Table4[[#This Row],[Congress Acting]],Table1[Congress],0))</f>
        <v>1</v>
      </c>
    </row>
    <row r="118" spans="1:12" ht="173.25">
      <c r="A118" s="9" t="s">
        <v>340</v>
      </c>
      <c r="B118" t="s">
        <v>1486</v>
      </c>
      <c r="C118" s="9" t="s">
        <v>1487</v>
      </c>
      <c r="D118" s="13" t="s">
        <v>1488</v>
      </c>
      <c r="E118" s="9" t="s">
        <v>1489</v>
      </c>
      <c r="F118"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18" s="9" t="s">
        <v>1101</v>
      </c>
      <c r="H118" s="9" t="s">
        <v>1490</v>
      </c>
      <c r="I118" s="12" t="str">
        <f>RIGHT(LEFT(Table4[[#This Row],[Latest Senate Action]],FIND(" Congress",Table4[[#This Row],[Latest Senate Action]])-1),LEN(LEFT(Table4[[#This Row],[Latest Senate Action]],FIND(" Congress",Table4[[#This Row],[Latest Senate Action]])-1))-FIND("-",Table4[[#This Row],[Latest Senate Action]])-1)</f>
        <v>108th</v>
      </c>
      <c r="J118" s="12" t="str">
        <f>RIGHT(Table4[[#This Row],[Latest Senate Action]],LEN(Table4[[#This Row],[Latest Senate Action]])-FIND(") - ",Table4[[#This Row],[Latest Senate Action]])-3)</f>
        <v xml:space="preserve">Resolution of advice and consent to ratification agreed to in Senate by Division Vote. (All Actions) </v>
      </c>
      <c r="K118" s="12" t="str">
        <f>INDEX(Table5[type],MATCH(Table4[[#This Row],[Action]],Table5[Action],0))</f>
        <v>Passed</v>
      </c>
      <c r="L118" s="22" t="b">
        <f>INDEX(Table1[Senate and President Same Party, House and President Different Party],MATCH(Table4[[#This Row],[Congress Acting]],Table1[Congress],0))</f>
        <v>1</v>
      </c>
    </row>
    <row r="119" spans="1:12" ht="157.5">
      <c r="A119" s="9" t="s">
        <v>341</v>
      </c>
      <c r="B119" t="s">
        <v>1491</v>
      </c>
      <c r="C119" s="9" t="s">
        <v>1492</v>
      </c>
      <c r="D119" s="13" t="s">
        <v>1493</v>
      </c>
      <c r="E119" s="9" t="s">
        <v>1494</v>
      </c>
      <c r="F119"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19" s="9" t="s">
        <v>1063</v>
      </c>
      <c r="H119" s="9" t="s">
        <v>1495</v>
      </c>
      <c r="I119" s="12" t="str">
        <f>RIGHT(LEFT(Table4[[#This Row],[Latest Senate Action]],FIND(" Congress",Table4[[#This Row],[Latest Senate Action]])-1),LEN(LEFT(Table4[[#This Row],[Latest Senate Action]],FIND(" Congress",Table4[[#This Row],[Latest Senate Action]])-1))-FIND("-",Table4[[#This Row],[Latest Senate Action]])-1)</f>
        <v>108th</v>
      </c>
      <c r="J119" s="12" t="str">
        <f>RIGHT(Table4[[#This Row],[Latest Senate Action]],LEN(Table4[[#This Row],[Latest Senate Action]])-FIND(") - ",Table4[[#This Row],[Latest Senate Action]])-3)</f>
        <v xml:space="preserve">Resolution of advice and consent to ratification agreed to in Senate by Division Vote. (All Actions) </v>
      </c>
      <c r="K119" s="12" t="str">
        <f>INDEX(Table5[type],MATCH(Table4[[#This Row],[Action]],Table5[Action],0))</f>
        <v>Passed</v>
      </c>
      <c r="L119" s="22" t="b">
        <f>INDEX(Table1[Senate and President Same Party, House and President Different Party],MATCH(Table4[[#This Row],[Congress Acting]],Table1[Congress],0))</f>
        <v>1</v>
      </c>
    </row>
    <row r="120" spans="1:12" ht="141.75">
      <c r="A120" s="9" t="s">
        <v>342</v>
      </c>
      <c r="B120" t="s">
        <v>1496</v>
      </c>
      <c r="C120" s="9" t="s">
        <v>1497</v>
      </c>
      <c r="D120" s="13" t="s">
        <v>3788</v>
      </c>
      <c r="E120" s="9" t="s">
        <v>1498</v>
      </c>
      <c r="F120"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120" s="9" t="s">
        <v>1063</v>
      </c>
      <c r="H120" s="9" t="s">
        <v>1495</v>
      </c>
      <c r="I120" s="12" t="str">
        <f>RIGHT(LEFT(Table4[[#This Row],[Latest Senate Action]],FIND(" Congress",Table4[[#This Row],[Latest Senate Action]])-1),LEN(LEFT(Table4[[#This Row],[Latest Senate Action]],FIND(" Congress",Table4[[#This Row],[Latest Senate Action]])-1))-FIND("-",Table4[[#This Row],[Latest Senate Action]])-1)</f>
        <v>108th</v>
      </c>
      <c r="J120" s="12" t="str">
        <f>RIGHT(Table4[[#This Row],[Latest Senate Action]],LEN(Table4[[#This Row],[Latest Senate Action]])-FIND(") - ",Table4[[#This Row],[Latest Senate Action]])-3)</f>
        <v xml:space="preserve">Resolution of advice and consent to ratification agreed to in Senate by Division Vote. (All Actions) </v>
      </c>
      <c r="K120" s="12" t="str">
        <f>INDEX(Table5[type],MATCH(Table4[[#This Row],[Action]],Table5[Action],0))</f>
        <v>Passed</v>
      </c>
      <c r="L120" s="22" t="b">
        <f>INDEX(Table1[Senate and President Same Party, House and President Different Party],MATCH(Table4[[#This Row],[Congress Acting]],Table1[Congress],0))</f>
        <v>1</v>
      </c>
    </row>
    <row r="121" spans="1:12" ht="141.75">
      <c r="A121" s="9" t="s">
        <v>343</v>
      </c>
      <c r="B121" t="s">
        <v>1499</v>
      </c>
      <c r="C121" s="9" t="s">
        <v>1500</v>
      </c>
      <c r="D121" s="13" t="s">
        <v>1501</v>
      </c>
      <c r="E121" s="9" t="s">
        <v>1461</v>
      </c>
      <c r="F121"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21" s="9" t="s">
        <v>1063</v>
      </c>
      <c r="H121" s="9" t="s">
        <v>1502</v>
      </c>
      <c r="I121" s="12" t="str">
        <f>RIGHT(LEFT(Table4[[#This Row],[Latest Senate Action]],FIND(" Congress",Table4[[#This Row],[Latest Senate Action]])-1),LEN(LEFT(Table4[[#This Row],[Latest Senate Action]],FIND(" Congress",Table4[[#This Row],[Latest Senate Action]])-1))-FIND("-",Table4[[#This Row],[Latest Senate Action]])-1)</f>
        <v>108th</v>
      </c>
      <c r="J121" s="12" t="str">
        <f>RIGHT(Table4[[#This Row],[Latest Senate Action]],LEN(Table4[[#This Row],[Latest Senate Action]])-FIND(") - ",Table4[[#This Row],[Latest Senate Action]])-3)</f>
        <v xml:space="preserve">Resolution of advice and consent to ratification agreed to in Senate by Division Vote. (All Actions) </v>
      </c>
      <c r="K121" s="12" t="str">
        <f>INDEX(Table5[type],MATCH(Table4[[#This Row],[Action]],Table5[Action],0))</f>
        <v>Passed</v>
      </c>
      <c r="L121" s="22" t="b">
        <f>INDEX(Table1[Senate and President Same Party, House and President Different Party],MATCH(Table4[[#This Row],[Congress Acting]],Table1[Congress],0))</f>
        <v>1</v>
      </c>
    </row>
    <row r="122" spans="1:12" ht="189">
      <c r="A122" s="9" t="s">
        <v>344</v>
      </c>
      <c r="B122" t="s">
        <v>1503</v>
      </c>
      <c r="C122" s="9" t="s">
        <v>1504</v>
      </c>
      <c r="D122" s="13" t="s">
        <v>1505</v>
      </c>
      <c r="E122" s="9" t="s">
        <v>1506</v>
      </c>
      <c r="F122"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22" s="9" t="s">
        <v>1112</v>
      </c>
      <c r="H122" s="9" t="s">
        <v>1507</v>
      </c>
      <c r="I122" s="12" t="str">
        <f>RIGHT(LEFT(Table4[[#This Row],[Latest Senate Action]],FIND(" Congress",Table4[[#This Row],[Latest Senate Action]])-1),LEN(LEFT(Table4[[#This Row],[Latest Senate Action]],FIND(" Congress",Table4[[#This Row],[Latest Senate Action]])-1))-FIND("-",Table4[[#This Row],[Latest Senate Action]])-1)</f>
        <v>108th</v>
      </c>
      <c r="J122" s="12" t="str">
        <f>RIGHT(Table4[[#This Row],[Latest Senate Action]],LEN(Table4[[#This Row],[Latest Senate Action]])-FIND(") - ",Table4[[#This Row],[Latest Senate Action]])-3)</f>
        <v xml:space="preserve">Resolution of advice and consent to ratification agreed to in Senate by Division Vote. (All Actions) </v>
      </c>
      <c r="K122" s="12" t="str">
        <f>INDEX(Table5[type],MATCH(Table4[[#This Row],[Action]],Table5[Action],0))</f>
        <v>Passed</v>
      </c>
      <c r="L122" s="22" t="b">
        <f>INDEX(Table1[Senate and President Same Party, House and President Different Party],MATCH(Table4[[#This Row],[Congress Acting]],Table1[Congress],0))</f>
        <v>1</v>
      </c>
    </row>
    <row r="123" spans="1:12" ht="173.25">
      <c r="A123" s="9" t="s">
        <v>345</v>
      </c>
      <c r="B123" t="s">
        <v>1508</v>
      </c>
      <c r="C123" s="9" t="s">
        <v>1509</v>
      </c>
      <c r="D123" s="13" t="s">
        <v>1510</v>
      </c>
      <c r="E123" s="9" t="s">
        <v>1511</v>
      </c>
      <c r="F123"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23" s="9" t="s">
        <v>1112</v>
      </c>
      <c r="H123" s="9" t="s">
        <v>1507</v>
      </c>
      <c r="I123" s="12" t="str">
        <f>RIGHT(LEFT(Table4[[#This Row],[Latest Senate Action]],FIND(" Congress",Table4[[#This Row],[Latest Senate Action]])-1),LEN(LEFT(Table4[[#This Row],[Latest Senate Action]],FIND(" Congress",Table4[[#This Row],[Latest Senate Action]])-1))-FIND("-",Table4[[#This Row],[Latest Senate Action]])-1)</f>
        <v>108th</v>
      </c>
      <c r="J123" s="12" t="str">
        <f>RIGHT(Table4[[#This Row],[Latest Senate Action]],LEN(Table4[[#This Row],[Latest Senate Action]])-FIND(") - ",Table4[[#This Row],[Latest Senate Action]])-3)</f>
        <v xml:space="preserve">Resolution of advice and consent to ratification agreed to in Senate by Division Vote. (All Actions) </v>
      </c>
      <c r="K123" s="12" t="str">
        <f>INDEX(Table5[type],MATCH(Table4[[#This Row],[Action]],Table5[Action],0))</f>
        <v>Passed</v>
      </c>
      <c r="L123" s="22" t="b">
        <f>INDEX(Table1[Senate and President Same Party, House and President Different Party],MATCH(Table4[[#This Row],[Congress Acting]],Table1[Congress],0))</f>
        <v>1</v>
      </c>
    </row>
    <row r="124" spans="1:12" ht="173.25">
      <c r="A124" s="9" t="s">
        <v>346</v>
      </c>
      <c r="B124" t="s">
        <v>1512</v>
      </c>
      <c r="C124" s="9" t="s">
        <v>1513</v>
      </c>
      <c r="D124" s="13" t="s">
        <v>1514</v>
      </c>
      <c r="E124" s="9" t="s">
        <v>1515</v>
      </c>
      <c r="F124"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24" s="9" t="s">
        <v>1112</v>
      </c>
      <c r="H124" s="9" t="s">
        <v>1507</v>
      </c>
      <c r="I124" s="12" t="str">
        <f>RIGHT(LEFT(Table4[[#This Row],[Latest Senate Action]],FIND(" Congress",Table4[[#This Row],[Latest Senate Action]])-1),LEN(LEFT(Table4[[#This Row],[Latest Senate Action]],FIND(" Congress",Table4[[#This Row],[Latest Senate Action]])-1))-FIND("-",Table4[[#This Row],[Latest Senate Action]])-1)</f>
        <v>108th</v>
      </c>
      <c r="J124" s="12" t="str">
        <f>RIGHT(Table4[[#This Row],[Latest Senate Action]],LEN(Table4[[#This Row],[Latest Senate Action]])-FIND(") - ",Table4[[#This Row],[Latest Senate Action]])-3)</f>
        <v xml:space="preserve">Resolution of advice and consent to ratification agreed to in Senate by Division Vote. (All Actions) </v>
      </c>
      <c r="K124" s="12" t="str">
        <f>INDEX(Table5[type],MATCH(Table4[[#This Row],[Action]],Table5[Action],0))</f>
        <v>Passed</v>
      </c>
      <c r="L124" s="22" t="b">
        <f>INDEX(Table1[Senate and President Same Party, House and President Different Party],MATCH(Table4[[#This Row],[Congress Acting]],Table1[Congress],0))</f>
        <v>1</v>
      </c>
    </row>
    <row r="125" spans="1:12" ht="173.25">
      <c r="A125" s="9" t="s">
        <v>347</v>
      </c>
      <c r="B125" t="s">
        <v>1516</v>
      </c>
      <c r="C125" s="9" t="s">
        <v>1517</v>
      </c>
      <c r="D125" s="13" t="s">
        <v>1518</v>
      </c>
      <c r="E125" s="9" t="s">
        <v>1519</v>
      </c>
      <c r="F125"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25" s="9" t="s">
        <v>1456</v>
      </c>
      <c r="H125" s="9" t="s">
        <v>1507</v>
      </c>
      <c r="I125" s="12" t="str">
        <f>RIGHT(LEFT(Table4[[#This Row],[Latest Senate Action]],FIND(" Congress",Table4[[#This Row],[Latest Senate Action]])-1),LEN(LEFT(Table4[[#This Row],[Latest Senate Action]],FIND(" Congress",Table4[[#This Row],[Latest Senate Action]])-1))-FIND("-",Table4[[#This Row],[Latest Senate Action]])-1)</f>
        <v>108th</v>
      </c>
      <c r="J125" s="12" t="str">
        <f>RIGHT(Table4[[#This Row],[Latest Senate Action]],LEN(Table4[[#This Row],[Latest Senate Action]])-FIND(") - ",Table4[[#This Row],[Latest Senate Action]])-3)</f>
        <v xml:space="preserve">Resolution of advice and consent to ratification agreed to in Senate by Division Vote. (All Actions) </v>
      </c>
      <c r="K125" s="12" t="str">
        <f>INDEX(Table5[type],MATCH(Table4[[#This Row],[Action]],Table5[Action],0))</f>
        <v>Passed</v>
      </c>
      <c r="L125" s="22" t="b">
        <f>INDEX(Table1[Senate and President Same Party, House and President Different Party],MATCH(Table4[[#This Row],[Congress Acting]],Table1[Congress],0))</f>
        <v>1</v>
      </c>
    </row>
    <row r="126" spans="1:12" ht="157.5">
      <c r="A126" s="9" t="s">
        <v>348</v>
      </c>
      <c r="B126" t="s">
        <v>1520</v>
      </c>
      <c r="C126" s="9" t="s">
        <v>1521</v>
      </c>
      <c r="D126" s="13" t="s">
        <v>1522</v>
      </c>
      <c r="E126" s="9" t="s">
        <v>1523</v>
      </c>
      <c r="F12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26" s="9" t="s">
        <v>1456</v>
      </c>
      <c r="H126" s="9" t="s">
        <v>1507</v>
      </c>
      <c r="I126" s="12" t="str">
        <f>RIGHT(LEFT(Table4[[#This Row],[Latest Senate Action]],FIND(" Congress",Table4[[#This Row],[Latest Senate Action]])-1),LEN(LEFT(Table4[[#This Row],[Latest Senate Action]],FIND(" Congress",Table4[[#This Row],[Latest Senate Action]])-1))-FIND("-",Table4[[#This Row],[Latest Senate Action]])-1)</f>
        <v>108th</v>
      </c>
      <c r="J126" s="12" t="str">
        <f>RIGHT(Table4[[#This Row],[Latest Senate Action]],LEN(Table4[[#This Row],[Latest Senate Action]])-FIND(") - ",Table4[[#This Row],[Latest Senate Action]])-3)</f>
        <v xml:space="preserve">Resolution of advice and consent to ratification agreed to in Senate by Division Vote. (All Actions) </v>
      </c>
      <c r="K126" s="12" t="str">
        <f>INDEX(Table5[type],MATCH(Table4[[#This Row],[Action]],Table5[Action],0))</f>
        <v>Passed</v>
      </c>
      <c r="L126" s="22" t="b">
        <f>INDEX(Table1[Senate and President Same Party, House and President Different Party],MATCH(Table4[[#This Row],[Congress Acting]],Table1[Congress],0))</f>
        <v>1</v>
      </c>
    </row>
    <row r="127" spans="1:12" ht="157.5">
      <c r="A127" s="9" t="s">
        <v>349</v>
      </c>
      <c r="B127" t="s">
        <v>1524</v>
      </c>
      <c r="C127" s="9" t="s">
        <v>1525</v>
      </c>
      <c r="D127" s="13" t="s">
        <v>1526</v>
      </c>
      <c r="E127" s="9" t="s">
        <v>1527</v>
      </c>
      <c r="F127"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27" s="9" t="s">
        <v>1184</v>
      </c>
      <c r="H127" s="9" t="s">
        <v>1528</v>
      </c>
      <c r="I127" s="12" t="str">
        <f>RIGHT(LEFT(Table4[[#This Row],[Latest Senate Action]],FIND(" Congress",Table4[[#This Row],[Latest Senate Action]])-1),LEN(LEFT(Table4[[#This Row],[Latest Senate Action]],FIND(" Congress",Table4[[#This Row],[Latest Senate Action]])-1))-FIND("-",Table4[[#This Row],[Latest Senate Action]])-1)</f>
        <v>108th</v>
      </c>
      <c r="J127" s="12" t="str">
        <f>RIGHT(Table4[[#This Row],[Latest Senate Action]],LEN(Table4[[#This Row],[Latest Senate Action]])-FIND(") - ",Table4[[#This Row],[Latest Senate Action]])-3)</f>
        <v xml:space="preserve">Committee on Foreign Relations. Hearings held. Hearings printed: S.Hrg. in Ex. Rept. 108-8. (All Actions) </v>
      </c>
      <c r="K127" s="12" t="str">
        <f>INDEX(Table5[type],MATCH(Table4[[#This Row],[Action]],Table5[Action],0))</f>
        <v>In Process</v>
      </c>
      <c r="L127" s="22" t="b">
        <f>INDEX(Table1[Senate and President Same Party, House and President Different Party],MATCH(Table4[[#This Row],[Congress Acting]],Table1[Congress],0))</f>
        <v>1</v>
      </c>
    </row>
    <row r="128" spans="1:12" ht="173.25">
      <c r="A128" s="9" t="s">
        <v>350</v>
      </c>
      <c r="B128" t="s">
        <v>1529</v>
      </c>
      <c r="C128" s="9" t="s">
        <v>1530</v>
      </c>
      <c r="D128" s="13" t="s">
        <v>1531</v>
      </c>
      <c r="E128" s="9" t="s">
        <v>1532</v>
      </c>
      <c r="F128"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28" s="9" t="s">
        <v>1164</v>
      </c>
      <c r="H128" s="9" t="s">
        <v>1528</v>
      </c>
      <c r="I128" s="12" t="str">
        <f>RIGHT(LEFT(Table4[[#This Row],[Latest Senate Action]],FIND(" Congress",Table4[[#This Row],[Latest Senate Action]])-1),LEN(LEFT(Table4[[#This Row],[Latest Senate Action]],FIND(" Congress",Table4[[#This Row],[Latest Senate Action]])-1))-FIND("-",Table4[[#This Row],[Latest Senate Action]])-1)</f>
        <v>108th</v>
      </c>
      <c r="J128" s="12" t="str">
        <f>RIGHT(Table4[[#This Row],[Latest Senate Action]],LEN(Table4[[#This Row],[Latest Senate Action]])-FIND(") - ",Table4[[#This Row],[Latest Senate Action]])-3)</f>
        <v xml:space="preserve">Committee on Foreign Relations. Hearings held. Hearings printed: S.Hrg. in Ex. Rept. 108-8. (All Actions) </v>
      </c>
      <c r="K128" s="12" t="str">
        <f>INDEX(Table5[type],MATCH(Table4[[#This Row],[Action]],Table5[Action],0))</f>
        <v>In Process</v>
      </c>
      <c r="L128" s="22" t="b">
        <f>INDEX(Table1[Senate and President Same Party, House and President Different Party],MATCH(Table4[[#This Row],[Congress Acting]],Table1[Congress],0))</f>
        <v>1</v>
      </c>
    </row>
    <row r="129" spans="1:12" ht="204.75">
      <c r="A129" s="9" t="s">
        <v>351</v>
      </c>
      <c r="B129" t="s">
        <v>1533</v>
      </c>
      <c r="C129" s="9" t="s">
        <v>1534</v>
      </c>
      <c r="D129" s="13" t="s">
        <v>1535</v>
      </c>
      <c r="E129" s="9" t="s">
        <v>1536</v>
      </c>
      <c r="F129"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29" s="9" t="s">
        <v>1038</v>
      </c>
      <c r="H129" s="9" t="s">
        <v>1537</v>
      </c>
      <c r="I129" s="12" t="str">
        <f>RIGHT(LEFT(Table4[[#This Row],[Latest Senate Action]],FIND(" Congress",Table4[[#This Row],[Latest Senate Action]])-1),LEN(LEFT(Table4[[#This Row],[Latest Senate Action]],FIND(" Congress",Table4[[#This Row],[Latest Senate Action]])-1))-FIND("-",Table4[[#This Row],[Latest Senate Action]])-1)</f>
        <v>108th</v>
      </c>
      <c r="J129" s="12" t="str">
        <f>RIGHT(Table4[[#This Row],[Latest Senate Action]],LEN(Table4[[#This Row],[Latest Senate Action]])-FIND(") - ",Table4[[#This Row],[Latest Senate Action]])-3)</f>
        <v xml:space="preserve">Resolution of advice and consent to ratification agreed to in Senate by Yea-Nay Vote. 96 - 0. Record Vote Number: 142. (All Actions) </v>
      </c>
      <c r="K129" s="12" t="str">
        <f>INDEX(Table5[type],MATCH(Table4[[#This Row],[Action]],Table5[Action],0))</f>
        <v>Passed</v>
      </c>
      <c r="L129" s="22" t="b">
        <f>INDEX(Table1[Senate and President Same Party, House and President Different Party],MATCH(Table4[[#This Row],[Congress Acting]],Table1[Congress],0))</f>
        <v>1</v>
      </c>
    </row>
    <row r="130" spans="1:12" ht="173.25">
      <c r="A130" s="9" t="s">
        <v>352</v>
      </c>
      <c r="B130" t="s">
        <v>1538</v>
      </c>
      <c r="C130" s="9" t="s">
        <v>1539</v>
      </c>
      <c r="D130" s="13" t="s">
        <v>1540</v>
      </c>
      <c r="E130" s="9" t="s">
        <v>1541</v>
      </c>
      <c r="F13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30" s="9" t="s">
        <v>1164</v>
      </c>
      <c r="H130" s="9" t="s">
        <v>1542</v>
      </c>
      <c r="I130" s="12" t="str">
        <f>RIGHT(LEFT(Table4[[#This Row],[Latest Senate Action]],FIND(" Congress",Table4[[#This Row],[Latest Senate Action]])-1),LEN(LEFT(Table4[[#This Row],[Latest Senate Action]],FIND(" Congress",Table4[[#This Row],[Latest Senate Action]])-1))-FIND("-",Table4[[#This Row],[Latest Senate Action]])-1)</f>
        <v>108th</v>
      </c>
      <c r="J130" s="12" t="str">
        <f>RIGHT(Table4[[#This Row],[Latest Senate Action]],LEN(Table4[[#This Row],[Latest Senate Action]])-FIND(") - ",Table4[[#This Row],[Latest Senate Action]])-3)</f>
        <v xml:space="preserve">Resolution of advice and consent to ratification agreed to in Senate by Division Vote. (All Actions) </v>
      </c>
      <c r="K130" s="12" t="str">
        <f>INDEX(Table5[type],MATCH(Table4[[#This Row],[Action]],Table5[Action],0))</f>
        <v>Passed</v>
      </c>
      <c r="L130" s="22" t="b">
        <f>INDEX(Table1[Senate and President Same Party, House and President Different Party],MATCH(Table4[[#This Row],[Congress Acting]],Table1[Congress],0))</f>
        <v>1</v>
      </c>
    </row>
    <row r="131" spans="1:12" ht="173.25">
      <c r="A131" s="9" t="s">
        <v>353</v>
      </c>
      <c r="B131" t="s">
        <v>1543</v>
      </c>
      <c r="C131" s="9" t="s">
        <v>1544</v>
      </c>
      <c r="D131" s="13" t="s">
        <v>1545</v>
      </c>
      <c r="E131" s="9" t="s">
        <v>1546</v>
      </c>
      <c r="F131" t="str">
        <f>RIGHT(LEFT(Table4[[#This Row],[Date Received from President]],FIND(" Congress",Table4[[#This Row],[Date Received from President]])-1),LEN(LEFT(Table4[[#This Row],[Date Received from President]],FIND(" Congress",Table4[[#This Row],[Date Received from President]])-1))-FIND("-",Table4[[#This Row],[Date Received from President]])-1)</f>
        <v>108th</v>
      </c>
      <c r="G131" s="9" t="s">
        <v>1063</v>
      </c>
      <c r="H131" s="9" t="s">
        <v>1547</v>
      </c>
      <c r="I131" s="12" t="str">
        <f>RIGHT(LEFT(Table4[[#This Row],[Latest Senate Action]],FIND(" Congress",Table4[[#This Row],[Latest Senate Action]])-1),LEN(LEFT(Table4[[#This Row],[Latest Senate Action]],FIND(" Congress",Table4[[#This Row],[Latest Senate Action]])-1))-FIND("-",Table4[[#This Row],[Latest Senate Action]])-1)</f>
        <v>108th</v>
      </c>
      <c r="J131" s="12" t="str">
        <f>RIGHT(Table4[[#This Row],[Latest Senate Action]],LEN(Table4[[#This Row],[Latest Senate Action]])-FIND(") - ",Table4[[#This Row],[Latest Senate Action]])-3)</f>
        <v xml:space="preserve">Resolution of advice and consent to ratification agreed to in Senate by Division Vote. (All Actions) </v>
      </c>
      <c r="K131" s="12" t="str">
        <f>INDEX(Table5[type],MATCH(Table4[[#This Row],[Action]],Table5[Action],0))</f>
        <v>Passed</v>
      </c>
      <c r="L131" s="22" t="b">
        <f>INDEX(Table1[Senate and President Same Party, House and President Different Party],MATCH(Table4[[#This Row],[Congress Acting]],Table1[Congress],0))</f>
        <v>1</v>
      </c>
    </row>
    <row r="132" spans="1:12" ht="173.25">
      <c r="A132" s="9" t="s">
        <v>354</v>
      </c>
      <c r="B132" t="s">
        <v>1548</v>
      </c>
      <c r="C132" s="9" t="s">
        <v>1549</v>
      </c>
      <c r="D132" s="13" t="s">
        <v>1550</v>
      </c>
      <c r="E132" s="9" t="s">
        <v>1551</v>
      </c>
      <c r="F132"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2" s="9" t="s">
        <v>1063</v>
      </c>
      <c r="H132" s="9" t="s">
        <v>1547</v>
      </c>
      <c r="I132" s="12" t="str">
        <f>RIGHT(LEFT(Table4[[#This Row],[Latest Senate Action]],FIND(" Congress",Table4[[#This Row],[Latest Senate Action]])-1),LEN(LEFT(Table4[[#This Row],[Latest Senate Action]],FIND(" Congress",Table4[[#This Row],[Latest Senate Action]])-1))-FIND("-",Table4[[#This Row],[Latest Senate Action]])-1)</f>
        <v>108th</v>
      </c>
      <c r="J132" s="12" t="str">
        <f>RIGHT(Table4[[#This Row],[Latest Senate Action]],LEN(Table4[[#This Row],[Latest Senate Action]])-FIND(") - ",Table4[[#This Row],[Latest Senate Action]])-3)</f>
        <v xml:space="preserve">Resolution of advice and consent to ratification agreed to in Senate by Division Vote. (All Actions) </v>
      </c>
      <c r="K132" s="12" t="str">
        <f>INDEX(Table5[type],MATCH(Table4[[#This Row],[Action]],Table5[Action],0))</f>
        <v>Passed</v>
      </c>
      <c r="L132" s="22" t="b">
        <f>INDEX(Table1[Senate and President Same Party, House and President Different Party],MATCH(Table4[[#This Row],[Congress Acting]],Table1[Congress],0))</f>
        <v>1</v>
      </c>
    </row>
    <row r="133" spans="1:12" ht="173.25">
      <c r="A133" s="9" t="s">
        <v>355</v>
      </c>
      <c r="B133" t="s">
        <v>1552</v>
      </c>
      <c r="C133" s="9" t="s">
        <v>1553</v>
      </c>
      <c r="D133" s="13" t="s">
        <v>1554</v>
      </c>
      <c r="E133" s="9" t="s">
        <v>1551</v>
      </c>
      <c r="F133"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3" s="9" t="s">
        <v>1063</v>
      </c>
      <c r="H133" s="9" t="s">
        <v>1547</v>
      </c>
      <c r="I133" s="12" t="str">
        <f>RIGHT(LEFT(Table4[[#This Row],[Latest Senate Action]],FIND(" Congress",Table4[[#This Row],[Latest Senate Action]])-1),LEN(LEFT(Table4[[#This Row],[Latest Senate Action]],FIND(" Congress",Table4[[#This Row],[Latest Senate Action]])-1))-FIND("-",Table4[[#This Row],[Latest Senate Action]])-1)</f>
        <v>108th</v>
      </c>
      <c r="J133" s="12" t="str">
        <f>RIGHT(Table4[[#This Row],[Latest Senate Action]],LEN(Table4[[#This Row],[Latest Senate Action]])-FIND(") - ",Table4[[#This Row],[Latest Senate Action]])-3)</f>
        <v xml:space="preserve">Resolution of advice and consent to ratification agreed to in Senate by Division Vote. (All Actions) </v>
      </c>
      <c r="K133" s="12" t="str">
        <f>INDEX(Table5[type],MATCH(Table4[[#This Row],[Action]],Table5[Action],0))</f>
        <v>Passed</v>
      </c>
      <c r="L133" s="22" t="b">
        <f>INDEX(Table1[Senate and President Same Party, House and President Different Party],MATCH(Table4[[#This Row],[Congress Acting]],Table1[Congress],0))</f>
        <v>1</v>
      </c>
    </row>
    <row r="134" spans="1:12" ht="157.5">
      <c r="A134" s="9" t="s">
        <v>356</v>
      </c>
      <c r="B134" t="s">
        <v>1555</v>
      </c>
      <c r="C134" s="9" t="s">
        <v>1556</v>
      </c>
      <c r="D134" s="13" t="s">
        <v>1557</v>
      </c>
      <c r="E134" s="9" t="s">
        <v>1558</v>
      </c>
      <c r="F134"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4" s="9" t="s">
        <v>1101</v>
      </c>
      <c r="H134" s="9" t="s">
        <v>1559</v>
      </c>
      <c r="I134" s="12" t="str">
        <f>RIGHT(LEFT(Table4[[#This Row],[Latest Senate Action]],FIND(" Congress",Table4[[#This Row],[Latest Senate Action]])-1),LEN(LEFT(Table4[[#This Row],[Latest Senate Action]],FIND(" Congress",Table4[[#This Row],[Latest Senate Action]])-1))-FIND("-",Table4[[#This Row],[Latest Senate Action]])-1)</f>
        <v>108th</v>
      </c>
      <c r="J134" s="12" t="str">
        <f>RIGHT(Table4[[#This Row],[Latest Senate Action]],LEN(Table4[[#This Row],[Latest Senate Action]])-FIND(") - ",Table4[[#This Row],[Latest Senate Action]])-3)</f>
        <v xml:space="preserve">Resolution of advice and consent to ratification agreed to in Senate by Yea-Nay Vote. 95 - 0. Record Vote Number: 43. (All Actions) </v>
      </c>
      <c r="K134" s="12" t="str">
        <f>INDEX(Table5[type],MATCH(Table4[[#This Row],[Action]],Table5[Action],0))</f>
        <v>Passed</v>
      </c>
      <c r="L134" s="22" t="b">
        <f>INDEX(Table1[Senate and President Same Party, House and President Different Party],MATCH(Table4[[#This Row],[Congress Acting]],Table1[Congress],0))</f>
        <v>1</v>
      </c>
    </row>
    <row r="135" spans="1:12" ht="204.75">
      <c r="A135" s="9" t="s">
        <v>357</v>
      </c>
      <c r="B135" t="s">
        <v>1560</v>
      </c>
      <c r="C135" s="9" t="s">
        <v>1561</v>
      </c>
      <c r="D135" s="13" t="s">
        <v>3789</v>
      </c>
      <c r="E135" s="9" t="s">
        <v>1562</v>
      </c>
      <c r="F13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135" s="9" t="s">
        <v>1106</v>
      </c>
      <c r="H135" s="9" t="s">
        <v>1563</v>
      </c>
      <c r="I135" s="12" t="str">
        <f>RIGHT(LEFT(Table4[[#This Row],[Latest Senate Action]],FIND(" Congress",Table4[[#This Row],[Latest Senate Action]])-1),LEN(LEFT(Table4[[#This Row],[Latest Senate Action]],FIND(" Congress",Table4[[#This Row],[Latest Senate Action]])-1))-FIND("-",Table4[[#This Row],[Latest Senate Action]])-1)</f>
        <v>107th</v>
      </c>
      <c r="J135" s="12" t="str">
        <f>RIGHT(Table4[[#This Row],[Latest Senate Action]],LEN(Table4[[#This Row],[Latest Senate Action]])-FIND(") - ",Table4[[#This Row],[Latest Senate Action]])-3)</f>
        <v xml:space="preserve">No further action at sine die adjournment of the 107 Congress; automatically rereferred to the Committee on Foreign Relations under the provisions of Rule XXX, section 2, of the Standing Rules of the Senate. (All Actions) </v>
      </c>
      <c r="K135" s="12" t="str">
        <f>INDEX(Table5[type],MATCH(Table4[[#This Row],[Action]],Table5[Action],0))</f>
        <v>In Process</v>
      </c>
      <c r="L135" s="22" t="b">
        <f>INDEX(Table1[Senate and President Same Party, House and President Different Party],MATCH(Table4[[#This Row],[Congress Acting]],Table1[Congress],0))</f>
        <v>0</v>
      </c>
    </row>
    <row r="136" spans="1:12" ht="173.25">
      <c r="A136" s="9" t="s">
        <v>358</v>
      </c>
      <c r="B136" t="s">
        <v>1564</v>
      </c>
      <c r="C136" s="9" t="s">
        <v>1565</v>
      </c>
      <c r="D136" s="13" t="s">
        <v>1566</v>
      </c>
      <c r="E136" s="9" t="s">
        <v>1567</v>
      </c>
      <c r="F136"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6" s="9" t="s">
        <v>1013</v>
      </c>
      <c r="H136" s="9" t="s">
        <v>1568</v>
      </c>
      <c r="I136" s="12" t="str">
        <f>RIGHT(LEFT(Table4[[#This Row],[Latest Senate Action]],FIND(" Congress",Table4[[#This Row],[Latest Senate Action]])-1),LEN(LEFT(Table4[[#This Row],[Latest Senate Action]],FIND(" Congress",Table4[[#This Row],[Latest Senate Action]])-1))-FIND("-",Table4[[#This Row],[Latest Senate Action]])-1)</f>
        <v>107th</v>
      </c>
      <c r="J136" s="12" t="str">
        <f>RIGHT(Table4[[#This Row],[Latest Senate Action]],LEN(Table4[[#This Row],[Latest Senate Action]])-FIND(") - ",Table4[[#This Row],[Latest Senate Action]])-3)</f>
        <v xml:space="preserve">Resolution of advice and consent to ratification agreed to in Senate by Division Vote. (All Actions) </v>
      </c>
      <c r="K136" s="12" t="str">
        <f>INDEX(Table5[type],MATCH(Table4[[#This Row],[Action]],Table5[Action],0))</f>
        <v>Passed</v>
      </c>
      <c r="L136" s="22" t="b">
        <f>INDEX(Table1[Senate and President Same Party, House and President Different Party],MATCH(Table4[[#This Row],[Congress Acting]],Table1[Congress],0))</f>
        <v>0</v>
      </c>
    </row>
    <row r="137" spans="1:12" ht="157.5">
      <c r="A137" s="9" t="s">
        <v>359</v>
      </c>
      <c r="B137" t="s">
        <v>1569</v>
      </c>
      <c r="C137" s="9" t="s">
        <v>1570</v>
      </c>
      <c r="D137" s="13" t="s">
        <v>1571</v>
      </c>
      <c r="E137" s="9" t="s">
        <v>1527</v>
      </c>
      <c r="F137"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7" s="9" t="s">
        <v>1013</v>
      </c>
      <c r="H137" s="9" t="s">
        <v>1568</v>
      </c>
      <c r="I137" s="12" t="str">
        <f>RIGHT(LEFT(Table4[[#This Row],[Latest Senate Action]],FIND(" Congress",Table4[[#This Row],[Latest Senate Action]])-1),LEN(LEFT(Table4[[#This Row],[Latest Senate Action]],FIND(" Congress",Table4[[#This Row],[Latest Senate Action]])-1))-FIND("-",Table4[[#This Row],[Latest Senate Action]])-1)</f>
        <v>107th</v>
      </c>
      <c r="J137" s="12" t="str">
        <f>RIGHT(Table4[[#This Row],[Latest Senate Action]],LEN(Table4[[#This Row],[Latest Senate Action]])-FIND(") - ",Table4[[#This Row],[Latest Senate Action]])-3)</f>
        <v xml:space="preserve">Resolution of advice and consent to ratification agreed to in Senate by Division Vote. (All Actions) </v>
      </c>
      <c r="K137" s="12" t="str">
        <f>INDEX(Table5[type],MATCH(Table4[[#This Row],[Action]],Table5[Action],0))</f>
        <v>Passed</v>
      </c>
      <c r="L137" s="22" t="b">
        <f>INDEX(Table1[Senate and President Same Party, House and President Different Party],MATCH(Table4[[#This Row],[Congress Acting]],Table1[Congress],0))</f>
        <v>0</v>
      </c>
    </row>
    <row r="138" spans="1:12" ht="157.5">
      <c r="A138" s="9" t="s">
        <v>360</v>
      </c>
      <c r="B138" t="s">
        <v>1572</v>
      </c>
      <c r="C138" s="9" t="s">
        <v>1573</v>
      </c>
      <c r="D138" s="13" t="s">
        <v>1574</v>
      </c>
      <c r="E138" s="9" t="s">
        <v>1575</v>
      </c>
      <c r="F138"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8" s="9" t="s">
        <v>1013</v>
      </c>
      <c r="H138" s="9" t="s">
        <v>1568</v>
      </c>
      <c r="I138" s="12" t="str">
        <f>RIGHT(LEFT(Table4[[#This Row],[Latest Senate Action]],FIND(" Congress",Table4[[#This Row],[Latest Senate Action]])-1),LEN(LEFT(Table4[[#This Row],[Latest Senate Action]],FIND(" Congress",Table4[[#This Row],[Latest Senate Action]])-1))-FIND("-",Table4[[#This Row],[Latest Senate Action]])-1)</f>
        <v>107th</v>
      </c>
      <c r="J138" s="12" t="str">
        <f>RIGHT(Table4[[#This Row],[Latest Senate Action]],LEN(Table4[[#This Row],[Latest Senate Action]])-FIND(") - ",Table4[[#This Row],[Latest Senate Action]])-3)</f>
        <v xml:space="preserve">Resolution of advice and consent to ratification agreed to in Senate by Division Vote. (All Actions) </v>
      </c>
      <c r="K138" s="12" t="str">
        <f>INDEX(Table5[type],MATCH(Table4[[#This Row],[Action]],Table5[Action],0))</f>
        <v>Passed</v>
      </c>
      <c r="L138" s="22" t="b">
        <f>INDEX(Table1[Senate and President Same Party, House and President Different Party],MATCH(Table4[[#This Row],[Congress Acting]],Table1[Congress],0))</f>
        <v>0</v>
      </c>
    </row>
    <row r="139" spans="1:12" ht="173.25">
      <c r="A139" s="9" t="s">
        <v>361</v>
      </c>
      <c r="B139" t="s">
        <v>1576</v>
      </c>
      <c r="C139" s="9" t="s">
        <v>1577</v>
      </c>
      <c r="D139" s="13" t="s">
        <v>1578</v>
      </c>
      <c r="E139" s="9" t="s">
        <v>1515</v>
      </c>
      <c r="F139"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39" s="9" t="s">
        <v>1013</v>
      </c>
      <c r="H139" s="9" t="s">
        <v>1568</v>
      </c>
      <c r="I139" s="12" t="str">
        <f>RIGHT(LEFT(Table4[[#This Row],[Latest Senate Action]],FIND(" Congress",Table4[[#This Row],[Latest Senate Action]])-1),LEN(LEFT(Table4[[#This Row],[Latest Senate Action]],FIND(" Congress",Table4[[#This Row],[Latest Senate Action]])-1))-FIND("-",Table4[[#This Row],[Latest Senate Action]])-1)</f>
        <v>107th</v>
      </c>
      <c r="J139" s="12" t="str">
        <f>RIGHT(Table4[[#This Row],[Latest Senate Action]],LEN(Table4[[#This Row],[Latest Senate Action]])-FIND(") - ",Table4[[#This Row],[Latest Senate Action]])-3)</f>
        <v xml:space="preserve">Resolution of advice and consent to ratification agreed to in Senate by Division Vote. (All Actions) </v>
      </c>
      <c r="K139" s="12" t="str">
        <f>INDEX(Table5[type],MATCH(Table4[[#This Row],[Action]],Table5[Action],0))</f>
        <v>Passed</v>
      </c>
      <c r="L139" s="22" t="b">
        <f>INDEX(Table1[Senate and President Same Party, House and President Different Party],MATCH(Table4[[#This Row],[Congress Acting]],Table1[Congress],0))</f>
        <v>0</v>
      </c>
    </row>
    <row r="140" spans="1:12" ht="173.25">
      <c r="A140" s="9" t="s">
        <v>362</v>
      </c>
      <c r="B140" t="s">
        <v>1579</v>
      </c>
      <c r="C140" s="9" t="s">
        <v>1580</v>
      </c>
      <c r="D140" s="13" t="s">
        <v>1581</v>
      </c>
      <c r="E140" s="9" t="s">
        <v>1515</v>
      </c>
      <c r="F140"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40" s="9" t="s">
        <v>1013</v>
      </c>
      <c r="H140" s="9" t="s">
        <v>1568</v>
      </c>
      <c r="I140" s="12" t="str">
        <f>RIGHT(LEFT(Table4[[#This Row],[Latest Senate Action]],FIND(" Congress",Table4[[#This Row],[Latest Senate Action]])-1),LEN(LEFT(Table4[[#This Row],[Latest Senate Action]],FIND(" Congress",Table4[[#This Row],[Latest Senate Action]])-1))-FIND("-",Table4[[#This Row],[Latest Senate Action]])-1)</f>
        <v>107th</v>
      </c>
      <c r="J140" s="12" t="str">
        <f>RIGHT(Table4[[#This Row],[Latest Senate Action]],LEN(Table4[[#This Row],[Latest Senate Action]])-FIND(") - ",Table4[[#This Row],[Latest Senate Action]])-3)</f>
        <v xml:space="preserve">Resolution of advice and consent to ratification agreed to in Senate by Division Vote. (All Actions) </v>
      </c>
      <c r="K140" s="12" t="str">
        <f>INDEX(Table5[type],MATCH(Table4[[#This Row],[Action]],Table5[Action],0))</f>
        <v>Passed</v>
      </c>
      <c r="L140" s="22" t="b">
        <f>INDEX(Table1[Senate and President Same Party, House and President Different Party],MATCH(Table4[[#This Row],[Congress Acting]],Table1[Congress],0))</f>
        <v>0</v>
      </c>
    </row>
    <row r="141" spans="1:12" ht="173.25">
      <c r="A141" s="9" t="s">
        <v>363</v>
      </c>
      <c r="B141" t="s">
        <v>1582</v>
      </c>
      <c r="C141" s="9" t="s">
        <v>1583</v>
      </c>
      <c r="D141" s="13" t="s">
        <v>1584</v>
      </c>
      <c r="E141" s="9" t="s">
        <v>1260</v>
      </c>
      <c r="F141"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41" s="9" t="s">
        <v>1013</v>
      </c>
      <c r="H141" s="9" t="s">
        <v>1568</v>
      </c>
      <c r="I141" s="12" t="str">
        <f>RIGHT(LEFT(Table4[[#This Row],[Latest Senate Action]],FIND(" Congress",Table4[[#This Row],[Latest Senate Action]])-1),LEN(LEFT(Table4[[#This Row],[Latest Senate Action]],FIND(" Congress",Table4[[#This Row],[Latest Senate Action]])-1))-FIND("-",Table4[[#This Row],[Latest Senate Action]])-1)</f>
        <v>107th</v>
      </c>
      <c r="J141" s="12" t="str">
        <f>RIGHT(Table4[[#This Row],[Latest Senate Action]],LEN(Table4[[#This Row],[Latest Senate Action]])-FIND(") - ",Table4[[#This Row],[Latest Senate Action]])-3)</f>
        <v xml:space="preserve">Resolution of advice and consent to ratification agreed to in Senate by Division Vote. (All Actions) </v>
      </c>
      <c r="K141" s="12" t="str">
        <f>INDEX(Table5[type],MATCH(Table4[[#This Row],[Action]],Table5[Action],0))</f>
        <v>Passed</v>
      </c>
      <c r="L141" s="22" t="b">
        <f>INDEX(Table1[Senate and President Same Party, House and President Different Party],MATCH(Table4[[#This Row],[Congress Acting]],Table1[Congress],0))</f>
        <v>0</v>
      </c>
    </row>
    <row r="142" spans="1:12" ht="189">
      <c r="A142" s="9" t="s">
        <v>364</v>
      </c>
      <c r="B142" t="s">
        <v>1585</v>
      </c>
      <c r="C142" s="9" t="s">
        <v>1586</v>
      </c>
      <c r="D142" s="13" t="s">
        <v>1587</v>
      </c>
      <c r="E142" s="9" t="s">
        <v>1588</v>
      </c>
      <c r="F142"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42" s="9" t="s">
        <v>1013</v>
      </c>
      <c r="H142" s="9" t="s">
        <v>1568</v>
      </c>
      <c r="I142" s="12" t="str">
        <f>RIGHT(LEFT(Table4[[#This Row],[Latest Senate Action]],FIND(" Congress",Table4[[#This Row],[Latest Senate Action]])-1),LEN(LEFT(Table4[[#This Row],[Latest Senate Action]],FIND(" Congress",Table4[[#This Row],[Latest Senate Action]])-1))-FIND("-",Table4[[#This Row],[Latest Senate Action]])-1)</f>
        <v>107th</v>
      </c>
      <c r="J142" s="12" t="str">
        <f>RIGHT(Table4[[#This Row],[Latest Senate Action]],LEN(Table4[[#This Row],[Latest Senate Action]])-FIND(") - ",Table4[[#This Row],[Latest Senate Action]])-3)</f>
        <v xml:space="preserve">Resolution of advice and consent to ratification agreed to in Senate by Division Vote. (All Actions) </v>
      </c>
      <c r="K142" s="12" t="str">
        <f>INDEX(Table5[type],MATCH(Table4[[#This Row],[Action]],Table5[Action],0))</f>
        <v>Passed</v>
      </c>
      <c r="L142" s="22" t="b">
        <f>INDEX(Table1[Senate and President Same Party, House and President Different Party],MATCH(Table4[[#This Row],[Congress Acting]],Table1[Congress],0))</f>
        <v>0</v>
      </c>
    </row>
    <row r="143" spans="1:12" ht="173.25">
      <c r="A143" s="9" t="s">
        <v>365</v>
      </c>
      <c r="B143" t="s">
        <v>1589</v>
      </c>
      <c r="C143" s="9" t="s">
        <v>1590</v>
      </c>
      <c r="D143" s="13" t="s">
        <v>1591</v>
      </c>
      <c r="E143" s="9" t="s">
        <v>1592</v>
      </c>
      <c r="F143"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43" s="9" t="s">
        <v>1013</v>
      </c>
      <c r="H143" s="9" t="s">
        <v>1568</v>
      </c>
      <c r="I143" s="12" t="str">
        <f>RIGHT(LEFT(Table4[[#This Row],[Latest Senate Action]],FIND(" Congress",Table4[[#This Row],[Latest Senate Action]])-1),LEN(LEFT(Table4[[#This Row],[Latest Senate Action]],FIND(" Congress",Table4[[#This Row],[Latest Senate Action]])-1))-FIND("-",Table4[[#This Row],[Latest Senate Action]])-1)</f>
        <v>107th</v>
      </c>
      <c r="J143" s="12" t="str">
        <f>RIGHT(Table4[[#This Row],[Latest Senate Action]],LEN(Table4[[#This Row],[Latest Senate Action]])-FIND(") - ",Table4[[#This Row],[Latest Senate Action]])-3)</f>
        <v xml:space="preserve">Resolution of advice and consent to ratification agreed to in Senate by Division Vote. (All Actions) </v>
      </c>
      <c r="K143" s="12" t="str">
        <f>INDEX(Table5[type],MATCH(Table4[[#This Row],[Action]],Table5[Action],0))</f>
        <v>Passed</v>
      </c>
      <c r="L143" s="22" t="b">
        <f>INDEX(Table1[Senate and President Same Party, House and President Different Party],MATCH(Table4[[#This Row],[Congress Acting]],Table1[Congress],0))</f>
        <v>0</v>
      </c>
    </row>
    <row r="144" spans="1:12" ht="157.5">
      <c r="A144" s="9" t="s">
        <v>366</v>
      </c>
      <c r="B144" t="s">
        <v>1593</v>
      </c>
      <c r="C144" s="9" t="s">
        <v>1594</v>
      </c>
      <c r="D144" s="13" t="s">
        <v>1595</v>
      </c>
      <c r="E144" s="9" t="s">
        <v>1596</v>
      </c>
      <c r="F14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44" s="9" t="s">
        <v>1164</v>
      </c>
      <c r="H144" s="9" t="s">
        <v>1597</v>
      </c>
      <c r="I144" s="12" t="str">
        <f>RIGHT(LEFT(Table4[[#This Row],[Latest Senate Action]],FIND(" Congress",Table4[[#This Row],[Latest Senate Action]])-1),LEN(LEFT(Table4[[#This Row],[Latest Senate Action]],FIND(" Congress",Table4[[#This Row],[Latest Senate Action]])-1))-FIND("-",Table4[[#This Row],[Latest Senate Action]])-1)</f>
        <v>107th</v>
      </c>
      <c r="J144" s="12" t="str">
        <f>RIGHT(Table4[[#This Row],[Latest Senate Action]],LEN(Table4[[#This Row],[Latest Senate Action]])-FIND(") - ",Table4[[#This Row],[Latest Senate Action]])-3)</f>
        <v xml:space="preserve">Resolution of advice and consent to ratification agreed to in Senate by Division Vote. (All Actions) </v>
      </c>
      <c r="K144" s="12" t="str">
        <f>INDEX(Table5[type],MATCH(Table4[[#This Row],[Action]],Table5[Action],0))</f>
        <v>Passed</v>
      </c>
      <c r="L144" s="22" t="b">
        <f>INDEX(Table1[Senate and President Same Party, House and President Different Party],MATCH(Table4[[#This Row],[Congress Acting]],Table1[Congress],0))</f>
        <v>0</v>
      </c>
    </row>
    <row r="145" spans="1:12" ht="157.5">
      <c r="A145" s="9" t="s">
        <v>367</v>
      </c>
      <c r="B145" t="s">
        <v>1598</v>
      </c>
      <c r="C145" s="9" t="s">
        <v>1599</v>
      </c>
      <c r="D145" s="13" t="s">
        <v>1600</v>
      </c>
      <c r="E145" s="9" t="s">
        <v>1601</v>
      </c>
      <c r="F14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45" s="9" t="s">
        <v>1164</v>
      </c>
      <c r="H145" s="9" t="s">
        <v>1602</v>
      </c>
      <c r="I145" s="12" t="str">
        <f>RIGHT(LEFT(Table4[[#This Row],[Latest Senate Action]],FIND(" Congress",Table4[[#This Row],[Latest Senate Action]])-1),LEN(LEFT(Table4[[#This Row],[Latest Senate Action]],FIND(" Congress",Table4[[#This Row],[Latest Senate Action]])-1))-FIND("-",Table4[[#This Row],[Latest Senate Action]])-1)</f>
        <v>107th</v>
      </c>
      <c r="J145" s="12" t="str">
        <f>RIGHT(Table4[[#This Row],[Latest Senate Action]],LEN(Table4[[#This Row],[Latest Senate Action]])-FIND(") - ",Table4[[#This Row],[Latest Senate Action]])-3)</f>
        <v xml:space="preserve">Resolution of advice and consent to ratification agreed to in Senate by Voice Vote. (All Actions) </v>
      </c>
      <c r="K145" s="12" t="str">
        <f>INDEX(Table5[type],MATCH(Table4[[#This Row],[Action]],Table5[Action],0))</f>
        <v>Passed</v>
      </c>
      <c r="L145" s="22" t="b">
        <f>INDEX(Table1[Senate and President Same Party, House and President Different Party],MATCH(Table4[[#This Row],[Congress Acting]],Table1[Congress],0))</f>
        <v>0</v>
      </c>
    </row>
    <row r="146" spans="1:12" ht="173.25">
      <c r="A146" s="9" t="s">
        <v>368</v>
      </c>
      <c r="B146" t="s">
        <v>1603</v>
      </c>
      <c r="C146" s="9" t="s">
        <v>1604</v>
      </c>
      <c r="D146" s="13" t="s">
        <v>1605</v>
      </c>
      <c r="E146" s="9" t="s">
        <v>1606</v>
      </c>
      <c r="F14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46" s="9" t="s">
        <v>1038</v>
      </c>
      <c r="H146" s="9" t="s">
        <v>1602</v>
      </c>
      <c r="I146" s="12" t="str">
        <f>RIGHT(LEFT(Table4[[#This Row],[Latest Senate Action]],FIND(" Congress",Table4[[#This Row],[Latest Senate Action]])-1),LEN(LEFT(Table4[[#This Row],[Latest Senate Action]],FIND(" Congress",Table4[[#This Row],[Latest Senate Action]])-1))-FIND("-",Table4[[#This Row],[Latest Senate Action]])-1)</f>
        <v>107th</v>
      </c>
      <c r="J146" s="12" t="str">
        <f>RIGHT(Table4[[#This Row],[Latest Senate Action]],LEN(Table4[[#This Row],[Latest Senate Action]])-FIND(") - ",Table4[[#This Row],[Latest Senate Action]])-3)</f>
        <v xml:space="preserve">Resolution of advice and consent to ratification agreed to in Senate by Voice Vote. (All Actions) </v>
      </c>
      <c r="K146" s="12" t="str">
        <f>INDEX(Table5[type],MATCH(Table4[[#This Row],[Action]],Table5[Action],0))</f>
        <v>Passed</v>
      </c>
      <c r="L146" s="22" t="b">
        <f>INDEX(Table1[Senate and President Same Party, House and President Different Party],MATCH(Table4[[#This Row],[Congress Acting]],Table1[Congress],0))</f>
        <v>0</v>
      </c>
    </row>
    <row r="147" spans="1:12" ht="173.25">
      <c r="A147" s="9" t="s">
        <v>369</v>
      </c>
      <c r="B147" t="s">
        <v>1607</v>
      </c>
      <c r="C147" s="9" t="s">
        <v>1608</v>
      </c>
      <c r="D147" s="13" t="s">
        <v>1609</v>
      </c>
      <c r="E147" s="9" t="s">
        <v>1610</v>
      </c>
      <c r="F147"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47" s="9" t="s">
        <v>1112</v>
      </c>
      <c r="H147" s="9" t="s">
        <v>1611</v>
      </c>
      <c r="I147" s="12" t="str">
        <f>RIGHT(LEFT(Table4[[#This Row],[Latest Senate Action]],FIND(" Congress",Table4[[#This Row],[Latest Senate Action]])-1),LEN(LEFT(Table4[[#This Row],[Latest Senate Action]],FIND(" Congress",Table4[[#This Row],[Latest Senate Action]])-1))-FIND("-",Table4[[#This Row],[Latest Senate Action]])-1)</f>
        <v>107th</v>
      </c>
      <c r="J147" s="12" t="str">
        <f>RIGHT(Table4[[#This Row],[Latest Senate Action]],LEN(Table4[[#This Row],[Latest Senate Action]])-FIND(") - ",Table4[[#This Row],[Latest Senate Action]])-3)</f>
        <v xml:space="preserve">Resolution of advice and consent to ratification agreed to in Senate by Division Vote. (All Actions) </v>
      </c>
      <c r="K147" s="12" t="str">
        <f>INDEX(Table5[type],MATCH(Table4[[#This Row],[Action]],Table5[Action],0))</f>
        <v>Passed</v>
      </c>
      <c r="L147" s="22" t="b">
        <f>INDEX(Table1[Senate and President Same Party, House and President Different Party],MATCH(Table4[[#This Row],[Congress Acting]],Table1[Congress],0))</f>
        <v>0</v>
      </c>
    </row>
    <row r="148" spans="1:12" ht="173.25">
      <c r="A148" s="9" t="s">
        <v>370</v>
      </c>
      <c r="B148" t="s">
        <v>1612</v>
      </c>
      <c r="C148" s="9" t="s">
        <v>1613</v>
      </c>
      <c r="D148" s="13" t="s">
        <v>3790</v>
      </c>
      <c r="E148" s="9" t="s">
        <v>1614</v>
      </c>
      <c r="F148"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148" s="9" t="s">
        <v>1112</v>
      </c>
      <c r="H148" s="9" t="s">
        <v>1611</v>
      </c>
      <c r="I148" s="12" t="str">
        <f>RIGHT(LEFT(Table4[[#This Row],[Latest Senate Action]],FIND(" Congress",Table4[[#This Row],[Latest Senate Action]])-1),LEN(LEFT(Table4[[#This Row],[Latest Senate Action]],FIND(" Congress",Table4[[#This Row],[Latest Senate Action]])-1))-FIND("-",Table4[[#This Row],[Latest Senate Action]])-1)</f>
        <v>107th</v>
      </c>
      <c r="J148" s="12" t="str">
        <f>RIGHT(Table4[[#This Row],[Latest Senate Action]],LEN(Table4[[#This Row],[Latest Senate Action]])-FIND(") - ",Table4[[#This Row],[Latest Senate Action]])-3)</f>
        <v xml:space="preserve">Resolution of advice and consent to ratification agreed to in Senate by Division Vote. (All Actions) </v>
      </c>
      <c r="K148" s="12" t="str">
        <f>INDEX(Table5[type],MATCH(Table4[[#This Row],[Action]],Table5[Action],0))</f>
        <v>Passed</v>
      </c>
      <c r="L148" s="22" t="b">
        <f>INDEX(Table1[Senate and President Same Party, House and President Different Party],MATCH(Table4[[#This Row],[Congress Acting]],Table1[Congress],0))</f>
        <v>0</v>
      </c>
    </row>
    <row r="149" spans="1:12" ht="173.25">
      <c r="A149" s="9" t="s">
        <v>371</v>
      </c>
      <c r="B149" t="s">
        <v>1615</v>
      </c>
      <c r="C149" s="9" t="s">
        <v>1616</v>
      </c>
      <c r="D149" s="13" t="s">
        <v>1617</v>
      </c>
      <c r="E149" s="9" t="s">
        <v>1618</v>
      </c>
      <c r="F14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49" s="9" t="s">
        <v>1164</v>
      </c>
      <c r="H149" s="9" t="s">
        <v>1611</v>
      </c>
      <c r="I149" s="12" t="str">
        <f>RIGHT(LEFT(Table4[[#This Row],[Latest Senate Action]],FIND(" Congress",Table4[[#This Row],[Latest Senate Action]])-1),LEN(LEFT(Table4[[#This Row],[Latest Senate Action]],FIND(" Congress",Table4[[#This Row],[Latest Senate Action]])-1))-FIND("-",Table4[[#This Row],[Latest Senate Action]])-1)</f>
        <v>107th</v>
      </c>
      <c r="J149" s="12" t="str">
        <f>RIGHT(Table4[[#This Row],[Latest Senate Action]],LEN(Table4[[#This Row],[Latest Senate Action]])-FIND(") - ",Table4[[#This Row],[Latest Senate Action]])-3)</f>
        <v xml:space="preserve">Resolution of advice and consent to ratification agreed to in Senate by Division Vote. (All Actions) </v>
      </c>
      <c r="K149" s="12" t="str">
        <f>INDEX(Table5[type],MATCH(Table4[[#This Row],[Action]],Table5[Action],0))</f>
        <v>Passed</v>
      </c>
      <c r="L149" s="22" t="b">
        <f>INDEX(Table1[Senate and President Same Party, House and President Different Party],MATCH(Table4[[#This Row],[Congress Acting]],Table1[Congress],0))</f>
        <v>0</v>
      </c>
    </row>
    <row r="150" spans="1:12" ht="173.25">
      <c r="A150" s="9" t="s">
        <v>372</v>
      </c>
      <c r="B150" t="s">
        <v>1619</v>
      </c>
      <c r="C150" s="9" t="s">
        <v>1620</v>
      </c>
      <c r="D150" s="13" t="s">
        <v>1621</v>
      </c>
      <c r="E150" s="9" t="s">
        <v>1622</v>
      </c>
      <c r="F15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50" s="9" t="s">
        <v>1623</v>
      </c>
      <c r="H150" s="9" t="s">
        <v>1624</v>
      </c>
      <c r="I150" s="12" t="str">
        <f>RIGHT(LEFT(Table4[[#This Row],[Latest Senate Action]],FIND(" Congress",Table4[[#This Row],[Latest Senate Action]])-1),LEN(LEFT(Table4[[#This Row],[Latest Senate Action]],FIND(" Congress",Table4[[#This Row],[Latest Senate Action]])-1))-FIND("-",Table4[[#This Row],[Latest Senate Action]])-1)</f>
        <v>107th</v>
      </c>
      <c r="J150" s="12" t="str">
        <f>RIGHT(Table4[[#This Row],[Latest Senate Action]],LEN(Table4[[#This Row],[Latest Senate Action]])-FIND(") - ",Table4[[#This Row],[Latest Senate Action]])-3)</f>
        <v xml:space="preserve">Resolution of advice and consent to ratification agreed to in Senate by Division Vote. (All Actions) </v>
      </c>
      <c r="K150" s="12" t="str">
        <f>INDEX(Table5[type],MATCH(Table4[[#This Row],[Action]],Table5[Action],0))</f>
        <v>Passed</v>
      </c>
      <c r="L150" s="22" t="b">
        <f>INDEX(Table1[Senate and President Same Party, House and President Different Party],MATCH(Table4[[#This Row],[Congress Acting]],Table1[Congress],0))</f>
        <v>0</v>
      </c>
    </row>
    <row r="151" spans="1:12" ht="173.25">
      <c r="A151" s="9" t="s">
        <v>373</v>
      </c>
      <c r="B151" t="s">
        <v>1625</v>
      </c>
      <c r="C151" s="9" t="s">
        <v>1626</v>
      </c>
      <c r="D151" s="13" t="s">
        <v>1627</v>
      </c>
      <c r="E151" s="9" t="s">
        <v>1628</v>
      </c>
      <c r="F151"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1" s="9" t="s">
        <v>1106</v>
      </c>
      <c r="H151" s="9" t="s">
        <v>1629</v>
      </c>
      <c r="I151" s="12" t="str">
        <f>RIGHT(LEFT(Table4[[#This Row],[Latest Senate Action]],FIND(" Congress",Table4[[#This Row],[Latest Senate Action]])-1),LEN(LEFT(Table4[[#This Row],[Latest Senate Action]],FIND(" Congress",Table4[[#This Row],[Latest Senate Action]])-1))-FIND("-",Table4[[#This Row],[Latest Senate Action]])-1)</f>
        <v>107th</v>
      </c>
      <c r="J151" s="12" t="str">
        <f>RIGHT(Table4[[#This Row],[Latest Senate Action]],LEN(Table4[[#This Row],[Latest Senate Action]])-FIND(") - ",Table4[[#This Row],[Latest Senate Action]])-3)</f>
        <v xml:space="preserve">Resolution of advice and consent to ratification agreed to in Senate by Division Vote. (All Actions) </v>
      </c>
      <c r="K151" s="12" t="str">
        <f>INDEX(Table5[type],MATCH(Table4[[#This Row],[Action]],Table5[Action],0))</f>
        <v>Passed</v>
      </c>
      <c r="L151" s="22" t="b">
        <f>INDEX(Table1[Senate and President Same Party, House and President Different Party],MATCH(Table4[[#This Row],[Congress Acting]],Table1[Congress],0))</f>
        <v>0</v>
      </c>
    </row>
    <row r="152" spans="1:12" ht="189">
      <c r="A152" s="9" t="s">
        <v>374</v>
      </c>
      <c r="B152" t="s">
        <v>1630</v>
      </c>
      <c r="C152" s="9" t="s">
        <v>1631</v>
      </c>
      <c r="D152" s="13" t="s">
        <v>1632</v>
      </c>
      <c r="E152" s="9" t="s">
        <v>1628</v>
      </c>
      <c r="F152"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2" s="9" t="s">
        <v>1106</v>
      </c>
      <c r="H152" s="9" t="s">
        <v>1629</v>
      </c>
      <c r="I152" s="12" t="str">
        <f>RIGHT(LEFT(Table4[[#This Row],[Latest Senate Action]],FIND(" Congress",Table4[[#This Row],[Latest Senate Action]])-1),LEN(LEFT(Table4[[#This Row],[Latest Senate Action]],FIND(" Congress",Table4[[#This Row],[Latest Senate Action]])-1))-FIND("-",Table4[[#This Row],[Latest Senate Action]])-1)</f>
        <v>107th</v>
      </c>
      <c r="J152" s="12" t="str">
        <f>RIGHT(Table4[[#This Row],[Latest Senate Action]],LEN(Table4[[#This Row],[Latest Senate Action]])-FIND(") - ",Table4[[#This Row],[Latest Senate Action]])-3)</f>
        <v xml:space="preserve">Resolution of advice and consent to ratification agreed to in Senate by Division Vote. (All Actions) </v>
      </c>
      <c r="K152" s="12" t="str">
        <f>INDEX(Table5[type],MATCH(Table4[[#This Row],[Action]],Table5[Action],0))</f>
        <v>Passed</v>
      </c>
      <c r="L152" s="22" t="b">
        <f>INDEX(Table1[Senate and President Same Party, House and President Different Party],MATCH(Table4[[#This Row],[Congress Acting]],Table1[Congress],0))</f>
        <v>0</v>
      </c>
    </row>
    <row r="153" spans="1:12" ht="204.75">
      <c r="A153" s="9" t="s">
        <v>375</v>
      </c>
      <c r="B153" t="s">
        <v>1633</v>
      </c>
      <c r="C153" s="9" t="s">
        <v>1634</v>
      </c>
      <c r="D153" s="13" t="s">
        <v>1635</v>
      </c>
      <c r="E153" s="9" t="s">
        <v>1628</v>
      </c>
      <c r="F15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3" s="9" t="s">
        <v>1106</v>
      </c>
      <c r="H153" s="9" t="s">
        <v>1636</v>
      </c>
      <c r="I153" s="12" t="str">
        <f>RIGHT(LEFT(Table4[[#This Row],[Latest Senate Action]],FIND(" Congress",Table4[[#This Row],[Latest Senate Action]])-1),LEN(LEFT(Table4[[#This Row],[Latest Senate Action]],FIND(" Congress",Table4[[#This Row],[Latest Senate Action]])-1))-FIND("-",Table4[[#This Row],[Latest Senate Action]])-1)</f>
        <v>107th</v>
      </c>
      <c r="J153" s="12" t="str">
        <f>RIGHT(Table4[[#This Row],[Latest Senate Action]],LEN(Table4[[#This Row],[Latest Senate Action]])-FIND(") - ",Table4[[#This Row],[Latest Senate Action]])-3)</f>
        <v xml:space="preserve">Treaty divided and reported under Ex. Rept. 107-4 with Protocol 's No. 1 and No. 2 each having separate resolutions of ratification thus creating Treaty Docs. 106-37A and 106-37B. See those documents for further action. (All Actions) </v>
      </c>
      <c r="K153" s="12" t="str">
        <f>INDEX(Table5[type],MATCH(Table4[[#This Row],[Action]],Table5[Action],0))</f>
        <v>Not Passed - Divided into new treaties</v>
      </c>
      <c r="L153" s="22" t="b">
        <f>INDEX(Table1[Senate and President Same Party, House and President Different Party],MATCH(Table4[[#This Row],[Congress Acting]],Table1[Congress],0))</f>
        <v>0</v>
      </c>
    </row>
    <row r="154" spans="1:12" ht="173.25">
      <c r="A154" s="9" t="s">
        <v>376</v>
      </c>
      <c r="B154" t="s">
        <v>1637</v>
      </c>
      <c r="C154" s="9" t="s">
        <v>1638</v>
      </c>
      <c r="D154" s="13" t="s">
        <v>1639</v>
      </c>
      <c r="E154" s="9" t="s">
        <v>1640</v>
      </c>
      <c r="F15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4" s="9" t="s">
        <v>1013</v>
      </c>
      <c r="H154" s="9" t="s">
        <v>1641</v>
      </c>
      <c r="I154" s="12" t="str">
        <f>RIGHT(LEFT(Table4[[#This Row],[Latest Senate Action]],FIND(" Congress",Table4[[#This Row],[Latest Senate Action]])-1),LEN(LEFT(Table4[[#This Row],[Latest Senate Action]],FIND(" Congress",Table4[[#This Row],[Latest Senate Action]])-1))-FIND("-",Table4[[#This Row],[Latest Senate Action]])-1)</f>
        <v>107th</v>
      </c>
      <c r="J154" s="12" t="str">
        <f>RIGHT(Table4[[#This Row],[Latest Senate Action]],LEN(Table4[[#This Row],[Latest Senate Action]])-FIND(") - ",Table4[[#This Row],[Latest Senate Action]])-3)</f>
        <v xml:space="preserve">Resolution of advice and consent to ratification agreed to in Senate by Division Vote. (All Actions) </v>
      </c>
      <c r="K154" s="12" t="str">
        <f>INDEX(Table5[type],MATCH(Table4[[#This Row],[Action]],Table5[Action],0))</f>
        <v>Passed</v>
      </c>
      <c r="L154" s="22" t="b">
        <f>INDEX(Table1[Senate and President Same Party, House and President Different Party],MATCH(Table4[[#This Row],[Congress Acting]],Table1[Congress],0))</f>
        <v>0</v>
      </c>
    </row>
    <row r="155" spans="1:12" ht="173.25">
      <c r="A155" s="9" t="s">
        <v>377</v>
      </c>
      <c r="B155" t="s">
        <v>1642</v>
      </c>
      <c r="C155" s="9" t="s">
        <v>1643</v>
      </c>
      <c r="D155" s="13" t="s">
        <v>1644</v>
      </c>
      <c r="E155" s="9" t="s">
        <v>1645</v>
      </c>
      <c r="F15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5" s="9" t="s">
        <v>1013</v>
      </c>
      <c r="H155" s="9" t="s">
        <v>1646</v>
      </c>
      <c r="I155" s="12" t="str">
        <f>RIGHT(LEFT(Table4[[#This Row],[Latest Senate Action]],FIND(" Congress",Table4[[#This Row],[Latest Senate Action]])-1),LEN(LEFT(Table4[[#This Row],[Latest Senate Action]],FIND(" Congress",Table4[[#This Row],[Latest Senate Action]])-1))-FIND("-",Table4[[#This Row],[Latest Senate Action]])-1)</f>
        <v>107th</v>
      </c>
      <c r="J155" s="12" t="str">
        <f>RIGHT(Table4[[#This Row],[Latest Senate Action]],LEN(Table4[[#This Row],[Latest Senate Action]])-FIND(") - ",Table4[[#This Row],[Latest Senate Action]])-3)</f>
        <v xml:space="preserve">Resolution of advice and consent to ratification agreed to in Senate by Division Vote. (All Actions) </v>
      </c>
      <c r="K155" s="12" t="str">
        <f>INDEX(Table5[type],MATCH(Table4[[#This Row],[Action]],Table5[Action],0))</f>
        <v>Passed</v>
      </c>
      <c r="L155" s="22" t="b">
        <f>INDEX(Table1[Senate and President Same Party, House and President Different Party],MATCH(Table4[[#This Row],[Congress Acting]],Table1[Congress],0))</f>
        <v>0</v>
      </c>
    </row>
    <row r="156" spans="1:12" ht="157.5">
      <c r="A156" s="9" t="s">
        <v>378</v>
      </c>
      <c r="B156" t="s">
        <v>1647</v>
      </c>
      <c r="C156" s="9" t="s">
        <v>1648</v>
      </c>
      <c r="D156" s="13" t="s">
        <v>1649</v>
      </c>
      <c r="E156" s="9" t="s">
        <v>1650</v>
      </c>
      <c r="F15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6" s="9" t="s">
        <v>1164</v>
      </c>
      <c r="H156" s="9" t="s">
        <v>1646</v>
      </c>
      <c r="I156" s="12" t="str">
        <f>RIGHT(LEFT(Table4[[#This Row],[Latest Senate Action]],FIND(" Congress",Table4[[#This Row],[Latest Senate Action]])-1),LEN(LEFT(Table4[[#This Row],[Latest Senate Action]],FIND(" Congress",Table4[[#This Row],[Latest Senate Action]])-1))-FIND("-",Table4[[#This Row],[Latest Senate Action]])-1)</f>
        <v>107th</v>
      </c>
      <c r="J156" s="12" t="str">
        <f>RIGHT(Table4[[#This Row],[Latest Senate Action]],LEN(Table4[[#This Row],[Latest Senate Action]])-FIND(") - ",Table4[[#This Row],[Latest Senate Action]])-3)</f>
        <v xml:space="preserve">Resolution of advice and consent to ratification agreed to in Senate by Division Vote. (All Actions) </v>
      </c>
      <c r="K156" s="12" t="str">
        <f>INDEX(Table5[type],MATCH(Table4[[#This Row],[Action]],Table5[Action],0))</f>
        <v>Passed</v>
      </c>
      <c r="L156" s="22" t="b">
        <f>INDEX(Table1[Senate and President Same Party, House and President Different Party],MATCH(Table4[[#This Row],[Congress Acting]],Table1[Congress],0))</f>
        <v>0</v>
      </c>
    </row>
    <row r="157" spans="1:12" ht="173.25">
      <c r="A157" s="9" t="s">
        <v>379</v>
      </c>
      <c r="B157" t="s">
        <v>1651</v>
      </c>
      <c r="C157" s="9" t="s">
        <v>1652</v>
      </c>
      <c r="D157" s="13" t="s">
        <v>1653</v>
      </c>
      <c r="E157" s="9" t="s">
        <v>1654</v>
      </c>
      <c r="F157" t="str">
        <f>RIGHT(LEFT(Table4[[#This Row],[Date Received from President]],FIND(" Congress",Table4[[#This Row],[Date Received from President]])-1),LEN(LEFT(Table4[[#This Row],[Date Received from President]],FIND(" Congress",Table4[[#This Row],[Date Received from President]])-1))-FIND("-",Table4[[#This Row],[Date Received from President]])-1)</f>
        <v>107th</v>
      </c>
      <c r="G157" s="9" t="s">
        <v>1655</v>
      </c>
      <c r="H157" s="9" t="s">
        <v>1656</v>
      </c>
      <c r="I157" s="12" t="str">
        <f>RIGHT(LEFT(Table4[[#This Row],[Latest Senate Action]],FIND(" Congress",Table4[[#This Row],[Latest Senate Action]])-1),LEN(LEFT(Table4[[#This Row],[Latest Senate Action]],FIND(" Congress",Table4[[#This Row],[Latest Senate Action]])-1))-FIND("-",Table4[[#This Row],[Latest Senate Action]])-1)</f>
        <v>107th</v>
      </c>
      <c r="J157" s="12" t="str">
        <f>RIGHT(Table4[[#This Row],[Latest Senate Action]],LEN(Table4[[#This Row],[Latest Senate Action]])-FIND(") - ",Table4[[#This Row],[Latest Senate Action]])-3)</f>
        <v xml:space="preserve">Received in the Senate and referred to the Committee on Foreign Relations by unanimous consent. (All Actions) </v>
      </c>
      <c r="K157" s="12" t="str">
        <f>INDEX(Table5[type],MATCH(Table4[[#This Row],[Action]],Table5[Action],0))</f>
        <v>In Process</v>
      </c>
      <c r="L157" s="22" t="b">
        <f>INDEX(Table1[Senate and President Same Party, House and President Different Party],MATCH(Table4[[#This Row],[Congress Acting]],Table1[Congress],0))</f>
        <v>0</v>
      </c>
    </row>
    <row r="158" spans="1:12" ht="204.75">
      <c r="A158" s="9" t="s">
        <v>380</v>
      </c>
      <c r="B158" t="s">
        <v>1657</v>
      </c>
      <c r="C158" s="9" t="s">
        <v>1658</v>
      </c>
      <c r="D158" s="13" t="s">
        <v>1659</v>
      </c>
      <c r="E158" s="9" t="s">
        <v>1660</v>
      </c>
      <c r="F15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58" s="9" t="s">
        <v>1101</v>
      </c>
      <c r="H158" s="9" t="s">
        <v>1661</v>
      </c>
      <c r="I158" s="12" t="str">
        <f>RIGHT(LEFT(Table4[[#This Row],[Latest Senate Action]],FIND(" Congress",Table4[[#This Row],[Latest Senate Action]])-1),LEN(LEFT(Table4[[#This Row],[Latest Senate Action]],FIND(" Congress",Table4[[#This Row],[Latest Senate Action]])-1))-FIND("-",Table4[[#This Row],[Latest Senate Action]])-1)</f>
        <v>106th</v>
      </c>
      <c r="J158" s="12" t="str">
        <f>RIGHT(Table4[[#This Row],[Latest Senate Action]],LEN(Table4[[#This Row],[Latest Senate Action]])-FIND(") - ",Table4[[#This Row],[Latest Senate Action]])-3)</f>
        <v xml:space="preserve">No further action at sine die adjournment of the 106th Congress; automatically rereferred to the Committee on Foreign Relations under the provisions of Rule XXX, section 2, of the Standing Rules of the Senate. (All Actions) </v>
      </c>
      <c r="K158" s="12" t="str">
        <f>INDEX(Table5[type],MATCH(Table4[[#This Row],[Action]],Table5[Action],0))</f>
        <v>In Process</v>
      </c>
      <c r="L158" s="22" t="b">
        <f>INDEX(Table1[Senate and President Same Party, House and President Different Party],MATCH(Table4[[#This Row],[Congress Acting]],Table1[Congress],0))</f>
        <v>0</v>
      </c>
    </row>
    <row r="159" spans="1:12" ht="157.5">
      <c r="A159" s="9" t="s">
        <v>381</v>
      </c>
      <c r="B159" t="s">
        <v>1662</v>
      </c>
      <c r="C159" s="9" t="s">
        <v>1663</v>
      </c>
      <c r="D159" s="13" t="s">
        <v>1664</v>
      </c>
      <c r="E159" s="9" t="s">
        <v>1665</v>
      </c>
      <c r="F159"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59" s="9" t="s">
        <v>1013</v>
      </c>
      <c r="H159" s="9" t="s">
        <v>1666</v>
      </c>
      <c r="I159" s="12" t="str">
        <f>RIGHT(LEFT(Table4[[#This Row],[Latest Senate Action]],FIND(" Congress",Table4[[#This Row],[Latest Senate Action]])-1),LEN(LEFT(Table4[[#This Row],[Latest Senate Action]],FIND(" Congress",Table4[[#This Row],[Latest Senate Action]])-1))-FIND("-",Table4[[#This Row],[Latest Senate Action]])-1)</f>
        <v>106th</v>
      </c>
      <c r="J159" s="12" t="str">
        <f>RIGHT(Table4[[#This Row],[Latest Senate Action]],LEN(Table4[[#This Row],[Latest Senate Action]])-FIND(") - ",Table4[[#This Row],[Latest Senate Action]])-3)</f>
        <v xml:space="preserve">Resolution of advice and consent to ratification agreed to in Senate by Division Vote. (All Actions) </v>
      </c>
      <c r="K159" s="12" t="str">
        <f>INDEX(Table5[type],MATCH(Table4[[#This Row],[Action]],Table5[Action],0))</f>
        <v>Passed</v>
      </c>
      <c r="L159" s="22" t="b">
        <f>INDEX(Table1[Senate and President Same Party, House and President Different Party],MATCH(Table4[[#This Row],[Congress Acting]],Table1[Congress],0))</f>
        <v>0</v>
      </c>
    </row>
    <row r="160" spans="1:12" ht="173.25">
      <c r="A160" s="9" t="s">
        <v>382</v>
      </c>
      <c r="B160" t="s">
        <v>1667</v>
      </c>
      <c r="C160" s="9" t="s">
        <v>1668</v>
      </c>
      <c r="D160" s="13" t="s">
        <v>1669</v>
      </c>
      <c r="E160" s="9" t="s">
        <v>1645</v>
      </c>
      <c r="F16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0" s="9" t="s">
        <v>1013</v>
      </c>
      <c r="H160" s="9" t="s">
        <v>1666</v>
      </c>
      <c r="I160" s="12" t="str">
        <f>RIGHT(LEFT(Table4[[#This Row],[Latest Senate Action]],FIND(" Congress",Table4[[#This Row],[Latest Senate Action]])-1),LEN(LEFT(Table4[[#This Row],[Latest Senate Action]],FIND(" Congress",Table4[[#This Row],[Latest Senate Action]])-1))-FIND("-",Table4[[#This Row],[Latest Senate Action]])-1)</f>
        <v>106th</v>
      </c>
      <c r="J160" s="12" t="str">
        <f>RIGHT(Table4[[#This Row],[Latest Senate Action]],LEN(Table4[[#This Row],[Latest Senate Action]])-FIND(") - ",Table4[[#This Row],[Latest Senate Action]])-3)</f>
        <v xml:space="preserve">Resolution of advice and consent to ratification agreed to in Senate by Division Vote. (All Actions) </v>
      </c>
      <c r="K160" s="12" t="str">
        <f>INDEX(Table5[type],MATCH(Table4[[#This Row],[Action]],Table5[Action],0))</f>
        <v>Passed</v>
      </c>
      <c r="L160" s="22" t="b">
        <f>INDEX(Table1[Senate and President Same Party, House and President Different Party],MATCH(Table4[[#This Row],[Congress Acting]],Table1[Congress],0))</f>
        <v>0</v>
      </c>
    </row>
    <row r="161" spans="1:12" ht="173.25">
      <c r="A161" s="9" t="s">
        <v>383</v>
      </c>
      <c r="B161" t="s">
        <v>1670</v>
      </c>
      <c r="C161" s="9" t="s">
        <v>1671</v>
      </c>
      <c r="D161" s="13" t="s">
        <v>1672</v>
      </c>
      <c r="E161" s="9" t="s">
        <v>1673</v>
      </c>
      <c r="F161"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1" s="9" t="s">
        <v>1013</v>
      </c>
      <c r="H161" s="9" t="s">
        <v>1666</v>
      </c>
      <c r="I161" s="12" t="str">
        <f>RIGHT(LEFT(Table4[[#This Row],[Latest Senate Action]],FIND(" Congress",Table4[[#This Row],[Latest Senate Action]])-1),LEN(LEFT(Table4[[#This Row],[Latest Senate Action]],FIND(" Congress",Table4[[#This Row],[Latest Senate Action]])-1))-FIND("-",Table4[[#This Row],[Latest Senate Action]])-1)</f>
        <v>106th</v>
      </c>
      <c r="J161" s="12" t="str">
        <f>RIGHT(Table4[[#This Row],[Latest Senate Action]],LEN(Table4[[#This Row],[Latest Senate Action]])-FIND(") - ",Table4[[#This Row],[Latest Senate Action]])-3)</f>
        <v xml:space="preserve">Resolution of advice and consent to ratification agreed to in Senate by Division Vote. (All Actions) </v>
      </c>
      <c r="K161" s="12" t="str">
        <f>INDEX(Table5[type],MATCH(Table4[[#This Row],[Action]],Table5[Action],0))</f>
        <v>Passed</v>
      </c>
      <c r="L161" s="22" t="b">
        <f>INDEX(Table1[Senate and President Same Party, House and President Different Party],MATCH(Table4[[#This Row],[Congress Acting]],Table1[Congress],0))</f>
        <v>0</v>
      </c>
    </row>
    <row r="162" spans="1:12" ht="173.25">
      <c r="A162" s="9" t="s">
        <v>384</v>
      </c>
      <c r="B162" t="s">
        <v>1674</v>
      </c>
      <c r="C162" s="9" t="s">
        <v>1675</v>
      </c>
      <c r="D162" s="13" t="s">
        <v>1676</v>
      </c>
      <c r="E162" s="9" t="s">
        <v>1677</v>
      </c>
      <c r="F162"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2" s="9" t="s">
        <v>1013</v>
      </c>
      <c r="H162" s="9" t="s">
        <v>1666</v>
      </c>
      <c r="I162" s="12" t="str">
        <f>RIGHT(LEFT(Table4[[#This Row],[Latest Senate Action]],FIND(" Congress",Table4[[#This Row],[Latest Senate Action]])-1),LEN(LEFT(Table4[[#This Row],[Latest Senate Action]],FIND(" Congress",Table4[[#This Row],[Latest Senate Action]])-1))-FIND("-",Table4[[#This Row],[Latest Senate Action]])-1)</f>
        <v>106th</v>
      </c>
      <c r="J162" s="12" t="str">
        <f>RIGHT(Table4[[#This Row],[Latest Senate Action]],LEN(Table4[[#This Row],[Latest Senate Action]])-FIND(") - ",Table4[[#This Row],[Latest Senate Action]])-3)</f>
        <v xml:space="preserve">Resolution of advice and consent to ratification agreed to in Senate by Division Vote. (All Actions) </v>
      </c>
      <c r="K162" s="12" t="str">
        <f>INDEX(Table5[type],MATCH(Table4[[#This Row],[Action]],Table5[Action],0))</f>
        <v>Passed</v>
      </c>
      <c r="L162" s="22" t="b">
        <f>INDEX(Table1[Senate and President Same Party, House and President Different Party],MATCH(Table4[[#This Row],[Congress Acting]],Table1[Congress],0))</f>
        <v>0</v>
      </c>
    </row>
    <row r="163" spans="1:12" ht="173.25">
      <c r="A163" s="9" t="s">
        <v>385</v>
      </c>
      <c r="B163" t="s">
        <v>1678</v>
      </c>
      <c r="C163" s="9" t="s">
        <v>1679</v>
      </c>
      <c r="D163" s="13" t="s">
        <v>1680</v>
      </c>
      <c r="E163" s="9" t="s">
        <v>1681</v>
      </c>
      <c r="F16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3" s="9" t="s">
        <v>1013</v>
      </c>
      <c r="H163" s="9" t="s">
        <v>1666</v>
      </c>
      <c r="I163" s="12" t="str">
        <f>RIGHT(LEFT(Table4[[#This Row],[Latest Senate Action]],FIND(" Congress",Table4[[#This Row],[Latest Senate Action]])-1),LEN(LEFT(Table4[[#This Row],[Latest Senate Action]],FIND(" Congress",Table4[[#This Row],[Latest Senate Action]])-1))-FIND("-",Table4[[#This Row],[Latest Senate Action]])-1)</f>
        <v>106th</v>
      </c>
      <c r="J163" s="12" t="str">
        <f>RIGHT(Table4[[#This Row],[Latest Senate Action]],LEN(Table4[[#This Row],[Latest Senate Action]])-FIND(") - ",Table4[[#This Row],[Latest Senate Action]])-3)</f>
        <v xml:space="preserve">Resolution of advice and consent to ratification agreed to in Senate by Division Vote. (All Actions) </v>
      </c>
      <c r="K163" s="12" t="str">
        <f>INDEX(Table5[type],MATCH(Table4[[#This Row],[Action]],Table5[Action],0))</f>
        <v>Passed</v>
      </c>
      <c r="L163" s="22" t="b">
        <f>INDEX(Table1[Senate and President Same Party, House and President Different Party],MATCH(Table4[[#This Row],[Congress Acting]],Table1[Congress],0))</f>
        <v>0</v>
      </c>
    </row>
    <row r="164" spans="1:12" ht="173.25">
      <c r="A164" s="9" t="s">
        <v>386</v>
      </c>
      <c r="B164" t="s">
        <v>1682</v>
      </c>
      <c r="C164" s="9" t="s">
        <v>1683</v>
      </c>
      <c r="D164" s="13" t="s">
        <v>1684</v>
      </c>
      <c r="E164" s="9" t="s">
        <v>1685</v>
      </c>
      <c r="F16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4" s="9" t="s">
        <v>1013</v>
      </c>
      <c r="H164" s="9" t="s">
        <v>1666</v>
      </c>
      <c r="I164" s="12" t="str">
        <f>RIGHT(LEFT(Table4[[#This Row],[Latest Senate Action]],FIND(" Congress",Table4[[#This Row],[Latest Senate Action]])-1),LEN(LEFT(Table4[[#This Row],[Latest Senate Action]],FIND(" Congress",Table4[[#This Row],[Latest Senate Action]])-1))-FIND("-",Table4[[#This Row],[Latest Senate Action]])-1)</f>
        <v>106th</v>
      </c>
      <c r="J164" s="12" t="str">
        <f>RIGHT(Table4[[#This Row],[Latest Senate Action]],LEN(Table4[[#This Row],[Latest Senate Action]])-FIND(") - ",Table4[[#This Row],[Latest Senate Action]])-3)</f>
        <v xml:space="preserve">Resolution of advice and consent to ratification agreed to in Senate by Division Vote. (All Actions) </v>
      </c>
      <c r="K164" s="12" t="str">
        <f>INDEX(Table5[type],MATCH(Table4[[#This Row],[Action]],Table5[Action],0))</f>
        <v>Passed</v>
      </c>
      <c r="L164" s="22" t="b">
        <f>INDEX(Table1[Senate and President Same Party, House and President Different Party],MATCH(Table4[[#This Row],[Congress Acting]],Table1[Congress],0))</f>
        <v>0</v>
      </c>
    </row>
    <row r="165" spans="1:12" ht="173.25">
      <c r="A165" s="9" t="s">
        <v>387</v>
      </c>
      <c r="B165" t="s">
        <v>1686</v>
      </c>
      <c r="C165" s="9" t="s">
        <v>1687</v>
      </c>
      <c r="D165" s="13" t="s">
        <v>1688</v>
      </c>
      <c r="E165" s="9" t="s">
        <v>1689</v>
      </c>
      <c r="F16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5" s="9" t="s">
        <v>1013</v>
      </c>
      <c r="H165" s="9" t="s">
        <v>1666</v>
      </c>
      <c r="I165" s="12" t="str">
        <f>RIGHT(LEFT(Table4[[#This Row],[Latest Senate Action]],FIND(" Congress",Table4[[#This Row],[Latest Senate Action]])-1),LEN(LEFT(Table4[[#This Row],[Latest Senate Action]],FIND(" Congress",Table4[[#This Row],[Latest Senate Action]])-1))-FIND("-",Table4[[#This Row],[Latest Senate Action]])-1)</f>
        <v>106th</v>
      </c>
      <c r="J165" s="12" t="str">
        <f>RIGHT(Table4[[#This Row],[Latest Senate Action]],LEN(Table4[[#This Row],[Latest Senate Action]])-FIND(") - ",Table4[[#This Row],[Latest Senate Action]])-3)</f>
        <v xml:space="preserve">Resolution of advice and consent to ratification agreed to in Senate by Division Vote. (All Actions) </v>
      </c>
      <c r="K165" s="12" t="str">
        <f>INDEX(Table5[type],MATCH(Table4[[#This Row],[Action]],Table5[Action],0))</f>
        <v>Passed</v>
      </c>
      <c r="L165" s="22" t="b">
        <f>INDEX(Table1[Senate and President Same Party, House and President Different Party],MATCH(Table4[[#This Row],[Congress Acting]],Table1[Congress],0))</f>
        <v>0</v>
      </c>
    </row>
    <row r="166" spans="1:12" ht="157.5">
      <c r="A166" s="9" t="s">
        <v>388</v>
      </c>
      <c r="B166" t="s">
        <v>1690</v>
      </c>
      <c r="C166" s="9" t="s">
        <v>1691</v>
      </c>
      <c r="D166" s="13" t="s">
        <v>1692</v>
      </c>
      <c r="E166" s="9" t="s">
        <v>1693</v>
      </c>
      <c r="F16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6" s="9" t="s">
        <v>1008</v>
      </c>
      <c r="H166" s="9" t="s">
        <v>1666</v>
      </c>
      <c r="I166" s="12" t="str">
        <f>RIGHT(LEFT(Table4[[#This Row],[Latest Senate Action]],FIND(" Congress",Table4[[#This Row],[Latest Senate Action]])-1),LEN(LEFT(Table4[[#This Row],[Latest Senate Action]],FIND(" Congress",Table4[[#This Row],[Latest Senate Action]])-1))-FIND("-",Table4[[#This Row],[Latest Senate Action]])-1)</f>
        <v>106th</v>
      </c>
      <c r="J166" s="12" t="str">
        <f>RIGHT(Table4[[#This Row],[Latest Senate Action]],LEN(Table4[[#This Row],[Latest Senate Action]])-FIND(") - ",Table4[[#This Row],[Latest Senate Action]])-3)</f>
        <v xml:space="preserve">Resolution of advice and consent to ratification agreed to in Senate by Division Vote. (All Actions) </v>
      </c>
      <c r="K166" s="12" t="str">
        <f>INDEX(Table5[type],MATCH(Table4[[#This Row],[Action]],Table5[Action],0))</f>
        <v>Passed</v>
      </c>
      <c r="L166" s="22" t="b">
        <f>INDEX(Table1[Senate and President Same Party, House and President Different Party],MATCH(Table4[[#This Row],[Congress Acting]],Table1[Congress],0))</f>
        <v>0</v>
      </c>
    </row>
    <row r="167" spans="1:12" ht="157.5">
      <c r="A167" s="9" t="s">
        <v>389</v>
      </c>
      <c r="B167" t="s">
        <v>1694</v>
      </c>
      <c r="C167" s="9" t="s">
        <v>1695</v>
      </c>
      <c r="D167" s="13" t="s">
        <v>1696</v>
      </c>
      <c r="E167" s="9" t="s">
        <v>1697</v>
      </c>
      <c r="F167"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67" s="9" t="s">
        <v>1013</v>
      </c>
      <c r="H167" s="9" t="s">
        <v>1666</v>
      </c>
      <c r="I167" s="12" t="str">
        <f>RIGHT(LEFT(Table4[[#This Row],[Latest Senate Action]],FIND(" Congress",Table4[[#This Row],[Latest Senate Action]])-1),LEN(LEFT(Table4[[#This Row],[Latest Senate Action]],FIND(" Congress",Table4[[#This Row],[Latest Senate Action]])-1))-FIND("-",Table4[[#This Row],[Latest Senate Action]])-1)</f>
        <v>106th</v>
      </c>
      <c r="J167" s="12" t="str">
        <f>RIGHT(Table4[[#This Row],[Latest Senate Action]],LEN(Table4[[#This Row],[Latest Senate Action]])-FIND(") - ",Table4[[#This Row],[Latest Senate Action]])-3)</f>
        <v xml:space="preserve">Resolution of advice and consent to ratification agreed to in Senate by Division Vote. (All Actions) </v>
      </c>
      <c r="K167" s="12" t="str">
        <f>INDEX(Table5[type],MATCH(Table4[[#This Row],[Action]],Table5[Action],0))</f>
        <v>Passed</v>
      </c>
      <c r="L167" s="22" t="b">
        <f>INDEX(Table1[Senate and President Same Party, House and President Different Party],MATCH(Table4[[#This Row],[Congress Acting]],Table1[Congress],0))</f>
        <v>0</v>
      </c>
    </row>
    <row r="168" spans="1:12" ht="157.5">
      <c r="A168" s="9" t="s">
        <v>390</v>
      </c>
      <c r="B168" t="s">
        <v>1698</v>
      </c>
      <c r="C168" s="9" t="s">
        <v>1699</v>
      </c>
      <c r="D168" s="13" t="s">
        <v>1700</v>
      </c>
      <c r="E168" s="9" t="s">
        <v>1701</v>
      </c>
      <c r="F168"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168" s="9" t="s">
        <v>1052</v>
      </c>
      <c r="H168" s="9" t="s">
        <v>1666</v>
      </c>
      <c r="I168" s="12" t="str">
        <f>RIGHT(LEFT(Table4[[#This Row],[Latest Senate Action]],FIND(" Congress",Table4[[#This Row],[Latest Senate Action]])-1),LEN(LEFT(Table4[[#This Row],[Latest Senate Action]],FIND(" Congress",Table4[[#This Row],[Latest Senate Action]])-1))-FIND("-",Table4[[#This Row],[Latest Senate Action]])-1)</f>
        <v>106th</v>
      </c>
      <c r="J168" s="12" t="str">
        <f>RIGHT(Table4[[#This Row],[Latest Senate Action]],LEN(Table4[[#This Row],[Latest Senate Action]])-FIND(") - ",Table4[[#This Row],[Latest Senate Action]])-3)</f>
        <v xml:space="preserve">Resolution of advice and consent to ratification agreed to in Senate by Division Vote. (All Actions) </v>
      </c>
      <c r="K168" s="12" t="str">
        <f>INDEX(Table5[type],MATCH(Table4[[#This Row],[Action]],Table5[Action],0))</f>
        <v>Passed</v>
      </c>
      <c r="L168" s="22" t="b">
        <f>INDEX(Table1[Senate and President Same Party, House and President Different Party],MATCH(Table4[[#This Row],[Congress Acting]],Table1[Congress],0))</f>
        <v>0</v>
      </c>
    </row>
    <row r="169" spans="1:12" ht="189">
      <c r="A169" s="9" t="s">
        <v>391</v>
      </c>
      <c r="B169" t="s">
        <v>1702</v>
      </c>
      <c r="C169" s="9" t="s">
        <v>1703</v>
      </c>
      <c r="D169" s="13" t="s">
        <v>1704</v>
      </c>
      <c r="E169" s="9" t="s">
        <v>1705</v>
      </c>
      <c r="F16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69" s="9" t="s">
        <v>1013</v>
      </c>
      <c r="H169" s="9" t="s">
        <v>1666</v>
      </c>
      <c r="I169" s="12" t="str">
        <f>RIGHT(LEFT(Table4[[#This Row],[Latest Senate Action]],FIND(" Congress",Table4[[#This Row],[Latest Senate Action]])-1),LEN(LEFT(Table4[[#This Row],[Latest Senate Action]],FIND(" Congress",Table4[[#This Row],[Latest Senate Action]])-1))-FIND("-",Table4[[#This Row],[Latest Senate Action]])-1)</f>
        <v>106th</v>
      </c>
      <c r="J169" s="12" t="str">
        <f>RIGHT(Table4[[#This Row],[Latest Senate Action]],LEN(Table4[[#This Row],[Latest Senate Action]])-FIND(") - ",Table4[[#This Row],[Latest Senate Action]])-3)</f>
        <v xml:space="preserve">Resolution of advice and consent to ratification agreed to in Senate by Division Vote. (All Actions) </v>
      </c>
      <c r="K169" s="12" t="str">
        <f>INDEX(Table5[type],MATCH(Table4[[#This Row],[Action]],Table5[Action],0))</f>
        <v>Passed</v>
      </c>
      <c r="L169" s="22" t="b">
        <f>INDEX(Table1[Senate and President Same Party, House and President Different Party],MATCH(Table4[[#This Row],[Congress Acting]],Table1[Congress],0))</f>
        <v>0</v>
      </c>
    </row>
    <row r="170" spans="1:12" ht="157.5">
      <c r="A170" s="9" t="s">
        <v>392</v>
      </c>
      <c r="B170" t="s">
        <v>1706</v>
      </c>
      <c r="C170" s="9" t="s">
        <v>1707</v>
      </c>
      <c r="D170" s="13" t="s">
        <v>1708</v>
      </c>
      <c r="E170" s="9" t="s">
        <v>1709</v>
      </c>
      <c r="F17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0" s="9" t="s">
        <v>1052</v>
      </c>
      <c r="H170" s="9" t="s">
        <v>1666</v>
      </c>
      <c r="I170" s="12" t="str">
        <f>RIGHT(LEFT(Table4[[#This Row],[Latest Senate Action]],FIND(" Congress",Table4[[#This Row],[Latest Senate Action]])-1),LEN(LEFT(Table4[[#This Row],[Latest Senate Action]],FIND(" Congress",Table4[[#This Row],[Latest Senate Action]])-1))-FIND("-",Table4[[#This Row],[Latest Senate Action]])-1)</f>
        <v>106th</v>
      </c>
      <c r="J170" s="12" t="str">
        <f>RIGHT(Table4[[#This Row],[Latest Senate Action]],LEN(Table4[[#This Row],[Latest Senate Action]])-FIND(") - ",Table4[[#This Row],[Latest Senate Action]])-3)</f>
        <v xml:space="preserve">Resolution of advice and consent to ratification agreed to in Senate by Division Vote. (All Actions) </v>
      </c>
      <c r="K170" s="12" t="str">
        <f>INDEX(Table5[type],MATCH(Table4[[#This Row],[Action]],Table5[Action],0))</f>
        <v>Passed</v>
      </c>
      <c r="L170" s="22" t="b">
        <f>INDEX(Table1[Senate and President Same Party, House and President Different Party],MATCH(Table4[[#This Row],[Congress Acting]],Table1[Congress],0))</f>
        <v>0</v>
      </c>
    </row>
    <row r="171" spans="1:12" ht="157.5">
      <c r="A171" s="9" t="s">
        <v>393</v>
      </c>
      <c r="B171" t="s">
        <v>1710</v>
      </c>
      <c r="C171" s="9" t="s">
        <v>1711</v>
      </c>
      <c r="D171" s="13" t="s">
        <v>1712</v>
      </c>
      <c r="E171" s="9" t="s">
        <v>1709</v>
      </c>
      <c r="F171"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1" s="9" t="s">
        <v>1052</v>
      </c>
      <c r="H171" s="9" t="s">
        <v>1666</v>
      </c>
      <c r="I171" s="12" t="str">
        <f>RIGHT(LEFT(Table4[[#This Row],[Latest Senate Action]],FIND(" Congress",Table4[[#This Row],[Latest Senate Action]])-1),LEN(LEFT(Table4[[#This Row],[Latest Senate Action]],FIND(" Congress",Table4[[#This Row],[Latest Senate Action]])-1))-FIND("-",Table4[[#This Row],[Latest Senate Action]])-1)</f>
        <v>106th</v>
      </c>
      <c r="J171" s="12" t="str">
        <f>RIGHT(Table4[[#This Row],[Latest Senate Action]],LEN(Table4[[#This Row],[Latest Senate Action]])-FIND(") - ",Table4[[#This Row],[Latest Senate Action]])-3)</f>
        <v xml:space="preserve">Resolution of advice and consent to ratification agreed to in Senate by Division Vote. (All Actions) </v>
      </c>
      <c r="K171" s="12" t="str">
        <f>INDEX(Table5[type],MATCH(Table4[[#This Row],[Action]],Table5[Action],0))</f>
        <v>Passed</v>
      </c>
      <c r="L171" s="22" t="b">
        <f>INDEX(Table1[Senate and President Same Party, House and President Different Party],MATCH(Table4[[#This Row],[Congress Acting]],Table1[Congress],0))</f>
        <v>0</v>
      </c>
    </row>
    <row r="172" spans="1:12" ht="157.5">
      <c r="A172" s="9" t="s">
        <v>394</v>
      </c>
      <c r="B172" t="s">
        <v>1713</v>
      </c>
      <c r="C172" s="9" t="s">
        <v>1714</v>
      </c>
      <c r="D172" s="13" t="s">
        <v>3791</v>
      </c>
      <c r="E172" s="9" t="s">
        <v>1715</v>
      </c>
      <c r="F172"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172" s="9" t="s">
        <v>1013</v>
      </c>
      <c r="H172" s="9" t="s">
        <v>1666</v>
      </c>
      <c r="I172" s="12" t="str">
        <f>RIGHT(LEFT(Table4[[#This Row],[Latest Senate Action]],FIND(" Congress",Table4[[#This Row],[Latest Senate Action]])-1),LEN(LEFT(Table4[[#This Row],[Latest Senate Action]],FIND(" Congress",Table4[[#This Row],[Latest Senate Action]])-1))-FIND("-",Table4[[#This Row],[Latest Senate Action]])-1)</f>
        <v>106th</v>
      </c>
      <c r="J172" s="12" t="str">
        <f>RIGHT(Table4[[#This Row],[Latest Senate Action]],LEN(Table4[[#This Row],[Latest Senate Action]])-FIND(") - ",Table4[[#This Row],[Latest Senate Action]])-3)</f>
        <v xml:space="preserve">Resolution of advice and consent to ratification agreed to in Senate by Division Vote. (All Actions) </v>
      </c>
      <c r="K172" s="12" t="str">
        <f>INDEX(Table5[type],MATCH(Table4[[#This Row],[Action]],Table5[Action],0))</f>
        <v>Passed</v>
      </c>
      <c r="L172" s="22" t="b">
        <f>INDEX(Table1[Senate and President Same Party, House and President Different Party],MATCH(Table4[[#This Row],[Congress Acting]],Table1[Congress],0))</f>
        <v>0</v>
      </c>
    </row>
    <row r="173" spans="1:12" ht="157.5">
      <c r="A173" s="9" t="s">
        <v>395</v>
      </c>
      <c r="B173" t="s">
        <v>1716</v>
      </c>
      <c r="C173" s="9" t="s">
        <v>1717</v>
      </c>
      <c r="D173" s="13" t="s">
        <v>1718</v>
      </c>
      <c r="E173" s="9" t="s">
        <v>1709</v>
      </c>
      <c r="F17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3" s="9" t="s">
        <v>1052</v>
      </c>
      <c r="H173" s="9" t="s">
        <v>1666</v>
      </c>
      <c r="I173" s="12" t="str">
        <f>RIGHT(LEFT(Table4[[#This Row],[Latest Senate Action]],FIND(" Congress",Table4[[#This Row],[Latest Senate Action]])-1),LEN(LEFT(Table4[[#This Row],[Latest Senate Action]],FIND(" Congress",Table4[[#This Row],[Latest Senate Action]])-1))-FIND("-",Table4[[#This Row],[Latest Senate Action]])-1)</f>
        <v>106th</v>
      </c>
      <c r="J173" s="12" t="str">
        <f>RIGHT(Table4[[#This Row],[Latest Senate Action]],LEN(Table4[[#This Row],[Latest Senate Action]])-FIND(") - ",Table4[[#This Row],[Latest Senate Action]])-3)</f>
        <v xml:space="preserve">Resolution of advice and consent to ratification agreed to in Senate by Division Vote. (All Actions) </v>
      </c>
      <c r="K173" s="12" t="str">
        <f>INDEX(Table5[type],MATCH(Table4[[#This Row],[Action]],Table5[Action],0))</f>
        <v>Passed</v>
      </c>
      <c r="L173" s="22" t="b">
        <f>INDEX(Table1[Senate and President Same Party, House and President Different Party],MATCH(Table4[[#This Row],[Congress Acting]],Table1[Congress],0))</f>
        <v>0</v>
      </c>
    </row>
    <row r="174" spans="1:12" ht="157.5">
      <c r="A174" s="9" t="s">
        <v>396</v>
      </c>
      <c r="B174" t="s">
        <v>1719</v>
      </c>
      <c r="C174" s="9" t="s">
        <v>1720</v>
      </c>
      <c r="D174" s="13" t="s">
        <v>1721</v>
      </c>
      <c r="E174" s="9" t="s">
        <v>1709</v>
      </c>
      <c r="F17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4" s="9" t="s">
        <v>1052</v>
      </c>
      <c r="H174" s="9" t="s">
        <v>1666</v>
      </c>
      <c r="I174" s="12" t="str">
        <f>RIGHT(LEFT(Table4[[#This Row],[Latest Senate Action]],FIND(" Congress",Table4[[#This Row],[Latest Senate Action]])-1),LEN(LEFT(Table4[[#This Row],[Latest Senate Action]],FIND(" Congress",Table4[[#This Row],[Latest Senate Action]])-1))-FIND("-",Table4[[#This Row],[Latest Senate Action]])-1)</f>
        <v>106th</v>
      </c>
      <c r="J174" s="12" t="str">
        <f>RIGHT(Table4[[#This Row],[Latest Senate Action]],LEN(Table4[[#This Row],[Latest Senate Action]])-FIND(") - ",Table4[[#This Row],[Latest Senate Action]])-3)</f>
        <v xml:space="preserve">Resolution of advice and consent to ratification agreed to in Senate by Division Vote. (All Actions) </v>
      </c>
      <c r="K174" s="12" t="str">
        <f>INDEX(Table5[type],MATCH(Table4[[#This Row],[Action]],Table5[Action],0))</f>
        <v>Passed</v>
      </c>
      <c r="L174" s="22" t="b">
        <f>INDEX(Table1[Senate and President Same Party, House and President Different Party],MATCH(Table4[[#This Row],[Congress Acting]],Table1[Congress],0))</f>
        <v>0</v>
      </c>
    </row>
    <row r="175" spans="1:12" ht="204.75">
      <c r="A175" s="9" t="s">
        <v>397</v>
      </c>
      <c r="B175" t="s">
        <v>1722</v>
      </c>
      <c r="C175" s="9" t="s">
        <v>1723</v>
      </c>
      <c r="D175" s="13" t="s">
        <v>1724</v>
      </c>
      <c r="E175" s="9" t="s">
        <v>1725</v>
      </c>
      <c r="F175"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175" s="9" t="s">
        <v>1038</v>
      </c>
      <c r="H175" s="9" t="s">
        <v>1666</v>
      </c>
      <c r="I175" s="12" t="str">
        <f>RIGHT(LEFT(Table4[[#This Row],[Latest Senate Action]],FIND(" Congress",Table4[[#This Row],[Latest Senate Action]])-1),LEN(LEFT(Table4[[#This Row],[Latest Senate Action]],FIND(" Congress",Table4[[#This Row],[Latest Senate Action]])-1))-FIND("-",Table4[[#This Row],[Latest Senate Action]])-1)</f>
        <v>106th</v>
      </c>
      <c r="J175" s="12" t="str">
        <f>RIGHT(Table4[[#This Row],[Latest Senate Action]],LEN(Table4[[#This Row],[Latest Senate Action]])-FIND(") - ",Table4[[#This Row],[Latest Senate Action]])-3)</f>
        <v xml:space="preserve">Resolution of advice and consent to ratification agreed to in Senate by Division Vote. (All Actions) </v>
      </c>
      <c r="K175" s="12" t="str">
        <f>INDEX(Table5[type],MATCH(Table4[[#This Row],[Action]],Table5[Action],0))</f>
        <v>Passed</v>
      </c>
      <c r="L175" s="22" t="b">
        <f>INDEX(Table1[Senate and President Same Party, House and President Different Party],MATCH(Table4[[#This Row],[Congress Acting]],Table1[Congress],0))</f>
        <v>0</v>
      </c>
    </row>
    <row r="176" spans="1:12" ht="157.5">
      <c r="A176" s="9" t="s">
        <v>398</v>
      </c>
      <c r="B176" t="s">
        <v>1726</v>
      </c>
      <c r="C176" s="9" t="s">
        <v>1727</v>
      </c>
      <c r="D176" s="13" t="s">
        <v>1728</v>
      </c>
      <c r="E176" s="9" t="s">
        <v>1709</v>
      </c>
      <c r="F17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6" s="9" t="s">
        <v>1052</v>
      </c>
      <c r="H176" s="9" t="s">
        <v>1666</v>
      </c>
      <c r="I176" s="12" t="str">
        <f>RIGHT(LEFT(Table4[[#This Row],[Latest Senate Action]],FIND(" Congress",Table4[[#This Row],[Latest Senate Action]])-1),LEN(LEFT(Table4[[#This Row],[Latest Senate Action]],FIND(" Congress",Table4[[#This Row],[Latest Senate Action]])-1))-FIND("-",Table4[[#This Row],[Latest Senate Action]])-1)</f>
        <v>106th</v>
      </c>
      <c r="J176" s="12" t="str">
        <f>RIGHT(Table4[[#This Row],[Latest Senate Action]],LEN(Table4[[#This Row],[Latest Senate Action]])-FIND(") - ",Table4[[#This Row],[Latest Senate Action]])-3)</f>
        <v xml:space="preserve">Resolution of advice and consent to ratification agreed to in Senate by Division Vote. (All Actions) </v>
      </c>
      <c r="K176" s="12" t="str">
        <f>INDEX(Table5[type],MATCH(Table4[[#This Row],[Action]],Table5[Action],0))</f>
        <v>Passed</v>
      </c>
      <c r="L176" s="22" t="b">
        <f>INDEX(Table1[Senate and President Same Party, House and President Different Party],MATCH(Table4[[#This Row],[Congress Acting]],Table1[Congress],0))</f>
        <v>0</v>
      </c>
    </row>
    <row r="177" spans="1:12" ht="157.5">
      <c r="A177" s="9" t="s">
        <v>399</v>
      </c>
      <c r="B177" t="s">
        <v>1729</v>
      </c>
      <c r="C177" s="9" t="s">
        <v>1730</v>
      </c>
      <c r="D177" s="13" t="s">
        <v>1731</v>
      </c>
      <c r="E177" s="9" t="s">
        <v>1709</v>
      </c>
      <c r="F177"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7" s="9" t="s">
        <v>1052</v>
      </c>
      <c r="H177" s="9" t="s">
        <v>1666</v>
      </c>
      <c r="I177" s="12" t="str">
        <f>RIGHT(LEFT(Table4[[#This Row],[Latest Senate Action]],FIND(" Congress",Table4[[#This Row],[Latest Senate Action]])-1),LEN(LEFT(Table4[[#This Row],[Latest Senate Action]],FIND(" Congress",Table4[[#This Row],[Latest Senate Action]])-1))-FIND("-",Table4[[#This Row],[Latest Senate Action]])-1)</f>
        <v>106th</v>
      </c>
      <c r="J177" s="12" t="str">
        <f>RIGHT(Table4[[#This Row],[Latest Senate Action]],LEN(Table4[[#This Row],[Latest Senate Action]])-FIND(") - ",Table4[[#This Row],[Latest Senate Action]])-3)</f>
        <v xml:space="preserve">Resolution of advice and consent to ratification agreed to in Senate by Division Vote. (All Actions) </v>
      </c>
      <c r="K177" s="12" t="str">
        <f>INDEX(Table5[type],MATCH(Table4[[#This Row],[Action]],Table5[Action],0))</f>
        <v>Passed</v>
      </c>
      <c r="L177" s="22" t="b">
        <f>INDEX(Table1[Senate and President Same Party, House and President Different Party],MATCH(Table4[[#This Row],[Congress Acting]],Table1[Congress],0))</f>
        <v>0</v>
      </c>
    </row>
    <row r="178" spans="1:12" ht="157.5">
      <c r="A178" s="9" t="s">
        <v>400</v>
      </c>
      <c r="B178" t="s">
        <v>1732</v>
      </c>
      <c r="C178" s="9" t="s">
        <v>1733</v>
      </c>
      <c r="D178" s="13" t="s">
        <v>1734</v>
      </c>
      <c r="E178" s="9" t="s">
        <v>1709</v>
      </c>
      <c r="F178"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8" s="9" t="s">
        <v>1052</v>
      </c>
      <c r="H178" s="9" t="s">
        <v>1666</v>
      </c>
      <c r="I178" s="12" t="str">
        <f>RIGHT(LEFT(Table4[[#This Row],[Latest Senate Action]],FIND(" Congress",Table4[[#This Row],[Latest Senate Action]])-1),LEN(LEFT(Table4[[#This Row],[Latest Senate Action]],FIND(" Congress",Table4[[#This Row],[Latest Senate Action]])-1))-FIND("-",Table4[[#This Row],[Latest Senate Action]])-1)</f>
        <v>106th</v>
      </c>
      <c r="J178" s="12" t="str">
        <f>RIGHT(Table4[[#This Row],[Latest Senate Action]],LEN(Table4[[#This Row],[Latest Senate Action]])-FIND(") - ",Table4[[#This Row],[Latest Senate Action]])-3)</f>
        <v xml:space="preserve">Resolution of advice and consent to ratification agreed to in Senate by Division Vote. (All Actions) </v>
      </c>
      <c r="K178" s="12" t="str">
        <f>INDEX(Table5[type],MATCH(Table4[[#This Row],[Action]],Table5[Action],0))</f>
        <v>Passed</v>
      </c>
      <c r="L178" s="22" t="b">
        <f>INDEX(Table1[Senate and President Same Party, House and President Different Party],MATCH(Table4[[#This Row],[Congress Acting]],Table1[Congress],0))</f>
        <v>0</v>
      </c>
    </row>
    <row r="179" spans="1:12" ht="157.5">
      <c r="A179" s="9" t="s">
        <v>401</v>
      </c>
      <c r="B179" t="s">
        <v>1735</v>
      </c>
      <c r="C179" s="9" t="s">
        <v>1736</v>
      </c>
      <c r="D179" s="13" t="s">
        <v>1737</v>
      </c>
      <c r="E179" s="9" t="s">
        <v>1738</v>
      </c>
      <c r="F179"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79" s="9" t="s">
        <v>1013</v>
      </c>
      <c r="H179" s="9" t="s">
        <v>1666</v>
      </c>
      <c r="I179" s="12" t="str">
        <f>RIGHT(LEFT(Table4[[#This Row],[Latest Senate Action]],FIND(" Congress",Table4[[#This Row],[Latest Senate Action]])-1),LEN(LEFT(Table4[[#This Row],[Latest Senate Action]],FIND(" Congress",Table4[[#This Row],[Latest Senate Action]])-1))-FIND("-",Table4[[#This Row],[Latest Senate Action]])-1)</f>
        <v>106th</v>
      </c>
      <c r="J179" s="12" t="str">
        <f>RIGHT(Table4[[#This Row],[Latest Senate Action]],LEN(Table4[[#This Row],[Latest Senate Action]])-FIND(") - ",Table4[[#This Row],[Latest Senate Action]])-3)</f>
        <v xml:space="preserve">Resolution of advice and consent to ratification agreed to in Senate by Division Vote. (All Actions) </v>
      </c>
      <c r="K179" s="12" t="str">
        <f>INDEX(Table5[type],MATCH(Table4[[#This Row],[Action]],Table5[Action],0))</f>
        <v>Passed</v>
      </c>
      <c r="L179" s="22" t="b">
        <f>INDEX(Table1[Senate and President Same Party, House and President Different Party],MATCH(Table4[[#This Row],[Congress Acting]],Table1[Congress],0))</f>
        <v>0</v>
      </c>
    </row>
    <row r="180" spans="1:12" ht="173.25">
      <c r="A180" s="9" t="s">
        <v>402</v>
      </c>
      <c r="B180" t="s">
        <v>1739</v>
      </c>
      <c r="C180" s="9" t="s">
        <v>1740</v>
      </c>
      <c r="D180" s="13" t="s">
        <v>1741</v>
      </c>
      <c r="E180" s="9" t="s">
        <v>1742</v>
      </c>
      <c r="F180"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180" s="9" t="s">
        <v>1013</v>
      </c>
      <c r="H180" s="9" t="s">
        <v>1666</v>
      </c>
      <c r="I180" s="12" t="str">
        <f>RIGHT(LEFT(Table4[[#This Row],[Latest Senate Action]],FIND(" Congress",Table4[[#This Row],[Latest Senate Action]])-1),LEN(LEFT(Table4[[#This Row],[Latest Senate Action]],FIND(" Congress",Table4[[#This Row],[Latest Senate Action]])-1))-FIND("-",Table4[[#This Row],[Latest Senate Action]])-1)</f>
        <v>106th</v>
      </c>
      <c r="J180" s="12" t="str">
        <f>RIGHT(Table4[[#This Row],[Latest Senate Action]],LEN(Table4[[#This Row],[Latest Senate Action]])-FIND(") - ",Table4[[#This Row],[Latest Senate Action]])-3)</f>
        <v xml:space="preserve">Resolution of advice and consent to ratification agreed to in Senate by Division Vote. (All Actions) </v>
      </c>
      <c r="K180" s="12" t="str">
        <f>INDEX(Table5[type],MATCH(Table4[[#This Row],[Action]],Table5[Action],0))</f>
        <v>Passed</v>
      </c>
      <c r="L180" s="22" t="b">
        <f>INDEX(Table1[Senate and President Same Party, House and President Different Party],MATCH(Table4[[#This Row],[Congress Acting]],Table1[Congress],0))</f>
        <v>0</v>
      </c>
    </row>
    <row r="181" spans="1:12" ht="173.25">
      <c r="A181" s="9" t="s">
        <v>403</v>
      </c>
      <c r="B181" t="s">
        <v>1743</v>
      </c>
      <c r="C181" s="9" t="s">
        <v>1744</v>
      </c>
      <c r="D181" s="13" t="s">
        <v>1745</v>
      </c>
      <c r="E181" s="9" t="s">
        <v>1746</v>
      </c>
      <c r="F181"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1" s="9" t="s">
        <v>1013</v>
      </c>
      <c r="H181" s="9" t="s">
        <v>1666</v>
      </c>
      <c r="I181" s="12" t="str">
        <f>RIGHT(LEFT(Table4[[#This Row],[Latest Senate Action]],FIND(" Congress",Table4[[#This Row],[Latest Senate Action]])-1),LEN(LEFT(Table4[[#This Row],[Latest Senate Action]],FIND(" Congress",Table4[[#This Row],[Latest Senate Action]])-1))-FIND("-",Table4[[#This Row],[Latest Senate Action]])-1)</f>
        <v>106th</v>
      </c>
      <c r="J181" s="12" t="str">
        <f>RIGHT(Table4[[#This Row],[Latest Senate Action]],LEN(Table4[[#This Row],[Latest Senate Action]])-FIND(") - ",Table4[[#This Row],[Latest Senate Action]])-3)</f>
        <v xml:space="preserve">Resolution of advice and consent to ratification agreed to in Senate by Division Vote. (All Actions) </v>
      </c>
      <c r="K181" s="12" t="str">
        <f>INDEX(Table5[type],MATCH(Table4[[#This Row],[Action]],Table5[Action],0))</f>
        <v>Passed</v>
      </c>
      <c r="L181" s="22" t="b">
        <f>INDEX(Table1[Senate and President Same Party, House and President Different Party],MATCH(Table4[[#This Row],[Congress Acting]],Table1[Congress],0))</f>
        <v>0</v>
      </c>
    </row>
    <row r="182" spans="1:12" ht="173.25">
      <c r="A182" s="9" t="s">
        <v>404</v>
      </c>
      <c r="B182" t="s">
        <v>1747</v>
      </c>
      <c r="C182" s="9" t="s">
        <v>1748</v>
      </c>
      <c r="D182" s="13" t="s">
        <v>1749</v>
      </c>
      <c r="E182" s="9" t="s">
        <v>1746</v>
      </c>
      <c r="F182"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2" s="9" t="s">
        <v>1013</v>
      </c>
      <c r="H182" s="9" t="s">
        <v>1666</v>
      </c>
      <c r="I182" s="12" t="str">
        <f>RIGHT(LEFT(Table4[[#This Row],[Latest Senate Action]],FIND(" Congress",Table4[[#This Row],[Latest Senate Action]])-1),LEN(LEFT(Table4[[#This Row],[Latest Senate Action]],FIND(" Congress",Table4[[#This Row],[Latest Senate Action]])-1))-FIND("-",Table4[[#This Row],[Latest Senate Action]])-1)</f>
        <v>106th</v>
      </c>
      <c r="J182" s="12" t="str">
        <f>RIGHT(Table4[[#This Row],[Latest Senate Action]],LEN(Table4[[#This Row],[Latest Senate Action]])-FIND(") - ",Table4[[#This Row],[Latest Senate Action]])-3)</f>
        <v xml:space="preserve">Resolution of advice and consent to ratification agreed to in Senate by Division Vote. (All Actions) </v>
      </c>
      <c r="K182" s="12" t="str">
        <f>INDEX(Table5[type],MATCH(Table4[[#This Row],[Action]],Table5[Action],0))</f>
        <v>Passed</v>
      </c>
      <c r="L182" s="22" t="b">
        <f>INDEX(Table1[Senate and President Same Party, House and President Different Party],MATCH(Table4[[#This Row],[Congress Acting]],Table1[Congress],0))</f>
        <v>0</v>
      </c>
    </row>
    <row r="183" spans="1:12" ht="157.5">
      <c r="A183" s="9" t="s">
        <v>405</v>
      </c>
      <c r="B183" t="s">
        <v>1750</v>
      </c>
      <c r="C183" s="9" t="s">
        <v>1751</v>
      </c>
      <c r="D183" s="13" t="s">
        <v>1752</v>
      </c>
      <c r="E183" s="9" t="s">
        <v>1753</v>
      </c>
      <c r="F18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3" s="9" t="s">
        <v>1013</v>
      </c>
      <c r="H183" s="9" t="s">
        <v>1666</v>
      </c>
      <c r="I183" s="12" t="str">
        <f>RIGHT(LEFT(Table4[[#This Row],[Latest Senate Action]],FIND(" Congress",Table4[[#This Row],[Latest Senate Action]])-1),LEN(LEFT(Table4[[#This Row],[Latest Senate Action]],FIND(" Congress",Table4[[#This Row],[Latest Senate Action]])-1))-FIND("-",Table4[[#This Row],[Latest Senate Action]])-1)</f>
        <v>106th</v>
      </c>
      <c r="J183" s="12" t="str">
        <f>RIGHT(Table4[[#This Row],[Latest Senate Action]],LEN(Table4[[#This Row],[Latest Senate Action]])-FIND(") - ",Table4[[#This Row],[Latest Senate Action]])-3)</f>
        <v xml:space="preserve">Resolution of advice and consent to ratification agreed to in Senate by Division Vote. (All Actions) </v>
      </c>
      <c r="K183" s="12" t="str">
        <f>INDEX(Table5[type],MATCH(Table4[[#This Row],[Action]],Table5[Action],0))</f>
        <v>Passed</v>
      </c>
      <c r="L183" s="22" t="b">
        <f>INDEX(Table1[Senate and President Same Party, House and President Different Party],MATCH(Table4[[#This Row],[Congress Acting]],Table1[Congress],0))</f>
        <v>0</v>
      </c>
    </row>
    <row r="184" spans="1:12" ht="173.25">
      <c r="A184" s="9" t="s">
        <v>406</v>
      </c>
      <c r="B184" t="s">
        <v>1754</v>
      </c>
      <c r="C184" s="9" t="s">
        <v>1755</v>
      </c>
      <c r="D184" s="13" t="s">
        <v>1756</v>
      </c>
      <c r="E184" s="9" t="s">
        <v>1753</v>
      </c>
      <c r="F18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4" s="9" t="s">
        <v>1013</v>
      </c>
      <c r="H184" s="9" t="s">
        <v>1666</v>
      </c>
      <c r="I184" s="12" t="str">
        <f>RIGHT(LEFT(Table4[[#This Row],[Latest Senate Action]],FIND(" Congress",Table4[[#This Row],[Latest Senate Action]])-1),LEN(LEFT(Table4[[#This Row],[Latest Senate Action]],FIND(" Congress",Table4[[#This Row],[Latest Senate Action]])-1))-FIND("-",Table4[[#This Row],[Latest Senate Action]])-1)</f>
        <v>106th</v>
      </c>
      <c r="J184" s="12" t="str">
        <f>RIGHT(Table4[[#This Row],[Latest Senate Action]],LEN(Table4[[#This Row],[Latest Senate Action]])-FIND(") - ",Table4[[#This Row],[Latest Senate Action]])-3)</f>
        <v xml:space="preserve">Resolution of advice and consent to ratification agreed to in Senate by Division Vote. (All Actions) </v>
      </c>
      <c r="K184" s="12" t="str">
        <f>INDEX(Table5[type],MATCH(Table4[[#This Row],[Action]],Table5[Action],0))</f>
        <v>Passed</v>
      </c>
      <c r="L184" s="22" t="b">
        <f>INDEX(Table1[Senate and President Same Party, House and President Different Party],MATCH(Table4[[#This Row],[Congress Acting]],Table1[Congress],0))</f>
        <v>0</v>
      </c>
    </row>
    <row r="185" spans="1:12" ht="173.25">
      <c r="A185" s="9" t="s">
        <v>407</v>
      </c>
      <c r="B185" t="s">
        <v>1757</v>
      </c>
      <c r="C185" s="9" t="s">
        <v>1758</v>
      </c>
      <c r="D185" s="13" t="s">
        <v>1759</v>
      </c>
      <c r="E185" s="9" t="s">
        <v>1596</v>
      </c>
      <c r="F18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5" s="9" t="s">
        <v>1013</v>
      </c>
      <c r="H185" s="9" t="s">
        <v>1666</v>
      </c>
      <c r="I185" s="12" t="str">
        <f>RIGHT(LEFT(Table4[[#This Row],[Latest Senate Action]],FIND(" Congress",Table4[[#This Row],[Latest Senate Action]])-1),LEN(LEFT(Table4[[#This Row],[Latest Senate Action]],FIND(" Congress",Table4[[#This Row],[Latest Senate Action]])-1))-FIND("-",Table4[[#This Row],[Latest Senate Action]])-1)</f>
        <v>106th</v>
      </c>
      <c r="J185" s="12" t="str">
        <f>RIGHT(Table4[[#This Row],[Latest Senate Action]],LEN(Table4[[#This Row],[Latest Senate Action]])-FIND(") - ",Table4[[#This Row],[Latest Senate Action]])-3)</f>
        <v xml:space="preserve">Resolution of advice and consent to ratification agreed to in Senate by Division Vote. (All Actions) </v>
      </c>
      <c r="K185" s="12" t="str">
        <f>INDEX(Table5[type],MATCH(Table4[[#This Row],[Action]],Table5[Action],0))</f>
        <v>Passed</v>
      </c>
      <c r="L185" s="22" t="b">
        <f>INDEX(Table1[Senate and President Same Party, House and President Different Party],MATCH(Table4[[#This Row],[Congress Acting]],Table1[Congress],0))</f>
        <v>0</v>
      </c>
    </row>
    <row r="186" spans="1:12" ht="157.5">
      <c r="A186" s="9" t="s">
        <v>408</v>
      </c>
      <c r="B186" t="s">
        <v>1760</v>
      </c>
      <c r="C186" s="9" t="s">
        <v>1761</v>
      </c>
      <c r="D186" s="13" t="s">
        <v>1762</v>
      </c>
      <c r="E186" s="9" t="s">
        <v>1596</v>
      </c>
      <c r="F18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6" s="9" t="s">
        <v>1164</v>
      </c>
      <c r="H186" s="9" t="s">
        <v>1666</v>
      </c>
      <c r="I186" s="12" t="str">
        <f>RIGHT(LEFT(Table4[[#This Row],[Latest Senate Action]],FIND(" Congress",Table4[[#This Row],[Latest Senate Action]])-1),LEN(LEFT(Table4[[#This Row],[Latest Senate Action]],FIND(" Congress",Table4[[#This Row],[Latest Senate Action]])-1))-FIND("-",Table4[[#This Row],[Latest Senate Action]])-1)</f>
        <v>106th</v>
      </c>
      <c r="J186" s="12" t="str">
        <f>RIGHT(Table4[[#This Row],[Latest Senate Action]],LEN(Table4[[#This Row],[Latest Senate Action]])-FIND(") - ",Table4[[#This Row],[Latest Senate Action]])-3)</f>
        <v xml:space="preserve">Resolution of advice and consent to ratification agreed to in Senate by Division Vote. (All Actions) </v>
      </c>
      <c r="K186" s="12" t="str">
        <f>INDEX(Table5[type],MATCH(Table4[[#This Row],[Action]],Table5[Action],0))</f>
        <v>Passed</v>
      </c>
      <c r="L186" s="22" t="b">
        <f>INDEX(Table1[Senate and President Same Party, House and President Different Party],MATCH(Table4[[#This Row],[Congress Acting]],Table1[Congress],0))</f>
        <v>0</v>
      </c>
    </row>
    <row r="187" spans="1:12" ht="157.5">
      <c r="A187" s="9" t="s">
        <v>409</v>
      </c>
      <c r="B187" t="s">
        <v>1763</v>
      </c>
      <c r="C187" s="9" t="s">
        <v>1764</v>
      </c>
      <c r="D187" s="13" t="s">
        <v>1765</v>
      </c>
      <c r="E187" s="9" t="s">
        <v>1596</v>
      </c>
      <c r="F187"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7" s="9" t="s">
        <v>1766</v>
      </c>
      <c r="H187" s="9" t="s">
        <v>1666</v>
      </c>
      <c r="I187" s="12" t="str">
        <f>RIGHT(LEFT(Table4[[#This Row],[Latest Senate Action]],FIND(" Congress",Table4[[#This Row],[Latest Senate Action]])-1),LEN(LEFT(Table4[[#This Row],[Latest Senate Action]],FIND(" Congress",Table4[[#This Row],[Latest Senate Action]])-1))-FIND("-",Table4[[#This Row],[Latest Senate Action]])-1)</f>
        <v>106th</v>
      </c>
      <c r="J187" s="12" t="str">
        <f>RIGHT(Table4[[#This Row],[Latest Senate Action]],LEN(Table4[[#This Row],[Latest Senate Action]])-FIND(") - ",Table4[[#This Row],[Latest Senate Action]])-3)</f>
        <v xml:space="preserve">Resolution of advice and consent to ratification agreed to in Senate by Division Vote. (All Actions) </v>
      </c>
      <c r="K187" s="12" t="str">
        <f>INDEX(Table5[type],MATCH(Table4[[#This Row],[Action]],Table5[Action],0))</f>
        <v>Passed</v>
      </c>
      <c r="L187" s="22" t="b">
        <f>INDEX(Table1[Senate and President Same Party, House and President Different Party],MATCH(Table4[[#This Row],[Congress Acting]],Table1[Congress],0))</f>
        <v>0</v>
      </c>
    </row>
    <row r="188" spans="1:12" ht="157.5">
      <c r="A188" s="9" t="s">
        <v>410</v>
      </c>
      <c r="B188" t="s">
        <v>1767</v>
      </c>
      <c r="C188" s="9" t="s">
        <v>1768</v>
      </c>
      <c r="D188" s="13" t="s">
        <v>1769</v>
      </c>
      <c r="E188" s="9" t="s">
        <v>1596</v>
      </c>
      <c r="F188"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8" s="9" t="s">
        <v>1164</v>
      </c>
      <c r="H188" s="9" t="s">
        <v>1666</v>
      </c>
      <c r="I188" s="12" t="str">
        <f>RIGHT(LEFT(Table4[[#This Row],[Latest Senate Action]],FIND(" Congress",Table4[[#This Row],[Latest Senate Action]])-1),LEN(LEFT(Table4[[#This Row],[Latest Senate Action]],FIND(" Congress",Table4[[#This Row],[Latest Senate Action]])-1))-FIND("-",Table4[[#This Row],[Latest Senate Action]])-1)</f>
        <v>106th</v>
      </c>
      <c r="J188" s="12" t="str">
        <f>RIGHT(Table4[[#This Row],[Latest Senate Action]],LEN(Table4[[#This Row],[Latest Senate Action]])-FIND(") - ",Table4[[#This Row],[Latest Senate Action]])-3)</f>
        <v xml:space="preserve">Resolution of advice and consent to ratification agreed to in Senate by Division Vote. (All Actions) </v>
      </c>
      <c r="K188" s="12" t="str">
        <f>INDEX(Table5[type],MATCH(Table4[[#This Row],[Action]],Table5[Action],0))</f>
        <v>Passed</v>
      </c>
      <c r="L188" s="22" t="b">
        <f>INDEX(Table1[Senate and President Same Party, House and President Different Party],MATCH(Table4[[#This Row],[Congress Acting]],Table1[Congress],0))</f>
        <v>0</v>
      </c>
    </row>
    <row r="189" spans="1:12" ht="157.5">
      <c r="A189" s="9" t="s">
        <v>411</v>
      </c>
      <c r="B189" t="s">
        <v>1770</v>
      </c>
      <c r="C189" s="9" t="s">
        <v>1771</v>
      </c>
      <c r="D189" s="13" t="s">
        <v>1772</v>
      </c>
      <c r="E189" s="9" t="s">
        <v>1773</v>
      </c>
      <c r="F189"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89" s="9" t="s">
        <v>1164</v>
      </c>
      <c r="H189" s="9" t="s">
        <v>1666</v>
      </c>
      <c r="I189" s="12" t="str">
        <f>RIGHT(LEFT(Table4[[#This Row],[Latest Senate Action]],FIND(" Congress",Table4[[#This Row],[Latest Senate Action]])-1),LEN(LEFT(Table4[[#This Row],[Latest Senate Action]],FIND(" Congress",Table4[[#This Row],[Latest Senate Action]])-1))-FIND("-",Table4[[#This Row],[Latest Senate Action]])-1)</f>
        <v>106th</v>
      </c>
      <c r="J189" s="12" t="str">
        <f>RIGHT(Table4[[#This Row],[Latest Senate Action]],LEN(Table4[[#This Row],[Latest Senate Action]])-FIND(") - ",Table4[[#This Row],[Latest Senate Action]])-3)</f>
        <v xml:space="preserve">Resolution of advice and consent to ratification agreed to in Senate by Division Vote. (All Actions) </v>
      </c>
      <c r="K189" s="12" t="str">
        <f>INDEX(Table5[type],MATCH(Table4[[#This Row],[Action]],Table5[Action],0))</f>
        <v>Passed</v>
      </c>
      <c r="L189" s="22" t="b">
        <f>INDEX(Table1[Senate and President Same Party, House and President Different Party],MATCH(Table4[[#This Row],[Congress Acting]],Table1[Congress],0))</f>
        <v>0</v>
      </c>
    </row>
    <row r="190" spans="1:12" ht="157.5">
      <c r="A190" s="9" t="s">
        <v>412</v>
      </c>
      <c r="B190" t="s">
        <v>1774</v>
      </c>
      <c r="C190" s="9" t="s">
        <v>1775</v>
      </c>
      <c r="D190" s="13" t="s">
        <v>1776</v>
      </c>
      <c r="E190" s="9" t="s">
        <v>1773</v>
      </c>
      <c r="F19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190" s="9" t="s">
        <v>1164</v>
      </c>
      <c r="H190" s="9" t="s">
        <v>1666</v>
      </c>
      <c r="I190" s="12" t="str">
        <f>RIGHT(LEFT(Table4[[#This Row],[Latest Senate Action]],FIND(" Congress",Table4[[#This Row],[Latest Senate Action]])-1),LEN(LEFT(Table4[[#This Row],[Latest Senate Action]],FIND(" Congress",Table4[[#This Row],[Latest Senate Action]])-1))-FIND("-",Table4[[#This Row],[Latest Senate Action]])-1)</f>
        <v>106th</v>
      </c>
      <c r="J190" s="12" t="str">
        <f>RIGHT(Table4[[#This Row],[Latest Senate Action]],LEN(Table4[[#This Row],[Latest Senate Action]])-FIND(") - ",Table4[[#This Row],[Latest Senate Action]])-3)</f>
        <v xml:space="preserve">Resolution of advice and consent to ratification agreed to in Senate by Division Vote. (All Actions) </v>
      </c>
      <c r="K190" s="12" t="str">
        <f>INDEX(Table5[type],MATCH(Table4[[#This Row],[Action]],Table5[Action],0))</f>
        <v>Passed</v>
      </c>
      <c r="L190" s="22" t="b">
        <f>INDEX(Table1[Senate and President Same Party, House and President Different Party],MATCH(Table4[[#This Row],[Congress Acting]],Table1[Congress],0))</f>
        <v>0</v>
      </c>
    </row>
    <row r="191" spans="1:12" ht="173.25">
      <c r="A191" s="9" t="s">
        <v>413</v>
      </c>
      <c r="B191" t="s">
        <v>1777</v>
      </c>
      <c r="C191" s="9" t="s">
        <v>1778</v>
      </c>
      <c r="D191" s="13" t="s">
        <v>1779</v>
      </c>
      <c r="E191" s="9" t="s">
        <v>1622</v>
      </c>
      <c r="F19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91" s="9" t="s">
        <v>1013</v>
      </c>
      <c r="H191" s="9" t="s">
        <v>1666</v>
      </c>
      <c r="I191" s="12" t="str">
        <f>RIGHT(LEFT(Table4[[#This Row],[Latest Senate Action]],FIND(" Congress",Table4[[#This Row],[Latest Senate Action]])-1),LEN(LEFT(Table4[[#This Row],[Latest Senate Action]],FIND(" Congress",Table4[[#This Row],[Latest Senate Action]])-1))-FIND("-",Table4[[#This Row],[Latest Senate Action]])-1)</f>
        <v>106th</v>
      </c>
      <c r="J191" s="12" t="str">
        <f>RIGHT(Table4[[#This Row],[Latest Senate Action]],LEN(Table4[[#This Row],[Latest Senate Action]])-FIND(") - ",Table4[[#This Row],[Latest Senate Action]])-3)</f>
        <v xml:space="preserve">Resolution of advice and consent to ratification agreed to in Senate by Division Vote. (All Actions) </v>
      </c>
      <c r="K191" s="12" t="str">
        <f>INDEX(Table5[type],MATCH(Table4[[#This Row],[Action]],Table5[Action],0))</f>
        <v>Passed</v>
      </c>
      <c r="L191" s="22" t="b">
        <f>INDEX(Table1[Senate and President Same Party, House and President Different Party],MATCH(Table4[[#This Row],[Congress Acting]],Table1[Congress],0))</f>
        <v>0</v>
      </c>
    </row>
    <row r="192" spans="1:12" ht="189">
      <c r="A192" s="9" t="s">
        <v>414</v>
      </c>
      <c r="B192" t="s">
        <v>1780</v>
      </c>
      <c r="C192" s="9" t="s">
        <v>1781</v>
      </c>
      <c r="D192" s="13" t="s">
        <v>1782</v>
      </c>
      <c r="E192" s="9" t="s">
        <v>1783</v>
      </c>
      <c r="F192"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192" s="9" t="s">
        <v>1013</v>
      </c>
      <c r="H192" s="9" t="s">
        <v>1666</v>
      </c>
      <c r="I192" s="12" t="str">
        <f>RIGHT(LEFT(Table4[[#This Row],[Latest Senate Action]],FIND(" Congress",Table4[[#This Row],[Latest Senate Action]])-1),LEN(LEFT(Table4[[#This Row],[Latest Senate Action]],FIND(" Congress",Table4[[#This Row],[Latest Senate Action]])-1))-FIND("-",Table4[[#This Row],[Latest Senate Action]])-1)</f>
        <v>106th</v>
      </c>
      <c r="J192" s="12" t="str">
        <f>RIGHT(Table4[[#This Row],[Latest Senate Action]],LEN(Table4[[#This Row],[Latest Senate Action]])-FIND(") - ",Table4[[#This Row],[Latest Senate Action]])-3)</f>
        <v xml:space="preserve">Resolution of advice and consent to ratification agreed to in Senate by Division Vote. (All Actions) </v>
      </c>
      <c r="K192" s="12" t="str">
        <f>INDEX(Table5[type],MATCH(Table4[[#This Row],[Action]],Table5[Action],0))</f>
        <v>Passed</v>
      </c>
      <c r="L192" s="22" t="b">
        <f>INDEX(Table1[Senate and President Same Party, House and President Different Party],MATCH(Table4[[#This Row],[Congress Acting]],Table1[Congress],0))</f>
        <v>0</v>
      </c>
    </row>
    <row r="193" spans="1:12" ht="157.5">
      <c r="A193" s="9" t="s">
        <v>415</v>
      </c>
      <c r="B193" t="s">
        <v>1784</v>
      </c>
      <c r="C193" s="9" t="s">
        <v>1785</v>
      </c>
      <c r="D193" s="13" t="s">
        <v>3792</v>
      </c>
      <c r="E193" s="9" t="s">
        <v>1786</v>
      </c>
      <c r="F193"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193" s="9" t="s">
        <v>1112</v>
      </c>
      <c r="H193" s="9" t="s">
        <v>1787</v>
      </c>
      <c r="I193" s="12" t="str">
        <f>RIGHT(LEFT(Table4[[#This Row],[Latest Senate Action]],FIND(" Congress",Table4[[#This Row],[Latest Senate Action]])-1),LEN(LEFT(Table4[[#This Row],[Latest Senate Action]],FIND(" Congress",Table4[[#This Row],[Latest Senate Action]])-1))-FIND("-",Table4[[#This Row],[Latest Senate Action]])-1)</f>
        <v>106th</v>
      </c>
      <c r="J193" s="12" t="str">
        <f>RIGHT(Table4[[#This Row],[Latest Senate Action]],LEN(Table4[[#This Row],[Latest Senate Action]])-FIND(") - ",Table4[[#This Row],[Latest Senate Action]])-3)</f>
        <v xml:space="preserve">Returned to the President pursuant to S. Res. 267 agreed to in Senate on October 12, 2000. (All Actions) </v>
      </c>
      <c r="K193" s="12" t="str">
        <f>INDEX(Table5[type],MATCH(Table4[[#This Row],[Action]],Table5[Action],0))</f>
        <v>In Process</v>
      </c>
      <c r="L193" s="22" t="b">
        <f>INDEX(Table1[Senate and President Same Party, House and President Different Party],MATCH(Table4[[#This Row],[Congress Acting]],Table1[Congress],0))</f>
        <v>0</v>
      </c>
    </row>
    <row r="194" spans="1:12" ht="157.5">
      <c r="A194" s="9" t="s">
        <v>416</v>
      </c>
      <c r="B194" t="s">
        <v>1788</v>
      </c>
      <c r="C194" s="9" t="s">
        <v>1789</v>
      </c>
      <c r="D194" s="13" t="s">
        <v>3877</v>
      </c>
      <c r="E194" s="9" t="s">
        <v>1790</v>
      </c>
      <c r="F194"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194" s="9" t="s">
        <v>1052</v>
      </c>
      <c r="H194" s="9" t="s">
        <v>1787</v>
      </c>
      <c r="I194" s="12" t="str">
        <f>RIGHT(LEFT(Table4[[#This Row],[Latest Senate Action]],FIND(" Congress",Table4[[#This Row],[Latest Senate Action]])-1),LEN(LEFT(Table4[[#This Row],[Latest Senate Action]],FIND(" Congress",Table4[[#This Row],[Latest Senate Action]])-1))-FIND("-",Table4[[#This Row],[Latest Senate Action]])-1)</f>
        <v>106th</v>
      </c>
      <c r="J194" s="12" t="str">
        <f>RIGHT(Table4[[#This Row],[Latest Senate Action]],LEN(Table4[[#This Row],[Latest Senate Action]])-FIND(") - ",Table4[[#This Row],[Latest Senate Action]])-3)</f>
        <v xml:space="preserve">Returned to the President pursuant to S. Res. 267 agreed to in Senate on October 12, 2000. (All Actions) </v>
      </c>
      <c r="K194" s="12" t="str">
        <f>INDEX(Table5[type],MATCH(Table4[[#This Row],[Action]],Table5[Action],0))</f>
        <v>In Process</v>
      </c>
      <c r="L194" s="22" t="b">
        <f>INDEX(Table1[Senate and President Same Party, House and President Different Party],MATCH(Table4[[#This Row],[Congress Acting]],Table1[Congress],0))</f>
        <v>0</v>
      </c>
    </row>
    <row r="195" spans="1:12" ht="141.75">
      <c r="A195" s="9" t="s">
        <v>417</v>
      </c>
      <c r="B195" t="s">
        <v>1791</v>
      </c>
      <c r="C195" s="9" t="s">
        <v>1792</v>
      </c>
      <c r="D195" s="13" t="s">
        <v>3878</v>
      </c>
      <c r="E195" s="9" t="s">
        <v>1793</v>
      </c>
      <c r="F19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195" s="9" t="s">
        <v>1052</v>
      </c>
      <c r="H195" s="9" t="s">
        <v>1787</v>
      </c>
      <c r="I195" s="12" t="str">
        <f>RIGHT(LEFT(Table4[[#This Row],[Latest Senate Action]],FIND(" Congress",Table4[[#This Row],[Latest Senate Action]])-1),LEN(LEFT(Table4[[#This Row],[Latest Senate Action]],FIND(" Congress",Table4[[#This Row],[Latest Senate Action]])-1))-FIND("-",Table4[[#This Row],[Latest Senate Action]])-1)</f>
        <v>106th</v>
      </c>
      <c r="J195" s="12" t="str">
        <f>RIGHT(Table4[[#This Row],[Latest Senate Action]],LEN(Table4[[#This Row],[Latest Senate Action]])-FIND(") - ",Table4[[#This Row],[Latest Senate Action]])-3)</f>
        <v xml:space="preserve">Returned to the President pursuant to S. Res. 267 agreed to in Senate on October 12, 2000. (All Actions) </v>
      </c>
      <c r="K195" s="12" t="str">
        <f>INDEX(Table5[type],MATCH(Table4[[#This Row],[Action]],Table5[Action],0))</f>
        <v>In Process</v>
      </c>
      <c r="L195" s="22" t="b">
        <f>INDEX(Table1[Senate and President Same Party, House and President Different Party],MATCH(Table4[[#This Row],[Congress Acting]],Table1[Congress],0))</f>
        <v>0</v>
      </c>
    </row>
    <row r="196" spans="1:12" ht="141.75">
      <c r="A196" s="9" t="s">
        <v>418</v>
      </c>
      <c r="B196" t="s">
        <v>1794</v>
      </c>
      <c r="C196" s="9" t="s">
        <v>1795</v>
      </c>
      <c r="D196" s="13" t="s">
        <v>3879</v>
      </c>
      <c r="E196" s="9" t="s">
        <v>1796</v>
      </c>
      <c r="F196"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196" s="9" t="s">
        <v>1063</v>
      </c>
      <c r="H196" s="9" t="s">
        <v>1787</v>
      </c>
      <c r="I196" s="12" t="str">
        <f>RIGHT(LEFT(Table4[[#This Row],[Latest Senate Action]],FIND(" Congress",Table4[[#This Row],[Latest Senate Action]])-1),LEN(LEFT(Table4[[#This Row],[Latest Senate Action]],FIND(" Congress",Table4[[#This Row],[Latest Senate Action]])-1))-FIND("-",Table4[[#This Row],[Latest Senate Action]])-1)</f>
        <v>106th</v>
      </c>
      <c r="J196" s="12" t="str">
        <f>RIGHT(Table4[[#This Row],[Latest Senate Action]],LEN(Table4[[#This Row],[Latest Senate Action]])-FIND(") - ",Table4[[#This Row],[Latest Senate Action]])-3)</f>
        <v xml:space="preserve">Returned to the President pursuant to S. Res. 267 agreed to in Senate on October 12, 2000. (All Actions) </v>
      </c>
      <c r="K196" s="12" t="str">
        <f>INDEX(Table5[type],MATCH(Table4[[#This Row],[Action]],Table5[Action],0))</f>
        <v>In Process</v>
      </c>
      <c r="L196" s="22" t="b">
        <f>INDEX(Table1[Senate and President Same Party, House and President Different Party],MATCH(Table4[[#This Row],[Congress Acting]],Table1[Congress],0))</f>
        <v>0</v>
      </c>
    </row>
    <row r="197" spans="1:12" ht="157.5">
      <c r="A197" s="9" t="s">
        <v>419</v>
      </c>
      <c r="B197" t="s">
        <v>1797</v>
      </c>
      <c r="C197" s="9" t="s">
        <v>1798</v>
      </c>
      <c r="D197" s="13" t="s">
        <v>4242</v>
      </c>
      <c r="E197" s="9" t="s">
        <v>1799</v>
      </c>
      <c r="F197" t="str">
        <f>RIGHT(LEFT(Table4[[#This Row],[Date Received from President]],FIND(" Congress",Table4[[#This Row],[Date Received from President]])-1),LEN(LEFT(Table4[[#This Row],[Date Received from President]],FIND(" Congress",Table4[[#This Row],[Date Received from President]])-1))-FIND("-",Table4[[#This Row],[Date Received from President]])-1)</f>
        <v>86th</v>
      </c>
      <c r="G197" s="9" t="s">
        <v>1800</v>
      </c>
      <c r="H197" s="9" t="s">
        <v>1787</v>
      </c>
      <c r="I197" s="12" t="str">
        <f>RIGHT(LEFT(Table4[[#This Row],[Latest Senate Action]],FIND(" Congress",Table4[[#This Row],[Latest Senate Action]])-1),LEN(LEFT(Table4[[#This Row],[Latest Senate Action]],FIND(" Congress",Table4[[#This Row],[Latest Senate Action]])-1))-FIND("-",Table4[[#This Row],[Latest Senate Action]])-1)</f>
        <v>106th</v>
      </c>
      <c r="J197" s="12" t="str">
        <f>RIGHT(Table4[[#This Row],[Latest Senate Action]],LEN(Table4[[#This Row],[Latest Senate Action]])-FIND(") - ",Table4[[#This Row],[Latest Senate Action]])-3)</f>
        <v xml:space="preserve">Returned to the President pursuant to S. Res. 267 agreed to in Senate on October 12, 2000. (All Actions) </v>
      </c>
      <c r="K197" s="12" t="str">
        <f>INDEX(Table5[type],MATCH(Table4[[#This Row],[Action]],Table5[Action],0))</f>
        <v>In Process</v>
      </c>
      <c r="L197" s="22" t="b">
        <f>INDEX(Table1[Senate and President Same Party, House and President Different Party],MATCH(Table4[[#This Row],[Congress Acting]],Table1[Congress],0))</f>
        <v>0</v>
      </c>
    </row>
    <row r="198" spans="1:12" ht="141.75">
      <c r="A198" s="9" t="s">
        <v>420</v>
      </c>
      <c r="B198" t="s">
        <v>1801</v>
      </c>
      <c r="C198" s="9" t="s">
        <v>1802</v>
      </c>
      <c r="D198" s="13" t="s">
        <v>3880</v>
      </c>
      <c r="E198" s="9" t="s">
        <v>1803</v>
      </c>
      <c r="F19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198" s="9" t="s">
        <v>1766</v>
      </c>
      <c r="H198" s="9" t="s">
        <v>1787</v>
      </c>
      <c r="I198" s="12" t="str">
        <f>RIGHT(LEFT(Table4[[#This Row],[Latest Senate Action]],FIND(" Congress",Table4[[#This Row],[Latest Senate Action]])-1),LEN(LEFT(Table4[[#This Row],[Latest Senate Action]],FIND(" Congress",Table4[[#This Row],[Latest Senate Action]])-1))-FIND("-",Table4[[#This Row],[Latest Senate Action]])-1)</f>
        <v>106th</v>
      </c>
      <c r="J198" s="12" t="str">
        <f>RIGHT(Table4[[#This Row],[Latest Senate Action]],LEN(Table4[[#This Row],[Latest Senate Action]])-FIND(") - ",Table4[[#This Row],[Latest Senate Action]])-3)</f>
        <v xml:space="preserve">Returned to the President pursuant to S. Res. 267 agreed to in Senate on October 12, 2000. (All Actions) </v>
      </c>
      <c r="K198" s="12" t="str">
        <f>INDEX(Table5[type],MATCH(Table4[[#This Row],[Action]],Table5[Action],0))</f>
        <v>In Process</v>
      </c>
      <c r="L198" s="22" t="b">
        <f>INDEX(Table1[Senate and President Same Party, House and President Different Party],MATCH(Table4[[#This Row],[Congress Acting]],Table1[Congress],0))</f>
        <v>0</v>
      </c>
    </row>
    <row r="199" spans="1:12" ht="157.5">
      <c r="A199" s="9" t="s">
        <v>421</v>
      </c>
      <c r="B199" t="s">
        <v>1804</v>
      </c>
      <c r="C199" s="9" t="s">
        <v>1805</v>
      </c>
      <c r="D199" s="13" t="s">
        <v>3881</v>
      </c>
      <c r="E199" s="9" t="s">
        <v>1806</v>
      </c>
      <c r="F199"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199" s="9" t="s">
        <v>1013</v>
      </c>
      <c r="H199" s="9" t="s">
        <v>1787</v>
      </c>
      <c r="I199" s="12" t="str">
        <f>RIGHT(LEFT(Table4[[#This Row],[Latest Senate Action]],FIND(" Congress",Table4[[#This Row],[Latest Senate Action]])-1),LEN(LEFT(Table4[[#This Row],[Latest Senate Action]],FIND(" Congress",Table4[[#This Row],[Latest Senate Action]])-1))-FIND("-",Table4[[#This Row],[Latest Senate Action]])-1)</f>
        <v>106th</v>
      </c>
      <c r="J199" s="12" t="str">
        <f>RIGHT(Table4[[#This Row],[Latest Senate Action]],LEN(Table4[[#This Row],[Latest Senate Action]])-FIND(") - ",Table4[[#This Row],[Latest Senate Action]])-3)</f>
        <v xml:space="preserve">Returned to the President pursuant to S. Res. 267 agreed to in Senate on October 12, 2000. (All Actions) </v>
      </c>
      <c r="K199" s="12" t="str">
        <f>INDEX(Table5[type],MATCH(Table4[[#This Row],[Action]],Table5[Action],0))</f>
        <v>In Process</v>
      </c>
      <c r="L199" s="22" t="b">
        <f>INDEX(Table1[Senate and President Same Party, House and President Different Party],MATCH(Table4[[#This Row],[Congress Acting]],Table1[Congress],0))</f>
        <v>0</v>
      </c>
    </row>
    <row r="200" spans="1:12" ht="141.75">
      <c r="A200" s="9" t="s">
        <v>422</v>
      </c>
      <c r="B200" t="s">
        <v>1807</v>
      </c>
      <c r="C200" s="9" t="s">
        <v>1808</v>
      </c>
      <c r="D200" s="13" t="s">
        <v>3882</v>
      </c>
      <c r="E200" s="9" t="s">
        <v>1809</v>
      </c>
      <c r="F200"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200" s="9" t="s">
        <v>1052</v>
      </c>
      <c r="H200" s="9" t="s">
        <v>1787</v>
      </c>
      <c r="I200" s="12" t="str">
        <f>RIGHT(LEFT(Table4[[#This Row],[Latest Senate Action]],FIND(" Congress",Table4[[#This Row],[Latest Senate Action]])-1),LEN(LEFT(Table4[[#This Row],[Latest Senate Action]],FIND(" Congress",Table4[[#This Row],[Latest Senate Action]])-1))-FIND("-",Table4[[#This Row],[Latest Senate Action]])-1)</f>
        <v>106th</v>
      </c>
      <c r="J200" s="12" t="str">
        <f>RIGHT(Table4[[#This Row],[Latest Senate Action]],LEN(Table4[[#This Row],[Latest Senate Action]])-FIND(") - ",Table4[[#This Row],[Latest Senate Action]])-3)</f>
        <v xml:space="preserve">Returned to the President pursuant to S. Res. 267 agreed to in Senate on October 12, 2000. (All Actions) </v>
      </c>
      <c r="K200" s="12" t="str">
        <f>INDEX(Table5[type],MATCH(Table4[[#This Row],[Action]],Table5[Action],0))</f>
        <v>In Process</v>
      </c>
      <c r="L200" s="22" t="b">
        <f>INDEX(Table1[Senate and President Same Party, House and President Different Party],MATCH(Table4[[#This Row],[Congress Acting]],Table1[Congress],0))</f>
        <v>0</v>
      </c>
    </row>
    <row r="201" spans="1:12" ht="157.5">
      <c r="A201" s="9" t="s">
        <v>423</v>
      </c>
      <c r="B201" t="s">
        <v>1810</v>
      </c>
      <c r="C201" s="9" t="s">
        <v>1811</v>
      </c>
      <c r="D201" s="13" t="s">
        <v>3883</v>
      </c>
      <c r="E201" s="9" t="s">
        <v>1812</v>
      </c>
      <c r="F201"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201" s="9" t="s">
        <v>1200</v>
      </c>
      <c r="H201" s="9" t="s">
        <v>1787</v>
      </c>
      <c r="I201" s="12" t="str">
        <f>RIGHT(LEFT(Table4[[#This Row],[Latest Senate Action]],FIND(" Congress",Table4[[#This Row],[Latest Senate Action]])-1),LEN(LEFT(Table4[[#This Row],[Latest Senate Action]],FIND(" Congress",Table4[[#This Row],[Latest Senate Action]])-1))-FIND("-",Table4[[#This Row],[Latest Senate Action]])-1)</f>
        <v>106th</v>
      </c>
      <c r="J201" s="12" t="str">
        <f>RIGHT(Table4[[#This Row],[Latest Senate Action]],LEN(Table4[[#This Row],[Latest Senate Action]])-FIND(") - ",Table4[[#This Row],[Latest Senate Action]])-3)</f>
        <v xml:space="preserve">Returned to the President pursuant to S. Res. 267 agreed to in Senate on October 12, 2000. (All Actions) </v>
      </c>
      <c r="K201" s="12" t="str">
        <f>INDEX(Table5[type],MATCH(Table4[[#This Row],[Action]],Table5[Action],0))</f>
        <v>In Process</v>
      </c>
      <c r="L201" s="22" t="b">
        <f>INDEX(Table1[Senate and President Same Party, House and President Different Party],MATCH(Table4[[#This Row],[Congress Acting]],Table1[Congress],0))</f>
        <v>0</v>
      </c>
    </row>
    <row r="202" spans="1:12" ht="189">
      <c r="A202" s="9" t="s">
        <v>424</v>
      </c>
      <c r="B202" t="s">
        <v>1813</v>
      </c>
      <c r="C202" s="9" t="s">
        <v>1814</v>
      </c>
      <c r="D202" s="13" t="s">
        <v>3884</v>
      </c>
      <c r="E202" s="9" t="s">
        <v>1815</v>
      </c>
      <c r="F202"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202" s="9" t="s">
        <v>1200</v>
      </c>
      <c r="H202" s="9" t="s">
        <v>1787</v>
      </c>
      <c r="I202" s="12" t="str">
        <f>RIGHT(LEFT(Table4[[#This Row],[Latest Senate Action]],FIND(" Congress",Table4[[#This Row],[Latest Senate Action]])-1),LEN(LEFT(Table4[[#This Row],[Latest Senate Action]],FIND(" Congress",Table4[[#This Row],[Latest Senate Action]])-1))-FIND("-",Table4[[#This Row],[Latest Senate Action]])-1)</f>
        <v>106th</v>
      </c>
      <c r="J202" s="12" t="str">
        <f>RIGHT(Table4[[#This Row],[Latest Senate Action]],LEN(Table4[[#This Row],[Latest Senate Action]])-FIND(") - ",Table4[[#This Row],[Latest Senate Action]])-3)</f>
        <v xml:space="preserve">Returned to the President pursuant to S. Res. 267 agreed to in Senate on October 12, 2000. (All Actions) </v>
      </c>
      <c r="K202" s="12" t="str">
        <f>INDEX(Table5[type],MATCH(Table4[[#This Row],[Action]],Table5[Action],0))</f>
        <v>In Process</v>
      </c>
      <c r="L202" s="22" t="b">
        <f>INDEX(Table1[Senate and President Same Party, House and President Different Party],MATCH(Table4[[#This Row],[Congress Acting]],Table1[Congress],0))</f>
        <v>0</v>
      </c>
    </row>
    <row r="203" spans="1:12" ht="157.5">
      <c r="A203" s="9" t="s">
        <v>425</v>
      </c>
      <c r="B203" t="s">
        <v>1816</v>
      </c>
      <c r="C203" s="9" t="s">
        <v>1817</v>
      </c>
      <c r="D203" s="13" t="s">
        <v>3885</v>
      </c>
      <c r="E203" s="9" t="s">
        <v>1818</v>
      </c>
      <c r="F20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203" s="9" t="s">
        <v>1101</v>
      </c>
      <c r="H203" s="9" t="s">
        <v>1787</v>
      </c>
      <c r="I203" s="12" t="str">
        <f>RIGHT(LEFT(Table4[[#This Row],[Latest Senate Action]],FIND(" Congress",Table4[[#This Row],[Latest Senate Action]])-1),LEN(LEFT(Table4[[#This Row],[Latest Senate Action]],FIND(" Congress",Table4[[#This Row],[Latest Senate Action]])-1))-FIND("-",Table4[[#This Row],[Latest Senate Action]])-1)</f>
        <v>106th</v>
      </c>
      <c r="J203" s="12" t="str">
        <f>RIGHT(Table4[[#This Row],[Latest Senate Action]],LEN(Table4[[#This Row],[Latest Senate Action]])-FIND(") - ",Table4[[#This Row],[Latest Senate Action]])-3)</f>
        <v xml:space="preserve">Returned to the President pursuant to S. Res. 267 agreed to in Senate on October 12, 2000. (All Actions) </v>
      </c>
      <c r="K203" s="12" t="str">
        <f>INDEX(Table5[type],MATCH(Table4[[#This Row],[Action]],Table5[Action],0))</f>
        <v>In Process</v>
      </c>
      <c r="L203" s="22" t="b">
        <f>INDEX(Table1[Senate and President Same Party, House and President Different Party],MATCH(Table4[[#This Row],[Congress Acting]],Table1[Congress],0))</f>
        <v>0</v>
      </c>
    </row>
    <row r="204" spans="1:12" ht="141.75">
      <c r="A204" s="9" t="s">
        <v>426</v>
      </c>
      <c r="B204" t="s">
        <v>1819</v>
      </c>
      <c r="C204" s="9" t="s">
        <v>1820</v>
      </c>
      <c r="D204" s="13" t="s">
        <v>3793</v>
      </c>
      <c r="E204" s="9" t="s">
        <v>1821</v>
      </c>
      <c r="F204"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204" s="9" t="s">
        <v>1063</v>
      </c>
      <c r="H204" s="9" t="s">
        <v>1787</v>
      </c>
      <c r="I204" s="12" t="str">
        <f>RIGHT(LEFT(Table4[[#This Row],[Latest Senate Action]],FIND(" Congress",Table4[[#This Row],[Latest Senate Action]])-1),LEN(LEFT(Table4[[#This Row],[Latest Senate Action]],FIND(" Congress",Table4[[#This Row],[Latest Senate Action]])-1))-FIND("-",Table4[[#This Row],[Latest Senate Action]])-1)</f>
        <v>106th</v>
      </c>
      <c r="J204" s="12" t="str">
        <f>RIGHT(Table4[[#This Row],[Latest Senate Action]],LEN(Table4[[#This Row],[Latest Senate Action]])-FIND(") - ",Table4[[#This Row],[Latest Senate Action]])-3)</f>
        <v xml:space="preserve">Returned to the President pursuant to S. Res. 267 agreed to in Senate on October 12, 2000. (All Actions) </v>
      </c>
      <c r="K204" s="12" t="str">
        <f>INDEX(Table5[type],MATCH(Table4[[#This Row],[Action]],Table5[Action],0))</f>
        <v>In Process</v>
      </c>
      <c r="L204" s="22" t="b">
        <f>INDEX(Table1[Senate and President Same Party, House and President Different Party],MATCH(Table4[[#This Row],[Congress Acting]],Table1[Congress],0))</f>
        <v>0</v>
      </c>
    </row>
    <row r="205" spans="1:12" ht="141.75">
      <c r="A205" s="9" t="s">
        <v>427</v>
      </c>
      <c r="B205" t="s">
        <v>1822</v>
      </c>
      <c r="C205" s="9" t="s">
        <v>1823</v>
      </c>
      <c r="D205" s="13" t="s">
        <v>3886</v>
      </c>
      <c r="E205" s="9" t="s">
        <v>1824</v>
      </c>
      <c r="F20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205" s="9" t="s">
        <v>1063</v>
      </c>
      <c r="H205" s="9" t="s">
        <v>1787</v>
      </c>
      <c r="I205" s="12" t="str">
        <f>RIGHT(LEFT(Table4[[#This Row],[Latest Senate Action]],FIND(" Congress",Table4[[#This Row],[Latest Senate Action]])-1),LEN(LEFT(Table4[[#This Row],[Latest Senate Action]],FIND(" Congress",Table4[[#This Row],[Latest Senate Action]])-1))-FIND("-",Table4[[#This Row],[Latest Senate Action]])-1)</f>
        <v>106th</v>
      </c>
      <c r="J205" s="12" t="str">
        <f>RIGHT(Table4[[#This Row],[Latest Senate Action]],LEN(Table4[[#This Row],[Latest Senate Action]])-FIND(") - ",Table4[[#This Row],[Latest Senate Action]])-3)</f>
        <v xml:space="preserve">Returned to the President pursuant to S. Res. 267 agreed to in Senate on October 12, 2000. (All Actions) </v>
      </c>
      <c r="K205" s="12" t="str">
        <f>INDEX(Table5[type],MATCH(Table4[[#This Row],[Action]],Table5[Action],0))</f>
        <v>In Process</v>
      </c>
      <c r="L205" s="22" t="b">
        <f>INDEX(Table1[Senate and President Same Party, House and President Different Party],MATCH(Table4[[#This Row],[Congress Acting]],Table1[Congress],0))</f>
        <v>0</v>
      </c>
    </row>
    <row r="206" spans="1:12" ht="204.75">
      <c r="A206" s="9" t="s">
        <v>428</v>
      </c>
      <c r="B206" t="s">
        <v>1825</v>
      </c>
      <c r="C206" s="9" t="s">
        <v>1826</v>
      </c>
      <c r="D206" s="13" t="s">
        <v>3887</v>
      </c>
      <c r="E206" s="9" t="s">
        <v>1827</v>
      </c>
      <c r="F20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206" s="9" t="s">
        <v>1038</v>
      </c>
      <c r="H206" s="9" t="s">
        <v>1787</v>
      </c>
      <c r="I206" s="12" t="str">
        <f>RIGHT(LEFT(Table4[[#This Row],[Latest Senate Action]],FIND(" Congress",Table4[[#This Row],[Latest Senate Action]])-1),LEN(LEFT(Table4[[#This Row],[Latest Senate Action]],FIND(" Congress",Table4[[#This Row],[Latest Senate Action]])-1))-FIND("-",Table4[[#This Row],[Latest Senate Action]])-1)</f>
        <v>106th</v>
      </c>
      <c r="J206" s="12" t="str">
        <f>RIGHT(Table4[[#This Row],[Latest Senate Action]],LEN(Table4[[#This Row],[Latest Senate Action]])-FIND(") - ",Table4[[#This Row],[Latest Senate Action]])-3)</f>
        <v xml:space="preserve">Returned to the President pursuant to S. Res. 267 agreed to in Senate on October 12, 2000. (All Actions) </v>
      </c>
      <c r="K206" s="12" t="str">
        <f>INDEX(Table5[type],MATCH(Table4[[#This Row],[Action]],Table5[Action],0))</f>
        <v>In Process</v>
      </c>
      <c r="L206" s="22" t="b">
        <f>INDEX(Table1[Senate and President Same Party, House and President Different Party],MATCH(Table4[[#This Row],[Congress Acting]],Table1[Congress],0))</f>
        <v>0</v>
      </c>
    </row>
    <row r="207" spans="1:12" ht="173.25">
      <c r="A207" s="9" t="s">
        <v>429</v>
      </c>
      <c r="B207" t="s">
        <v>1828</v>
      </c>
      <c r="C207" s="9" t="s">
        <v>1829</v>
      </c>
      <c r="D207" s="13" t="s">
        <v>3888</v>
      </c>
      <c r="E207" s="9" t="s">
        <v>1830</v>
      </c>
      <c r="F20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207" s="9" t="s">
        <v>1112</v>
      </c>
      <c r="H207" s="9" t="s">
        <v>1787</v>
      </c>
      <c r="I207" s="12" t="str">
        <f>RIGHT(LEFT(Table4[[#This Row],[Latest Senate Action]],FIND(" Congress",Table4[[#This Row],[Latest Senate Action]])-1),LEN(LEFT(Table4[[#This Row],[Latest Senate Action]],FIND(" Congress",Table4[[#This Row],[Latest Senate Action]])-1))-FIND("-",Table4[[#This Row],[Latest Senate Action]])-1)</f>
        <v>106th</v>
      </c>
      <c r="J207" s="12" t="str">
        <f>RIGHT(Table4[[#This Row],[Latest Senate Action]],LEN(Table4[[#This Row],[Latest Senate Action]])-FIND(") - ",Table4[[#This Row],[Latest Senate Action]])-3)</f>
        <v xml:space="preserve">Returned to the President pursuant to S. Res. 267 agreed to in Senate on October 12, 2000. (All Actions) </v>
      </c>
      <c r="K207" s="12" t="str">
        <f>INDEX(Table5[type],MATCH(Table4[[#This Row],[Action]],Table5[Action],0))</f>
        <v>In Process</v>
      </c>
      <c r="L207" s="22" t="b">
        <f>INDEX(Table1[Senate and President Same Party, House and President Different Party],MATCH(Table4[[#This Row],[Congress Acting]],Table1[Congress],0))</f>
        <v>0</v>
      </c>
    </row>
    <row r="208" spans="1:12" ht="141.75">
      <c r="A208" s="9" t="s">
        <v>430</v>
      </c>
      <c r="B208" t="s">
        <v>1831</v>
      </c>
      <c r="C208" s="9" t="s">
        <v>1832</v>
      </c>
      <c r="D208" s="13" t="s">
        <v>3889</v>
      </c>
      <c r="E208" s="9" t="s">
        <v>1833</v>
      </c>
      <c r="F208"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208" s="9" t="s">
        <v>1766</v>
      </c>
      <c r="H208" s="9" t="s">
        <v>1834</v>
      </c>
      <c r="I208" s="12" t="str">
        <f>RIGHT(LEFT(Table4[[#This Row],[Latest Senate Action]],FIND(" Congress",Table4[[#This Row],[Latest Senate Action]])-1),LEN(LEFT(Table4[[#This Row],[Latest Senate Action]],FIND(" Congress",Table4[[#This Row],[Latest Senate Action]])-1))-FIND("-",Table4[[#This Row],[Latest Senate Action]])-1)</f>
        <v>106th</v>
      </c>
      <c r="J208" s="12" t="str">
        <f>RIGHT(Table4[[#This Row],[Latest Senate Action]],LEN(Table4[[#This Row],[Latest Senate Action]])-FIND(") - ",Table4[[#This Row],[Latest Senate Action]])-3)</f>
        <v xml:space="preserve">Returned to the President pursuant to S. Res. 267 agreed to in Senate on October 12, 2000. (All Actions) </v>
      </c>
      <c r="K208" s="12" t="str">
        <f>INDEX(Table5[type],MATCH(Table4[[#This Row],[Action]],Table5[Action],0))</f>
        <v>In Process</v>
      </c>
      <c r="L208" s="22" t="b">
        <f>INDEX(Table1[Senate and President Same Party, House and President Different Party],MATCH(Table4[[#This Row],[Congress Acting]],Table1[Congress],0))</f>
        <v>0</v>
      </c>
    </row>
    <row r="209" spans="1:12" ht="157.5">
      <c r="A209" s="9" t="s">
        <v>431</v>
      </c>
      <c r="B209" t="s">
        <v>1835</v>
      </c>
      <c r="C209" s="9" t="s">
        <v>1836</v>
      </c>
      <c r="D209" s="13" t="s">
        <v>3890</v>
      </c>
      <c r="E209" s="9" t="s">
        <v>1837</v>
      </c>
      <c r="F209"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209" s="9" t="s">
        <v>1200</v>
      </c>
      <c r="H209" s="9" t="s">
        <v>1834</v>
      </c>
      <c r="I209" s="12" t="str">
        <f>RIGHT(LEFT(Table4[[#This Row],[Latest Senate Action]],FIND(" Congress",Table4[[#This Row],[Latest Senate Action]])-1),LEN(LEFT(Table4[[#This Row],[Latest Senate Action]],FIND(" Congress",Table4[[#This Row],[Latest Senate Action]])-1))-FIND("-",Table4[[#This Row],[Latest Senate Action]])-1)</f>
        <v>106th</v>
      </c>
      <c r="J209" s="12" t="str">
        <f>RIGHT(Table4[[#This Row],[Latest Senate Action]],LEN(Table4[[#This Row],[Latest Senate Action]])-FIND(") - ",Table4[[#This Row],[Latest Senate Action]])-3)</f>
        <v xml:space="preserve">Returned to the President pursuant to S. Res. 267 agreed to in Senate on October 12, 2000. (All Actions) </v>
      </c>
      <c r="K209" s="12" t="str">
        <f>INDEX(Table5[type],MATCH(Table4[[#This Row],[Action]],Table5[Action],0))</f>
        <v>In Process</v>
      </c>
      <c r="L209" s="22" t="b">
        <f>INDEX(Table1[Senate and President Same Party, House and President Different Party],MATCH(Table4[[#This Row],[Congress Acting]],Table1[Congress],0))</f>
        <v>0</v>
      </c>
    </row>
    <row r="210" spans="1:12" ht="157.5">
      <c r="A210" s="9" t="s">
        <v>432</v>
      </c>
      <c r="B210" t="s">
        <v>1838</v>
      </c>
      <c r="C210" s="9" t="s">
        <v>1839</v>
      </c>
      <c r="D210" s="13" t="s">
        <v>3890</v>
      </c>
      <c r="E210" s="9" t="s">
        <v>1837</v>
      </c>
      <c r="F210"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210" s="9" t="s">
        <v>1200</v>
      </c>
      <c r="H210" s="9" t="s">
        <v>1840</v>
      </c>
      <c r="I210" s="12" t="str">
        <f>RIGHT(LEFT(Table4[[#This Row],[Latest Senate Action]],FIND(" Congress",Table4[[#This Row],[Latest Senate Action]])-1),LEN(LEFT(Table4[[#This Row],[Latest Senate Action]],FIND(" Congress",Table4[[#This Row],[Latest Senate Action]])-1))-FIND("-",Table4[[#This Row],[Latest Senate Action]])-1)</f>
        <v>106th</v>
      </c>
      <c r="J210" s="12" t="str">
        <f>RIGHT(Table4[[#This Row],[Latest Senate Action]],LEN(Table4[[#This Row],[Latest Senate Action]])-FIND(") - ",Table4[[#This Row],[Latest Senate Action]])-3)</f>
        <v xml:space="preserve">Returned to the President pursuant to S. Res. 267 . (All Actions) </v>
      </c>
      <c r="K210" s="12" t="str">
        <f>INDEX(Table5[type],MATCH(Table4[[#This Row],[Action]],Table5[Action],0))</f>
        <v>In Process</v>
      </c>
      <c r="L210" s="22" t="b">
        <f>INDEX(Table1[Senate and President Same Party, House and President Different Party],MATCH(Table4[[#This Row],[Congress Acting]],Table1[Congress],0))</f>
        <v>0</v>
      </c>
    </row>
    <row r="211" spans="1:12" ht="157.5">
      <c r="A211" s="9" t="s">
        <v>433</v>
      </c>
      <c r="B211" t="s">
        <v>1841</v>
      </c>
      <c r="C211" s="9" t="s">
        <v>1842</v>
      </c>
      <c r="D211" s="13" t="s">
        <v>3890</v>
      </c>
      <c r="E211" s="9" t="s">
        <v>1837</v>
      </c>
      <c r="F211"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211" s="9" t="s">
        <v>1200</v>
      </c>
      <c r="H211" s="9" t="s">
        <v>1843</v>
      </c>
      <c r="I211" s="12" t="str">
        <f>RIGHT(LEFT(Table4[[#This Row],[Latest Senate Action]],FIND(" Congress",Table4[[#This Row],[Latest Senate Action]])-1),LEN(LEFT(Table4[[#This Row],[Latest Senate Action]],FIND(" Congress",Table4[[#This Row],[Latest Senate Action]])-1))-FIND("-",Table4[[#This Row],[Latest Senate Action]])-1)</f>
        <v>106th</v>
      </c>
      <c r="J211" s="12" t="str">
        <f>RIGHT(Table4[[#This Row],[Latest Senate Action]],LEN(Table4[[#This Row],[Latest Senate Action]])-FIND(") - ",Table4[[#This Row],[Latest Senate Action]])-3)</f>
        <v xml:space="preserve">Returned to the President pursuant to S. Res. 267. (All Actions) </v>
      </c>
      <c r="K211" s="12" t="str">
        <f>INDEX(Table5[type],MATCH(Table4[[#This Row],[Action]],Table5[Action],0))</f>
        <v>In Process</v>
      </c>
      <c r="L211" s="22" t="b">
        <f>INDEX(Table1[Senate and President Same Party, House and President Different Party],MATCH(Table4[[#This Row],[Congress Acting]],Table1[Congress],0))</f>
        <v>0</v>
      </c>
    </row>
    <row r="212" spans="1:12" ht="157.5">
      <c r="A212" s="9" t="s">
        <v>434</v>
      </c>
      <c r="B212" t="s">
        <v>1844</v>
      </c>
      <c r="C212" s="9" t="s">
        <v>1845</v>
      </c>
      <c r="D212" s="13" t="s">
        <v>3884</v>
      </c>
      <c r="E212" s="9" t="s">
        <v>1815</v>
      </c>
      <c r="F212"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212" s="9" t="s">
        <v>1200</v>
      </c>
      <c r="H212" s="9" t="s">
        <v>1843</v>
      </c>
      <c r="I212" s="12" t="str">
        <f>RIGHT(LEFT(Table4[[#This Row],[Latest Senate Action]],FIND(" Congress",Table4[[#This Row],[Latest Senate Action]])-1),LEN(LEFT(Table4[[#This Row],[Latest Senate Action]],FIND(" Congress",Table4[[#This Row],[Latest Senate Action]])-1))-FIND("-",Table4[[#This Row],[Latest Senate Action]])-1)</f>
        <v>106th</v>
      </c>
      <c r="J212" s="12" t="str">
        <f>RIGHT(Table4[[#This Row],[Latest Senate Action]],LEN(Table4[[#This Row],[Latest Senate Action]])-FIND(") - ",Table4[[#This Row],[Latest Senate Action]])-3)</f>
        <v xml:space="preserve">Returned to the President pursuant to S. Res. 267. (All Actions) </v>
      </c>
      <c r="K212" s="12" t="str">
        <f>INDEX(Table5[type],MATCH(Table4[[#This Row],[Action]],Table5[Action],0))</f>
        <v>In Process</v>
      </c>
      <c r="L212" s="22" t="b">
        <f>INDEX(Table1[Senate and President Same Party, House and President Different Party],MATCH(Table4[[#This Row],[Congress Acting]],Table1[Congress],0))</f>
        <v>0</v>
      </c>
    </row>
    <row r="213" spans="1:12" ht="173.25">
      <c r="A213" s="9" t="s">
        <v>435</v>
      </c>
      <c r="B213" t="s">
        <v>1846</v>
      </c>
      <c r="C213" s="9" t="s">
        <v>1847</v>
      </c>
      <c r="D213" s="13" t="s">
        <v>3884</v>
      </c>
      <c r="E213" s="9" t="s">
        <v>1815</v>
      </c>
      <c r="F213"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213" s="9" t="s">
        <v>1200</v>
      </c>
      <c r="H213" s="9" t="s">
        <v>1848</v>
      </c>
      <c r="I213" s="12" t="str">
        <f>RIGHT(LEFT(Table4[[#This Row],[Latest Senate Action]],FIND(" Congress",Table4[[#This Row],[Latest Senate Action]])-1),LEN(LEFT(Table4[[#This Row],[Latest Senate Action]],FIND(" Congress",Table4[[#This Row],[Latest Senate Action]])-1))-FIND("-",Table4[[#This Row],[Latest Senate Action]])-1)</f>
        <v>106th</v>
      </c>
      <c r="J213" s="12" t="str">
        <f>RIGHT(Table4[[#This Row],[Latest Senate Action]],LEN(Table4[[#This Row],[Latest Senate Action]])-FIND(") - ",Table4[[#This Row],[Latest Senate Action]])-3)</f>
        <v xml:space="preserve">Returned to the President pursuant to S. Res. 267, Executive Resolution resolving to return certain treaties to the President. (All Actions) </v>
      </c>
      <c r="K213" s="12" t="str">
        <f>INDEX(Table5[type],MATCH(Table4[[#This Row],[Action]],Table5[Action],0))</f>
        <v>In Process</v>
      </c>
      <c r="L213" s="22" t="b">
        <f>INDEX(Table1[Senate and President Same Party, House and President Different Party],MATCH(Table4[[#This Row],[Congress Acting]],Table1[Congress],0))</f>
        <v>0</v>
      </c>
    </row>
    <row r="214" spans="1:12" ht="157.5">
      <c r="A214" s="9" t="s">
        <v>436</v>
      </c>
      <c r="B214" t="s">
        <v>1849</v>
      </c>
      <c r="C214" s="9" t="s">
        <v>1850</v>
      </c>
      <c r="D214" s="13" t="s">
        <v>1851</v>
      </c>
      <c r="E214" s="9" t="s">
        <v>1852</v>
      </c>
      <c r="F21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14" s="9" t="s">
        <v>1853</v>
      </c>
      <c r="H214" s="9" t="s">
        <v>1854</v>
      </c>
      <c r="I214" s="12" t="str">
        <f>RIGHT(LEFT(Table4[[#This Row],[Latest Senate Action]],FIND(" Congress",Table4[[#This Row],[Latest Senate Action]])-1),LEN(LEFT(Table4[[#This Row],[Latest Senate Action]],FIND(" Congress",Table4[[#This Row],[Latest Senate Action]])-1))-FIND("-",Table4[[#This Row],[Latest Senate Action]])-1)</f>
        <v>106th</v>
      </c>
      <c r="J214" s="12" t="str">
        <f>RIGHT(Table4[[#This Row],[Latest Senate Action]],LEN(Table4[[#This Row],[Latest Senate Action]])-FIND(") - ",Table4[[#This Row],[Latest Senate Action]])-3)</f>
        <v xml:space="preserve">Resolution of advice and consent to ratification agreed to in Senate by Division Vote. (All Actions) </v>
      </c>
      <c r="K214" s="12" t="str">
        <f>INDEX(Table5[type],MATCH(Table4[[#This Row],[Action]],Table5[Action],0))</f>
        <v>Passed</v>
      </c>
      <c r="L214" s="22" t="b">
        <f>INDEX(Table1[Senate and President Same Party, House and President Different Party],MATCH(Table4[[#This Row],[Congress Acting]],Table1[Congress],0))</f>
        <v>0</v>
      </c>
    </row>
    <row r="215" spans="1:12" ht="157.5">
      <c r="A215" s="9" t="s">
        <v>437</v>
      </c>
      <c r="B215" t="s">
        <v>1855</v>
      </c>
      <c r="C215" s="9" t="s">
        <v>1856</v>
      </c>
      <c r="D215" s="13" t="s">
        <v>1857</v>
      </c>
      <c r="E215" s="9" t="s">
        <v>1858</v>
      </c>
      <c r="F21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15" s="9" t="s">
        <v>1052</v>
      </c>
      <c r="H215" s="9" t="s">
        <v>1854</v>
      </c>
      <c r="I215" s="12" t="str">
        <f>RIGHT(LEFT(Table4[[#This Row],[Latest Senate Action]],FIND(" Congress",Table4[[#This Row],[Latest Senate Action]])-1),LEN(LEFT(Table4[[#This Row],[Latest Senate Action]],FIND(" Congress",Table4[[#This Row],[Latest Senate Action]])-1))-FIND("-",Table4[[#This Row],[Latest Senate Action]])-1)</f>
        <v>106th</v>
      </c>
      <c r="J215" s="12" t="str">
        <f>RIGHT(Table4[[#This Row],[Latest Senate Action]],LEN(Table4[[#This Row],[Latest Senate Action]])-FIND(") - ",Table4[[#This Row],[Latest Senate Action]])-3)</f>
        <v xml:space="preserve">Resolution of advice and consent to ratification agreed to in Senate by Division Vote. (All Actions) </v>
      </c>
      <c r="K215" s="12" t="str">
        <f>INDEX(Table5[type],MATCH(Table4[[#This Row],[Action]],Table5[Action],0))</f>
        <v>Passed</v>
      </c>
      <c r="L215" s="22" t="b">
        <f>INDEX(Table1[Senate and President Same Party, House and President Different Party],MATCH(Table4[[#This Row],[Congress Acting]],Table1[Congress],0))</f>
        <v>0</v>
      </c>
    </row>
    <row r="216" spans="1:12" ht="157.5">
      <c r="A216" s="9" t="s">
        <v>438</v>
      </c>
      <c r="B216" t="s">
        <v>1859</v>
      </c>
      <c r="C216" s="9" t="s">
        <v>1860</v>
      </c>
      <c r="D216" s="13" t="s">
        <v>1861</v>
      </c>
      <c r="E216" s="9" t="s">
        <v>1862</v>
      </c>
      <c r="F216"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16" s="9" t="s">
        <v>1112</v>
      </c>
      <c r="H216" s="9" t="s">
        <v>1854</v>
      </c>
      <c r="I216" s="12" t="str">
        <f>RIGHT(LEFT(Table4[[#This Row],[Latest Senate Action]],FIND(" Congress",Table4[[#This Row],[Latest Senate Action]])-1),LEN(LEFT(Table4[[#This Row],[Latest Senate Action]],FIND(" Congress",Table4[[#This Row],[Latest Senate Action]])-1))-FIND("-",Table4[[#This Row],[Latest Senate Action]])-1)</f>
        <v>106th</v>
      </c>
      <c r="J216" s="12" t="str">
        <f>RIGHT(Table4[[#This Row],[Latest Senate Action]],LEN(Table4[[#This Row],[Latest Senate Action]])-FIND(") - ",Table4[[#This Row],[Latest Senate Action]])-3)</f>
        <v xml:space="preserve">Resolution of advice and consent to ratification agreed to in Senate by Division Vote. (All Actions) </v>
      </c>
      <c r="K216" s="12" t="str">
        <f>INDEX(Table5[type],MATCH(Table4[[#This Row],[Action]],Table5[Action],0))</f>
        <v>Passed</v>
      </c>
      <c r="L216" s="22" t="b">
        <f>INDEX(Table1[Senate and President Same Party, House and President Different Party],MATCH(Table4[[#This Row],[Congress Acting]],Table1[Congress],0))</f>
        <v>0</v>
      </c>
    </row>
    <row r="217" spans="1:12" ht="173.25">
      <c r="A217" s="9" t="s">
        <v>439</v>
      </c>
      <c r="B217" t="s">
        <v>1863</v>
      </c>
      <c r="C217" s="9" t="s">
        <v>1864</v>
      </c>
      <c r="D217" s="13" t="s">
        <v>1865</v>
      </c>
      <c r="E217" s="9" t="s">
        <v>1866</v>
      </c>
      <c r="F21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17" s="9" t="s">
        <v>1106</v>
      </c>
      <c r="H217" s="9" t="s">
        <v>1854</v>
      </c>
      <c r="I217" s="12" t="str">
        <f>RIGHT(LEFT(Table4[[#This Row],[Latest Senate Action]],FIND(" Congress",Table4[[#This Row],[Latest Senate Action]])-1),LEN(LEFT(Table4[[#This Row],[Latest Senate Action]],FIND(" Congress",Table4[[#This Row],[Latest Senate Action]])-1))-FIND("-",Table4[[#This Row],[Latest Senate Action]])-1)</f>
        <v>106th</v>
      </c>
      <c r="J217" s="12" t="str">
        <f>RIGHT(Table4[[#This Row],[Latest Senate Action]],LEN(Table4[[#This Row],[Latest Senate Action]])-FIND(") - ",Table4[[#This Row],[Latest Senate Action]])-3)</f>
        <v xml:space="preserve">Resolution of advice and consent to ratification agreed to in Senate by Division Vote. (All Actions) </v>
      </c>
      <c r="K217" s="12" t="str">
        <f>INDEX(Table5[type],MATCH(Table4[[#This Row],[Action]],Table5[Action],0))</f>
        <v>Passed</v>
      </c>
      <c r="L217" s="22" t="b">
        <f>INDEX(Table1[Senate and President Same Party, House and President Different Party],MATCH(Table4[[#This Row],[Congress Acting]],Table1[Congress],0))</f>
        <v>0</v>
      </c>
    </row>
    <row r="218" spans="1:12" ht="173.25">
      <c r="A218" s="9" t="s">
        <v>440</v>
      </c>
      <c r="B218" t="s">
        <v>1867</v>
      </c>
      <c r="C218" s="9" t="s">
        <v>1868</v>
      </c>
      <c r="D218" s="13" t="s">
        <v>1869</v>
      </c>
      <c r="E218" s="9" t="s">
        <v>1870</v>
      </c>
      <c r="F21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18" s="9" t="s">
        <v>1013</v>
      </c>
      <c r="H218" s="9" t="s">
        <v>1871</v>
      </c>
      <c r="I218" s="12" t="str">
        <f>RIGHT(LEFT(Table4[[#This Row],[Latest Senate Action]],FIND(" Congress",Table4[[#This Row],[Latest Senate Action]])-1),LEN(LEFT(Table4[[#This Row],[Latest Senate Action]],FIND(" Congress",Table4[[#This Row],[Latest Senate Action]])-1))-FIND("-",Table4[[#This Row],[Latest Senate Action]])-1)</f>
        <v>106th</v>
      </c>
      <c r="J218" s="12" t="str">
        <f>RIGHT(Table4[[#This Row],[Latest Senate Action]],LEN(Table4[[#This Row],[Latest Senate Action]])-FIND(") - ",Table4[[#This Row],[Latest Senate Action]])-3)</f>
        <v xml:space="preserve">Resolution of advice and consent to ratification agreed to in Senate by Division Vote. (All Actions) </v>
      </c>
      <c r="K218" s="12" t="str">
        <f>INDEX(Table5[type],MATCH(Table4[[#This Row],[Action]],Table5[Action],0))</f>
        <v>Passed</v>
      </c>
      <c r="L218" s="22" t="b">
        <f>INDEX(Table1[Senate and President Same Party, House and President Different Party],MATCH(Table4[[#This Row],[Congress Acting]],Table1[Congress],0))</f>
        <v>0</v>
      </c>
    </row>
    <row r="219" spans="1:12" ht="157.5">
      <c r="A219" s="9" t="s">
        <v>441</v>
      </c>
      <c r="B219" t="s">
        <v>1872</v>
      </c>
      <c r="C219" s="9" t="s">
        <v>1873</v>
      </c>
      <c r="D219" s="13" t="s">
        <v>1874</v>
      </c>
      <c r="E219" s="9" t="s">
        <v>1875</v>
      </c>
      <c r="F219"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19" s="9" t="s">
        <v>1164</v>
      </c>
      <c r="H219" s="9" t="s">
        <v>1876</v>
      </c>
      <c r="I219" s="12" t="str">
        <f>RIGHT(LEFT(Table4[[#This Row],[Latest Senate Action]],FIND(" Congress",Table4[[#This Row],[Latest Senate Action]])-1),LEN(LEFT(Table4[[#This Row],[Latest Senate Action]],FIND(" Congress",Table4[[#This Row],[Latest Senate Action]])-1))-FIND("-",Table4[[#This Row],[Latest Senate Action]])-1)</f>
        <v>106th</v>
      </c>
      <c r="J219" s="12" t="str">
        <f>RIGHT(Table4[[#This Row],[Latest Senate Action]],LEN(Table4[[#This Row],[Latest Senate Action]])-FIND(") - ",Table4[[#This Row],[Latest Senate Action]])-3)</f>
        <v xml:space="preserve">Received in the Senate and referred to the Committee on Foreign Relations by unanimous consent. (All Actions) </v>
      </c>
      <c r="K219" s="12" t="str">
        <f>INDEX(Table5[type],MATCH(Table4[[#This Row],[Action]],Table5[Action],0))</f>
        <v>In Process</v>
      </c>
      <c r="L219" s="22" t="b">
        <f>INDEX(Table1[Senate and President Same Party, House and President Different Party],MATCH(Table4[[#This Row],[Congress Acting]],Table1[Congress],0))</f>
        <v>0</v>
      </c>
    </row>
    <row r="220" spans="1:12" ht="173.25">
      <c r="A220" s="9" t="s">
        <v>442</v>
      </c>
      <c r="B220" t="s">
        <v>1877</v>
      </c>
      <c r="C220" s="9" t="s">
        <v>1878</v>
      </c>
      <c r="D220" s="13" t="s">
        <v>1879</v>
      </c>
      <c r="E220" s="9" t="s">
        <v>1880</v>
      </c>
      <c r="F220"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0" s="9" t="s">
        <v>1013</v>
      </c>
      <c r="H220" s="9" t="s">
        <v>1881</v>
      </c>
      <c r="I220" s="12" t="str">
        <f>RIGHT(LEFT(Table4[[#This Row],[Latest Senate Action]],FIND(" Congress",Table4[[#This Row],[Latest Senate Action]])-1),LEN(LEFT(Table4[[#This Row],[Latest Senate Action]],FIND(" Congress",Table4[[#This Row],[Latest Senate Action]])-1))-FIND("-",Table4[[#This Row],[Latest Senate Action]])-1)</f>
        <v>106th</v>
      </c>
      <c r="J220" s="12" t="str">
        <f>RIGHT(Table4[[#This Row],[Latest Senate Action]],LEN(Table4[[#This Row],[Latest Senate Action]])-FIND(") - ",Table4[[#This Row],[Latest Senate Action]])-3)</f>
        <v xml:space="preserve">Resolution of advice and consent to ratification agreed to in Senate by Division vote. (All Actions) </v>
      </c>
      <c r="K220" s="12" t="str">
        <f>INDEX(Table5[type],MATCH(Table4[[#This Row],[Action]],Table5[Action],0))</f>
        <v>Passed</v>
      </c>
      <c r="L220" s="22" t="b">
        <f>INDEX(Table1[Senate and President Same Party, House and President Different Party],MATCH(Table4[[#This Row],[Congress Acting]],Table1[Congress],0))</f>
        <v>0</v>
      </c>
    </row>
    <row r="221" spans="1:12" ht="141.75">
      <c r="A221" s="9" t="s">
        <v>443</v>
      </c>
      <c r="B221" t="s">
        <v>1882</v>
      </c>
      <c r="C221" s="9" t="s">
        <v>1883</v>
      </c>
      <c r="D221" s="13" t="s">
        <v>1884</v>
      </c>
      <c r="E221" s="9" t="s">
        <v>1885</v>
      </c>
      <c r="F221"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1" s="9" t="s">
        <v>1063</v>
      </c>
      <c r="H221" s="9" t="s">
        <v>1881</v>
      </c>
      <c r="I221" s="12" t="str">
        <f>RIGHT(LEFT(Table4[[#This Row],[Latest Senate Action]],FIND(" Congress",Table4[[#This Row],[Latest Senate Action]])-1),LEN(LEFT(Table4[[#This Row],[Latest Senate Action]],FIND(" Congress",Table4[[#This Row],[Latest Senate Action]])-1))-FIND("-",Table4[[#This Row],[Latest Senate Action]])-1)</f>
        <v>106th</v>
      </c>
      <c r="J221" s="12" t="str">
        <f>RIGHT(Table4[[#This Row],[Latest Senate Action]],LEN(Table4[[#This Row],[Latest Senate Action]])-FIND(") - ",Table4[[#This Row],[Latest Senate Action]])-3)</f>
        <v xml:space="preserve">Resolution of advice and consent to ratification agreed to in Senate by Division vote. (All Actions) </v>
      </c>
      <c r="K221" s="12" t="str">
        <f>INDEX(Table5[type],MATCH(Table4[[#This Row],[Action]],Table5[Action],0))</f>
        <v>Passed</v>
      </c>
      <c r="L221" s="22" t="b">
        <f>INDEX(Table1[Senate and President Same Party, House and President Different Party],MATCH(Table4[[#This Row],[Congress Acting]],Table1[Congress],0))</f>
        <v>0</v>
      </c>
    </row>
    <row r="222" spans="1:12" ht="173.25">
      <c r="A222" s="9" t="s">
        <v>444</v>
      </c>
      <c r="B222" t="s">
        <v>1886</v>
      </c>
      <c r="C222" s="9" t="s">
        <v>1887</v>
      </c>
      <c r="D222" s="13" t="s">
        <v>1888</v>
      </c>
      <c r="E222" s="9" t="s">
        <v>1889</v>
      </c>
      <c r="F222"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2" s="9" t="s">
        <v>1853</v>
      </c>
      <c r="H222" s="9" t="s">
        <v>1881</v>
      </c>
      <c r="I222" s="12" t="str">
        <f>RIGHT(LEFT(Table4[[#This Row],[Latest Senate Action]],FIND(" Congress",Table4[[#This Row],[Latest Senate Action]])-1),LEN(LEFT(Table4[[#This Row],[Latest Senate Action]],FIND(" Congress",Table4[[#This Row],[Latest Senate Action]])-1))-FIND("-",Table4[[#This Row],[Latest Senate Action]])-1)</f>
        <v>106th</v>
      </c>
      <c r="J222" s="12" t="str">
        <f>RIGHT(Table4[[#This Row],[Latest Senate Action]],LEN(Table4[[#This Row],[Latest Senate Action]])-FIND(") - ",Table4[[#This Row],[Latest Senate Action]])-3)</f>
        <v xml:space="preserve">Resolution of advice and consent to ratification agreed to in Senate by Division vote. (All Actions) </v>
      </c>
      <c r="K222" s="12" t="str">
        <f>INDEX(Table5[type],MATCH(Table4[[#This Row],[Action]],Table5[Action],0))</f>
        <v>Passed</v>
      </c>
      <c r="L222" s="22" t="b">
        <f>INDEX(Table1[Senate and President Same Party, House and President Different Party],MATCH(Table4[[#This Row],[Congress Acting]],Table1[Congress],0))</f>
        <v>0</v>
      </c>
    </row>
    <row r="223" spans="1:12" ht="141.75">
      <c r="A223" s="9" t="s">
        <v>445</v>
      </c>
      <c r="B223" t="s">
        <v>1890</v>
      </c>
      <c r="C223" s="9" t="s">
        <v>1891</v>
      </c>
      <c r="D223" s="13" t="s">
        <v>1892</v>
      </c>
      <c r="E223" s="9" t="s">
        <v>1893</v>
      </c>
      <c r="F22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3" s="9" t="s">
        <v>1063</v>
      </c>
      <c r="H223" s="9" t="s">
        <v>1881</v>
      </c>
      <c r="I223" s="12" t="str">
        <f>RIGHT(LEFT(Table4[[#This Row],[Latest Senate Action]],FIND(" Congress",Table4[[#This Row],[Latest Senate Action]])-1),LEN(LEFT(Table4[[#This Row],[Latest Senate Action]],FIND(" Congress",Table4[[#This Row],[Latest Senate Action]])-1))-FIND("-",Table4[[#This Row],[Latest Senate Action]])-1)</f>
        <v>106th</v>
      </c>
      <c r="J223" s="12" t="str">
        <f>RIGHT(Table4[[#This Row],[Latest Senate Action]],LEN(Table4[[#This Row],[Latest Senate Action]])-FIND(") - ",Table4[[#This Row],[Latest Senate Action]])-3)</f>
        <v xml:space="preserve">Resolution of advice and consent to ratification agreed to in Senate by Division vote. (All Actions) </v>
      </c>
      <c r="K223" s="12" t="str">
        <f>INDEX(Table5[type],MATCH(Table4[[#This Row],[Action]],Table5[Action],0))</f>
        <v>Passed</v>
      </c>
      <c r="L223" s="22" t="b">
        <f>INDEX(Table1[Senate and President Same Party, House and President Different Party],MATCH(Table4[[#This Row],[Congress Acting]],Table1[Congress],0))</f>
        <v>0</v>
      </c>
    </row>
    <row r="224" spans="1:12" ht="141.75">
      <c r="A224" s="9" t="s">
        <v>446</v>
      </c>
      <c r="B224" t="s">
        <v>1894</v>
      </c>
      <c r="C224" s="9" t="s">
        <v>1895</v>
      </c>
      <c r="D224" s="13" t="s">
        <v>1896</v>
      </c>
      <c r="E224" s="9" t="s">
        <v>1897</v>
      </c>
      <c r="F224"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4" s="9" t="s">
        <v>1063</v>
      </c>
      <c r="H224" s="9" t="s">
        <v>1881</v>
      </c>
      <c r="I224" s="12" t="str">
        <f>RIGHT(LEFT(Table4[[#This Row],[Latest Senate Action]],FIND(" Congress",Table4[[#This Row],[Latest Senate Action]])-1),LEN(LEFT(Table4[[#This Row],[Latest Senate Action]],FIND(" Congress",Table4[[#This Row],[Latest Senate Action]])-1))-FIND("-",Table4[[#This Row],[Latest Senate Action]])-1)</f>
        <v>106th</v>
      </c>
      <c r="J224" s="12" t="str">
        <f>RIGHT(Table4[[#This Row],[Latest Senate Action]],LEN(Table4[[#This Row],[Latest Senate Action]])-FIND(") - ",Table4[[#This Row],[Latest Senate Action]])-3)</f>
        <v xml:space="preserve">Resolution of advice and consent to ratification agreed to in Senate by Division vote. (All Actions) </v>
      </c>
      <c r="K224" s="12" t="str">
        <f>INDEX(Table5[type],MATCH(Table4[[#This Row],[Action]],Table5[Action],0))</f>
        <v>Passed</v>
      </c>
      <c r="L224" s="22" t="b">
        <f>INDEX(Table1[Senate and President Same Party, House and President Different Party],MATCH(Table4[[#This Row],[Congress Acting]],Table1[Congress],0))</f>
        <v>0</v>
      </c>
    </row>
    <row r="225" spans="1:12" ht="141.75">
      <c r="A225" s="9" t="s">
        <v>447</v>
      </c>
      <c r="B225" t="s">
        <v>1898</v>
      </c>
      <c r="C225" s="9" t="s">
        <v>1899</v>
      </c>
      <c r="D225" s="13" t="s">
        <v>1900</v>
      </c>
      <c r="E225" s="9" t="s">
        <v>1897</v>
      </c>
      <c r="F225"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5" s="9" t="s">
        <v>1063</v>
      </c>
      <c r="H225" s="9" t="s">
        <v>1881</v>
      </c>
      <c r="I225" s="12" t="str">
        <f>RIGHT(LEFT(Table4[[#This Row],[Latest Senate Action]],FIND(" Congress",Table4[[#This Row],[Latest Senate Action]])-1),LEN(LEFT(Table4[[#This Row],[Latest Senate Action]],FIND(" Congress",Table4[[#This Row],[Latest Senate Action]])-1))-FIND("-",Table4[[#This Row],[Latest Senate Action]])-1)</f>
        <v>106th</v>
      </c>
      <c r="J225" s="12" t="str">
        <f>RIGHT(Table4[[#This Row],[Latest Senate Action]],LEN(Table4[[#This Row],[Latest Senate Action]])-FIND(") - ",Table4[[#This Row],[Latest Senate Action]])-3)</f>
        <v xml:space="preserve">Resolution of advice and consent to ratification agreed to in Senate by Division vote. (All Actions) </v>
      </c>
      <c r="K225" s="12" t="str">
        <f>INDEX(Table5[type],MATCH(Table4[[#This Row],[Action]],Table5[Action],0))</f>
        <v>Passed</v>
      </c>
      <c r="L225" s="22" t="b">
        <f>INDEX(Table1[Senate and President Same Party, House and President Different Party],MATCH(Table4[[#This Row],[Congress Acting]],Table1[Congress],0))</f>
        <v>0</v>
      </c>
    </row>
    <row r="226" spans="1:12" ht="157.5">
      <c r="A226" s="9" t="s">
        <v>448</v>
      </c>
      <c r="B226" t="s">
        <v>1901</v>
      </c>
      <c r="C226" s="9" t="s">
        <v>1902</v>
      </c>
      <c r="D226" s="13" t="s">
        <v>1903</v>
      </c>
      <c r="E226" s="9" t="s">
        <v>1897</v>
      </c>
      <c r="F226"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6" s="9" t="s">
        <v>1063</v>
      </c>
      <c r="H226" s="9" t="s">
        <v>1881</v>
      </c>
      <c r="I226" s="12" t="str">
        <f>RIGHT(LEFT(Table4[[#This Row],[Latest Senate Action]],FIND(" Congress",Table4[[#This Row],[Latest Senate Action]])-1),LEN(LEFT(Table4[[#This Row],[Latest Senate Action]],FIND(" Congress",Table4[[#This Row],[Latest Senate Action]])-1))-FIND("-",Table4[[#This Row],[Latest Senate Action]])-1)</f>
        <v>106th</v>
      </c>
      <c r="J226" s="12" t="str">
        <f>RIGHT(Table4[[#This Row],[Latest Senate Action]],LEN(Table4[[#This Row],[Latest Senate Action]])-FIND(") - ",Table4[[#This Row],[Latest Senate Action]])-3)</f>
        <v xml:space="preserve">Resolution of advice and consent to ratification agreed to in Senate by Division vote. (All Actions) </v>
      </c>
      <c r="K226" s="12" t="str">
        <f>INDEX(Table5[type],MATCH(Table4[[#This Row],[Action]],Table5[Action],0))</f>
        <v>Passed</v>
      </c>
      <c r="L226" s="22" t="b">
        <f>INDEX(Table1[Senate and President Same Party, House and President Different Party],MATCH(Table4[[#This Row],[Congress Acting]],Table1[Congress],0))</f>
        <v>0</v>
      </c>
    </row>
    <row r="227" spans="1:12" ht="141.75">
      <c r="A227" s="9" t="s">
        <v>449</v>
      </c>
      <c r="B227" t="s">
        <v>1904</v>
      </c>
      <c r="C227" s="9" t="s">
        <v>1905</v>
      </c>
      <c r="D227" s="13" t="s">
        <v>1906</v>
      </c>
      <c r="E227" s="9" t="s">
        <v>1907</v>
      </c>
      <c r="F227"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27" s="9" t="s">
        <v>1063</v>
      </c>
      <c r="H227" s="9" t="s">
        <v>1881</v>
      </c>
      <c r="I227" s="12" t="str">
        <f>RIGHT(LEFT(Table4[[#This Row],[Latest Senate Action]],FIND(" Congress",Table4[[#This Row],[Latest Senate Action]])-1),LEN(LEFT(Table4[[#This Row],[Latest Senate Action]],FIND(" Congress",Table4[[#This Row],[Latest Senate Action]])-1))-FIND("-",Table4[[#This Row],[Latest Senate Action]])-1)</f>
        <v>106th</v>
      </c>
      <c r="J227" s="12" t="str">
        <f>RIGHT(Table4[[#This Row],[Latest Senate Action]],LEN(Table4[[#This Row],[Latest Senate Action]])-FIND(") - ",Table4[[#This Row],[Latest Senate Action]])-3)</f>
        <v xml:space="preserve">Resolution of advice and consent to ratification agreed to in Senate by Division vote. (All Actions) </v>
      </c>
      <c r="K227" s="12" t="str">
        <f>INDEX(Table5[type],MATCH(Table4[[#This Row],[Action]],Table5[Action],0))</f>
        <v>Passed</v>
      </c>
      <c r="L227" s="22" t="b">
        <f>INDEX(Table1[Senate and President Same Party, House and President Different Party],MATCH(Table4[[#This Row],[Congress Acting]],Table1[Congress],0))</f>
        <v>0</v>
      </c>
    </row>
    <row r="228" spans="1:12" ht="141.75">
      <c r="A228" s="9" t="s">
        <v>450</v>
      </c>
      <c r="B228" t="s">
        <v>1908</v>
      </c>
      <c r="C228" s="9" t="s">
        <v>1909</v>
      </c>
      <c r="D228" s="13" t="s">
        <v>1910</v>
      </c>
      <c r="E228" s="9" t="s">
        <v>1911</v>
      </c>
      <c r="F22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28" s="9" t="s">
        <v>1063</v>
      </c>
      <c r="H228" s="9" t="s">
        <v>1881</v>
      </c>
      <c r="I228" s="12" t="str">
        <f>RIGHT(LEFT(Table4[[#This Row],[Latest Senate Action]],FIND(" Congress",Table4[[#This Row],[Latest Senate Action]])-1),LEN(LEFT(Table4[[#This Row],[Latest Senate Action]],FIND(" Congress",Table4[[#This Row],[Latest Senate Action]])-1))-FIND("-",Table4[[#This Row],[Latest Senate Action]])-1)</f>
        <v>106th</v>
      </c>
      <c r="J228" s="12" t="str">
        <f>RIGHT(Table4[[#This Row],[Latest Senate Action]],LEN(Table4[[#This Row],[Latest Senate Action]])-FIND(") - ",Table4[[#This Row],[Latest Senate Action]])-3)</f>
        <v xml:space="preserve">Resolution of advice and consent to ratification agreed to in Senate by Division vote. (All Actions) </v>
      </c>
      <c r="K228" s="12" t="str">
        <f>INDEX(Table5[type],MATCH(Table4[[#This Row],[Action]],Table5[Action],0))</f>
        <v>Passed</v>
      </c>
      <c r="L228" s="22" t="b">
        <f>INDEX(Table1[Senate and President Same Party, House and President Different Party],MATCH(Table4[[#This Row],[Congress Acting]],Table1[Congress],0))</f>
        <v>0</v>
      </c>
    </row>
    <row r="229" spans="1:12" ht="141.75">
      <c r="A229" s="9" t="s">
        <v>451</v>
      </c>
      <c r="B229" t="s">
        <v>1912</v>
      </c>
      <c r="C229" s="9" t="s">
        <v>1913</v>
      </c>
      <c r="D229" s="13" t="s">
        <v>1914</v>
      </c>
      <c r="E229" s="9" t="s">
        <v>1911</v>
      </c>
      <c r="F22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29" s="9" t="s">
        <v>1063</v>
      </c>
      <c r="H229" s="9" t="s">
        <v>1881</v>
      </c>
      <c r="I229" s="12" t="str">
        <f>RIGHT(LEFT(Table4[[#This Row],[Latest Senate Action]],FIND(" Congress",Table4[[#This Row],[Latest Senate Action]])-1),LEN(LEFT(Table4[[#This Row],[Latest Senate Action]],FIND(" Congress",Table4[[#This Row],[Latest Senate Action]])-1))-FIND("-",Table4[[#This Row],[Latest Senate Action]])-1)</f>
        <v>106th</v>
      </c>
      <c r="J229" s="12" t="str">
        <f>RIGHT(Table4[[#This Row],[Latest Senate Action]],LEN(Table4[[#This Row],[Latest Senate Action]])-FIND(") - ",Table4[[#This Row],[Latest Senate Action]])-3)</f>
        <v xml:space="preserve">Resolution of advice and consent to ratification agreed to in Senate by Division vote. (All Actions) </v>
      </c>
      <c r="K229" s="12" t="str">
        <f>INDEX(Table5[type],MATCH(Table4[[#This Row],[Action]],Table5[Action],0))</f>
        <v>Passed</v>
      </c>
      <c r="L229" s="22" t="b">
        <f>INDEX(Table1[Senate and President Same Party, House and President Different Party],MATCH(Table4[[#This Row],[Congress Acting]],Table1[Congress],0))</f>
        <v>0</v>
      </c>
    </row>
    <row r="230" spans="1:12" ht="141.75">
      <c r="A230" s="9" t="s">
        <v>452</v>
      </c>
      <c r="B230" t="s">
        <v>1915</v>
      </c>
      <c r="C230" s="9" t="s">
        <v>1916</v>
      </c>
      <c r="D230" s="13" t="s">
        <v>1917</v>
      </c>
      <c r="E230" s="9" t="s">
        <v>1911</v>
      </c>
      <c r="F23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0" s="9" t="s">
        <v>1063</v>
      </c>
      <c r="H230" s="9" t="s">
        <v>1881</v>
      </c>
      <c r="I230" s="12" t="str">
        <f>RIGHT(LEFT(Table4[[#This Row],[Latest Senate Action]],FIND(" Congress",Table4[[#This Row],[Latest Senate Action]])-1),LEN(LEFT(Table4[[#This Row],[Latest Senate Action]],FIND(" Congress",Table4[[#This Row],[Latest Senate Action]])-1))-FIND("-",Table4[[#This Row],[Latest Senate Action]])-1)</f>
        <v>106th</v>
      </c>
      <c r="J230" s="12" t="str">
        <f>RIGHT(Table4[[#This Row],[Latest Senate Action]],LEN(Table4[[#This Row],[Latest Senate Action]])-FIND(") - ",Table4[[#This Row],[Latest Senate Action]])-3)</f>
        <v xml:space="preserve">Resolution of advice and consent to ratification agreed to in Senate by Division vote. (All Actions) </v>
      </c>
      <c r="K230" s="12" t="str">
        <f>INDEX(Table5[type],MATCH(Table4[[#This Row],[Action]],Table5[Action],0))</f>
        <v>Passed</v>
      </c>
      <c r="L230" s="22" t="b">
        <f>INDEX(Table1[Senate and President Same Party, House and President Different Party],MATCH(Table4[[#This Row],[Congress Acting]],Table1[Congress],0))</f>
        <v>0</v>
      </c>
    </row>
    <row r="231" spans="1:12" ht="141.75">
      <c r="A231" s="9" t="s">
        <v>453</v>
      </c>
      <c r="B231" t="s">
        <v>1918</v>
      </c>
      <c r="C231" s="9" t="s">
        <v>1919</v>
      </c>
      <c r="D231" s="13" t="s">
        <v>1920</v>
      </c>
      <c r="E231" s="9" t="s">
        <v>1246</v>
      </c>
      <c r="F23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1" s="9" t="s">
        <v>1101</v>
      </c>
      <c r="H231" s="9" t="s">
        <v>1921</v>
      </c>
      <c r="I231" s="12" t="str">
        <f>RIGHT(LEFT(Table4[[#This Row],[Latest Senate Action]],FIND(" Congress",Table4[[#This Row],[Latest Senate Action]])-1),LEN(LEFT(Table4[[#This Row],[Latest Senate Action]],FIND(" Congress",Table4[[#This Row],[Latest Senate Action]])-1))-FIND("-",Table4[[#This Row],[Latest Senate Action]])-1)</f>
        <v>106th</v>
      </c>
      <c r="J231" s="12" t="str">
        <f>RIGHT(Table4[[#This Row],[Latest Senate Action]],LEN(Table4[[#This Row],[Latest Senate Action]])-FIND(") - ",Table4[[#This Row],[Latest Senate Action]])-3)</f>
        <v xml:space="preserve">Resolution of advice and consent to ratification agreed to in Senate by Division vote. (All Actions) </v>
      </c>
      <c r="K231" s="12" t="str">
        <f>INDEX(Table5[type],MATCH(Table4[[#This Row],[Action]],Table5[Action],0))</f>
        <v>Passed</v>
      </c>
      <c r="L231" s="22" t="b">
        <f>INDEX(Table1[Senate and President Same Party, House and President Different Party],MATCH(Table4[[#This Row],[Congress Acting]],Table1[Congress],0))</f>
        <v>0</v>
      </c>
    </row>
    <row r="232" spans="1:12" ht="157.5">
      <c r="A232" s="9" t="s">
        <v>454</v>
      </c>
      <c r="B232" t="s">
        <v>1922</v>
      </c>
      <c r="C232" s="9" t="s">
        <v>1923</v>
      </c>
      <c r="D232" s="13" t="s">
        <v>1924</v>
      </c>
      <c r="E232" s="9" t="s">
        <v>1925</v>
      </c>
      <c r="F23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32" s="9" t="s">
        <v>1038</v>
      </c>
      <c r="H232" s="9" t="s">
        <v>1926</v>
      </c>
      <c r="I232" s="12" t="str">
        <f>RIGHT(LEFT(Table4[[#This Row],[Latest Senate Action]],FIND(" Congress",Table4[[#This Row],[Latest Senate Action]])-1),LEN(LEFT(Table4[[#This Row],[Latest Senate Action]],FIND(" Congress",Table4[[#This Row],[Latest Senate Action]])-1))-FIND("-",Table4[[#This Row],[Latest Senate Action]])-1)</f>
        <v>106th</v>
      </c>
      <c r="J232" s="12" t="str">
        <f>RIGHT(Table4[[#This Row],[Latest Senate Action]],LEN(Table4[[#This Row],[Latest Senate Action]])-FIND(") - ",Table4[[#This Row],[Latest Senate Action]])-3)</f>
        <v xml:space="preserve">Resolution of advice and consent to ratification agreed to in Senate by Division vote. (All Actions) </v>
      </c>
      <c r="K232" s="12" t="str">
        <f>INDEX(Table5[type],MATCH(Table4[[#This Row],[Action]],Table5[Action],0))</f>
        <v>Passed</v>
      </c>
      <c r="L232" s="22" t="b">
        <f>INDEX(Table1[Senate and President Same Party, House and President Different Party],MATCH(Table4[[#This Row],[Congress Acting]],Table1[Congress],0))</f>
        <v>0</v>
      </c>
    </row>
    <row r="233" spans="1:12" ht="173.25">
      <c r="A233" s="9" t="s">
        <v>455</v>
      </c>
      <c r="B233" t="s">
        <v>1927</v>
      </c>
      <c r="C233" s="9" t="s">
        <v>1928</v>
      </c>
      <c r="D233" s="13" t="s">
        <v>1929</v>
      </c>
      <c r="E233" s="9" t="s">
        <v>1214</v>
      </c>
      <c r="F233" t="str">
        <f>RIGHT(LEFT(Table4[[#This Row],[Date Received from President]],FIND(" Congress",Table4[[#This Row],[Date Received from President]])-1),LEN(LEFT(Table4[[#This Row],[Date Received from President]],FIND(" Congress",Table4[[#This Row],[Date Received from President]])-1))-FIND("-",Table4[[#This Row],[Date Received from President]])-1)</f>
        <v>106th</v>
      </c>
      <c r="G233" s="9" t="s">
        <v>1164</v>
      </c>
      <c r="H233" s="9" t="s">
        <v>1930</v>
      </c>
      <c r="I233" s="12" t="str">
        <f>RIGHT(LEFT(Table4[[#This Row],[Latest Senate Action]],FIND(" Congress",Table4[[#This Row],[Latest Senate Action]])-1),LEN(LEFT(Table4[[#This Row],[Latest Senate Action]],FIND(" Congress",Table4[[#This Row],[Latest Senate Action]])-1))-FIND("-",Table4[[#This Row],[Latest Senate Action]])-1)</f>
        <v>106th</v>
      </c>
      <c r="J233" s="12" t="str">
        <f>RIGHT(Table4[[#This Row],[Latest Senate Action]],LEN(Table4[[#This Row],[Latest Senate Action]])-FIND(") - ",Table4[[#This Row],[Latest Senate Action]])-3)</f>
        <v xml:space="preserve">Received in the Senate and referred to the Committee on Foreign Relations by unanimous consent removing the injunction of secrecy. (All Actions) </v>
      </c>
      <c r="K233" s="12" t="str">
        <f>INDEX(Table5[type],MATCH(Table4[[#This Row],[Action]],Table5[Action],0))</f>
        <v>In Process</v>
      </c>
      <c r="L233" s="22" t="b">
        <f>INDEX(Table1[Senate and President Same Party, House and President Different Party],MATCH(Table4[[#This Row],[Congress Acting]],Table1[Congress],0))</f>
        <v>0</v>
      </c>
    </row>
    <row r="234" spans="1:12" ht="189">
      <c r="A234" s="9" t="s">
        <v>456</v>
      </c>
      <c r="B234" t="s">
        <v>1931</v>
      </c>
      <c r="C234" s="9" t="s">
        <v>1932</v>
      </c>
      <c r="D234" s="13" t="s">
        <v>1933</v>
      </c>
      <c r="E234" s="9" t="s">
        <v>1934</v>
      </c>
      <c r="F234"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4" s="9" t="s">
        <v>1013</v>
      </c>
      <c r="H234" s="9" t="s">
        <v>1935</v>
      </c>
      <c r="I234" s="12" t="str">
        <f>RIGHT(LEFT(Table4[[#This Row],[Latest Senate Action]],FIND(" Congress",Table4[[#This Row],[Latest Senate Action]])-1),LEN(LEFT(Table4[[#This Row],[Latest Senate Action]],FIND(" Congress",Table4[[#This Row],[Latest Senate Action]])-1))-FIND("-",Table4[[#This Row],[Latest Senate Action]])-1)</f>
        <v>105th</v>
      </c>
      <c r="J234" s="12" t="str">
        <f>RIGHT(Table4[[#This Row],[Latest Senate Action]],LEN(Table4[[#This Row],[Latest Senate Action]])-FIND(") - ",Table4[[#This Row],[Latest Senate Action]])-3)</f>
        <v xml:space="preserve">Resolution of advice and consent to ratification agreed to in Senate by Division vote. (All Actions) </v>
      </c>
      <c r="K234" s="12" t="str">
        <f>INDEX(Table5[type],MATCH(Table4[[#This Row],[Action]],Table5[Action],0))</f>
        <v>Passed</v>
      </c>
      <c r="L234" s="22" t="b">
        <f>INDEX(Table1[Senate and President Same Party, House and President Different Party],MATCH(Table4[[#This Row],[Congress Acting]],Table1[Congress],0))</f>
        <v>0</v>
      </c>
    </row>
    <row r="235" spans="1:12" ht="173.25">
      <c r="A235" s="9" t="s">
        <v>457</v>
      </c>
      <c r="B235" t="s">
        <v>1936</v>
      </c>
      <c r="C235" s="9" t="s">
        <v>1937</v>
      </c>
      <c r="D235" s="13" t="s">
        <v>1938</v>
      </c>
      <c r="E235" s="9" t="s">
        <v>1934</v>
      </c>
      <c r="F235"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5" s="9" t="s">
        <v>1013</v>
      </c>
      <c r="H235" s="9" t="s">
        <v>1935</v>
      </c>
      <c r="I235" s="12" t="str">
        <f>RIGHT(LEFT(Table4[[#This Row],[Latest Senate Action]],FIND(" Congress",Table4[[#This Row],[Latest Senate Action]])-1),LEN(LEFT(Table4[[#This Row],[Latest Senate Action]],FIND(" Congress",Table4[[#This Row],[Latest Senate Action]])-1))-FIND("-",Table4[[#This Row],[Latest Senate Action]])-1)</f>
        <v>105th</v>
      </c>
      <c r="J235" s="12" t="str">
        <f>RIGHT(Table4[[#This Row],[Latest Senate Action]],LEN(Table4[[#This Row],[Latest Senate Action]])-FIND(") - ",Table4[[#This Row],[Latest Senate Action]])-3)</f>
        <v xml:space="preserve">Resolution of advice and consent to ratification agreed to in Senate by Division vote. (All Actions) </v>
      </c>
      <c r="K235" s="12" t="str">
        <f>INDEX(Table5[type],MATCH(Table4[[#This Row],[Action]],Table5[Action],0))</f>
        <v>Passed</v>
      </c>
      <c r="L235" s="22" t="b">
        <f>INDEX(Table1[Senate and President Same Party, House and President Different Party],MATCH(Table4[[#This Row],[Congress Acting]],Table1[Congress],0))</f>
        <v>0</v>
      </c>
    </row>
    <row r="236" spans="1:12" ht="157.5">
      <c r="A236" s="9" t="s">
        <v>458</v>
      </c>
      <c r="B236" t="s">
        <v>1939</v>
      </c>
      <c r="C236" s="9" t="s">
        <v>1940</v>
      </c>
      <c r="D236" s="13" t="s">
        <v>1941</v>
      </c>
      <c r="E236" s="9" t="s">
        <v>1942</v>
      </c>
      <c r="F236"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6" s="9" t="s">
        <v>1013</v>
      </c>
      <c r="H236" s="9" t="s">
        <v>1935</v>
      </c>
      <c r="I236" s="12" t="str">
        <f>RIGHT(LEFT(Table4[[#This Row],[Latest Senate Action]],FIND(" Congress",Table4[[#This Row],[Latest Senate Action]])-1),LEN(LEFT(Table4[[#This Row],[Latest Senate Action]],FIND(" Congress",Table4[[#This Row],[Latest Senate Action]])-1))-FIND("-",Table4[[#This Row],[Latest Senate Action]])-1)</f>
        <v>105th</v>
      </c>
      <c r="J236" s="12" t="str">
        <f>RIGHT(Table4[[#This Row],[Latest Senate Action]],LEN(Table4[[#This Row],[Latest Senate Action]])-FIND(") - ",Table4[[#This Row],[Latest Senate Action]])-3)</f>
        <v xml:space="preserve">Resolution of advice and consent to ratification agreed to in Senate by Division vote. (All Actions) </v>
      </c>
      <c r="K236" s="12" t="str">
        <f>INDEX(Table5[type],MATCH(Table4[[#This Row],[Action]],Table5[Action],0))</f>
        <v>Passed</v>
      </c>
      <c r="L236" s="22" t="b">
        <f>INDEX(Table1[Senate and President Same Party, House and President Different Party],MATCH(Table4[[#This Row],[Congress Acting]],Table1[Congress],0))</f>
        <v>0</v>
      </c>
    </row>
    <row r="237" spans="1:12" ht="173.25">
      <c r="A237" s="9" t="s">
        <v>459</v>
      </c>
      <c r="B237" t="s">
        <v>1943</v>
      </c>
      <c r="C237" s="9" t="s">
        <v>1944</v>
      </c>
      <c r="D237" s="13" t="s">
        <v>1945</v>
      </c>
      <c r="E237" s="9" t="s">
        <v>1942</v>
      </c>
      <c r="F23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7" s="9" t="s">
        <v>1013</v>
      </c>
      <c r="H237" s="9" t="s">
        <v>1935</v>
      </c>
      <c r="I237" s="12" t="str">
        <f>RIGHT(LEFT(Table4[[#This Row],[Latest Senate Action]],FIND(" Congress",Table4[[#This Row],[Latest Senate Action]])-1),LEN(LEFT(Table4[[#This Row],[Latest Senate Action]],FIND(" Congress",Table4[[#This Row],[Latest Senate Action]])-1))-FIND("-",Table4[[#This Row],[Latest Senate Action]])-1)</f>
        <v>105th</v>
      </c>
      <c r="J237" s="12" t="str">
        <f>RIGHT(Table4[[#This Row],[Latest Senate Action]],LEN(Table4[[#This Row],[Latest Senate Action]])-FIND(") - ",Table4[[#This Row],[Latest Senate Action]])-3)</f>
        <v xml:space="preserve">Resolution of advice and consent to ratification agreed to in Senate by Division vote. (All Actions) </v>
      </c>
      <c r="K237" s="12" t="str">
        <f>INDEX(Table5[type],MATCH(Table4[[#This Row],[Action]],Table5[Action],0))</f>
        <v>Passed</v>
      </c>
      <c r="L237" s="22" t="b">
        <f>INDEX(Table1[Senate and President Same Party, House and President Different Party],MATCH(Table4[[#This Row],[Congress Acting]],Table1[Congress],0))</f>
        <v>0</v>
      </c>
    </row>
    <row r="238" spans="1:12" ht="157.5">
      <c r="A238" s="9" t="s">
        <v>460</v>
      </c>
      <c r="B238" t="s">
        <v>1946</v>
      </c>
      <c r="C238" s="9" t="s">
        <v>1947</v>
      </c>
      <c r="D238" s="13" t="s">
        <v>1948</v>
      </c>
      <c r="E238" s="9" t="s">
        <v>1942</v>
      </c>
      <c r="F23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8" s="9" t="s">
        <v>1013</v>
      </c>
      <c r="H238" s="9" t="s">
        <v>1935</v>
      </c>
      <c r="I238" s="12" t="str">
        <f>RIGHT(LEFT(Table4[[#This Row],[Latest Senate Action]],FIND(" Congress",Table4[[#This Row],[Latest Senate Action]])-1),LEN(LEFT(Table4[[#This Row],[Latest Senate Action]],FIND(" Congress",Table4[[#This Row],[Latest Senate Action]])-1))-FIND("-",Table4[[#This Row],[Latest Senate Action]])-1)</f>
        <v>105th</v>
      </c>
      <c r="J238" s="12" t="str">
        <f>RIGHT(Table4[[#This Row],[Latest Senate Action]],LEN(Table4[[#This Row],[Latest Senate Action]])-FIND(") - ",Table4[[#This Row],[Latest Senate Action]])-3)</f>
        <v xml:space="preserve">Resolution of advice and consent to ratification agreed to in Senate by Division vote. (All Actions) </v>
      </c>
      <c r="K238" s="12" t="str">
        <f>INDEX(Table5[type],MATCH(Table4[[#This Row],[Action]],Table5[Action],0))</f>
        <v>Passed</v>
      </c>
      <c r="L238" s="22" t="b">
        <f>INDEX(Table1[Senate and President Same Party, House and President Different Party],MATCH(Table4[[#This Row],[Congress Acting]],Table1[Congress],0))</f>
        <v>0</v>
      </c>
    </row>
    <row r="239" spans="1:12" ht="157.5">
      <c r="A239" s="9" t="s">
        <v>461</v>
      </c>
      <c r="B239" t="s">
        <v>1949</v>
      </c>
      <c r="C239" s="9" t="s">
        <v>1950</v>
      </c>
      <c r="D239" s="13" t="s">
        <v>1951</v>
      </c>
      <c r="E239" s="9" t="s">
        <v>1952</v>
      </c>
      <c r="F23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39" s="9" t="s">
        <v>1013</v>
      </c>
      <c r="H239" s="9" t="s">
        <v>1935</v>
      </c>
      <c r="I239" s="12" t="str">
        <f>RIGHT(LEFT(Table4[[#This Row],[Latest Senate Action]],FIND(" Congress",Table4[[#This Row],[Latest Senate Action]])-1),LEN(LEFT(Table4[[#This Row],[Latest Senate Action]],FIND(" Congress",Table4[[#This Row],[Latest Senate Action]])-1))-FIND("-",Table4[[#This Row],[Latest Senate Action]])-1)</f>
        <v>105th</v>
      </c>
      <c r="J239" s="12" t="str">
        <f>RIGHT(Table4[[#This Row],[Latest Senate Action]],LEN(Table4[[#This Row],[Latest Senate Action]])-FIND(") - ",Table4[[#This Row],[Latest Senate Action]])-3)</f>
        <v xml:space="preserve">Resolution of advice and consent to ratification agreed to in Senate by Division vote. (All Actions) </v>
      </c>
      <c r="K239" s="12" t="str">
        <f>INDEX(Table5[type],MATCH(Table4[[#This Row],[Action]],Table5[Action],0))</f>
        <v>Passed</v>
      </c>
      <c r="L239" s="22" t="b">
        <f>INDEX(Table1[Senate and President Same Party, House and President Different Party],MATCH(Table4[[#This Row],[Congress Acting]],Table1[Congress],0))</f>
        <v>0</v>
      </c>
    </row>
    <row r="240" spans="1:12" ht="157.5">
      <c r="A240" s="9" t="s">
        <v>462</v>
      </c>
      <c r="B240" t="s">
        <v>1953</v>
      </c>
      <c r="C240" s="9" t="s">
        <v>1954</v>
      </c>
      <c r="D240" s="13" t="s">
        <v>1955</v>
      </c>
      <c r="E240" s="9" t="s">
        <v>1952</v>
      </c>
      <c r="F24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0" s="9" t="s">
        <v>1013</v>
      </c>
      <c r="H240" s="9" t="s">
        <v>1935</v>
      </c>
      <c r="I240" s="12" t="str">
        <f>RIGHT(LEFT(Table4[[#This Row],[Latest Senate Action]],FIND(" Congress",Table4[[#This Row],[Latest Senate Action]])-1),LEN(LEFT(Table4[[#This Row],[Latest Senate Action]],FIND(" Congress",Table4[[#This Row],[Latest Senate Action]])-1))-FIND("-",Table4[[#This Row],[Latest Senate Action]])-1)</f>
        <v>105th</v>
      </c>
      <c r="J240" s="12" t="str">
        <f>RIGHT(Table4[[#This Row],[Latest Senate Action]],LEN(Table4[[#This Row],[Latest Senate Action]])-FIND(") - ",Table4[[#This Row],[Latest Senate Action]])-3)</f>
        <v xml:space="preserve">Resolution of advice and consent to ratification agreed to in Senate by Division vote. (All Actions) </v>
      </c>
      <c r="K240" s="12" t="str">
        <f>INDEX(Table5[type],MATCH(Table4[[#This Row],[Action]],Table5[Action],0))</f>
        <v>Passed</v>
      </c>
      <c r="L240" s="22" t="b">
        <f>INDEX(Table1[Senate and President Same Party, House and President Different Party],MATCH(Table4[[#This Row],[Congress Acting]],Table1[Congress],0))</f>
        <v>0</v>
      </c>
    </row>
    <row r="241" spans="1:12" ht="173.25">
      <c r="A241" s="9" t="s">
        <v>463</v>
      </c>
      <c r="B241" t="s">
        <v>1956</v>
      </c>
      <c r="C241" s="9" t="s">
        <v>1957</v>
      </c>
      <c r="D241" s="13" t="s">
        <v>1958</v>
      </c>
      <c r="E241" s="9" t="s">
        <v>1959</v>
      </c>
      <c r="F24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1" s="9" t="s">
        <v>1013</v>
      </c>
      <c r="H241" s="9" t="s">
        <v>1935</v>
      </c>
      <c r="I241" s="12" t="str">
        <f>RIGHT(LEFT(Table4[[#This Row],[Latest Senate Action]],FIND(" Congress",Table4[[#This Row],[Latest Senate Action]])-1),LEN(LEFT(Table4[[#This Row],[Latest Senate Action]],FIND(" Congress",Table4[[#This Row],[Latest Senate Action]])-1))-FIND("-",Table4[[#This Row],[Latest Senate Action]])-1)</f>
        <v>105th</v>
      </c>
      <c r="J241" s="12" t="str">
        <f>RIGHT(Table4[[#This Row],[Latest Senate Action]],LEN(Table4[[#This Row],[Latest Senate Action]])-FIND(") - ",Table4[[#This Row],[Latest Senate Action]])-3)</f>
        <v xml:space="preserve">Resolution of advice and consent to ratification agreed to in Senate by Division vote. (All Actions) </v>
      </c>
      <c r="K241" s="12" t="str">
        <f>INDEX(Table5[type],MATCH(Table4[[#This Row],[Action]],Table5[Action],0))</f>
        <v>Passed</v>
      </c>
      <c r="L241" s="22" t="b">
        <f>INDEX(Table1[Senate and President Same Party, House and President Different Party],MATCH(Table4[[#This Row],[Congress Acting]],Table1[Congress],0))</f>
        <v>0</v>
      </c>
    </row>
    <row r="242" spans="1:12" ht="157.5">
      <c r="A242" s="9" t="s">
        <v>464</v>
      </c>
      <c r="B242" t="s">
        <v>1960</v>
      </c>
      <c r="C242" s="9" t="s">
        <v>1961</v>
      </c>
      <c r="D242" s="13" t="s">
        <v>1962</v>
      </c>
      <c r="E242" s="9" t="s">
        <v>1963</v>
      </c>
      <c r="F242"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2" s="9" t="s">
        <v>1013</v>
      </c>
      <c r="H242" s="9" t="s">
        <v>1935</v>
      </c>
      <c r="I242" s="12" t="str">
        <f>RIGHT(LEFT(Table4[[#This Row],[Latest Senate Action]],FIND(" Congress",Table4[[#This Row],[Latest Senate Action]])-1),LEN(LEFT(Table4[[#This Row],[Latest Senate Action]],FIND(" Congress",Table4[[#This Row],[Latest Senate Action]])-1))-FIND("-",Table4[[#This Row],[Latest Senate Action]])-1)</f>
        <v>105th</v>
      </c>
      <c r="J242" s="12" t="str">
        <f>RIGHT(Table4[[#This Row],[Latest Senate Action]],LEN(Table4[[#This Row],[Latest Senate Action]])-FIND(") - ",Table4[[#This Row],[Latest Senate Action]])-3)</f>
        <v xml:space="preserve">Resolution of advice and consent to ratification agreed to in Senate by Division vote. (All Actions) </v>
      </c>
      <c r="K242" s="12" t="str">
        <f>INDEX(Table5[type],MATCH(Table4[[#This Row],[Action]],Table5[Action],0))</f>
        <v>Passed</v>
      </c>
      <c r="L242" s="22" t="b">
        <f>INDEX(Table1[Senate and President Same Party, House and President Different Party],MATCH(Table4[[#This Row],[Congress Acting]],Table1[Congress],0))</f>
        <v>0</v>
      </c>
    </row>
    <row r="243" spans="1:12" ht="189">
      <c r="A243" s="9" t="s">
        <v>465</v>
      </c>
      <c r="B243" t="s">
        <v>1964</v>
      </c>
      <c r="C243" s="9" t="s">
        <v>1965</v>
      </c>
      <c r="D243" s="13" t="s">
        <v>1966</v>
      </c>
      <c r="E243" s="9" t="s">
        <v>1963</v>
      </c>
      <c r="F243"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3" s="9" t="s">
        <v>1164</v>
      </c>
      <c r="H243" s="9" t="s">
        <v>1935</v>
      </c>
      <c r="I243" s="12" t="str">
        <f>RIGHT(LEFT(Table4[[#This Row],[Latest Senate Action]],FIND(" Congress",Table4[[#This Row],[Latest Senate Action]])-1),LEN(LEFT(Table4[[#This Row],[Latest Senate Action]],FIND(" Congress",Table4[[#This Row],[Latest Senate Action]])-1))-FIND("-",Table4[[#This Row],[Latest Senate Action]])-1)</f>
        <v>105th</v>
      </c>
      <c r="J243" s="12" t="str">
        <f>RIGHT(Table4[[#This Row],[Latest Senate Action]],LEN(Table4[[#This Row],[Latest Senate Action]])-FIND(") - ",Table4[[#This Row],[Latest Senate Action]])-3)</f>
        <v xml:space="preserve">Resolution of advice and consent to ratification agreed to in Senate by Division vote. (All Actions) </v>
      </c>
      <c r="K243" s="12" t="str">
        <f>INDEX(Table5[type],MATCH(Table4[[#This Row],[Action]],Table5[Action],0))</f>
        <v>Passed</v>
      </c>
      <c r="L243" s="22" t="b">
        <f>INDEX(Table1[Senate and President Same Party, House and President Different Party],MATCH(Table4[[#This Row],[Congress Acting]],Table1[Congress],0))</f>
        <v>0</v>
      </c>
    </row>
    <row r="244" spans="1:12" ht="157.5">
      <c r="A244" s="9" t="s">
        <v>466</v>
      </c>
      <c r="B244" t="s">
        <v>1967</v>
      </c>
      <c r="C244" s="9" t="s">
        <v>1968</v>
      </c>
      <c r="D244" s="13" t="s">
        <v>1969</v>
      </c>
      <c r="E244" s="9" t="s">
        <v>1970</v>
      </c>
      <c r="F244"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4" s="9" t="s">
        <v>1013</v>
      </c>
      <c r="H244" s="9" t="s">
        <v>1935</v>
      </c>
      <c r="I244" s="12" t="str">
        <f>RIGHT(LEFT(Table4[[#This Row],[Latest Senate Action]],FIND(" Congress",Table4[[#This Row],[Latest Senate Action]])-1),LEN(LEFT(Table4[[#This Row],[Latest Senate Action]],FIND(" Congress",Table4[[#This Row],[Latest Senate Action]])-1))-FIND("-",Table4[[#This Row],[Latest Senate Action]])-1)</f>
        <v>105th</v>
      </c>
      <c r="J244" s="12" t="str">
        <f>RIGHT(Table4[[#This Row],[Latest Senate Action]],LEN(Table4[[#This Row],[Latest Senate Action]])-FIND(") - ",Table4[[#This Row],[Latest Senate Action]])-3)</f>
        <v xml:space="preserve">Resolution of advice and consent to ratification agreed to in Senate by Division vote. (All Actions) </v>
      </c>
      <c r="K244" s="12" t="str">
        <f>INDEX(Table5[type],MATCH(Table4[[#This Row],[Action]],Table5[Action],0))</f>
        <v>Passed</v>
      </c>
      <c r="L244" s="22" t="b">
        <f>INDEX(Table1[Senate and President Same Party, House and President Different Party],MATCH(Table4[[#This Row],[Congress Acting]],Table1[Congress],0))</f>
        <v>0</v>
      </c>
    </row>
    <row r="245" spans="1:12" ht="173.25">
      <c r="A245" s="9" t="s">
        <v>467</v>
      </c>
      <c r="B245" t="s">
        <v>1971</v>
      </c>
      <c r="C245" s="9" t="s">
        <v>1972</v>
      </c>
      <c r="D245" s="13" t="s">
        <v>1973</v>
      </c>
      <c r="E245" s="9" t="s">
        <v>1970</v>
      </c>
      <c r="F245"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5" s="9" t="s">
        <v>1013</v>
      </c>
      <c r="H245" s="9" t="s">
        <v>1935</v>
      </c>
      <c r="I245" s="12" t="str">
        <f>RIGHT(LEFT(Table4[[#This Row],[Latest Senate Action]],FIND(" Congress",Table4[[#This Row],[Latest Senate Action]])-1),LEN(LEFT(Table4[[#This Row],[Latest Senate Action]],FIND(" Congress",Table4[[#This Row],[Latest Senate Action]])-1))-FIND("-",Table4[[#This Row],[Latest Senate Action]])-1)</f>
        <v>105th</v>
      </c>
      <c r="J245" s="12" t="str">
        <f>RIGHT(Table4[[#This Row],[Latest Senate Action]],LEN(Table4[[#This Row],[Latest Senate Action]])-FIND(") - ",Table4[[#This Row],[Latest Senate Action]])-3)</f>
        <v xml:space="preserve">Resolution of advice and consent to ratification agreed to in Senate by Division vote. (All Actions) </v>
      </c>
      <c r="K245" s="12" t="str">
        <f>INDEX(Table5[type],MATCH(Table4[[#This Row],[Action]],Table5[Action],0))</f>
        <v>Passed</v>
      </c>
      <c r="L245" s="22" t="b">
        <f>INDEX(Table1[Senate and President Same Party, House and President Different Party],MATCH(Table4[[#This Row],[Congress Acting]],Table1[Congress],0))</f>
        <v>0</v>
      </c>
    </row>
    <row r="246" spans="1:12" ht="157.5">
      <c r="A246" s="9" t="s">
        <v>468</v>
      </c>
      <c r="B246" t="s">
        <v>1974</v>
      </c>
      <c r="C246" s="9" t="s">
        <v>1975</v>
      </c>
      <c r="D246" s="13" t="s">
        <v>1976</v>
      </c>
      <c r="E246" s="9" t="s">
        <v>1977</v>
      </c>
      <c r="F246"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6" s="9" t="s">
        <v>1013</v>
      </c>
      <c r="H246" s="9" t="s">
        <v>1935</v>
      </c>
      <c r="I246" s="12" t="str">
        <f>RIGHT(LEFT(Table4[[#This Row],[Latest Senate Action]],FIND(" Congress",Table4[[#This Row],[Latest Senate Action]])-1),LEN(LEFT(Table4[[#This Row],[Latest Senate Action]],FIND(" Congress",Table4[[#This Row],[Latest Senate Action]])-1))-FIND("-",Table4[[#This Row],[Latest Senate Action]])-1)</f>
        <v>105th</v>
      </c>
      <c r="J246" s="12" t="str">
        <f>RIGHT(Table4[[#This Row],[Latest Senate Action]],LEN(Table4[[#This Row],[Latest Senate Action]])-FIND(") - ",Table4[[#This Row],[Latest Senate Action]])-3)</f>
        <v xml:space="preserve">Resolution of advice and consent to ratification agreed to in Senate by Division vote. (All Actions) </v>
      </c>
      <c r="K246" s="12" t="str">
        <f>INDEX(Table5[type],MATCH(Table4[[#This Row],[Action]],Table5[Action],0))</f>
        <v>Passed</v>
      </c>
      <c r="L246" s="22" t="b">
        <f>INDEX(Table1[Senate and President Same Party, House and President Different Party],MATCH(Table4[[#This Row],[Congress Acting]],Table1[Congress],0))</f>
        <v>0</v>
      </c>
    </row>
    <row r="247" spans="1:12" ht="157.5">
      <c r="A247" s="9" t="s">
        <v>469</v>
      </c>
      <c r="B247" t="s">
        <v>1978</v>
      </c>
      <c r="C247" s="9" t="s">
        <v>1979</v>
      </c>
      <c r="D247" s="13" t="s">
        <v>1980</v>
      </c>
      <c r="E247" s="9" t="s">
        <v>1977</v>
      </c>
      <c r="F24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7" s="9" t="s">
        <v>1013</v>
      </c>
      <c r="H247" s="9" t="s">
        <v>1935</v>
      </c>
      <c r="I247" s="12" t="str">
        <f>RIGHT(LEFT(Table4[[#This Row],[Latest Senate Action]],FIND(" Congress",Table4[[#This Row],[Latest Senate Action]])-1),LEN(LEFT(Table4[[#This Row],[Latest Senate Action]],FIND(" Congress",Table4[[#This Row],[Latest Senate Action]])-1))-FIND("-",Table4[[#This Row],[Latest Senate Action]])-1)</f>
        <v>105th</v>
      </c>
      <c r="J247" s="12" t="str">
        <f>RIGHT(Table4[[#This Row],[Latest Senate Action]],LEN(Table4[[#This Row],[Latest Senate Action]])-FIND(") - ",Table4[[#This Row],[Latest Senate Action]])-3)</f>
        <v xml:space="preserve">Resolution of advice and consent to ratification agreed to in Senate by Division vote. (All Actions) </v>
      </c>
      <c r="K247" s="12" t="str">
        <f>INDEX(Table5[type],MATCH(Table4[[#This Row],[Action]],Table5[Action],0))</f>
        <v>Passed</v>
      </c>
      <c r="L247" s="22" t="b">
        <f>INDEX(Table1[Senate and President Same Party, House and President Different Party],MATCH(Table4[[#This Row],[Congress Acting]],Table1[Congress],0))</f>
        <v>0</v>
      </c>
    </row>
    <row r="248" spans="1:12" ht="173.25">
      <c r="A248" s="9" t="s">
        <v>470</v>
      </c>
      <c r="B248" t="s">
        <v>1981</v>
      </c>
      <c r="C248" s="9" t="s">
        <v>1982</v>
      </c>
      <c r="D248" s="13" t="s">
        <v>1983</v>
      </c>
      <c r="E248" s="9" t="s">
        <v>1705</v>
      </c>
      <c r="F24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8" s="9" t="s">
        <v>1013</v>
      </c>
      <c r="H248" s="9" t="s">
        <v>1935</v>
      </c>
      <c r="I248" s="12" t="str">
        <f>RIGHT(LEFT(Table4[[#This Row],[Latest Senate Action]],FIND(" Congress",Table4[[#This Row],[Latest Senate Action]])-1),LEN(LEFT(Table4[[#This Row],[Latest Senate Action]],FIND(" Congress",Table4[[#This Row],[Latest Senate Action]])-1))-FIND("-",Table4[[#This Row],[Latest Senate Action]])-1)</f>
        <v>105th</v>
      </c>
      <c r="J248" s="12" t="str">
        <f>RIGHT(Table4[[#This Row],[Latest Senate Action]],LEN(Table4[[#This Row],[Latest Senate Action]])-FIND(") - ",Table4[[#This Row],[Latest Senate Action]])-3)</f>
        <v xml:space="preserve">Resolution of advice and consent to ratification agreed to in Senate by Division vote. (All Actions) </v>
      </c>
      <c r="K248" s="12" t="str">
        <f>INDEX(Table5[type],MATCH(Table4[[#This Row],[Action]],Table5[Action],0))</f>
        <v>Passed</v>
      </c>
      <c r="L248" s="22" t="b">
        <f>INDEX(Table1[Senate and President Same Party, House and President Different Party],MATCH(Table4[[#This Row],[Congress Acting]],Table1[Congress],0))</f>
        <v>0</v>
      </c>
    </row>
    <row r="249" spans="1:12" ht="173.25">
      <c r="A249" s="9" t="s">
        <v>471</v>
      </c>
      <c r="B249" t="s">
        <v>1984</v>
      </c>
      <c r="C249" s="9" t="s">
        <v>1985</v>
      </c>
      <c r="D249" s="13" t="s">
        <v>1986</v>
      </c>
      <c r="E249" s="9" t="s">
        <v>1705</v>
      </c>
      <c r="F24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49" s="9" t="s">
        <v>1013</v>
      </c>
      <c r="H249" s="9" t="s">
        <v>1935</v>
      </c>
      <c r="I249" s="12" t="str">
        <f>RIGHT(LEFT(Table4[[#This Row],[Latest Senate Action]],FIND(" Congress",Table4[[#This Row],[Latest Senate Action]])-1),LEN(LEFT(Table4[[#This Row],[Latest Senate Action]],FIND(" Congress",Table4[[#This Row],[Latest Senate Action]])-1))-FIND("-",Table4[[#This Row],[Latest Senate Action]])-1)</f>
        <v>105th</v>
      </c>
      <c r="J249" s="12" t="str">
        <f>RIGHT(Table4[[#This Row],[Latest Senate Action]],LEN(Table4[[#This Row],[Latest Senate Action]])-FIND(") - ",Table4[[#This Row],[Latest Senate Action]])-3)</f>
        <v xml:space="preserve">Resolution of advice and consent to ratification agreed to in Senate by Division vote. (All Actions) </v>
      </c>
      <c r="K249" s="12" t="str">
        <f>INDEX(Table5[type],MATCH(Table4[[#This Row],[Action]],Table5[Action],0))</f>
        <v>Passed</v>
      </c>
      <c r="L249" s="22" t="b">
        <f>INDEX(Table1[Senate and President Same Party, House and President Different Party],MATCH(Table4[[#This Row],[Congress Acting]],Table1[Congress],0))</f>
        <v>0</v>
      </c>
    </row>
    <row r="250" spans="1:12" ht="189">
      <c r="A250" s="9" t="s">
        <v>472</v>
      </c>
      <c r="B250" t="s">
        <v>1987</v>
      </c>
      <c r="C250" s="9" t="s">
        <v>1988</v>
      </c>
      <c r="D250" s="13" t="s">
        <v>1989</v>
      </c>
      <c r="E250" s="9" t="s">
        <v>1705</v>
      </c>
      <c r="F25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0" s="9" t="s">
        <v>1013</v>
      </c>
      <c r="H250" s="9" t="s">
        <v>1935</v>
      </c>
      <c r="I250" s="12" t="str">
        <f>RIGHT(LEFT(Table4[[#This Row],[Latest Senate Action]],FIND(" Congress",Table4[[#This Row],[Latest Senate Action]])-1),LEN(LEFT(Table4[[#This Row],[Latest Senate Action]],FIND(" Congress",Table4[[#This Row],[Latest Senate Action]])-1))-FIND("-",Table4[[#This Row],[Latest Senate Action]])-1)</f>
        <v>105th</v>
      </c>
      <c r="J250" s="12" t="str">
        <f>RIGHT(Table4[[#This Row],[Latest Senate Action]],LEN(Table4[[#This Row],[Latest Senate Action]])-FIND(") - ",Table4[[#This Row],[Latest Senate Action]])-3)</f>
        <v xml:space="preserve">Resolution of advice and consent to ratification agreed to in Senate by Division vote. (All Actions) </v>
      </c>
      <c r="K250" s="12" t="str">
        <f>INDEX(Table5[type],MATCH(Table4[[#This Row],[Action]],Table5[Action],0))</f>
        <v>Passed</v>
      </c>
      <c r="L250" s="22" t="b">
        <f>INDEX(Table1[Senate and President Same Party, House and President Different Party],MATCH(Table4[[#This Row],[Congress Acting]],Table1[Congress],0))</f>
        <v>0</v>
      </c>
    </row>
    <row r="251" spans="1:12" ht="173.25">
      <c r="A251" s="9" t="s">
        <v>473</v>
      </c>
      <c r="B251" t="s">
        <v>1990</v>
      </c>
      <c r="C251" s="9" t="s">
        <v>1991</v>
      </c>
      <c r="D251" s="13" t="s">
        <v>1992</v>
      </c>
      <c r="E251" s="9" t="s">
        <v>1993</v>
      </c>
      <c r="F25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1" s="9" t="s">
        <v>1013</v>
      </c>
      <c r="H251" s="9" t="s">
        <v>1935</v>
      </c>
      <c r="I251" s="12" t="str">
        <f>RIGHT(LEFT(Table4[[#This Row],[Latest Senate Action]],FIND(" Congress",Table4[[#This Row],[Latest Senate Action]])-1),LEN(LEFT(Table4[[#This Row],[Latest Senate Action]],FIND(" Congress",Table4[[#This Row],[Latest Senate Action]])-1))-FIND("-",Table4[[#This Row],[Latest Senate Action]])-1)</f>
        <v>105th</v>
      </c>
      <c r="J251" s="12" t="str">
        <f>RIGHT(Table4[[#This Row],[Latest Senate Action]],LEN(Table4[[#This Row],[Latest Senate Action]])-FIND(") - ",Table4[[#This Row],[Latest Senate Action]])-3)</f>
        <v xml:space="preserve">Resolution of advice and consent to ratification agreed to in Senate by Division vote. (All Actions) </v>
      </c>
      <c r="K251" s="12" t="str">
        <f>INDEX(Table5[type],MATCH(Table4[[#This Row],[Action]],Table5[Action],0))</f>
        <v>Passed</v>
      </c>
      <c r="L251" s="22" t="b">
        <f>INDEX(Table1[Senate and President Same Party, House and President Different Party],MATCH(Table4[[#This Row],[Congress Acting]],Table1[Congress],0))</f>
        <v>0</v>
      </c>
    </row>
    <row r="252" spans="1:12" ht="157.5">
      <c r="A252" s="9" t="s">
        <v>474</v>
      </c>
      <c r="B252" t="s">
        <v>1994</v>
      </c>
      <c r="C252" s="9" t="s">
        <v>1995</v>
      </c>
      <c r="D252" s="13" t="s">
        <v>1996</v>
      </c>
      <c r="E252" s="9" t="s">
        <v>1660</v>
      </c>
      <c r="F252"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2" s="9" t="s">
        <v>1013</v>
      </c>
      <c r="H252" s="9" t="s">
        <v>1935</v>
      </c>
      <c r="I252" s="12" t="str">
        <f>RIGHT(LEFT(Table4[[#This Row],[Latest Senate Action]],FIND(" Congress",Table4[[#This Row],[Latest Senate Action]])-1),LEN(LEFT(Table4[[#This Row],[Latest Senate Action]],FIND(" Congress",Table4[[#This Row],[Latest Senate Action]])-1))-FIND("-",Table4[[#This Row],[Latest Senate Action]])-1)</f>
        <v>105th</v>
      </c>
      <c r="J252" s="12" t="str">
        <f>RIGHT(Table4[[#This Row],[Latest Senate Action]],LEN(Table4[[#This Row],[Latest Senate Action]])-FIND(") - ",Table4[[#This Row],[Latest Senate Action]])-3)</f>
        <v xml:space="preserve">Resolution of advice and consent to ratification agreed to in Senate by Division vote. (All Actions) </v>
      </c>
      <c r="K252" s="12" t="str">
        <f>INDEX(Table5[type],MATCH(Table4[[#This Row],[Action]],Table5[Action],0))</f>
        <v>Passed</v>
      </c>
      <c r="L252" s="22" t="b">
        <f>INDEX(Table1[Senate and President Same Party, House and President Different Party],MATCH(Table4[[#This Row],[Congress Acting]],Table1[Congress],0))</f>
        <v>0</v>
      </c>
    </row>
    <row r="253" spans="1:12" ht="157.5">
      <c r="A253" s="9" t="s">
        <v>475</v>
      </c>
      <c r="B253" t="s">
        <v>1997</v>
      </c>
      <c r="C253" s="9" t="s">
        <v>1998</v>
      </c>
      <c r="D253" s="13" t="s">
        <v>1999</v>
      </c>
      <c r="E253" s="9" t="s">
        <v>2000</v>
      </c>
      <c r="F253"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3" s="9" t="s">
        <v>1013</v>
      </c>
      <c r="H253" s="9" t="s">
        <v>1935</v>
      </c>
      <c r="I253" s="12" t="str">
        <f>RIGHT(LEFT(Table4[[#This Row],[Latest Senate Action]],FIND(" Congress",Table4[[#This Row],[Latest Senate Action]])-1),LEN(LEFT(Table4[[#This Row],[Latest Senate Action]],FIND(" Congress",Table4[[#This Row],[Latest Senate Action]])-1))-FIND("-",Table4[[#This Row],[Latest Senate Action]])-1)</f>
        <v>105th</v>
      </c>
      <c r="J253" s="12" t="str">
        <f>RIGHT(Table4[[#This Row],[Latest Senate Action]],LEN(Table4[[#This Row],[Latest Senate Action]])-FIND(") - ",Table4[[#This Row],[Latest Senate Action]])-3)</f>
        <v xml:space="preserve">Resolution of advice and consent to ratification agreed to in Senate by Division vote. (All Actions) </v>
      </c>
      <c r="K253" s="12" t="str">
        <f>INDEX(Table5[type],MATCH(Table4[[#This Row],[Action]],Table5[Action],0))</f>
        <v>Passed</v>
      </c>
      <c r="L253" s="22" t="b">
        <f>INDEX(Table1[Senate and President Same Party, House and President Different Party],MATCH(Table4[[#This Row],[Congress Acting]],Table1[Congress],0))</f>
        <v>0</v>
      </c>
    </row>
    <row r="254" spans="1:12" ht="173.25">
      <c r="A254" s="9" t="s">
        <v>476</v>
      </c>
      <c r="B254" t="s">
        <v>2001</v>
      </c>
      <c r="C254" s="9" t="s">
        <v>2002</v>
      </c>
      <c r="D254" s="13" t="s">
        <v>2003</v>
      </c>
      <c r="E254" s="9" t="s">
        <v>2000</v>
      </c>
      <c r="F254"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4" s="9" t="s">
        <v>1013</v>
      </c>
      <c r="H254" s="9" t="s">
        <v>1935</v>
      </c>
      <c r="I254" s="12" t="str">
        <f>RIGHT(LEFT(Table4[[#This Row],[Latest Senate Action]],FIND(" Congress",Table4[[#This Row],[Latest Senate Action]])-1),LEN(LEFT(Table4[[#This Row],[Latest Senate Action]],FIND(" Congress",Table4[[#This Row],[Latest Senate Action]])-1))-FIND("-",Table4[[#This Row],[Latest Senate Action]])-1)</f>
        <v>105th</v>
      </c>
      <c r="J254" s="12" t="str">
        <f>RIGHT(Table4[[#This Row],[Latest Senate Action]],LEN(Table4[[#This Row],[Latest Senate Action]])-FIND(") - ",Table4[[#This Row],[Latest Senate Action]])-3)</f>
        <v xml:space="preserve">Resolution of advice and consent to ratification agreed to in Senate by Division vote. (All Actions) </v>
      </c>
      <c r="K254" s="12" t="str">
        <f>INDEX(Table5[type],MATCH(Table4[[#This Row],[Action]],Table5[Action],0))</f>
        <v>Passed</v>
      </c>
      <c r="L254" s="22" t="b">
        <f>INDEX(Table1[Senate and President Same Party, House and President Different Party],MATCH(Table4[[#This Row],[Congress Acting]],Table1[Congress],0))</f>
        <v>0</v>
      </c>
    </row>
    <row r="255" spans="1:12" ht="173.25">
      <c r="A255" s="9" t="s">
        <v>477</v>
      </c>
      <c r="B255" t="s">
        <v>2004</v>
      </c>
      <c r="C255" s="9" t="s">
        <v>2005</v>
      </c>
      <c r="D255" s="13" t="s">
        <v>2006</v>
      </c>
      <c r="E255" s="9" t="s">
        <v>2007</v>
      </c>
      <c r="F255"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5" s="9" t="s">
        <v>1013</v>
      </c>
      <c r="H255" s="9" t="s">
        <v>1935</v>
      </c>
      <c r="I255" s="12" t="str">
        <f>RIGHT(LEFT(Table4[[#This Row],[Latest Senate Action]],FIND(" Congress",Table4[[#This Row],[Latest Senate Action]])-1),LEN(LEFT(Table4[[#This Row],[Latest Senate Action]],FIND(" Congress",Table4[[#This Row],[Latest Senate Action]])-1))-FIND("-",Table4[[#This Row],[Latest Senate Action]])-1)</f>
        <v>105th</v>
      </c>
      <c r="J255" s="12" t="str">
        <f>RIGHT(Table4[[#This Row],[Latest Senate Action]],LEN(Table4[[#This Row],[Latest Senate Action]])-FIND(") - ",Table4[[#This Row],[Latest Senate Action]])-3)</f>
        <v xml:space="preserve">Resolution of advice and consent to ratification agreed to in Senate by Division vote. (All Actions) </v>
      </c>
      <c r="K255" s="12" t="str">
        <f>INDEX(Table5[type],MATCH(Table4[[#This Row],[Action]],Table5[Action],0))</f>
        <v>Passed</v>
      </c>
      <c r="L255" s="22" t="b">
        <f>INDEX(Table1[Senate and President Same Party, House and President Different Party],MATCH(Table4[[#This Row],[Congress Acting]],Table1[Congress],0))</f>
        <v>0</v>
      </c>
    </row>
    <row r="256" spans="1:12" ht="173.25">
      <c r="A256" s="9" t="s">
        <v>478</v>
      </c>
      <c r="B256" t="s">
        <v>2008</v>
      </c>
      <c r="C256" s="9" t="s">
        <v>2009</v>
      </c>
      <c r="D256" s="13" t="s">
        <v>2010</v>
      </c>
      <c r="E256" s="9" t="s">
        <v>2011</v>
      </c>
      <c r="F256"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6" s="9" t="s">
        <v>1013</v>
      </c>
      <c r="H256" s="9" t="s">
        <v>1935</v>
      </c>
      <c r="I256" s="12" t="str">
        <f>RIGHT(LEFT(Table4[[#This Row],[Latest Senate Action]],FIND(" Congress",Table4[[#This Row],[Latest Senate Action]])-1),LEN(LEFT(Table4[[#This Row],[Latest Senate Action]],FIND(" Congress",Table4[[#This Row],[Latest Senate Action]])-1))-FIND("-",Table4[[#This Row],[Latest Senate Action]])-1)</f>
        <v>105th</v>
      </c>
      <c r="J256" s="12" t="str">
        <f>RIGHT(Table4[[#This Row],[Latest Senate Action]],LEN(Table4[[#This Row],[Latest Senate Action]])-FIND(") - ",Table4[[#This Row],[Latest Senate Action]])-3)</f>
        <v xml:space="preserve">Resolution of advice and consent to ratification agreed to in Senate by Division vote. (All Actions) </v>
      </c>
      <c r="K256" s="12" t="str">
        <f>INDEX(Table5[type],MATCH(Table4[[#This Row],[Action]],Table5[Action],0))</f>
        <v>Passed</v>
      </c>
      <c r="L256" s="22" t="b">
        <f>INDEX(Table1[Senate and President Same Party, House and President Different Party],MATCH(Table4[[#This Row],[Congress Acting]],Table1[Congress],0))</f>
        <v>0</v>
      </c>
    </row>
    <row r="257" spans="1:12" ht="173.25">
      <c r="A257" s="9" t="s">
        <v>479</v>
      </c>
      <c r="B257" t="s">
        <v>2012</v>
      </c>
      <c r="C257" s="9" t="s">
        <v>2013</v>
      </c>
      <c r="D257" s="13" t="s">
        <v>2014</v>
      </c>
      <c r="E257" s="9" t="s">
        <v>2015</v>
      </c>
      <c r="F25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7" s="9" t="s">
        <v>1013</v>
      </c>
      <c r="H257" s="9" t="s">
        <v>1935</v>
      </c>
      <c r="I257" s="12" t="str">
        <f>RIGHT(LEFT(Table4[[#This Row],[Latest Senate Action]],FIND(" Congress",Table4[[#This Row],[Latest Senate Action]])-1),LEN(LEFT(Table4[[#This Row],[Latest Senate Action]],FIND(" Congress",Table4[[#This Row],[Latest Senate Action]])-1))-FIND("-",Table4[[#This Row],[Latest Senate Action]])-1)</f>
        <v>105th</v>
      </c>
      <c r="J257" s="12" t="str">
        <f>RIGHT(Table4[[#This Row],[Latest Senate Action]],LEN(Table4[[#This Row],[Latest Senate Action]])-FIND(") - ",Table4[[#This Row],[Latest Senate Action]])-3)</f>
        <v xml:space="preserve">Resolution of advice and consent to ratification agreed to in Senate by Division vote. (All Actions) </v>
      </c>
      <c r="K257" s="12" t="str">
        <f>INDEX(Table5[type],MATCH(Table4[[#This Row],[Action]],Table5[Action],0))</f>
        <v>Passed</v>
      </c>
      <c r="L257" s="22" t="b">
        <f>INDEX(Table1[Senate and President Same Party, House and President Different Party],MATCH(Table4[[#This Row],[Congress Acting]],Table1[Congress],0))</f>
        <v>0</v>
      </c>
    </row>
    <row r="258" spans="1:12" ht="173.25">
      <c r="A258" s="9" t="s">
        <v>480</v>
      </c>
      <c r="B258" t="s">
        <v>2016</v>
      </c>
      <c r="C258" s="9" t="s">
        <v>2017</v>
      </c>
      <c r="D258" s="13" t="s">
        <v>2018</v>
      </c>
      <c r="E258" s="9" t="s">
        <v>2019</v>
      </c>
      <c r="F25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8" s="9" t="s">
        <v>1013</v>
      </c>
      <c r="H258" s="9" t="s">
        <v>1935</v>
      </c>
      <c r="I258" s="12" t="str">
        <f>RIGHT(LEFT(Table4[[#This Row],[Latest Senate Action]],FIND(" Congress",Table4[[#This Row],[Latest Senate Action]])-1),LEN(LEFT(Table4[[#This Row],[Latest Senate Action]],FIND(" Congress",Table4[[#This Row],[Latest Senate Action]])-1))-FIND("-",Table4[[#This Row],[Latest Senate Action]])-1)</f>
        <v>105th</v>
      </c>
      <c r="J258" s="12" t="str">
        <f>RIGHT(Table4[[#This Row],[Latest Senate Action]],LEN(Table4[[#This Row],[Latest Senate Action]])-FIND(") - ",Table4[[#This Row],[Latest Senate Action]])-3)</f>
        <v xml:space="preserve">Resolution of advice and consent to ratification agreed to in Senate by Division vote. (All Actions) </v>
      </c>
      <c r="K258" s="12" t="str">
        <f>INDEX(Table5[type],MATCH(Table4[[#This Row],[Action]],Table5[Action],0))</f>
        <v>Passed</v>
      </c>
      <c r="L258" s="22" t="b">
        <f>INDEX(Table1[Senate and President Same Party, House and President Different Party],MATCH(Table4[[#This Row],[Congress Acting]],Table1[Congress],0))</f>
        <v>0</v>
      </c>
    </row>
    <row r="259" spans="1:12" ht="173.25">
      <c r="A259" s="9" t="s">
        <v>481</v>
      </c>
      <c r="B259" t="s">
        <v>2020</v>
      </c>
      <c r="C259" s="9" t="s">
        <v>2021</v>
      </c>
      <c r="D259" s="13" t="s">
        <v>2022</v>
      </c>
      <c r="E259" s="9" t="s">
        <v>2023</v>
      </c>
      <c r="F25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59" s="9" t="s">
        <v>1013</v>
      </c>
      <c r="H259" s="9" t="s">
        <v>1935</v>
      </c>
      <c r="I259" s="12" t="str">
        <f>RIGHT(LEFT(Table4[[#This Row],[Latest Senate Action]],FIND(" Congress",Table4[[#This Row],[Latest Senate Action]])-1),LEN(LEFT(Table4[[#This Row],[Latest Senate Action]],FIND(" Congress",Table4[[#This Row],[Latest Senate Action]])-1))-FIND("-",Table4[[#This Row],[Latest Senate Action]])-1)</f>
        <v>105th</v>
      </c>
      <c r="J259" s="12" t="str">
        <f>RIGHT(Table4[[#This Row],[Latest Senate Action]],LEN(Table4[[#This Row],[Latest Senate Action]])-FIND(") - ",Table4[[#This Row],[Latest Senate Action]])-3)</f>
        <v xml:space="preserve">Resolution of advice and consent to ratification agreed to in Senate by Division vote. (All Actions) </v>
      </c>
      <c r="K259" s="12" t="str">
        <f>INDEX(Table5[type],MATCH(Table4[[#This Row],[Action]],Table5[Action],0))</f>
        <v>Passed</v>
      </c>
      <c r="L259" s="22" t="b">
        <f>INDEX(Table1[Senate and President Same Party, House and President Different Party],MATCH(Table4[[#This Row],[Congress Acting]],Table1[Congress],0))</f>
        <v>0</v>
      </c>
    </row>
    <row r="260" spans="1:12" ht="189">
      <c r="A260" s="9" t="s">
        <v>482</v>
      </c>
      <c r="B260" t="s">
        <v>2024</v>
      </c>
      <c r="C260" s="9" t="s">
        <v>2025</v>
      </c>
      <c r="D260" s="13" t="s">
        <v>2026</v>
      </c>
      <c r="E260" s="9" t="s">
        <v>2027</v>
      </c>
      <c r="F26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0" s="9" t="s">
        <v>1013</v>
      </c>
      <c r="H260" s="9" t="s">
        <v>1935</v>
      </c>
      <c r="I260" s="12" t="str">
        <f>RIGHT(LEFT(Table4[[#This Row],[Latest Senate Action]],FIND(" Congress",Table4[[#This Row],[Latest Senate Action]])-1),LEN(LEFT(Table4[[#This Row],[Latest Senate Action]],FIND(" Congress",Table4[[#This Row],[Latest Senate Action]])-1))-FIND("-",Table4[[#This Row],[Latest Senate Action]])-1)</f>
        <v>105th</v>
      </c>
      <c r="J260" s="12" t="str">
        <f>RIGHT(Table4[[#This Row],[Latest Senate Action]],LEN(Table4[[#This Row],[Latest Senate Action]])-FIND(") - ",Table4[[#This Row],[Latest Senate Action]])-3)</f>
        <v xml:space="preserve">Resolution of advice and consent to ratification agreed to in Senate by Division vote. (All Actions) </v>
      </c>
      <c r="K260" s="12" t="str">
        <f>INDEX(Table5[type],MATCH(Table4[[#This Row],[Action]],Table5[Action],0))</f>
        <v>Passed</v>
      </c>
      <c r="L260" s="22" t="b">
        <f>INDEX(Table1[Senate and President Same Party, House and President Different Party],MATCH(Table4[[#This Row],[Congress Acting]],Table1[Congress],0))</f>
        <v>0</v>
      </c>
    </row>
    <row r="261" spans="1:12" ht="157.5">
      <c r="A261" s="9" t="s">
        <v>483</v>
      </c>
      <c r="B261" t="s">
        <v>2028</v>
      </c>
      <c r="C261" s="9" t="s">
        <v>2029</v>
      </c>
      <c r="D261" s="13" t="s">
        <v>2030</v>
      </c>
      <c r="E261" s="9" t="s">
        <v>2031</v>
      </c>
      <c r="F26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1" s="9" t="s">
        <v>1013</v>
      </c>
      <c r="H261" s="9" t="s">
        <v>1935</v>
      </c>
      <c r="I261" s="12" t="str">
        <f>RIGHT(LEFT(Table4[[#This Row],[Latest Senate Action]],FIND(" Congress",Table4[[#This Row],[Latest Senate Action]])-1),LEN(LEFT(Table4[[#This Row],[Latest Senate Action]],FIND(" Congress",Table4[[#This Row],[Latest Senate Action]])-1))-FIND("-",Table4[[#This Row],[Latest Senate Action]])-1)</f>
        <v>105th</v>
      </c>
      <c r="J261" s="12" t="str">
        <f>RIGHT(Table4[[#This Row],[Latest Senate Action]],LEN(Table4[[#This Row],[Latest Senate Action]])-FIND(") - ",Table4[[#This Row],[Latest Senate Action]])-3)</f>
        <v xml:space="preserve">Resolution of advice and consent to ratification agreed to in Senate by Division vote. (All Actions) </v>
      </c>
      <c r="K261" s="12" t="str">
        <f>INDEX(Table5[type],MATCH(Table4[[#This Row],[Action]],Table5[Action],0))</f>
        <v>Passed</v>
      </c>
      <c r="L261" s="22" t="b">
        <f>INDEX(Table1[Senate and President Same Party, House and President Different Party],MATCH(Table4[[#This Row],[Congress Acting]],Table1[Congress],0))</f>
        <v>0</v>
      </c>
    </row>
    <row r="262" spans="1:12" ht="173.25">
      <c r="A262" s="9" t="s">
        <v>484</v>
      </c>
      <c r="B262" t="s">
        <v>2032</v>
      </c>
      <c r="C262" s="9" t="s">
        <v>2033</v>
      </c>
      <c r="D262" s="13" t="s">
        <v>2034</v>
      </c>
      <c r="E262" s="9" t="s">
        <v>1862</v>
      </c>
      <c r="F262"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2" s="9" t="s">
        <v>1013</v>
      </c>
      <c r="H262" s="9" t="s">
        <v>1935</v>
      </c>
      <c r="I262" s="12" t="str">
        <f>RIGHT(LEFT(Table4[[#This Row],[Latest Senate Action]],FIND(" Congress",Table4[[#This Row],[Latest Senate Action]])-1),LEN(LEFT(Table4[[#This Row],[Latest Senate Action]],FIND(" Congress",Table4[[#This Row],[Latest Senate Action]])-1))-FIND("-",Table4[[#This Row],[Latest Senate Action]])-1)</f>
        <v>105th</v>
      </c>
      <c r="J262" s="12" t="str">
        <f>RIGHT(Table4[[#This Row],[Latest Senate Action]],LEN(Table4[[#This Row],[Latest Senate Action]])-FIND(") - ",Table4[[#This Row],[Latest Senate Action]])-3)</f>
        <v xml:space="preserve">Resolution of advice and consent to ratification agreed to in Senate by Division vote. (All Actions) </v>
      </c>
      <c r="K262" s="12" t="str">
        <f>INDEX(Table5[type],MATCH(Table4[[#This Row],[Action]],Table5[Action],0))</f>
        <v>Passed</v>
      </c>
      <c r="L262" s="22" t="b">
        <f>INDEX(Table1[Senate and President Same Party, House and President Different Party],MATCH(Table4[[#This Row],[Congress Acting]],Table1[Congress],0))</f>
        <v>0</v>
      </c>
    </row>
    <row r="263" spans="1:12" ht="157.5">
      <c r="A263" s="9" t="s">
        <v>485</v>
      </c>
      <c r="B263" t="s">
        <v>2035</v>
      </c>
      <c r="C263" s="9" t="s">
        <v>2036</v>
      </c>
      <c r="D263" s="13" t="s">
        <v>2037</v>
      </c>
      <c r="E263" s="9" t="s">
        <v>1866</v>
      </c>
      <c r="F263"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3" s="9" t="s">
        <v>1013</v>
      </c>
      <c r="H263" s="9" t="s">
        <v>1935</v>
      </c>
      <c r="I263" s="12" t="str">
        <f>RIGHT(LEFT(Table4[[#This Row],[Latest Senate Action]],FIND(" Congress",Table4[[#This Row],[Latest Senate Action]])-1),LEN(LEFT(Table4[[#This Row],[Latest Senate Action]],FIND(" Congress",Table4[[#This Row],[Latest Senate Action]])-1))-FIND("-",Table4[[#This Row],[Latest Senate Action]])-1)</f>
        <v>105th</v>
      </c>
      <c r="J263" s="12" t="str">
        <f>RIGHT(Table4[[#This Row],[Latest Senate Action]],LEN(Table4[[#This Row],[Latest Senate Action]])-FIND(") - ",Table4[[#This Row],[Latest Senate Action]])-3)</f>
        <v xml:space="preserve">Resolution of advice and consent to ratification agreed to in Senate by Division vote. (All Actions) </v>
      </c>
      <c r="K263" s="12" t="str">
        <f>INDEX(Table5[type],MATCH(Table4[[#This Row],[Action]],Table5[Action],0))</f>
        <v>Passed</v>
      </c>
      <c r="L263" s="22" t="b">
        <f>INDEX(Table1[Senate and President Same Party, House and President Different Party],MATCH(Table4[[#This Row],[Congress Acting]],Table1[Congress],0))</f>
        <v>0</v>
      </c>
    </row>
    <row r="264" spans="1:12" ht="173.25">
      <c r="A264" s="9" t="s">
        <v>486</v>
      </c>
      <c r="B264" t="s">
        <v>2038</v>
      </c>
      <c r="C264" s="9" t="s">
        <v>2039</v>
      </c>
      <c r="D264" s="13" t="s">
        <v>2040</v>
      </c>
      <c r="E264" s="9" t="s">
        <v>2041</v>
      </c>
      <c r="F264"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4" s="9" t="s">
        <v>1013</v>
      </c>
      <c r="H264" s="9" t="s">
        <v>1935</v>
      </c>
      <c r="I264" s="12" t="str">
        <f>RIGHT(LEFT(Table4[[#This Row],[Latest Senate Action]],FIND(" Congress",Table4[[#This Row],[Latest Senate Action]])-1),LEN(LEFT(Table4[[#This Row],[Latest Senate Action]],FIND(" Congress",Table4[[#This Row],[Latest Senate Action]])-1))-FIND("-",Table4[[#This Row],[Latest Senate Action]])-1)</f>
        <v>105th</v>
      </c>
      <c r="J264" s="12" t="str">
        <f>RIGHT(Table4[[#This Row],[Latest Senate Action]],LEN(Table4[[#This Row],[Latest Senate Action]])-FIND(") - ",Table4[[#This Row],[Latest Senate Action]])-3)</f>
        <v xml:space="preserve">Resolution of advice and consent to ratification agreed to in Senate by Division vote. (All Actions) </v>
      </c>
      <c r="K264" s="12" t="str">
        <f>INDEX(Table5[type],MATCH(Table4[[#This Row],[Action]],Table5[Action],0))</f>
        <v>Passed</v>
      </c>
      <c r="L264" s="22" t="b">
        <f>INDEX(Table1[Senate and President Same Party, House and President Different Party],MATCH(Table4[[#This Row],[Congress Acting]],Table1[Congress],0))</f>
        <v>0</v>
      </c>
    </row>
    <row r="265" spans="1:12" ht="141.75">
      <c r="A265" s="9" t="s">
        <v>487</v>
      </c>
      <c r="B265" t="s">
        <v>2042</v>
      </c>
      <c r="C265" s="9" t="s">
        <v>2043</v>
      </c>
      <c r="D265" s="13" t="s">
        <v>3891</v>
      </c>
      <c r="E265" s="9" t="s">
        <v>2044</v>
      </c>
      <c r="F265"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265" s="9" t="s">
        <v>1456</v>
      </c>
      <c r="H265" s="9" t="s">
        <v>2045</v>
      </c>
      <c r="I265" s="12" t="str">
        <f>RIGHT(LEFT(Table4[[#This Row],[Latest Senate Action]],FIND(" Congress",Table4[[#This Row],[Latest Senate Action]])-1),LEN(LEFT(Table4[[#This Row],[Latest Senate Action]],FIND(" Congress",Table4[[#This Row],[Latest Senate Action]])-1))-FIND("-",Table4[[#This Row],[Latest Senate Action]])-1)</f>
        <v>105th</v>
      </c>
      <c r="J265" s="12" t="str">
        <f>RIGHT(Table4[[#This Row],[Latest Senate Action]],LEN(Table4[[#This Row],[Latest Senate Action]])-FIND(") - ",Table4[[#This Row],[Latest Senate Action]])-3)</f>
        <v xml:space="preserve">Protocol No. 3 was returned to the President under proviso No. 2 of the resolution of ratification of T. Doc. 95-2(B). (All Actions) </v>
      </c>
      <c r="K265" s="12" t="str">
        <f>INDEX(Table5[type],MATCH(Table4[[#This Row],[Action]],Table5[Action],0))</f>
        <v>In Process</v>
      </c>
      <c r="L265" s="22" t="b">
        <f>INDEX(Table1[Senate and President Same Party, House and President Different Party],MATCH(Table4[[#This Row],[Congress Acting]],Table1[Congress],0))</f>
        <v>0</v>
      </c>
    </row>
    <row r="266" spans="1:12" ht="126">
      <c r="A266" s="9" t="s">
        <v>488</v>
      </c>
      <c r="B266" t="s">
        <v>2046</v>
      </c>
      <c r="C266" s="9" t="s">
        <v>2047</v>
      </c>
      <c r="D266" s="13" t="s">
        <v>3891</v>
      </c>
      <c r="E266" s="9" t="s">
        <v>2044</v>
      </c>
      <c r="F266"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266" s="9" t="s">
        <v>1456</v>
      </c>
      <c r="H266" s="9" t="s">
        <v>2048</v>
      </c>
      <c r="I266" s="12" t="str">
        <f>RIGHT(LEFT(Table4[[#This Row],[Latest Senate Action]],FIND(" Congress",Table4[[#This Row],[Latest Senate Action]])-1),LEN(LEFT(Table4[[#This Row],[Latest Senate Action]],FIND(" Congress",Table4[[#This Row],[Latest Senate Action]])-1))-FIND("-",Table4[[#This Row],[Latest Senate Action]])-1)</f>
        <v>105th</v>
      </c>
      <c r="J266" s="12" t="str">
        <f>RIGHT(Table4[[#This Row],[Latest Senate Action]],LEN(Table4[[#This Row],[Latest Senate Action]])-FIND(") - ",Table4[[#This Row],[Latest Senate Action]])-3)</f>
        <v xml:space="preserve">Resolution of advice and consent to ratification agreed to in Senate by Division vote. (All Actions) </v>
      </c>
      <c r="K266" s="12" t="str">
        <f>INDEX(Table5[type],MATCH(Table4[[#This Row],[Action]],Table5[Action],0))</f>
        <v>Passed</v>
      </c>
      <c r="L266" s="22" t="b">
        <f>INDEX(Table1[Senate and President Same Party, House and President Different Party],MATCH(Table4[[#This Row],[Congress Acting]],Table1[Congress],0))</f>
        <v>0</v>
      </c>
    </row>
    <row r="267" spans="1:12" ht="204.75">
      <c r="A267" s="9" t="s">
        <v>489</v>
      </c>
      <c r="B267" t="s">
        <v>2049</v>
      </c>
      <c r="C267" s="9" t="s">
        <v>2050</v>
      </c>
      <c r="D267" s="13" t="s">
        <v>3892</v>
      </c>
      <c r="E267" s="9" t="s">
        <v>2044</v>
      </c>
      <c r="F267"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267" s="9" t="s">
        <v>1456</v>
      </c>
      <c r="H267" s="9" t="s">
        <v>2051</v>
      </c>
      <c r="I267" s="12" t="str">
        <f>RIGHT(LEFT(Table4[[#This Row],[Latest Senate Action]],FIND(" Congress",Table4[[#This Row],[Latest Senate Action]])-1),LEN(LEFT(Table4[[#This Row],[Latest Senate Action]],FIND(" Congress",Table4[[#This Row],[Latest Senate Action]])-1))-FIND("-",Table4[[#This Row],[Latest Senate Action]])-1)</f>
        <v>105th</v>
      </c>
      <c r="J267" s="12" t="str">
        <f>RIGHT(Table4[[#This Row],[Latest Senate Action]],LEN(Table4[[#This Row],[Latest Senate Action]])-FIND(") - ",Table4[[#This Row],[Latest Senate Action]])-3)</f>
        <v xml:space="preserve">Treaty reported by Committee on Foreign Relations as a divided treaty, TD95-2B. Proviso (2) in the resolution of ratification directed the return of TD 95-2A. (All Actions) </v>
      </c>
      <c r="K267" s="12" t="str">
        <f>INDEX(Table5[type],MATCH(Table4[[#This Row],[Action]],Table5[Action],0))</f>
        <v>In Process</v>
      </c>
      <c r="L267" s="22" t="b">
        <f>INDEX(Table1[Senate and President Same Party, House and President Different Party],MATCH(Table4[[#This Row],[Congress Acting]],Table1[Congress],0))</f>
        <v>0</v>
      </c>
    </row>
    <row r="268" spans="1:12" ht="189">
      <c r="A268" s="9" t="s">
        <v>490</v>
      </c>
      <c r="B268" t="s">
        <v>2052</v>
      </c>
      <c r="C268" s="9" t="s">
        <v>2053</v>
      </c>
      <c r="D268" s="13" t="s">
        <v>2054</v>
      </c>
      <c r="E268" s="9" t="s">
        <v>2055</v>
      </c>
      <c r="F26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8" s="9" t="s">
        <v>1013</v>
      </c>
      <c r="H268" s="9" t="s">
        <v>2056</v>
      </c>
      <c r="I268" s="12" t="str">
        <f>RIGHT(LEFT(Table4[[#This Row],[Latest Senate Action]],FIND(" Congress",Table4[[#This Row],[Latest Senate Action]])-1),LEN(LEFT(Table4[[#This Row],[Latest Senate Action]],FIND(" Congress",Table4[[#This Row],[Latest Senate Action]])-1))-FIND("-",Table4[[#This Row],[Latest Senate Action]])-1)</f>
        <v>105th</v>
      </c>
      <c r="J268" s="12" t="str">
        <f>RIGHT(Table4[[#This Row],[Latest Senate Action]],LEN(Table4[[#This Row],[Latest Senate Action]])-FIND(") - ",Table4[[#This Row],[Latest Senate Action]])-3)</f>
        <v xml:space="preserve">Resolution of advice and consent to ratification agreed to in Senate by Division vote. (All Actions) </v>
      </c>
      <c r="K268" s="12" t="str">
        <f>INDEX(Table5[type],MATCH(Table4[[#This Row],[Action]],Table5[Action],0))</f>
        <v>Passed</v>
      </c>
      <c r="L268" s="22" t="b">
        <f>INDEX(Table1[Senate and President Same Party, House and President Different Party],MATCH(Table4[[#This Row],[Congress Acting]],Table1[Congress],0))</f>
        <v>0</v>
      </c>
    </row>
    <row r="269" spans="1:12" ht="157.5">
      <c r="A269" s="9" t="s">
        <v>491</v>
      </c>
      <c r="B269" t="s">
        <v>2057</v>
      </c>
      <c r="C269" s="9" t="s">
        <v>2058</v>
      </c>
      <c r="D269" s="13" t="s">
        <v>2059</v>
      </c>
      <c r="E269" s="9" t="s">
        <v>2060</v>
      </c>
      <c r="F26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69" s="9" t="s">
        <v>1052</v>
      </c>
      <c r="H269" s="9" t="s">
        <v>2061</v>
      </c>
      <c r="I269" s="12" t="str">
        <f>RIGHT(LEFT(Table4[[#This Row],[Latest Senate Action]],FIND(" Congress",Table4[[#This Row],[Latest Senate Action]])-1),LEN(LEFT(Table4[[#This Row],[Latest Senate Action]],FIND(" Congress",Table4[[#This Row],[Latest Senate Action]])-1))-FIND("-",Table4[[#This Row],[Latest Senate Action]])-1)</f>
        <v>105th</v>
      </c>
      <c r="J269" s="12" t="str">
        <f>RIGHT(Table4[[#This Row],[Latest Senate Action]],LEN(Table4[[#This Row],[Latest Senate Action]])-FIND(") - ",Table4[[#This Row],[Latest Senate Action]])-3)</f>
        <v xml:space="preserve">Resolution of advice and consent to ratification agreed to in Senate by Division vote. (All Actions) </v>
      </c>
      <c r="K269" s="12" t="str">
        <f>INDEX(Table5[type],MATCH(Table4[[#This Row],[Action]],Table5[Action],0))</f>
        <v>Passed</v>
      </c>
      <c r="L269" s="22" t="b">
        <f>INDEX(Table1[Senate and President Same Party, House and President Different Party],MATCH(Table4[[#This Row],[Congress Acting]],Table1[Congress],0))</f>
        <v>0</v>
      </c>
    </row>
    <row r="270" spans="1:12" ht="157.5">
      <c r="A270" s="9" t="s">
        <v>492</v>
      </c>
      <c r="B270" t="s">
        <v>2062</v>
      </c>
      <c r="C270" s="9" t="s">
        <v>2063</v>
      </c>
      <c r="D270" s="13" t="s">
        <v>2064</v>
      </c>
      <c r="E270" s="9" t="s">
        <v>2065</v>
      </c>
      <c r="F270"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70" s="9" t="s">
        <v>1112</v>
      </c>
      <c r="H270" s="9" t="s">
        <v>2061</v>
      </c>
      <c r="I270" s="12" t="str">
        <f>RIGHT(LEFT(Table4[[#This Row],[Latest Senate Action]],FIND(" Congress",Table4[[#This Row],[Latest Senate Action]])-1),LEN(LEFT(Table4[[#This Row],[Latest Senate Action]],FIND(" Congress",Table4[[#This Row],[Latest Senate Action]])-1))-FIND("-",Table4[[#This Row],[Latest Senate Action]])-1)</f>
        <v>105th</v>
      </c>
      <c r="J270" s="12" t="str">
        <f>RIGHT(Table4[[#This Row],[Latest Senate Action]],LEN(Table4[[#This Row],[Latest Senate Action]])-FIND(") - ",Table4[[#This Row],[Latest Senate Action]])-3)</f>
        <v xml:space="preserve">Resolution of advice and consent to ratification agreed to in Senate by Division vote. (All Actions) </v>
      </c>
      <c r="K270" s="12" t="str">
        <f>INDEX(Table5[type],MATCH(Table4[[#This Row],[Action]],Table5[Action],0))</f>
        <v>Passed</v>
      </c>
      <c r="L270" s="22" t="b">
        <f>INDEX(Table1[Senate and President Same Party, House and President Different Party],MATCH(Table4[[#This Row],[Congress Acting]],Table1[Congress],0))</f>
        <v>0</v>
      </c>
    </row>
    <row r="271" spans="1:12" ht="157.5">
      <c r="A271" s="9" t="s">
        <v>493</v>
      </c>
      <c r="B271" t="s">
        <v>2066</v>
      </c>
      <c r="C271" s="9" t="s">
        <v>2067</v>
      </c>
      <c r="D271" s="13" t="s">
        <v>2068</v>
      </c>
      <c r="E271" s="9" t="s">
        <v>2069</v>
      </c>
      <c r="F271"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1" s="9" t="s">
        <v>1052</v>
      </c>
      <c r="H271" s="9" t="s">
        <v>2061</v>
      </c>
      <c r="I271" s="12" t="str">
        <f>RIGHT(LEFT(Table4[[#This Row],[Latest Senate Action]],FIND(" Congress",Table4[[#This Row],[Latest Senate Action]])-1),LEN(LEFT(Table4[[#This Row],[Latest Senate Action]],FIND(" Congress",Table4[[#This Row],[Latest Senate Action]])-1))-FIND("-",Table4[[#This Row],[Latest Senate Action]])-1)</f>
        <v>105th</v>
      </c>
      <c r="J271" s="12" t="str">
        <f>RIGHT(Table4[[#This Row],[Latest Senate Action]],LEN(Table4[[#This Row],[Latest Senate Action]])-FIND(") - ",Table4[[#This Row],[Latest Senate Action]])-3)</f>
        <v xml:space="preserve">Resolution of advice and consent to ratification agreed to in Senate by Division vote. (All Actions) </v>
      </c>
      <c r="K271" s="12" t="str">
        <f>INDEX(Table5[type],MATCH(Table4[[#This Row],[Action]],Table5[Action],0))</f>
        <v>Passed</v>
      </c>
      <c r="L271" s="22" t="b">
        <f>INDEX(Table1[Senate and President Same Party, House and President Different Party],MATCH(Table4[[#This Row],[Congress Acting]],Table1[Congress],0))</f>
        <v>0</v>
      </c>
    </row>
    <row r="272" spans="1:12" ht="173.25">
      <c r="A272" s="9" t="s">
        <v>494</v>
      </c>
      <c r="B272" t="s">
        <v>2070</v>
      </c>
      <c r="C272" s="9" t="s">
        <v>2071</v>
      </c>
      <c r="D272" s="13" t="s">
        <v>2072</v>
      </c>
      <c r="E272" s="9" t="s">
        <v>2073</v>
      </c>
      <c r="F27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72" s="9" t="s">
        <v>1623</v>
      </c>
      <c r="H272" s="9" t="s">
        <v>2061</v>
      </c>
      <c r="I272" s="12" t="str">
        <f>RIGHT(LEFT(Table4[[#This Row],[Latest Senate Action]],FIND(" Congress",Table4[[#This Row],[Latest Senate Action]])-1),LEN(LEFT(Table4[[#This Row],[Latest Senate Action]],FIND(" Congress",Table4[[#This Row],[Latest Senate Action]])-1))-FIND("-",Table4[[#This Row],[Latest Senate Action]])-1)</f>
        <v>105th</v>
      </c>
      <c r="J272" s="12" t="str">
        <f>RIGHT(Table4[[#This Row],[Latest Senate Action]],LEN(Table4[[#This Row],[Latest Senate Action]])-FIND(") - ",Table4[[#This Row],[Latest Senate Action]])-3)</f>
        <v xml:space="preserve">Resolution of advice and consent to ratification agreed to in Senate by Division vote. (All Actions) </v>
      </c>
      <c r="K272" s="12" t="str">
        <f>INDEX(Table5[type],MATCH(Table4[[#This Row],[Action]],Table5[Action],0))</f>
        <v>Passed</v>
      </c>
      <c r="L272" s="22" t="b">
        <f>INDEX(Table1[Senate and President Same Party, House and President Different Party],MATCH(Table4[[#This Row],[Congress Acting]],Table1[Congress],0))</f>
        <v>0</v>
      </c>
    </row>
    <row r="273" spans="1:12" ht="220.5">
      <c r="A273" s="9" t="s">
        <v>495</v>
      </c>
      <c r="B273" t="s">
        <v>2074</v>
      </c>
      <c r="C273" s="9" t="s">
        <v>2075</v>
      </c>
      <c r="D273" s="13" t="s">
        <v>2076</v>
      </c>
      <c r="E273" s="9" t="s">
        <v>2077</v>
      </c>
      <c r="F273"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3" s="9" t="s">
        <v>1013</v>
      </c>
      <c r="H273" s="9" t="s">
        <v>2078</v>
      </c>
      <c r="I273" s="12" t="str">
        <f>RIGHT(LEFT(Table4[[#This Row],[Latest Senate Action]],FIND(" Congress",Table4[[#This Row],[Latest Senate Action]])-1),LEN(LEFT(Table4[[#This Row],[Latest Senate Action]],FIND(" Congress",Table4[[#This Row],[Latest Senate Action]])-1))-FIND("-",Table4[[#This Row],[Latest Senate Action]])-1)</f>
        <v>105th</v>
      </c>
      <c r="J273" s="12" t="str">
        <f>RIGHT(Table4[[#This Row],[Latest Senate Action]],LEN(Table4[[#This Row],[Latest Senate Action]])-FIND(") - ",Table4[[#This Row],[Latest Senate Action]])-3)</f>
        <v xml:space="preserve">Received in the Senate and referred to the Committee on Foreign Relations by unanimous consent. (All Actions) </v>
      </c>
      <c r="K273" s="12" t="str">
        <f>INDEX(Table5[type],MATCH(Table4[[#This Row],[Action]],Table5[Action],0))</f>
        <v>In Process</v>
      </c>
      <c r="L273" s="22" t="b">
        <f>INDEX(Table1[Senate and President Same Party, House and President Different Party],MATCH(Table4[[#This Row],[Congress Acting]],Table1[Congress],0))</f>
        <v>0</v>
      </c>
    </row>
    <row r="274" spans="1:12" ht="189">
      <c r="A274" s="9" t="s">
        <v>496</v>
      </c>
      <c r="B274" t="s">
        <v>2079</v>
      </c>
      <c r="C274" s="9" t="s">
        <v>2080</v>
      </c>
      <c r="D274" s="13" t="s">
        <v>2081</v>
      </c>
      <c r="E274" s="9" t="s">
        <v>2082</v>
      </c>
      <c r="F274"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4" s="9" t="s">
        <v>1106</v>
      </c>
      <c r="H274" s="9" t="s">
        <v>2083</v>
      </c>
      <c r="I274" s="12" t="str">
        <f>RIGHT(LEFT(Table4[[#This Row],[Latest Senate Action]],FIND(" Congress",Table4[[#This Row],[Latest Senate Action]])-1),LEN(LEFT(Table4[[#This Row],[Latest Senate Action]],FIND(" Congress",Table4[[#This Row],[Latest Senate Action]])-1))-FIND("-",Table4[[#This Row],[Latest Senate Action]])-1)</f>
        <v>105th</v>
      </c>
      <c r="J274" s="12" t="str">
        <f>RIGHT(Table4[[#This Row],[Latest Senate Action]],LEN(Table4[[#This Row],[Latest Senate Action]])-FIND(") - ",Table4[[#This Row],[Latest Senate Action]])-3)</f>
        <v xml:space="preserve">Received in the Senate and referred to the Committee on Foreign Relations by unanimous consent. (All Actions) </v>
      </c>
      <c r="K274" s="12" t="str">
        <f>INDEX(Table5[type],MATCH(Table4[[#This Row],[Action]],Table5[Action],0))</f>
        <v>In Process</v>
      </c>
      <c r="L274" s="22" t="b">
        <f>INDEX(Table1[Senate and President Same Party, House and President Different Party],MATCH(Table4[[#This Row],[Congress Acting]],Table1[Congress],0))</f>
        <v>0</v>
      </c>
    </row>
    <row r="275" spans="1:12" ht="204.75">
      <c r="A275" s="9" t="s">
        <v>497</v>
      </c>
      <c r="B275" t="s">
        <v>2084</v>
      </c>
      <c r="C275" s="9" t="s">
        <v>2085</v>
      </c>
      <c r="D275" s="13" t="s">
        <v>2086</v>
      </c>
      <c r="E275" s="9" t="s">
        <v>2087</v>
      </c>
      <c r="F275"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5" s="9" t="s">
        <v>1038</v>
      </c>
      <c r="H275" s="9" t="s">
        <v>2088</v>
      </c>
      <c r="I275" s="12" t="str">
        <f>RIGHT(LEFT(Table4[[#This Row],[Latest Senate Action]],FIND(" Congress",Table4[[#This Row],[Latest Senate Action]])-1),LEN(LEFT(Table4[[#This Row],[Latest Senate Action]],FIND(" Congress",Table4[[#This Row],[Latest Senate Action]])-1))-FIND("-",Table4[[#This Row],[Latest Senate Action]])-1)</f>
        <v>105th</v>
      </c>
      <c r="J275" s="12" t="str">
        <f>RIGHT(Table4[[#This Row],[Latest Senate Action]],LEN(Table4[[#This Row],[Latest Senate Action]])-FIND(") - ",Table4[[#This Row],[Latest Senate Action]])-3)</f>
        <v xml:space="preserve">Resolution of advice and consent to ratification agreed to in Senate by Yea-Nay vote. 80-19. Record Vote No: 117 EX. (All Actions) </v>
      </c>
      <c r="K275" s="12" t="str">
        <f>INDEX(Table5[type],MATCH(Table4[[#This Row],[Action]],Table5[Action],0))</f>
        <v>Passed</v>
      </c>
      <c r="L275" s="22" t="b">
        <f>INDEX(Table1[Senate and President Same Party, House and President Different Party],MATCH(Table4[[#This Row],[Congress Acting]],Table1[Congress],0))</f>
        <v>0</v>
      </c>
    </row>
    <row r="276" spans="1:12" ht="204.75">
      <c r="A276" s="9" t="s">
        <v>498</v>
      </c>
      <c r="B276" t="s">
        <v>2089</v>
      </c>
      <c r="C276" s="9" t="s">
        <v>2090</v>
      </c>
      <c r="D276" s="13" t="s">
        <v>2091</v>
      </c>
      <c r="E276" s="9" t="s">
        <v>1246</v>
      </c>
      <c r="F276"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6" s="9" t="s">
        <v>1101</v>
      </c>
      <c r="H276" s="9" t="s">
        <v>2092</v>
      </c>
      <c r="I276" s="12" t="str">
        <f>RIGHT(LEFT(Table4[[#This Row],[Latest Senate Action]],FIND(" Congress",Table4[[#This Row],[Latest Senate Action]])-1),LEN(LEFT(Table4[[#This Row],[Latest Senate Action]],FIND(" Congress",Table4[[#This Row],[Latest Senate Action]])-1))-FIND("-",Table4[[#This Row],[Latest Senate Action]])-1)</f>
        <v>105th</v>
      </c>
      <c r="J276" s="12" t="str">
        <f>RIGHT(Table4[[#This Row],[Latest Senate Action]],LEN(Table4[[#This Row],[Latest Senate Action]])-FIND(") - ",Table4[[#This Row],[Latest Senate Action]])-3)</f>
        <v xml:space="preserve">Committee on Foreign Relations. Treaty divided into 3 treaties. Created 105-1A: Amended Mines Protocol and 105-1B: Incendiary Weapons Protocol and 105-1C:Protocol on Blinding Laser Weapons. (All Actions) </v>
      </c>
      <c r="K276" s="12" t="str">
        <f>INDEX(Table5[type],MATCH(Table4[[#This Row],[Action]],Table5[Action],0))</f>
        <v>Not Passed - Divided into new treaties</v>
      </c>
      <c r="L276" s="22" t="b">
        <f>INDEX(Table1[Senate and President Same Party, House and President Different Party],MATCH(Table4[[#This Row],[Congress Acting]],Table1[Congress],0))</f>
        <v>0</v>
      </c>
    </row>
    <row r="277" spans="1:12" ht="157.5">
      <c r="A277" s="9" t="s">
        <v>499</v>
      </c>
      <c r="B277" t="s">
        <v>2093</v>
      </c>
      <c r="C277" s="9" t="s">
        <v>2094</v>
      </c>
      <c r="D277" s="13" t="s">
        <v>2095</v>
      </c>
      <c r="E277" s="9" t="s">
        <v>2096</v>
      </c>
      <c r="F27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7" s="9" t="s">
        <v>1063</v>
      </c>
      <c r="H277" s="9" t="s">
        <v>2097</v>
      </c>
      <c r="I277" s="12" t="str">
        <f>RIGHT(LEFT(Table4[[#This Row],[Latest Senate Action]],FIND(" Congress",Table4[[#This Row],[Latest Senate Action]])-1),LEN(LEFT(Table4[[#This Row],[Latest Senate Action]],FIND(" Congress",Table4[[#This Row],[Latest Senate Action]])-1))-FIND("-",Table4[[#This Row],[Latest Senate Action]])-1)</f>
        <v>105th</v>
      </c>
      <c r="J277" s="12" t="str">
        <f>RIGHT(Table4[[#This Row],[Latest Senate Action]],LEN(Table4[[#This Row],[Latest Senate Action]])-FIND(") - ",Table4[[#This Row],[Latest Senate Action]])-3)</f>
        <v xml:space="preserve">Resolution of advice and consent to ratification agreed to in Senate by Division vote. (All Actions) </v>
      </c>
      <c r="K277" s="12" t="str">
        <f>INDEX(Table5[type],MATCH(Table4[[#This Row],[Action]],Table5[Action],0))</f>
        <v>Passed</v>
      </c>
      <c r="L277" s="22" t="b">
        <f>INDEX(Table1[Senate and President Same Party, House and President Different Party],MATCH(Table4[[#This Row],[Congress Acting]],Table1[Congress],0))</f>
        <v>0</v>
      </c>
    </row>
    <row r="278" spans="1:12" ht="157.5">
      <c r="A278" s="9" t="s">
        <v>500</v>
      </c>
      <c r="B278" t="s">
        <v>2098</v>
      </c>
      <c r="C278" s="9" t="s">
        <v>2099</v>
      </c>
      <c r="D278" s="13" t="s">
        <v>2100</v>
      </c>
      <c r="E278" s="9" t="s">
        <v>2101</v>
      </c>
      <c r="F278"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8" s="9" t="s">
        <v>1063</v>
      </c>
      <c r="H278" s="9" t="s">
        <v>2097</v>
      </c>
      <c r="I278" s="12" t="str">
        <f>RIGHT(LEFT(Table4[[#This Row],[Latest Senate Action]],FIND(" Congress",Table4[[#This Row],[Latest Senate Action]])-1),LEN(LEFT(Table4[[#This Row],[Latest Senate Action]],FIND(" Congress",Table4[[#This Row],[Latest Senate Action]])-1))-FIND("-",Table4[[#This Row],[Latest Senate Action]])-1)</f>
        <v>105th</v>
      </c>
      <c r="J278" s="12" t="str">
        <f>RIGHT(Table4[[#This Row],[Latest Senate Action]],LEN(Table4[[#This Row],[Latest Senate Action]])-FIND(") - ",Table4[[#This Row],[Latest Senate Action]])-3)</f>
        <v xml:space="preserve">Resolution of advice and consent to ratification agreed to in Senate by Division vote. (All Actions) </v>
      </c>
      <c r="K278" s="12" t="str">
        <f>INDEX(Table5[type],MATCH(Table4[[#This Row],[Action]],Table5[Action],0))</f>
        <v>Passed</v>
      </c>
      <c r="L278" s="22" t="b">
        <f>INDEX(Table1[Senate and President Same Party, House and President Different Party],MATCH(Table4[[#This Row],[Congress Acting]],Table1[Congress],0))</f>
        <v>0</v>
      </c>
    </row>
    <row r="279" spans="1:12" ht="141.75">
      <c r="A279" s="9" t="s">
        <v>501</v>
      </c>
      <c r="B279" t="s">
        <v>2102</v>
      </c>
      <c r="C279" s="9" t="s">
        <v>2103</v>
      </c>
      <c r="D279" s="13" t="s">
        <v>2104</v>
      </c>
      <c r="E279" s="9" t="s">
        <v>2105</v>
      </c>
      <c r="F279"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79" s="9" t="s">
        <v>1063</v>
      </c>
      <c r="H279" s="9" t="s">
        <v>2097</v>
      </c>
      <c r="I279" s="12" t="str">
        <f>RIGHT(LEFT(Table4[[#This Row],[Latest Senate Action]],FIND(" Congress",Table4[[#This Row],[Latest Senate Action]])-1),LEN(LEFT(Table4[[#This Row],[Latest Senate Action]],FIND(" Congress",Table4[[#This Row],[Latest Senate Action]])-1))-FIND("-",Table4[[#This Row],[Latest Senate Action]])-1)</f>
        <v>105th</v>
      </c>
      <c r="J279" s="12" t="str">
        <f>RIGHT(Table4[[#This Row],[Latest Senate Action]],LEN(Table4[[#This Row],[Latest Senate Action]])-FIND(") - ",Table4[[#This Row],[Latest Senate Action]])-3)</f>
        <v xml:space="preserve">Resolution of advice and consent to ratification agreed to in Senate by Division vote. (All Actions) </v>
      </c>
      <c r="K279" s="12" t="str">
        <f>INDEX(Table5[type],MATCH(Table4[[#This Row],[Action]],Table5[Action],0))</f>
        <v>Passed</v>
      </c>
      <c r="L279" s="22" t="b">
        <f>INDEX(Table1[Senate and President Same Party, House and President Different Party],MATCH(Table4[[#This Row],[Congress Acting]],Table1[Congress],0))</f>
        <v>0</v>
      </c>
    </row>
    <row r="280" spans="1:12" ht="157.5">
      <c r="A280" s="9" t="s">
        <v>502</v>
      </c>
      <c r="B280" t="s">
        <v>2106</v>
      </c>
      <c r="C280" s="9" t="s">
        <v>2107</v>
      </c>
      <c r="D280" s="13" t="s">
        <v>2108</v>
      </c>
      <c r="E280" s="9" t="s">
        <v>1660</v>
      </c>
      <c r="F28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80" s="9" t="s">
        <v>1063</v>
      </c>
      <c r="H280" s="9" t="s">
        <v>2097</v>
      </c>
      <c r="I280" s="12" t="str">
        <f>RIGHT(LEFT(Table4[[#This Row],[Latest Senate Action]],FIND(" Congress",Table4[[#This Row],[Latest Senate Action]])-1),LEN(LEFT(Table4[[#This Row],[Latest Senate Action]],FIND(" Congress",Table4[[#This Row],[Latest Senate Action]])-1))-FIND("-",Table4[[#This Row],[Latest Senate Action]])-1)</f>
        <v>105th</v>
      </c>
      <c r="J280" s="12" t="str">
        <f>RIGHT(Table4[[#This Row],[Latest Senate Action]],LEN(Table4[[#This Row],[Latest Senate Action]])-FIND(") - ",Table4[[#This Row],[Latest Senate Action]])-3)</f>
        <v xml:space="preserve">Resolution of advice and consent to ratification agreed to in Senate by Division vote. (All Actions) </v>
      </c>
      <c r="K280" s="12" t="str">
        <f>INDEX(Table5[type],MATCH(Table4[[#This Row],[Action]],Table5[Action],0))</f>
        <v>Passed</v>
      </c>
      <c r="L280" s="22" t="b">
        <f>INDEX(Table1[Senate and President Same Party, House and President Different Party],MATCH(Table4[[#This Row],[Congress Acting]],Table1[Congress],0))</f>
        <v>0</v>
      </c>
    </row>
    <row r="281" spans="1:12" ht="141.75">
      <c r="A281" s="9" t="s">
        <v>503</v>
      </c>
      <c r="B281" t="s">
        <v>2109</v>
      </c>
      <c r="C281" s="9" t="s">
        <v>2110</v>
      </c>
      <c r="D281" s="13" t="s">
        <v>2111</v>
      </c>
      <c r="E281" s="9" t="s">
        <v>2112</v>
      </c>
      <c r="F281"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81" s="9" t="s">
        <v>1063</v>
      </c>
      <c r="H281" s="9" t="s">
        <v>2097</v>
      </c>
      <c r="I281" s="12" t="str">
        <f>RIGHT(LEFT(Table4[[#This Row],[Latest Senate Action]],FIND(" Congress",Table4[[#This Row],[Latest Senate Action]])-1),LEN(LEFT(Table4[[#This Row],[Latest Senate Action]],FIND(" Congress",Table4[[#This Row],[Latest Senate Action]])-1))-FIND("-",Table4[[#This Row],[Latest Senate Action]])-1)</f>
        <v>105th</v>
      </c>
      <c r="J281" s="12" t="str">
        <f>RIGHT(Table4[[#This Row],[Latest Senate Action]],LEN(Table4[[#This Row],[Latest Senate Action]])-FIND(") - ",Table4[[#This Row],[Latest Senate Action]])-3)</f>
        <v xml:space="preserve">Resolution of advice and consent to ratification agreed to in Senate by Division vote. (All Actions) </v>
      </c>
      <c r="K281" s="12" t="str">
        <f>INDEX(Table5[type],MATCH(Table4[[#This Row],[Action]],Table5[Action],0))</f>
        <v>Passed</v>
      </c>
      <c r="L281" s="22" t="b">
        <f>INDEX(Table1[Senate and President Same Party, House and President Different Party],MATCH(Table4[[#This Row],[Congress Acting]],Table1[Congress],0))</f>
        <v>0</v>
      </c>
    </row>
    <row r="282" spans="1:12" ht="141.75">
      <c r="A282" s="9" t="s">
        <v>504</v>
      </c>
      <c r="B282" t="s">
        <v>2113</v>
      </c>
      <c r="C282" s="9" t="s">
        <v>2114</v>
      </c>
      <c r="D282" s="13" t="s">
        <v>2115</v>
      </c>
      <c r="E282" s="9" t="s">
        <v>2116</v>
      </c>
      <c r="F28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82" s="9" t="s">
        <v>1063</v>
      </c>
      <c r="H282" s="9" t="s">
        <v>2097</v>
      </c>
      <c r="I282" s="12" t="str">
        <f>RIGHT(LEFT(Table4[[#This Row],[Latest Senate Action]],FIND(" Congress",Table4[[#This Row],[Latest Senate Action]])-1),LEN(LEFT(Table4[[#This Row],[Latest Senate Action]],FIND(" Congress",Table4[[#This Row],[Latest Senate Action]])-1))-FIND("-",Table4[[#This Row],[Latest Senate Action]])-1)</f>
        <v>105th</v>
      </c>
      <c r="J282" s="12" t="str">
        <f>RIGHT(Table4[[#This Row],[Latest Senate Action]],LEN(Table4[[#This Row],[Latest Senate Action]])-FIND(") - ",Table4[[#This Row],[Latest Senate Action]])-3)</f>
        <v xml:space="preserve">Resolution of advice and consent to ratification agreed to in Senate by Division vote. (All Actions) </v>
      </c>
      <c r="K282" s="12" t="str">
        <f>INDEX(Table5[type],MATCH(Table4[[#This Row],[Action]],Table5[Action],0))</f>
        <v>Passed</v>
      </c>
      <c r="L282" s="22" t="b">
        <f>INDEX(Table1[Senate and President Same Party, House and President Different Party],MATCH(Table4[[#This Row],[Congress Acting]],Table1[Congress],0))</f>
        <v>0</v>
      </c>
    </row>
    <row r="283" spans="1:12" ht="141.75">
      <c r="A283" s="9" t="s">
        <v>505</v>
      </c>
      <c r="B283" t="s">
        <v>2117</v>
      </c>
      <c r="C283" s="9" t="s">
        <v>2118</v>
      </c>
      <c r="D283" s="13" t="s">
        <v>2119</v>
      </c>
      <c r="E283" s="9" t="s">
        <v>2120</v>
      </c>
      <c r="F283"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83" s="9" t="s">
        <v>1063</v>
      </c>
      <c r="H283" s="9" t="s">
        <v>2097</v>
      </c>
      <c r="I283" s="12" t="str">
        <f>RIGHT(LEFT(Table4[[#This Row],[Latest Senate Action]],FIND(" Congress",Table4[[#This Row],[Latest Senate Action]])-1),LEN(LEFT(Table4[[#This Row],[Latest Senate Action]],FIND(" Congress",Table4[[#This Row],[Latest Senate Action]])-1))-FIND("-",Table4[[#This Row],[Latest Senate Action]])-1)</f>
        <v>105th</v>
      </c>
      <c r="J283" s="12" t="str">
        <f>RIGHT(Table4[[#This Row],[Latest Senate Action]],LEN(Table4[[#This Row],[Latest Senate Action]])-FIND(") - ",Table4[[#This Row],[Latest Senate Action]])-3)</f>
        <v xml:space="preserve">Resolution of advice and consent to ratification agreed to in Senate by Division vote. (All Actions) </v>
      </c>
      <c r="K283" s="12" t="str">
        <f>INDEX(Table5[type],MATCH(Table4[[#This Row],[Action]],Table5[Action],0))</f>
        <v>Passed</v>
      </c>
      <c r="L283" s="22" t="b">
        <f>INDEX(Table1[Senate and President Same Party, House and President Different Party],MATCH(Table4[[#This Row],[Congress Acting]],Table1[Congress],0))</f>
        <v>0</v>
      </c>
    </row>
    <row r="284" spans="1:12" ht="157.5">
      <c r="A284" s="9" t="s">
        <v>506</v>
      </c>
      <c r="B284" t="s">
        <v>2121</v>
      </c>
      <c r="C284" s="9" t="s">
        <v>2122</v>
      </c>
      <c r="D284" s="13" t="s">
        <v>2123</v>
      </c>
      <c r="E284" s="9" t="s">
        <v>2116</v>
      </c>
      <c r="F284"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84" s="9" t="s">
        <v>1063</v>
      </c>
      <c r="H284" s="9" t="s">
        <v>2097</v>
      </c>
      <c r="I284" s="12" t="str">
        <f>RIGHT(LEFT(Table4[[#This Row],[Latest Senate Action]],FIND(" Congress",Table4[[#This Row],[Latest Senate Action]])-1),LEN(LEFT(Table4[[#This Row],[Latest Senate Action]],FIND(" Congress",Table4[[#This Row],[Latest Senate Action]])-1))-FIND("-",Table4[[#This Row],[Latest Senate Action]])-1)</f>
        <v>105th</v>
      </c>
      <c r="J284" s="12" t="str">
        <f>RIGHT(Table4[[#This Row],[Latest Senate Action]],LEN(Table4[[#This Row],[Latest Senate Action]])-FIND(") - ",Table4[[#This Row],[Latest Senate Action]])-3)</f>
        <v xml:space="preserve">Resolution of advice and consent to ratification agreed to in Senate by Division vote. (All Actions) </v>
      </c>
      <c r="K284" s="12" t="str">
        <f>INDEX(Table5[type],MATCH(Table4[[#This Row],[Action]],Table5[Action],0))</f>
        <v>Passed</v>
      </c>
      <c r="L284" s="22" t="b">
        <f>INDEX(Table1[Senate and President Same Party, House and President Different Party],MATCH(Table4[[#This Row],[Congress Acting]],Table1[Congress],0))</f>
        <v>0</v>
      </c>
    </row>
    <row r="285" spans="1:12" ht="173.25">
      <c r="A285" s="9" t="s">
        <v>507</v>
      </c>
      <c r="B285" t="s">
        <v>2124</v>
      </c>
      <c r="C285" s="9" t="s">
        <v>2125</v>
      </c>
      <c r="D285" s="13" t="s">
        <v>2126</v>
      </c>
      <c r="E285" s="9" t="s">
        <v>2127</v>
      </c>
      <c r="F285"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85" s="9" t="s">
        <v>1164</v>
      </c>
      <c r="H285" s="9" t="s">
        <v>2128</v>
      </c>
      <c r="I285" s="12" t="str">
        <f>RIGHT(LEFT(Table4[[#This Row],[Latest Senate Action]],FIND(" Congress",Table4[[#This Row],[Latest Senate Action]])-1),LEN(LEFT(Table4[[#This Row],[Latest Senate Action]],FIND(" Congress",Table4[[#This Row],[Latest Senate Action]])-1))-FIND("-",Table4[[#This Row],[Latest Senate Action]])-1)</f>
        <v>105th</v>
      </c>
      <c r="J285" s="12" t="str">
        <f>RIGHT(Table4[[#This Row],[Latest Senate Action]],LEN(Table4[[#This Row],[Latest Senate Action]])-FIND(") - ",Table4[[#This Row],[Latest Senate Action]])-3)</f>
        <v xml:space="preserve">Resolution of advice and consent to ratification agreed to in Senate by Division vote. (All Actions) </v>
      </c>
      <c r="K285" s="12" t="str">
        <f>INDEX(Table5[type],MATCH(Table4[[#This Row],[Action]],Table5[Action],0))</f>
        <v>Passed</v>
      </c>
      <c r="L285" s="22" t="b">
        <f>INDEX(Table1[Senate and President Same Party, House and President Different Party],MATCH(Table4[[#This Row],[Congress Acting]],Table1[Congress],0))</f>
        <v>0</v>
      </c>
    </row>
    <row r="286" spans="1:12" ht="141.75">
      <c r="A286" s="9" t="s">
        <v>508</v>
      </c>
      <c r="B286" t="s">
        <v>2129</v>
      </c>
      <c r="C286" s="9" t="s">
        <v>2130</v>
      </c>
      <c r="D286" s="13" t="s">
        <v>3893</v>
      </c>
      <c r="E286" s="9" t="s">
        <v>2131</v>
      </c>
      <c r="F28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286" s="9" t="s">
        <v>1623</v>
      </c>
      <c r="H286" s="9" t="s">
        <v>2128</v>
      </c>
      <c r="I286" s="12" t="str">
        <f>RIGHT(LEFT(Table4[[#This Row],[Latest Senate Action]],FIND(" Congress",Table4[[#This Row],[Latest Senate Action]])-1),LEN(LEFT(Table4[[#This Row],[Latest Senate Action]],FIND(" Congress",Table4[[#This Row],[Latest Senate Action]])-1))-FIND("-",Table4[[#This Row],[Latest Senate Action]])-1)</f>
        <v>105th</v>
      </c>
      <c r="J286" s="12" t="str">
        <f>RIGHT(Table4[[#This Row],[Latest Senate Action]],LEN(Table4[[#This Row],[Latest Senate Action]])-FIND(") - ",Table4[[#This Row],[Latest Senate Action]])-3)</f>
        <v xml:space="preserve">Resolution of advice and consent to ratification agreed to in Senate by Division vote. (All Actions) </v>
      </c>
      <c r="K286" s="12" t="str">
        <f>INDEX(Table5[type],MATCH(Table4[[#This Row],[Action]],Table5[Action],0))</f>
        <v>Passed</v>
      </c>
      <c r="L286" s="22" t="b">
        <f>INDEX(Table1[Senate and President Same Party, House and President Different Party],MATCH(Table4[[#This Row],[Congress Acting]],Table1[Congress],0))</f>
        <v>0</v>
      </c>
    </row>
    <row r="287" spans="1:12" ht="189">
      <c r="A287" s="9" t="s">
        <v>509</v>
      </c>
      <c r="B287" t="s">
        <v>2132</v>
      </c>
      <c r="C287" s="9" t="s">
        <v>2133</v>
      </c>
      <c r="D287" s="13" t="s">
        <v>2134</v>
      </c>
      <c r="E287" s="9" t="s">
        <v>2135</v>
      </c>
      <c r="F287"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87" s="9" t="s">
        <v>1112</v>
      </c>
      <c r="H287" s="9" t="s">
        <v>2128</v>
      </c>
      <c r="I287" s="12" t="str">
        <f>RIGHT(LEFT(Table4[[#This Row],[Latest Senate Action]],FIND(" Congress",Table4[[#This Row],[Latest Senate Action]])-1),LEN(LEFT(Table4[[#This Row],[Latest Senate Action]],FIND(" Congress",Table4[[#This Row],[Latest Senate Action]])-1))-FIND("-",Table4[[#This Row],[Latest Senate Action]])-1)</f>
        <v>105th</v>
      </c>
      <c r="J287" s="12" t="str">
        <f>RIGHT(Table4[[#This Row],[Latest Senate Action]],LEN(Table4[[#This Row],[Latest Senate Action]])-FIND(") - ",Table4[[#This Row],[Latest Senate Action]])-3)</f>
        <v xml:space="preserve">Resolution of advice and consent to ratification agreed to in Senate by Division vote. (All Actions) </v>
      </c>
      <c r="K287" s="12" t="str">
        <f>INDEX(Table5[type],MATCH(Table4[[#This Row],[Action]],Table5[Action],0))</f>
        <v>Passed</v>
      </c>
      <c r="L287" s="22" t="b">
        <f>INDEX(Table1[Senate and President Same Party, House and President Different Party],MATCH(Table4[[#This Row],[Congress Acting]],Table1[Congress],0))</f>
        <v>0</v>
      </c>
    </row>
    <row r="288" spans="1:12" ht="173.25">
      <c r="A288" s="9" t="s">
        <v>510</v>
      </c>
      <c r="B288" t="s">
        <v>176</v>
      </c>
      <c r="C288" s="9" t="s">
        <v>2136</v>
      </c>
      <c r="D288" s="13" t="s">
        <v>2137</v>
      </c>
      <c r="E288" s="9" t="s">
        <v>1725</v>
      </c>
      <c r="F288"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88" s="9" t="s">
        <v>1112</v>
      </c>
      <c r="H288" s="9" t="s">
        <v>2128</v>
      </c>
      <c r="I288" s="12" t="str">
        <f>RIGHT(LEFT(Table4[[#This Row],[Latest Senate Action]],FIND(" Congress",Table4[[#This Row],[Latest Senate Action]])-1),LEN(LEFT(Table4[[#This Row],[Latest Senate Action]],FIND(" Congress",Table4[[#This Row],[Latest Senate Action]])-1))-FIND("-",Table4[[#This Row],[Latest Senate Action]])-1)</f>
        <v>105th</v>
      </c>
      <c r="J288" s="12" t="str">
        <f>RIGHT(Table4[[#This Row],[Latest Senate Action]],LEN(Table4[[#This Row],[Latest Senate Action]])-FIND(") - ",Table4[[#This Row],[Latest Senate Action]])-3)</f>
        <v xml:space="preserve">Resolution of advice and consent to ratification agreed to in Senate by Division vote. (All Actions) </v>
      </c>
      <c r="K288" s="12" t="str">
        <f>INDEX(Table5[type],MATCH(Table4[[#This Row],[Action]],Table5[Action],0))</f>
        <v>Passed</v>
      </c>
      <c r="L288" s="22" t="b">
        <f>INDEX(Table1[Senate and President Same Party, House and President Different Party],MATCH(Table4[[#This Row],[Congress Acting]],Table1[Congress],0))</f>
        <v>0</v>
      </c>
    </row>
    <row r="289" spans="1:12" ht="189">
      <c r="A289" s="9" t="s">
        <v>511</v>
      </c>
      <c r="B289" t="s">
        <v>2138</v>
      </c>
      <c r="C289" s="9" t="s">
        <v>2139</v>
      </c>
      <c r="D289" s="13" t="s">
        <v>2140</v>
      </c>
      <c r="E289" s="9" t="s">
        <v>2141</v>
      </c>
      <c r="F289"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89" s="9" t="s">
        <v>1038</v>
      </c>
      <c r="H289" s="9" t="s">
        <v>2128</v>
      </c>
      <c r="I289" s="12" t="str">
        <f>RIGHT(LEFT(Table4[[#This Row],[Latest Senate Action]],FIND(" Congress",Table4[[#This Row],[Latest Senate Action]])-1),LEN(LEFT(Table4[[#This Row],[Latest Senate Action]],FIND(" Congress",Table4[[#This Row],[Latest Senate Action]])-1))-FIND("-",Table4[[#This Row],[Latest Senate Action]])-1)</f>
        <v>105th</v>
      </c>
      <c r="J289" s="12" t="str">
        <f>RIGHT(Table4[[#This Row],[Latest Senate Action]],LEN(Table4[[#This Row],[Latest Senate Action]])-FIND(") - ",Table4[[#This Row],[Latest Senate Action]])-3)</f>
        <v xml:space="preserve">Resolution of advice and consent to ratification agreed to in Senate by Division vote. (All Actions) </v>
      </c>
      <c r="K289" s="12" t="str">
        <f>INDEX(Table5[type],MATCH(Table4[[#This Row],[Action]],Table5[Action],0))</f>
        <v>Passed</v>
      </c>
      <c r="L289" s="22" t="b">
        <f>INDEX(Table1[Senate and President Same Party, House and President Different Party],MATCH(Table4[[#This Row],[Congress Acting]],Table1[Congress],0))</f>
        <v>0</v>
      </c>
    </row>
    <row r="290" spans="1:12" ht="173.25">
      <c r="A290" s="9" t="s">
        <v>512</v>
      </c>
      <c r="B290" t="s">
        <v>2142</v>
      </c>
      <c r="C290" s="9" t="s">
        <v>2143</v>
      </c>
      <c r="D290" s="13" t="s">
        <v>2144</v>
      </c>
      <c r="E290" s="9" t="s">
        <v>2060</v>
      </c>
      <c r="F290" t="str">
        <f>RIGHT(LEFT(Table4[[#This Row],[Date Received from President]],FIND(" Congress",Table4[[#This Row],[Date Received from President]])-1),LEN(LEFT(Table4[[#This Row],[Date Received from President]],FIND(" Congress",Table4[[#This Row],[Date Received from President]])-1))-FIND("-",Table4[[#This Row],[Date Received from President]])-1)</f>
        <v>105th</v>
      </c>
      <c r="G290" s="9" t="s">
        <v>1101</v>
      </c>
      <c r="H290" s="9" t="s">
        <v>2145</v>
      </c>
      <c r="I290" s="12" t="str">
        <f>RIGHT(LEFT(Table4[[#This Row],[Latest Senate Action]],FIND(" Congress",Table4[[#This Row],[Latest Senate Action]])-1),LEN(LEFT(Table4[[#This Row],[Latest Senate Action]],FIND(" Congress",Table4[[#This Row],[Latest Senate Action]])-1))-FIND("-",Table4[[#This Row],[Latest Senate Action]])-1)</f>
        <v>105th</v>
      </c>
      <c r="J290" s="12" t="str">
        <f>RIGHT(Table4[[#This Row],[Latest Senate Action]],LEN(Table4[[#This Row],[Latest Senate Action]])-FIND(") - ",Table4[[#This Row],[Latest Senate Action]])-3)</f>
        <v xml:space="preserve">Resolution of advice and consent to ratification agreed to in Senate by Yea-Nay vote. 100-0. Record Vote No: 67 EX. (All Actions) </v>
      </c>
      <c r="K290" s="12" t="str">
        <f>INDEX(Table5[type],MATCH(Table4[[#This Row],[Action]],Table5[Action],0))</f>
        <v>Passed</v>
      </c>
      <c r="L290" s="22" t="b">
        <f>INDEX(Table1[Senate and President Same Party, House and President Different Party],MATCH(Table4[[#This Row],[Congress Acting]],Table1[Congress],0))</f>
        <v>0</v>
      </c>
    </row>
    <row r="291" spans="1:12" ht="157.5">
      <c r="A291" s="9" t="s">
        <v>513</v>
      </c>
      <c r="B291" t="s">
        <v>2146</v>
      </c>
      <c r="C291" s="9" t="s">
        <v>2147</v>
      </c>
      <c r="D291" s="13" t="s">
        <v>3794</v>
      </c>
      <c r="E291" s="9" t="s">
        <v>2148</v>
      </c>
      <c r="F291"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291" s="9" t="s">
        <v>1101</v>
      </c>
      <c r="H291" s="9" t="s">
        <v>2149</v>
      </c>
      <c r="I291" s="12" t="str">
        <f>RIGHT(LEFT(Table4[[#This Row],[Latest Senate Action]],FIND(" Congress",Table4[[#This Row],[Latest Senate Action]])-1),LEN(LEFT(Table4[[#This Row],[Latest Senate Action]],FIND(" Congress",Table4[[#This Row],[Latest Senate Action]])-1))-FIND("-",Table4[[#This Row],[Latest Senate Action]])-1)</f>
        <v>105th</v>
      </c>
      <c r="J291" s="12" t="str">
        <f>RIGHT(Table4[[#This Row],[Latest Senate Action]],LEN(Table4[[#This Row],[Latest Senate Action]])-FIND(") - ",Table4[[#This Row],[Latest Senate Action]])-3)</f>
        <v xml:space="preserve">Resolution of advice and consent to ratification agreed to in Senate by Yea-Nay Vote. 74 - 26. Record Vote Number: 51. (All Actions) </v>
      </c>
      <c r="K291" s="12" t="str">
        <f>INDEX(Table5[type],MATCH(Table4[[#This Row],[Action]],Table5[Action],0))</f>
        <v>Passed</v>
      </c>
      <c r="L291" s="22" t="b">
        <f>INDEX(Table1[Senate and President Same Party, House and President Different Party],MATCH(Table4[[#This Row],[Congress Acting]],Table1[Congress],0))</f>
        <v>0</v>
      </c>
    </row>
    <row r="292" spans="1:12" ht="157.5">
      <c r="A292" s="9" t="s">
        <v>514</v>
      </c>
      <c r="B292" t="s">
        <v>2150</v>
      </c>
      <c r="C292" s="9" t="s">
        <v>2151</v>
      </c>
      <c r="D292" s="13" t="s">
        <v>2152</v>
      </c>
      <c r="E292" s="9" t="s">
        <v>2153</v>
      </c>
      <c r="F29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2" s="9" t="s">
        <v>1063</v>
      </c>
      <c r="H292" s="9" t="s">
        <v>2154</v>
      </c>
      <c r="I292" s="12" t="str">
        <f>RIGHT(LEFT(Table4[[#This Row],[Latest Senate Action]],FIND(" Congress",Table4[[#This Row],[Latest Senate Action]])-1),LEN(LEFT(Table4[[#This Row],[Latest Senate Action]],FIND(" Congress",Table4[[#This Row],[Latest Senate Action]])-1))-FIND("-",Table4[[#This Row],[Latest Senate Action]])-1)</f>
        <v>104th</v>
      </c>
      <c r="J292" s="12" t="str">
        <f>RIGHT(Table4[[#This Row],[Latest Senate Action]],LEN(Table4[[#This Row],[Latest Senate Action]])-FIND(") - ",Table4[[#This Row],[Latest Senate Action]])-3)</f>
        <v xml:space="preserve">Resolution of advice and consent to ratification agreed to in Senate by Division vote. (All Actions) </v>
      </c>
      <c r="K292" s="12" t="str">
        <f>INDEX(Table5[type],MATCH(Table4[[#This Row],[Action]],Table5[Action],0))</f>
        <v>Passed</v>
      </c>
      <c r="L292" s="22" t="b">
        <f>INDEX(Table1[Senate and President Same Party, House and President Different Party],MATCH(Table4[[#This Row],[Congress Acting]],Table1[Congress],0))</f>
        <v>0</v>
      </c>
    </row>
    <row r="293" spans="1:12" ht="173.25">
      <c r="A293" s="9" t="s">
        <v>515</v>
      </c>
      <c r="B293" t="s">
        <v>2155</v>
      </c>
      <c r="C293" s="9" t="s">
        <v>2156</v>
      </c>
      <c r="D293" s="13" t="s">
        <v>2157</v>
      </c>
      <c r="E293" s="9" t="s">
        <v>2158</v>
      </c>
      <c r="F293"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3" s="9" t="s">
        <v>1063</v>
      </c>
      <c r="H293" s="9" t="s">
        <v>2154</v>
      </c>
      <c r="I293" s="12" t="str">
        <f>RIGHT(LEFT(Table4[[#This Row],[Latest Senate Action]],FIND(" Congress",Table4[[#This Row],[Latest Senate Action]])-1),LEN(LEFT(Table4[[#This Row],[Latest Senate Action]],FIND(" Congress",Table4[[#This Row],[Latest Senate Action]])-1))-FIND("-",Table4[[#This Row],[Latest Senate Action]])-1)</f>
        <v>104th</v>
      </c>
      <c r="J293" s="12" t="str">
        <f>RIGHT(Table4[[#This Row],[Latest Senate Action]],LEN(Table4[[#This Row],[Latest Senate Action]])-FIND(") - ",Table4[[#This Row],[Latest Senate Action]])-3)</f>
        <v xml:space="preserve">Resolution of advice and consent to ratification agreed to in Senate by Division vote. (All Actions) </v>
      </c>
      <c r="K293" s="12" t="str">
        <f>INDEX(Table5[type],MATCH(Table4[[#This Row],[Action]],Table5[Action],0))</f>
        <v>Passed</v>
      </c>
      <c r="L293" s="22" t="b">
        <f>INDEX(Table1[Senate and President Same Party, House and President Different Party],MATCH(Table4[[#This Row],[Congress Acting]],Table1[Congress],0))</f>
        <v>0</v>
      </c>
    </row>
    <row r="294" spans="1:12" ht="157.5">
      <c r="A294" s="9" t="s">
        <v>516</v>
      </c>
      <c r="B294" t="s">
        <v>2159</v>
      </c>
      <c r="C294" s="9" t="s">
        <v>2160</v>
      </c>
      <c r="D294" s="13" t="s">
        <v>2161</v>
      </c>
      <c r="E294" s="9" t="s">
        <v>2116</v>
      </c>
      <c r="F294"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4" s="9" t="s">
        <v>1063</v>
      </c>
      <c r="H294" s="9" t="s">
        <v>2154</v>
      </c>
      <c r="I294" s="12" t="str">
        <f>RIGHT(LEFT(Table4[[#This Row],[Latest Senate Action]],FIND(" Congress",Table4[[#This Row],[Latest Senate Action]])-1),LEN(LEFT(Table4[[#This Row],[Latest Senate Action]],FIND(" Congress",Table4[[#This Row],[Latest Senate Action]])-1))-FIND("-",Table4[[#This Row],[Latest Senate Action]])-1)</f>
        <v>104th</v>
      </c>
      <c r="J294" s="12" t="str">
        <f>RIGHT(Table4[[#This Row],[Latest Senate Action]],LEN(Table4[[#This Row],[Latest Senate Action]])-FIND(") - ",Table4[[#This Row],[Latest Senate Action]])-3)</f>
        <v xml:space="preserve">Resolution of advice and consent to ratification agreed to in Senate by Division vote. (All Actions) </v>
      </c>
      <c r="K294" s="12" t="str">
        <f>INDEX(Table5[type],MATCH(Table4[[#This Row],[Action]],Table5[Action],0))</f>
        <v>Passed</v>
      </c>
      <c r="L294" s="22" t="b">
        <f>INDEX(Table1[Senate and President Same Party, House and President Different Party],MATCH(Table4[[#This Row],[Congress Acting]],Table1[Congress],0))</f>
        <v>0</v>
      </c>
    </row>
    <row r="295" spans="1:12" ht="141.75">
      <c r="A295" s="9" t="s">
        <v>517</v>
      </c>
      <c r="B295" t="s">
        <v>2162</v>
      </c>
      <c r="C295" s="9" t="s">
        <v>2163</v>
      </c>
      <c r="D295" s="13" t="s">
        <v>3795</v>
      </c>
      <c r="E295" s="9" t="s">
        <v>2164</v>
      </c>
      <c r="F295"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295" s="9" t="s">
        <v>1063</v>
      </c>
      <c r="H295" s="9" t="s">
        <v>2154</v>
      </c>
      <c r="I295" s="12" t="str">
        <f>RIGHT(LEFT(Table4[[#This Row],[Latest Senate Action]],FIND(" Congress",Table4[[#This Row],[Latest Senate Action]])-1),LEN(LEFT(Table4[[#This Row],[Latest Senate Action]],FIND(" Congress",Table4[[#This Row],[Latest Senate Action]])-1))-FIND("-",Table4[[#This Row],[Latest Senate Action]])-1)</f>
        <v>104th</v>
      </c>
      <c r="J295" s="12" t="str">
        <f>RIGHT(Table4[[#This Row],[Latest Senate Action]],LEN(Table4[[#This Row],[Latest Senate Action]])-FIND(") - ",Table4[[#This Row],[Latest Senate Action]])-3)</f>
        <v xml:space="preserve">Resolution of advice and consent to ratification agreed to in Senate by Division vote. (All Actions) </v>
      </c>
      <c r="K295" s="12" t="str">
        <f>INDEX(Table5[type],MATCH(Table4[[#This Row],[Action]],Table5[Action],0))</f>
        <v>Passed</v>
      </c>
      <c r="L295" s="22" t="b">
        <f>INDEX(Table1[Senate and President Same Party, House and President Different Party],MATCH(Table4[[#This Row],[Congress Acting]],Table1[Congress],0))</f>
        <v>0</v>
      </c>
    </row>
    <row r="296" spans="1:12" ht="157.5">
      <c r="A296" s="9" t="s">
        <v>518</v>
      </c>
      <c r="B296" t="s">
        <v>2165</v>
      </c>
      <c r="C296" s="9" t="s">
        <v>2166</v>
      </c>
      <c r="D296" s="13" t="s">
        <v>2167</v>
      </c>
      <c r="E296" s="9" t="s">
        <v>2168</v>
      </c>
      <c r="F296"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6" s="9" t="s">
        <v>1052</v>
      </c>
      <c r="H296" s="9" t="s">
        <v>2169</v>
      </c>
      <c r="I296" s="12" t="str">
        <f>RIGHT(LEFT(Table4[[#This Row],[Latest Senate Action]],FIND(" Congress",Table4[[#This Row],[Latest Senate Action]])-1),LEN(LEFT(Table4[[#This Row],[Latest Senate Action]],FIND(" Congress",Table4[[#This Row],[Latest Senate Action]])-1))-FIND("-",Table4[[#This Row],[Latest Senate Action]])-1)</f>
        <v>104th</v>
      </c>
      <c r="J296" s="12" t="str">
        <f>RIGHT(Table4[[#This Row],[Latest Senate Action]],LEN(Table4[[#This Row],[Latest Senate Action]])-FIND(") - ",Table4[[#This Row],[Latest Senate Action]])-3)</f>
        <v xml:space="preserve">Resolution of advice and consent to ratification agreed to in Senate by Division vote. (All Actions) </v>
      </c>
      <c r="K296" s="12" t="str">
        <f>INDEX(Table5[type],MATCH(Table4[[#This Row],[Action]],Table5[Action],0))</f>
        <v>Passed</v>
      </c>
      <c r="L296" s="22" t="b">
        <f>INDEX(Table1[Senate and President Same Party, House and President Different Party],MATCH(Table4[[#This Row],[Congress Acting]],Table1[Congress],0))</f>
        <v>0</v>
      </c>
    </row>
    <row r="297" spans="1:12" ht="173.25">
      <c r="A297" s="9" t="s">
        <v>519</v>
      </c>
      <c r="B297" t="s">
        <v>2170</v>
      </c>
      <c r="C297" s="9" t="s">
        <v>2171</v>
      </c>
      <c r="D297" s="13" t="s">
        <v>2172</v>
      </c>
      <c r="E297" s="9" t="s">
        <v>2173</v>
      </c>
      <c r="F297"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7" s="9" t="s">
        <v>1013</v>
      </c>
      <c r="H297" s="9" t="s">
        <v>2174</v>
      </c>
      <c r="I297" s="12" t="str">
        <f>RIGHT(LEFT(Table4[[#This Row],[Latest Senate Action]],FIND(" Congress",Table4[[#This Row],[Latest Senate Action]])-1),LEN(LEFT(Table4[[#This Row],[Latest Senate Action]],FIND(" Congress",Table4[[#This Row],[Latest Senate Action]])-1))-FIND("-",Table4[[#This Row],[Latest Senate Action]])-1)</f>
        <v>104th</v>
      </c>
      <c r="J297" s="12" t="str">
        <f>RIGHT(Table4[[#This Row],[Latest Senate Action]],LEN(Table4[[#This Row],[Latest Senate Action]])-FIND(") - ",Table4[[#This Row],[Latest Senate Action]])-3)</f>
        <v xml:space="preserve">Resolution of advice and consent to ratification agreed to in Senate by Division vote. (All Actions) </v>
      </c>
      <c r="K297" s="12" t="str">
        <f>INDEX(Table5[type],MATCH(Table4[[#This Row],[Action]],Table5[Action],0))</f>
        <v>Passed</v>
      </c>
      <c r="L297" s="22" t="b">
        <f>INDEX(Table1[Senate and President Same Party, House and President Different Party],MATCH(Table4[[#This Row],[Congress Acting]],Table1[Congress],0))</f>
        <v>0</v>
      </c>
    </row>
    <row r="298" spans="1:12" ht="173.25">
      <c r="A298" s="9" t="s">
        <v>520</v>
      </c>
      <c r="B298" t="s">
        <v>2175</v>
      </c>
      <c r="C298" s="9" t="s">
        <v>2176</v>
      </c>
      <c r="D298" s="13" t="s">
        <v>2177</v>
      </c>
      <c r="E298" s="9" t="s">
        <v>2178</v>
      </c>
      <c r="F298"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8" s="9" t="s">
        <v>1013</v>
      </c>
      <c r="H298" s="9" t="s">
        <v>2174</v>
      </c>
      <c r="I298" s="12" t="str">
        <f>RIGHT(LEFT(Table4[[#This Row],[Latest Senate Action]],FIND(" Congress",Table4[[#This Row],[Latest Senate Action]])-1),LEN(LEFT(Table4[[#This Row],[Latest Senate Action]],FIND(" Congress",Table4[[#This Row],[Latest Senate Action]])-1))-FIND("-",Table4[[#This Row],[Latest Senate Action]])-1)</f>
        <v>104th</v>
      </c>
      <c r="J298" s="12" t="str">
        <f>RIGHT(Table4[[#This Row],[Latest Senate Action]],LEN(Table4[[#This Row],[Latest Senate Action]])-FIND(") - ",Table4[[#This Row],[Latest Senate Action]])-3)</f>
        <v xml:space="preserve">Resolution of advice and consent to ratification agreed to in Senate by Division vote. (All Actions) </v>
      </c>
      <c r="K298" s="12" t="str">
        <f>INDEX(Table5[type],MATCH(Table4[[#This Row],[Action]],Table5[Action],0))</f>
        <v>Passed</v>
      </c>
      <c r="L298" s="22" t="b">
        <f>INDEX(Table1[Senate and President Same Party, House and President Different Party],MATCH(Table4[[#This Row],[Congress Acting]],Table1[Congress],0))</f>
        <v>0</v>
      </c>
    </row>
    <row r="299" spans="1:12" ht="157.5">
      <c r="A299" s="9" t="s">
        <v>521</v>
      </c>
      <c r="B299" t="s">
        <v>2179</v>
      </c>
      <c r="C299" s="9" t="s">
        <v>2180</v>
      </c>
      <c r="D299" s="13" t="s">
        <v>2181</v>
      </c>
      <c r="E299" s="9" t="s">
        <v>2182</v>
      </c>
      <c r="F299"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299" s="9" t="s">
        <v>1013</v>
      </c>
      <c r="H299" s="9" t="s">
        <v>2174</v>
      </c>
      <c r="I299" s="12" t="str">
        <f>RIGHT(LEFT(Table4[[#This Row],[Latest Senate Action]],FIND(" Congress",Table4[[#This Row],[Latest Senate Action]])-1),LEN(LEFT(Table4[[#This Row],[Latest Senate Action]],FIND(" Congress",Table4[[#This Row],[Latest Senate Action]])-1))-FIND("-",Table4[[#This Row],[Latest Senate Action]])-1)</f>
        <v>104th</v>
      </c>
      <c r="J299" s="12" t="str">
        <f>RIGHT(Table4[[#This Row],[Latest Senate Action]],LEN(Table4[[#This Row],[Latest Senate Action]])-FIND(") - ",Table4[[#This Row],[Latest Senate Action]])-3)</f>
        <v xml:space="preserve">Resolution of advice and consent to ratification agreed to in Senate by Division vote. (All Actions) </v>
      </c>
      <c r="K299" s="12" t="str">
        <f>INDEX(Table5[type],MATCH(Table4[[#This Row],[Action]],Table5[Action],0))</f>
        <v>Passed</v>
      </c>
      <c r="L299" s="22" t="b">
        <f>INDEX(Table1[Senate and President Same Party, House and President Different Party],MATCH(Table4[[#This Row],[Congress Acting]],Table1[Congress],0))</f>
        <v>0</v>
      </c>
    </row>
    <row r="300" spans="1:12" ht="157.5">
      <c r="A300" s="9" t="s">
        <v>522</v>
      </c>
      <c r="B300" t="s">
        <v>175</v>
      </c>
      <c r="C300" s="9" t="s">
        <v>2183</v>
      </c>
      <c r="D300" s="13" t="s">
        <v>2184</v>
      </c>
      <c r="E300" s="9" t="s">
        <v>2185</v>
      </c>
      <c r="F300"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0" s="9" t="s">
        <v>1013</v>
      </c>
      <c r="H300" s="9" t="s">
        <v>2174</v>
      </c>
      <c r="I300" s="12" t="str">
        <f>RIGHT(LEFT(Table4[[#This Row],[Latest Senate Action]],FIND(" Congress",Table4[[#This Row],[Latest Senate Action]])-1),LEN(LEFT(Table4[[#This Row],[Latest Senate Action]],FIND(" Congress",Table4[[#This Row],[Latest Senate Action]])-1))-FIND("-",Table4[[#This Row],[Latest Senate Action]])-1)</f>
        <v>104th</v>
      </c>
      <c r="J300" s="12" t="str">
        <f>RIGHT(Table4[[#This Row],[Latest Senate Action]],LEN(Table4[[#This Row],[Latest Senate Action]])-FIND(") - ",Table4[[#This Row],[Latest Senate Action]])-3)</f>
        <v xml:space="preserve">Resolution of advice and consent to ratification agreed to in Senate by Division vote. (All Actions) </v>
      </c>
      <c r="K300" s="12" t="str">
        <f>INDEX(Table5[type],MATCH(Table4[[#This Row],[Action]],Table5[Action],0))</f>
        <v>Passed</v>
      </c>
      <c r="L300" s="22" t="b">
        <f>INDEX(Table1[Senate and President Same Party, House and President Different Party],MATCH(Table4[[#This Row],[Congress Acting]],Table1[Congress],0))</f>
        <v>0</v>
      </c>
    </row>
    <row r="301" spans="1:12" ht="173.25">
      <c r="A301" s="9" t="s">
        <v>523</v>
      </c>
      <c r="B301" t="s">
        <v>2186</v>
      </c>
      <c r="C301" s="9" t="s">
        <v>2187</v>
      </c>
      <c r="D301" s="13" t="s">
        <v>2188</v>
      </c>
      <c r="E301" s="9" t="s">
        <v>2185</v>
      </c>
      <c r="F301"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1" s="9" t="s">
        <v>1013</v>
      </c>
      <c r="H301" s="9" t="s">
        <v>2174</v>
      </c>
      <c r="I301" s="12" t="str">
        <f>RIGHT(LEFT(Table4[[#This Row],[Latest Senate Action]],FIND(" Congress",Table4[[#This Row],[Latest Senate Action]])-1),LEN(LEFT(Table4[[#This Row],[Latest Senate Action]],FIND(" Congress",Table4[[#This Row],[Latest Senate Action]])-1))-FIND("-",Table4[[#This Row],[Latest Senate Action]])-1)</f>
        <v>104th</v>
      </c>
      <c r="J301" s="12" t="str">
        <f>RIGHT(Table4[[#This Row],[Latest Senate Action]],LEN(Table4[[#This Row],[Latest Senate Action]])-FIND(") - ",Table4[[#This Row],[Latest Senate Action]])-3)</f>
        <v xml:space="preserve">Resolution of advice and consent to ratification agreed to in Senate by Division vote. (All Actions) </v>
      </c>
      <c r="K301" s="12" t="str">
        <f>INDEX(Table5[type],MATCH(Table4[[#This Row],[Action]],Table5[Action],0))</f>
        <v>Passed</v>
      </c>
      <c r="L301" s="22" t="b">
        <f>INDEX(Table1[Senate and President Same Party, House and President Different Party],MATCH(Table4[[#This Row],[Congress Acting]],Table1[Congress],0))</f>
        <v>0</v>
      </c>
    </row>
    <row r="302" spans="1:12" ht="157.5">
      <c r="A302" s="9" t="s">
        <v>524</v>
      </c>
      <c r="B302" t="s">
        <v>2189</v>
      </c>
      <c r="C302" s="9" t="s">
        <v>2190</v>
      </c>
      <c r="D302" s="13" t="s">
        <v>2191</v>
      </c>
      <c r="E302" s="9" t="s">
        <v>2185</v>
      </c>
      <c r="F30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2" s="9" t="s">
        <v>1013</v>
      </c>
      <c r="H302" s="9" t="s">
        <v>2174</v>
      </c>
      <c r="I302" s="12" t="str">
        <f>RIGHT(LEFT(Table4[[#This Row],[Latest Senate Action]],FIND(" Congress",Table4[[#This Row],[Latest Senate Action]])-1),LEN(LEFT(Table4[[#This Row],[Latest Senate Action]],FIND(" Congress",Table4[[#This Row],[Latest Senate Action]])-1))-FIND("-",Table4[[#This Row],[Latest Senate Action]])-1)</f>
        <v>104th</v>
      </c>
      <c r="J302" s="12" t="str">
        <f>RIGHT(Table4[[#This Row],[Latest Senate Action]],LEN(Table4[[#This Row],[Latest Senate Action]])-FIND(") - ",Table4[[#This Row],[Latest Senate Action]])-3)</f>
        <v xml:space="preserve">Resolution of advice and consent to ratification agreed to in Senate by Division vote. (All Actions) </v>
      </c>
      <c r="K302" s="12" t="str">
        <f>INDEX(Table5[type],MATCH(Table4[[#This Row],[Action]],Table5[Action],0))</f>
        <v>Passed</v>
      </c>
      <c r="L302" s="22" t="b">
        <f>INDEX(Table1[Senate and President Same Party, House and President Different Party],MATCH(Table4[[#This Row],[Congress Acting]],Table1[Congress],0))</f>
        <v>0</v>
      </c>
    </row>
    <row r="303" spans="1:12" ht="157.5">
      <c r="A303" s="9" t="s">
        <v>525</v>
      </c>
      <c r="B303" t="s">
        <v>2192</v>
      </c>
      <c r="C303" s="9" t="s">
        <v>2193</v>
      </c>
      <c r="D303" s="13" t="s">
        <v>2194</v>
      </c>
      <c r="E303" s="9" t="s">
        <v>2065</v>
      </c>
      <c r="F303"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3" s="9" t="s">
        <v>1013</v>
      </c>
      <c r="H303" s="9" t="s">
        <v>2174</v>
      </c>
      <c r="I303" s="12" t="str">
        <f>RIGHT(LEFT(Table4[[#This Row],[Latest Senate Action]],FIND(" Congress",Table4[[#This Row],[Latest Senate Action]])-1),LEN(LEFT(Table4[[#This Row],[Latest Senate Action]],FIND(" Congress",Table4[[#This Row],[Latest Senate Action]])-1))-FIND("-",Table4[[#This Row],[Latest Senate Action]])-1)</f>
        <v>104th</v>
      </c>
      <c r="J303" s="12" t="str">
        <f>RIGHT(Table4[[#This Row],[Latest Senate Action]],LEN(Table4[[#This Row],[Latest Senate Action]])-FIND(") - ",Table4[[#This Row],[Latest Senate Action]])-3)</f>
        <v xml:space="preserve">Resolution of advice and consent to ratification agreed to in Senate by Division vote. (All Actions) </v>
      </c>
      <c r="K303" s="12" t="str">
        <f>INDEX(Table5[type],MATCH(Table4[[#This Row],[Action]],Table5[Action],0))</f>
        <v>Passed</v>
      </c>
      <c r="L303" s="22" t="b">
        <f>INDEX(Table1[Senate and President Same Party, House and President Different Party],MATCH(Table4[[#This Row],[Congress Acting]],Table1[Congress],0))</f>
        <v>0</v>
      </c>
    </row>
    <row r="304" spans="1:12" ht="173.25">
      <c r="A304" s="9" t="s">
        <v>526</v>
      </c>
      <c r="B304" t="s">
        <v>2195</v>
      </c>
      <c r="C304" s="9" t="s">
        <v>2196</v>
      </c>
      <c r="D304" s="13" t="s">
        <v>2197</v>
      </c>
      <c r="E304" s="9" t="s">
        <v>2065</v>
      </c>
      <c r="F304"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4" s="9" t="s">
        <v>1013</v>
      </c>
      <c r="H304" s="9" t="s">
        <v>2174</v>
      </c>
      <c r="I304" s="12" t="str">
        <f>RIGHT(LEFT(Table4[[#This Row],[Latest Senate Action]],FIND(" Congress",Table4[[#This Row],[Latest Senate Action]])-1),LEN(LEFT(Table4[[#This Row],[Latest Senate Action]],FIND(" Congress",Table4[[#This Row],[Latest Senate Action]])-1))-FIND("-",Table4[[#This Row],[Latest Senate Action]])-1)</f>
        <v>104th</v>
      </c>
      <c r="J304" s="12" t="str">
        <f>RIGHT(Table4[[#This Row],[Latest Senate Action]],LEN(Table4[[#This Row],[Latest Senate Action]])-FIND(") - ",Table4[[#This Row],[Latest Senate Action]])-3)</f>
        <v xml:space="preserve">Resolution of advice and consent to ratification agreed to in Senate by Division vote. (All Actions) </v>
      </c>
      <c r="K304" s="12" t="str">
        <f>INDEX(Table5[type],MATCH(Table4[[#This Row],[Action]],Table5[Action],0))</f>
        <v>Passed</v>
      </c>
      <c r="L304" s="22" t="b">
        <f>INDEX(Table1[Senate and President Same Party, House and President Different Party],MATCH(Table4[[#This Row],[Congress Acting]],Table1[Congress],0))</f>
        <v>0</v>
      </c>
    </row>
    <row r="305" spans="1:12" ht="173.25">
      <c r="A305" s="9" t="s">
        <v>527</v>
      </c>
      <c r="B305" t="s">
        <v>2198</v>
      </c>
      <c r="C305" s="9" t="s">
        <v>2199</v>
      </c>
      <c r="D305" s="13" t="s">
        <v>2200</v>
      </c>
      <c r="E305" s="9" t="s">
        <v>2201</v>
      </c>
      <c r="F305"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5" s="9" t="s">
        <v>1013</v>
      </c>
      <c r="H305" s="9" t="s">
        <v>2174</v>
      </c>
      <c r="I305" s="12" t="str">
        <f>RIGHT(LEFT(Table4[[#This Row],[Latest Senate Action]],FIND(" Congress",Table4[[#This Row],[Latest Senate Action]])-1),LEN(LEFT(Table4[[#This Row],[Latest Senate Action]],FIND(" Congress",Table4[[#This Row],[Latest Senate Action]])-1))-FIND("-",Table4[[#This Row],[Latest Senate Action]])-1)</f>
        <v>104th</v>
      </c>
      <c r="J305" s="12" t="str">
        <f>RIGHT(Table4[[#This Row],[Latest Senate Action]],LEN(Table4[[#This Row],[Latest Senate Action]])-FIND(") - ",Table4[[#This Row],[Latest Senate Action]])-3)</f>
        <v xml:space="preserve">Resolution of advice and consent to ratification agreed to in Senate by Division vote. (All Actions) </v>
      </c>
      <c r="K305" s="12" t="str">
        <f>INDEX(Table5[type],MATCH(Table4[[#This Row],[Action]],Table5[Action],0))</f>
        <v>Passed</v>
      </c>
      <c r="L305" s="22" t="b">
        <f>INDEX(Table1[Senate and President Same Party, House and President Different Party],MATCH(Table4[[#This Row],[Congress Acting]],Table1[Congress],0))</f>
        <v>0</v>
      </c>
    </row>
    <row r="306" spans="1:12" ht="173.25">
      <c r="A306" s="9" t="s">
        <v>528</v>
      </c>
      <c r="B306" t="s">
        <v>2202</v>
      </c>
      <c r="C306" s="9" t="s">
        <v>2203</v>
      </c>
      <c r="D306" s="13" t="s">
        <v>2204</v>
      </c>
      <c r="E306" s="9" t="s">
        <v>2201</v>
      </c>
      <c r="F306"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6" s="9" t="s">
        <v>1013</v>
      </c>
      <c r="H306" s="9" t="s">
        <v>2174</v>
      </c>
      <c r="I306" s="12" t="str">
        <f>RIGHT(LEFT(Table4[[#This Row],[Latest Senate Action]],FIND(" Congress",Table4[[#This Row],[Latest Senate Action]])-1),LEN(LEFT(Table4[[#This Row],[Latest Senate Action]],FIND(" Congress",Table4[[#This Row],[Latest Senate Action]])-1))-FIND("-",Table4[[#This Row],[Latest Senate Action]])-1)</f>
        <v>104th</v>
      </c>
      <c r="J306" s="12" t="str">
        <f>RIGHT(Table4[[#This Row],[Latest Senate Action]],LEN(Table4[[#This Row],[Latest Senate Action]])-FIND(") - ",Table4[[#This Row],[Latest Senate Action]])-3)</f>
        <v xml:space="preserve">Resolution of advice and consent to ratification agreed to in Senate by Division vote. (All Actions) </v>
      </c>
      <c r="K306" s="12" t="str">
        <f>INDEX(Table5[type],MATCH(Table4[[#This Row],[Action]],Table5[Action],0))</f>
        <v>Passed</v>
      </c>
      <c r="L306" s="22" t="b">
        <f>INDEX(Table1[Senate and President Same Party, House and President Different Party],MATCH(Table4[[#This Row],[Congress Acting]],Table1[Congress],0))</f>
        <v>0</v>
      </c>
    </row>
    <row r="307" spans="1:12" ht="157.5">
      <c r="A307" s="9" t="s">
        <v>529</v>
      </c>
      <c r="B307" t="s">
        <v>2205</v>
      </c>
      <c r="C307" s="9" t="s">
        <v>2206</v>
      </c>
      <c r="D307" s="13" t="s">
        <v>2207</v>
      </c>
      <c r="E307" s="9" t="s">
        <v>2208</v>
      </c>
      <c r="F307"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7" s="9" t="s">
        <v>1013</v>
      </c>
      <c r="H307" s="9" t="s">
        <v>2174</v>
      </c>
      <c r="I307" s="12" t="str">
        <f>RIGHT(LEFT(Table4[[#This Row],[Latest Senate Action]],FIND(" Congress",Table4[[#This Row],[Latest Senate Action]])-1),LEN(LEFT(Table4[[#This Row],[Latest Senate Action]],FIND(" Congress",Table4[[#This Row],[Latest Senate Action]])-1))-FIND("-",Table4[[#This Row],[Latest Senate Action]])-1)</f>
        <v>104th</v>
      </c>
      <c r="J307" s="12" t="str">
        <f>RIGHT(Table4[[#This Row],[Latest Senate Action]],LEN(Table4[[#This Row],[Latest Senate Action]])-FIND(") - ",Table4[[#This Row],[Latest Senate Action]])-3)</f>
        <v xml:space="preserve">Resolution of advice and consent to ratification agreed to in Senate by Division vote. (All Actions) </v>
      </c>
      <c r="K307" s="12" t="str">
        <f>INDEX(Table5[type],MATCH(Table4[[#This Row],[Action]],Table5[Action],0))</f>
        <v>Passed</v>
      </c>
      <c r="L307" s="22" t="b">
        <f>INDEX(Table1[Senate and President Same Party, House and President Different Party],MATCH(Table4[[#This Row],[Congress Acting]],Table1[Congress],0))</f>
        <v>0</v>
      </c>
    </row>
    <row r="308" spans="1:12" ht="157.5">
      <c r="A308" s="9" t="s">
        <v>530</v>
      </c>
      <c r="B308" t="s">
        <v>2209</v>
      </c>
      <c r="C308" s="9" t="s">
        <v>2210</v>
      </c>
      <c r="D308" s="13" t="s">
        <v>2211</v>
      </c>
      <c r="E308" s="9" t="s">
        <v>2212</v>
      </c>
      <c r="F308"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8" s="9" t="s">
        <v>1013</v>
      </c>
      <c r="H308" s="9" t="s">
        <v>2174</v>
      </c>
      <c r="I308" s="12" t="str">
        <f>RIGHT(LEFT(Table4[[#This Row],[Latest Senate Action]],FIND(" Congress",Table4[[#This Row],[Latest Senate Action]])-1),LEN(LEFT(Table4[[#This Row],[Latest Senate Action]],FIND(" Congress",Table4[[#This Row],[Latest Senate Action]])-1))-FIND("-",Table4[[#This Row],[Latest Senate Action]])-1)</f>
        <v>104th</v>
      </c>
      <c r="J308" s="12" t="str">
        <f>RIGHT(Table4[[#This Row],[Latest Senate Action]],LEN(Table4[[#This Row],[Latest Senate Action]])-FIND(") - ",Table4[[#This Row],[Latest Senate Action]])-3)</f>
        <v xml:space="preserve">Resolution of advice and consent to ratification agreed to in Senate by Division vote. (All Actions) </v>
      </c>
      <c r="K308" s="12" t="str">
        <f>INDEX(Table5[type],MATCH(Table4[[#This Row],[Action]],Table5[Action],0))</f>
        <v>Passed</v>
      </c>
      <c r="L308" s="22" t="b">
        <f>INDEX(Table1[Senate and President Same Party, House and President Different Party],MATCH(Table4[[#This Row],[Congress Acting]],Table1[Congress],0))</f>
        <v>0</v>
      </c>
    </row>
    <row r="309" spans="1:12" ht="157.5">
      <c r="A309" s="9" t="s">
        <v>531</v>
      </c>
      <c r="B309" t="s">
        <v>2213</v>
      </c>
      <c r="C309" s="9" t="s">
        <v>2214</v>
      </c>
      <c r="D309" s="13" t="s">
        <v>2215</v>
      </c>
      <c r="E309" s="9" t="s">
        <v>2216</v>
      </c>
      <c r="F309"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09" s="9" t="s">
        <v>1052</v>
      </c>
      <c r="H309" s="9" t="s">
        <v>2217</v>
      </c>
      <c r="I309" s="12" t="str">
        <f>RIGHT(LEFT(Table4[[#This Row],[Latest Senate Action]],FIND(" Congress",Table4[[#This Row],[Latest Senate Action]])-1),LEN(LEFT(Table4[[#This Row],[Latest Senate Action]],FIND(" Congress",Table4[[#This Row],[Latest Senate Action]])-1))-FIND("-",Table4[[#This Row],[Latest Senate Action]])-1)</f>
        <v>104th</v>
      </c>
      <c r="J309" s="12" t="str">
        <f>RIGHT(Table4[[#This Row],[Latest Senate Action]],LEN(Table4[[#This Row],[Latest Senate Action]])-FIND(") - ",Table4[[#This Row],[Latest Senate Action]])-3)</f>
        <v xml:space="preserve">Resolution of advice and consent to ratification agreed to in Senate by Division vote. (All Actions) </v>
      </c>
      <c r="K309" s="12" t="str">
        <f>INDEX(Table5[type],MATCH(Table4[[#This Row],[Action]],Table5[Action],0))</f>
        <v>Passed</v>
      </c>
      <c r="L309" s="22" t="b">
        <f>INDEX(Table1[Senate and President Same Party, House and President Different Party],MATCH(Table4[[#This Row],[Congress Acting]],Table1[Congress],0))</f>
        <v>0</v>
      </c>
    </row>
    <row r="310" spans="1:12" ht="157.5">
      <c r="A310" s="9" t="s">
        <v>532</v>
      </c>
      <c r="B310" t="s">
        <v>2218</v>
      </c>
      <c r="C310" s="9" t="s">
        <v>2219</v>
      </c>
      <c r="D310" s="13" t="s">
        <v>2220</v>
      </c>
      <c r="E310" s="9" t="s">
        <v>2221</v>
      </c>
      <c r="F310"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10" s="9" t="s">
        <v>1052</v>
      </c>
      <c r="H310" s="9" t="s">
        <v>2217</v>
      </c>
      <c r="I310" s="12" t="str">
        <f>RIGHT(LEFT(Table4[[#This Row],[Latest Senate Action]],FIND(" Congress",Table4[[#This Row],[Latest Senate Action]])-1),LEN(LEFT(Table4[[#This Row],[Latest Senate Action]],FIND(" Congress",Table4[[#This Row],[Latest Senate Action]])-1))-FIND("-",Table4[[#This Row],[Latest Senate Action]])-1)</f>
        <v>104th</v>
      </c>
      <c r="J310" s="12" t="str">
        <f>RIGHT(Table4[[#This Row],[Latest Senate Action]],LEN(Table4[[#This Row],[Latest Senate Action]])-FIND(") - ",Table4[[#This Row],[Latest Senate Action]])-3)</f>
        <v xml:space="preserve">Resolution of advice and consent to ratification agreed to in Senate by Division vote. (All Actions) </v>
      </c>
      <c r="K310" s="12" t="str">
        <f>INDEX(Table5[type],MATCH(Table4[[#This Row],[Action]],Table5[Action],0))</f>
        <v>Passed</v>
      </c>
      <c r="L310" s="22" t="b">
        <f>INDEX(Table1[Senate and President Same Party, House and President Different Party],MATCH(Table4[[#This Row],[Congress Acting]],Table1[Congress],0))</f>
        <v>0</v>
      </c>
    </row>
    <row r="311" spans="1:12" ht="157.5">
      <c r="A311" s="9" t="s">
        <v>533</v>
      </c>
      <c r="B311" t="s">
        <v>2222</v>
      </c>
      <c r="C311" s="9" t="s">
        <v>2223</v>
      </c>
      <c r="D311" s="13" t="s">
        <v>2224</v>
      </c>
      <c r="E311" s="9" t="s">
        <v>2221</v>
      </c>
      <c r="F311"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11" s="9" t="s">
        <v>1052</v>
      </c>
      <c r="H311" s="9" t="s">
        <v>2217</v>
      </c>
      <c r="I311" s="12" t="str">
        <f>RIGHT(LEFT(Table4[[#This Row],[Latest Senate Action]],FIND(" Congress",Table4[[#This Row],[Latest Senate Action]])-1),LEN(LEFT(Table4[[#This Row],[Latest Senate Action]],FIND(" Congress",Table4[[#This Row],[Latest Senate Action]])-1))-FIND("-",Table4[[#This Row],[Latest Senate Action]])-1)</f>
        <v>104th</v>
      </c>
      <c r="J311" s="12" t="str">
        <f>RIGHT(Table4[[#This Row],[Latest Senate Action]],LEN(Table4[[#This Row],[Latest Senate Action]])-FIND(") - ",Table4[[#This Row],[Latest Senate Action]])-3)</f>
        <v xml:space="preserve">Resolution of advice and consent to ratification agreed to in Senate by Division vote. (All Actions) </v>
      </c>
      <c r="K311" s="12" t="str">
        <f>INDEX(Table5[type],MATCH(Table4[[#This Row],[Action]],Table5[Action],0))</f>
        <v>Passed</v>
      </c>
      <c r="L311" s="22" t="b">
        <f>INDEX(Table1[Senate and President Same Party, House and President Different Party],MATCH(Table4[[#This Row],[Congress Acting]],Table1[Congress],0))</f>
        <v>0</v>
      </c>
    </row>
    <row r="312" spans="1:12" ht="157.5">
      <c r="A312" s="9" t="s">
        <v>534</v>
      </c>
      <c r="B312" t="s">
        <v>2225</v>
      </c>
      <c r="C312" s="9" t="s">
        <v>2226</v>
      </c>
      <c r="D312" s="13" t="s">
        <v>2227</v>
      </c>
      <c r="E312" s="9" t="s">
        <v>2228</v>
      </c>
      <c r="F312"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12" s="9" t="s">
        <v>1052</v>
      </c>
      <c r="H312" s="9" t="s">
        <v>2217</v>
      </c>
      <c r="I312" s="12" t="str">
        <f>RIGHT(LEFT(Table4[[#This Row],[Latest Senate Action]],FIND(" Congress",Table4[[#This Row],[Latest Senate Action]])-1),LEN(LEFT(Table4[[#This Row],[Latest Senate Action]],FIND(" Congress",Table4[[#This Row],[Latest Senate Action]])-1))-FIND("-",Table4[[#This Row],[Latest Senate Action]])-1)</f>
        <v>104th</v>
      </c>
      <c r="J312" s="12" t="str">
        <f>RIGHT(Table4[[#This Row],[Latest Senate Action]],LEN(Table4[[#This Row],[Latest Senate Action]])-FIND(") - ",Table4[[#This Row],[Latest Senate Action]])-3)</f>
        <v xml:space="preserve">Resolution of advice and consent to ratification agreed to in Senate by Division vote. (All Actions) </v>
      </c>
      <c r="K312" s="12" t="str">
        <f>INDEX(Table5[type],MATCH(Table4[[#This Row],[Action]],Table5[Action],0))</f>
        <v>Passed</v>
      </c>
      <c r="L312" s="22" t="b">
        <f>INDEX(Table1[Senate and President Same Party, House and President Different Party],MATCH(Table4[[#This Row],[Congress Acting]],Table1[Congress],0))</f>
        <v>0</v>
      </c>
    </row>
    <row r="313" spans="1:12" ht="157.5">
      <c r="A313" s="9" t="s">
        <v>535</v>
      </c>
      <c r="B313" t="s">
        <v>2229</v>
      </c>
      <c r="C313" s="9" t="s">
        <v>2230</v>
      </c>
      <c r="D313" s="13" t="s">
        <v>2231</v>
      </c>
      <c r="E313" s="9" t="s">
        <v>2201</v>
      </c>
      <c r="F313"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13" s="9" t="s">
        <v>1052</v>
      </c>
      <c r="H313" s="9" t="s">
        <v>2217</v>
      </c>
      <c r="I313" s="12" t="str">
        <f>RIGHT(LEFT(Table4[[#This Row],[Latest Senate Action]],FIND(" Congress",Table4[[#This Row],[Latest Senate Action]])-1),LEN(LEFT(Table4[[#This Row],[Latest Senate Action]],FIND(" Congress",Table4[[#This Row],[Latest Senate Action]])-1))-FIND("-",Table4[[#This Row],[Latest Senate Action]])-1)</f>
        <v>104th</v>
      </c>
      <c r="J313" s="12" t="str">
        <f>RIGHT(Table4[[#This Row],[Latest Senate Action]],LEN(Table4[[#This Row],[Latest Senate Action]])-FIND(") - ",Table4[[#This Row],[Latest Senate Action]])-3)</f>
        <v xml:space="preserve">Resolution of advice and consent to ratification agreed to in Senate by Division vote. (All Actions) </v>
      </c>
      <c r="K313" s="12" t="str">
        <f>INDEX(Table5[type],MATCH(Table4[[#This Row],[Action]],Table5[Action],0))</f>
        <v>Passed</v>
      </c>
      <c r="L313" s="22" t="b">
        <f>INDEX(Table1[Senate and President Same Party, House and President Different Party],MATCH(Table4[[#This Row],[Congress Acting]],Table1[Congress],0))</f>
        <v>0</v>
      </c>
    </row>
    <row r="314" spans="1:12" ht="204.75">
      <c r="A314" s="9" t="s">
        <v>536</v>
      </c>
      <c r="B314" t="s">
        <v>2232</v>
      </c>
      <c r="C314" s="9" t="s">
        <v>2233</v>
      </c>
      <c r="D314" s="13" t="s">
        <v>2234</v>
      </c>
      <c r="E314" s="9" t="s">
        <v>2235</v>
      </c>
      <c r="F314"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14" s="9" t="s">
        <v>1038</v>
      </c>
      <c r="H314" s="9" t="s">
        <v>2217</v>
      </c>
      <c r="I314" s="12" t="str">
        <f>RIGHT(LEFT(Table4[[#This Row],[Latest Senate Action]],FIND(" Congress",Table4[[#This Row],[Latest Senate Action]])-1),LEN(LEFT(Table4[[#This Row],[Latest Senate Action]],FIND(" Congress",Table4[[#This Row],[Latest Senate Action]])-1))-FIND("-",Table4[[#This Row],[Latest Senate Action]])-1)</f>
        <v>104th</v>
      </c>
      <c r="J314" s="12" t="str">
        <f>RIGHT(Table4[[#This Row],[Latest Senate Action]],LEN(Table4[[#This Row],[Latest Senate Action]])-FIND(") - ",Table4[[#This Row],[Latest Senate Action]])-3)</f>
        <v xml:space="preserve">Resolution of advice and consent to ratification agreed to in Senate by Division vote. (All Actions) </v>
      </c>
      <c r="K314" s="12" t="str">
        <f>INDEX(Table5[type],MATCH(Table4[[#This Row],[Action]],Table5[Action],0))</f>
        <v>Passed</v>
      </c>
      <c r="L314" s="22" t="b">
        <f>INDEX(Table1[Senate and President Same Party, House and President Different Party],MATCH(Table4[[#This Row],[Congress Acting]],Table1[Congress],0))</f>
        <v>0</v>
      </c>
    </row>
    <row r="315" spans="1:12" ht="141.75">
      <c r="A315" s="9" t="s">
        <v>537</v>
      </c>
      <c r="B315" t="s">
        <v>2236</v>
      </c>
      <c r="C315" s="9" t="s">
        <v>2237</v>
      </c>
      <c r="D315" s="13" t="s">
        <v>3796</v>
      </c>
      <c r="E315" s="9" t="s">
        <v>2238</v>
      </c>
      <c r="F315"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15" s="9" t="s">
        <v>1052</v>
      </c>
      <c r="H315" s="9" t="s">
        <v>2217</v>
      </c>
      <c r="I315" s="12" t="str">
        <f>RIGHT(LEFT(Table4[[#This Row],[Latest Senate Action]],FIND(" Congress",Table4[[#This Row],[Latest Senate Action]])-1),LEN(LEFT(Table4[[#This Row],[Latest Senate Action]],FIND(" Congress",Table4[[#This Row],[Latest Senate Action]])-1))-FIND("-",Table4[[#This Row],[Latest Senate Action]])-1)</f>
        <v>104th</v>
      </c>
      <c r="J315" s="12" t="str">
        <f>RIGHT(Table4[[#This Row],[Latest Senate Action]],LEN(Table4[[#This Row],[Latest Senate Action]])-FIND(") - ",Table4[[#This Row],[Latest Senate Action]])-3)</f>
        <v xml:space="preserve">Resolution of advice and consent to ratification agreed to in Senate by Division vote. (All Actions) </v>
      </c>
      <c r="K315" s="12" t="str">
        <f>INDEX(Table5[type],MATCH(Table4[[#This Row],[Action]],Table5[Action],0))</f>
        <v>Passed</v>
      </c>
      <c r="L315" s="22" t="b">
        <f>INDEX(Table1[Senate and President Same Party, House and President Different Party],MATCH(Table4[[#This Row],[Congress Acting]],Table1[Congress],0))</f>
        <v>0</v>
      </c>
    </row>
    <row r="316" spans="1:12" ht="157.5">
      <c r="A316" s="9" t="s">
        <v>538</v>
      </c>
      <c r="B316" t="s">
        <v>2239</v>
      </c>
      <c r="C316" s="9" t="s">
        <v>2240</v>
      </c>
      <c r="D316" s="13" t="s">
        <v>3797</v>
      </c>
      <c r="E316" s="9" t="s">
        <v>2241</v>
      </c>
      <c r="F316"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16" s="9" t="s">
        <v>1052</v>
      </c>
      <c r="H316" s="9" t="s">
        <v>2217</v>
      </c>
      <c r="I316" s="12" t="str">
        <f>RIGHT(LEFT(Table4[[#This Row],[Latest Senate Action]],FIND(" Congress",Table4[[#This Row],[Latest Senate Action]])-1),LEN(LEFT(Table4[[#This Row],[Latest Senate Action]],FIND(" Congress",Table4[[#This Row],[Latest Senate Action]])-1))-FIND("-",Table4[[#This Row],[Latest Senate Action]])-1)</f>
        <v>104th</v>
      </c>
      <c r="J316" s="12" t="str">
        <f>RIGHT(Table4[[#This Row],[Latest Senate Action]],LEN(Table4[[#This Row],[Latest Senate Action]])-FIND(") - ",Table4[[#This Row],[Latest Senate Action]])-3)</f>
        <v xml:space="preserve">Resolution of advice and consent to ratification agreed to in Senate by Division vote. (All Actions) </v>
      </c>
      <c r="K316" s="12" t="str">
        <f>INDEX(Table5[type],MATCH(Table4[[#This Row],[Action]],Table5[Action],0))</f>
        <v>Passed</v>
      </c>
      <c r="L316" s="22" t="b">
        <f>INDEX(Table1[Senate and President Same Party, House and President Different Party],MATCH(Table4[[#This Row],[Congress Acting]],Table1[Congress],0))</f>
        <v>0</v>
      </c>
    </row>
    <row r="317" spans="1:12" ht="141.75">
      <c r="A317" s="9" t="s">
        <v>539</v>
      </c>
      <c r="B317" t="s">
        <v>2242</v>
      </c>
      <c r="C317" s="9" t="s">
        <v>2243</v>
      </c>
      <c r="D317" s="13" t="s">
        <v>3798</v>
      </c>
      <c r="E317" s="9" t="s">
        <v>2244</v>
      </c>
      <c r="F317"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17" s="9" t="s">
        <v>1052</v>
      </c>
      <c r="H317" s="9" t="s">
        <v>2217</v>
      </c>
      <c r="I317" s="12" t="str">
        <f>RIGHT(LEFT(Table4[[#This Row],[Latest Senate Action]],FIND(" Congress",Table4[[#This Row],[Latest Senate Action]])-1),LEN(LEFT(Table4[[#This Row],[Latest Senate Action]],FIND(" Congress",Table4[[#This Row],[Latest Senate Action]])-1))-FIND("-",Table4[[#This Row],[Latest Senate Action]])-1)</f>
        <v>104th</v>
      </c>
      <c r="J317" s="12" t="str">
        <f>RIGHT(Table4[[#This Row],[Latest Senate Action]],LEN(Table4[[#This Row],[Latest Senate Action]])-FIND(") - ",Table4[[#This Row],[Latest Senate Action]])-3)</f>
        <v xml:space="preserve">Resolution of advice and consent to ratification agreed to in Senate by Division vote. (All Actions) </v>
      </c>
      <c r="K317" s="12" t="str">
        <f>INDEX(Table5[type],MATCH(Table4[[#This Row],[Action]],Table5[Action],0))</f>
        <v>Passed</v>
      </c>
      <c r="L317" s="22" t="b">
        <f>INDEX(Table1[Senate and President Same Party, House and President Different Party],MATCH(Table4[[#This Row],[Congress Acting]],Table1[Congress],0))</f>
        <v>0</v>
      </c>
    </row>
    <row r="318" spans="1:12" ht="141.75">
      <c r="A318" s="9" t="s">
        <v>540</v>
      </c>
      <c r="B318" t="s">
        <v>2245</v>
      </c>
      <c r="C318" s="9" t="s">
        <v>2246</v>
      </c>
      <c r="D318" s="13" t="s">
        <v>3799</v>
      </c>
      <c r="E318" s="9" t="s">
        <v>2244</v>
      </c>
      <c r="F318"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18" s="9" t="s">
        <v>1052</v>
      </c>
      <c r="H318" s="9" t="s">
        <v>2217</v>
      </c>
      <c r="I318" s="12" t="str">
        <f>RIGHT(LEFT(Table4[[#This Row],[Latest Senate Action]],FIND(" Congress",Table4[[#This Row],[Latest Senate Action]])-1),LEN(LEFT(Table4[[#This Row],[Latest Senate Action]],FIND(" Congress",Table4[[#This Row],[Latest Senate Action]])-1))-FIND("-",Table4[[#This Row],[Latest Senate Action]])-1)</f>
        <v>104th</v>
      </c>
      <c r="J318" s="12" t="str">
        <f>RIGHT(Table4[[#This Row],[Latest Senate Action]],LEN(Table4[[#This Row],[Latest Senate Action]])-FIND(") - ",Table4[[#This Row],[Latest Senate Action]])-3)</f>
        <v xml:space="preserve">Resolution of advice and consent to ratification agreed to in Senate by Division vote. (All Actions) </v>
      </c>
      <c r="K318" s="12" t="str">
        <f>INDEX(Table5[type],MATCH(Table4[[#This Row],[Action]],Table5[Action],0))</f>
        <v>Passed</v>
      </c>
      <c r="L318" s="22" t="b">
        <f>INDEX(Table1[Senate and President Same Party, House and President Different Party],MATCH(Table4[[#This Row],[Congress Acting]],Table1[Congress],0))</f>
        <v>0</v>
      </c>
    </row>
    <row r="319" spans="1:12" ht="189">
      <c r="A319" s="9" t="s">
        <v>541</v>
      </c>
      <c r="B319" t="s">
        <v>2247</v>
      </c>
      <c r="C319" s="9" t="s">
        <v>2248</v>
      </c>
      <c r="D319" s="13" t="s">
        <v>3894</v>
      </c>
      <c r="E319" s="9" t="s">
        <v>2249</v>
      </c>
      <c r="F319"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19" s="9" t="s">
        <v>1101</v>
      </c>
      <c r="H319" s="9" t="s">
        <v>2250</v>
      </c>
      <c r="I319" s="12" t="str">
        <f>RIGHT(LEFT(Table4[[#This Row],[Latest Senate Action]],FIND(" Congress",Table4[[#This Row],[Latest Senate Action]])-1),LEN(LEFT(Table4[[#This Row],[Latest Senate Action]],FIND(" Congress",Table4[[#This Row],[Latest Senate Action]])-1))-FIND("-",Table4[[#This Row],[Latest Senate Action]])-1)</f>
        <v>104th</v>
      </c>
      <c r="J319" s="12" t="str">
        <f>RIGHT(Table4[[#This Row],[Latest Senate Action]],LEN(Table4[[#This Row],[Latest Senate Action]])-FIND(") - ",Table4[[#This Row],[Latest Senate Action]])-3)</f>
        <v xml:space="preserve">Resolution of advice and consent to ratification agreed to in Senate by Yea-Nay vote. 87-4. Record Vote No: 6 EX. (All Actions) </v>
      </c>
      <c r="K319" s="12" t="str">
        <f>INDEX(Table5[type],MATCH(Table4[[#This Row],[Action]],Table5[Action],0))</f>
        <v>Passed</v>
      </c>
      <c r="L319" s="22" t="b">
        <f>INDEX(Table1[Senate and President Same Party, House and President Different Party],MATCH(Table4[[#This Row],[Congress Acting]],Table1[Congress],0))</f>
        <v>0</v>
      </c>
    </row>
    <row r="320" spans="1:12" ht="157.5">
      <c r="A320" s="9" t="s">
        <v>542</v>
      </c>
      <c r="B320" t="s">
        <v>2251</v>
      </c>
      <c r="C320" s="9" t="s">
        <v>2252</v>
      </c>
      <c r="D320" s="13" t="s">
        <v>2253</v>
      </c>
      <c r="E320" s="9" t="s">
        <v>2254</v>
      </c>
      <c r="F320"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20" s="9" t="s">
        <v>1063</v>
      </c>
      <c r="H320" s="9" t="s">
        <v>2255</v>
      </c>
      <c r="I320" s="12" t="str">
        <f>RIGHT(LEFT(Table4[[#This Row],[Latest Senate Action]],FIND(" Congress",Table4[[#This Row],[Latest Senate Action]])-1),LEN(LEFT(Table4[[#This Row],[Latest Senate Action]],FIND(" Congress",Table4[[#This Row],[Latest Senate Action]])-1))-FIND("-",Table4[[#This Row],[Latest Senate Action]])-1)</f>
        <v>104th</v>
      </c>
      <c r="J320" s="12" t="str">
        <f>RIGHT(Table4[[#This Row],[Latest Senate Action]],LEN(Table4[[#This Row],[Latest Senate Action]])-FIND(") - ",Table4[[#This Row],[Latest Senate Action]])-3)</f>
        <v xml:space="preserve">Resolution of advice and consent to ratification agreed to in Senate by Division vote. (All Actions) </v>
      </c>
      <c r="K320" s="12" t="str">
        <f>INDEX(Table5[type],MATCH(Table4[[#This Row],[Action]],Table5[Action],0))</f>
        <v>Passed</v>
      </c>
      <c r="L320" s="22" t="b">
        <f>INDEX(Table1[Senate and President Same Party, House and President Different Party],MATCH(Table4[[#This Row],[Congress Acting]],Table1[Congress],0))</f>
        <v>0</v>
      </c>
    </row>
    <row r="321" spans="1:12" ht="157.5">
      <c r="A321" s="9" t="s">
        <v>543</v>
      </c>
      <c r="B321" t="s">
        <v>2256</v>
      </c>
      <c r="C321" s="9" t="s">
        <v>2257</v>
      </c>
      <c r="D321" s="13" t="s">
        <v>2258</v>
      </c>
      <c r="E321" s="9" t="s">
        <v>2259</v>
      </c>
      <c r="F321"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21" s="9" t="s">
        <v>1063</v>
      </c>
      <c r="H321" s="9" t="s">
        <v>2255</v>
      </c>
      <c r="I321" s="12" t="str">
        <f>RIGHT(LEFT(Table4[[#This Row],[Latest Senate Action]],FIND(" Congress",Table4[[#This Row],[Latest Senate Action]])-1),LEN(LEFT(Table4[[#This Row],[Latest Senate Action]],FIND(" Congress",Table4[[#This Row],[Latest Senate Action]])-1))-FIND("-",Table4[[#This Row],[Latest Senate Action]])-1)</f>
        <v>104th</v>
      </c>
      <c r="J321" s="12" t="str">
        <f>RIGHT(Table4[[#This Row],[Latest Senate Action]],LEN(Table4[[#This Row],[Latest Senate Action]])-FIND(") - ",Table4[[#This Row],[Latest Senate Action]])-3)</f>
        <v xml:space="preserve">Resolution of advice and consent to ratification agreed to in Senate by Division vote. (All Actions) </v>
      </c>
      <c r="K321" s="12" t="str">
        <f>INDEX(Table5[type],MATCH(Table4[[#This Row],[Action]],Table5[Action],0))</f>
        <v>Passed</v>
      </c>
      <c r="L321" s="22" t="b">
        <f>INDEX(Table1[Senate and President Same Party, House and President Different Party],MATCH(Table4[[#This Row],[Congress Acting]],Table1[Congress],0))</f>
        <v>0</v>
      </c>
    </row>
    <row r="322" spans="1:12" ht="126">
      <c r="A322" s="9" t="s">
        <v>544</v>
      </c>
      <c r="B322" t="s">
        <v>2260</v>
      </c>
      <c r="C322" s="9" t="s">
        <v>2261</v>
      </c>
      <c r="D322" s="13" t="s">
        <v>3800</v>
      </c>
      <c r="E322" s="9" t="s">
        <v>1821</v>
      </c>
      <c r="F322"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2" s="9" t="s">
        <v>1063</v>
      </c>
      <c r="H322" s="9" t="s">
        <v>2255</v>
      </c>
      <c r="I322" s="12" t="str">
        <f>RIGHT(LEFT(Table4[[#This Row],[Latest Senate Action]],FIND(" Congress",Table4[[#This Row],[Latest Senate Action]])-1),LEN(LEFT(Table4[[#This Row],[Latest Senate Action]],FIND(" Congress",Table4[[#This Row],[Latest Senate Action]])-1))-FIND("-",Table4[[#This Row],[Latest Senate Action]])-1)</f>
        <v>104th</v>
      </c>
      <c r="J322" s="12" t="str">
        <f>RIGHT(Table4[[#This Row],[Latest Senate Action]],LEN(Table4[[#This Row],[Latest Senate Action]])-FIND(") - ",Table4[[#This Row],[Latest Senate Action]])-3)</f>
        <v xml:space="preserve">Resolution of advice and consent to ratification agreed to in Senate by Division vote. (All Actions) </v>
      </c>
      <c r="K322" s="12" t="str">
        <f>INDEX(Table5[type],MATCH(Table4[[#This Row],[Action]],Table5[Action],0))</f>
        <v>Passed</v>
      </c>
      <c r="L322" s="22" t="b">
        <f>INDEX(Table1[Senate and President Same Party, House and President Different Party],MATCH(Table4[[#This Row],[Congress Acting]],Table1[Congress],0))</f>
        <v>0</v>
      </c>
    </row>
    <row r="323" spans="1:12" ht="126">
      <c r="A323" s="9" t="s">
        <v>545</v>
      </c>
      <c r="B323" t="s">
        <v>2262</v>
      </c>
      <c r="C323" s="9" t="s">
        <v>2263</v>
      </c>
      <c r="D323" s="13" t="s">
        <v>3801</v>
      </c>
      <c r="E323" s="9" t="s">
        <v>1821</v>
      </c>
      <c r="F323"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3" s="9" t="s">
        <v>1063</v>
      </c>
      <c r="H323" s="9" t="s">
        <v>2255</v>
      </c>
      <c r="I323" s="12" t="str">
        <f>RIGHT(LEFT(Table4[[#This Row],[Latest Senate Action]],FIND(" Congress",Table4[[#This Row],[Latest Senate Action]])-1),LEN(LEFT(Table4[[#This Row],[Latest Senate Action]],FIND(" Congress",Table4[[#This Row],[Latest Senate Action]])-1))-FIND("-",Table4[[#This Row],[Latest Senate Action]])-1)</f>
        <v>104th</v>
      </c>
      <c r="J323" s="12" t="str">
        <f>RIGHT(Table4[[#This Row],[Latest Senate Action]],LEN(Table4[[#This Row],[Latest Senate Action]])-FIND(") - ",Table4[[#This Row],[Latest Senate Action]])-3)</f>
        <v xml:space="preserve">Resolution of advice and consent to ratification agreed to in Senate by Division vote. (All Actions) </v>
      </c>
      <c r="K323" s="12" t="str">
        <f>INDEX(Table5[type],MATCH(Table4[[#This Row],[Action]],Table5[Action],0))</f>
        <v>Passed</v>
      </c>
      <c r="L323" s="22" t="b">
        <f>INDEX(Table1[Senate and President Same Party, House and President Different Party],MATCH(Table4[[#This Row],[Congress Acting]],Table1[Congress],0))</f>
        <v>0</v>
      </c>
    </row>
    <row r="324" spans="1:12" ht="141.75">
      <c r="A324" s="9" t="s">
        <v>546</v>
      </c>
      <c r="B324" t="s">
        <v>2264</v>
      </c>
      <c r="C324" s="9" t="s">
        <v>2265</v>
      </c>
      <c r="D324" s="13" t="s">
        <v>3802</v>
      </c>
      <c r="E324" s="9" t="s">
        <v>2164</v>
      </c>
      <c r="F324"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4" s="9" t="s">
        <v>1063</v>
      </c>
      <c r="H324" s="9" t="s">
        <v>2255</v>
      </c>
      <c r="I324" s="12" t="str">
        <f>RIGHT(LEFT(Table4[[#This Row],[Latest Senate Action]],FIND(" Congress",Table4[[#This Row],[Latest Senate Action]])-1),LEN(LEFT(Table4[[#This Row],[Latest Senate Action]],FIND(" Congress",Table4[[#This Row],[Latest Senate Action]])-1))-FIND("-",Table4[[#This Row],[Latest Senate Action]])-1)</f>
        <v>104th</v>
      </c>
      <c r="J324" s="12" t="str">
        <f>RIGHT(Table4[[#This Row],[Latest Senate Action]],LEN(Table4[[#This Row],[Latest Senate Action]])-FIND(") - ",Table4[[#This Row],[Latest Senate Action]])-3)</f>
        <v xml:space="preserve">Resolution of advice and consent to ratification agreed to in Senate by Division vote. (All Actions) </v>
      </c>
      <c r="K324" s="12" t="str">
        <f>INDEX(Table5[type],MATCH(Table4[[#This Row],[Action]],Table5[Action],0))</f>
        <v>Passed</v>
      </c>
      <c r="L324" s="22" t="b">
        <f>INDEX(Table1[Senate and President Same Party, House and President Different Party],MATCH(Table4[[#This Row],[Congress Acting]],Table1[Congress],0))</f>
        <v>0</v>
      </c>
    </row>
    <row r="325" spans="1:12" ht="141.75">
      <c r="A325" s="9" t="s">
        <v>547</v>
      </c>
      <c r="B325" t="s">
        <v>2266</v>
      </c>
      <c r="C325" s="9" t="s">
        <v>2267</v>
      </c>
      <c r="D325" s="13" t="s">
        <v>3803</v>
      </c>
      <c r="E325" s="9" t="s">
        <v>2164</v>
      </c>
      <c r="F325"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5" s="9" t="s">
        <v>1063</v>
      </c>
      <c r="H325" s="9" t="s">
        <v>2255</v>
      </c>
      <c r="I325" s="12" t="str">
        <f>RIGHT(LEFT(Table4[[#This Row],[Latest Senate Action]],FIND(" Congress",Table4[[#This Row],[Latest Senate Action]])-1),LEN(LEFT(Table4[[#This Row],[Latest Senate Action]],FIND(" Congress",Table4[[#This Row],[Latest Senate Action]])-1))-FIND("-",Table4[[#This Row],[Latest Senate Action]])-1)</f>
        <v>104th</v>
      </c>
      <c r="J325" s="12" t="str">
        <f>RIGHT(Table4[[#This Row],[Latest Senate Action]],LEN(Table4[[#This Row],[Latest Senate Action]])-FIND(") - ",Table4[[#This Row],[Latest Senate Action]])-3)</f>
        <v xml:space="preserve">Resolution of advice and consent to ratification agreed to in Senate by Division vote. (All Actions) </v>
      </c>
      <c r="K325" s="12" t="str">
        <f>INDEX(Table5[type],MATCH(Table4[[#This Row],[Action]],Table5[Action],0))</f>
        <v>Passed</v>
      </c>
      <c r="L325" s="22" t="b">
        <f>INDEX(Table1[Senate and President Same Party, House and President Different Party],MATCH(Table4[[#This Row],[Congress Acting]],Table1[Congress],0))</f>
        <v>0</v>
      </c>
    </row>
    <row r="326" spans="1:12" ht="141.75">
      <c r="A326" s="9" t="s">
        <v>548</v>
      </c>
      <c r="B326" t="s">
        <v>2268</v>
      </c>
      <c r="C326" s="9" t="s">
        <v>2269</v>
      </c>
      <c r="D326" s="13" t="s">
        <v>3804</v>
      </c>
      <c r="E326" s="9" t="s">
        <v>2164</v>
      </c>
      <c r="F326"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6" s="9" t="s">
        <v>1063</v>
      </c>
      <c r="H326" s="9" t="s">
        <v>2255</v>
      </c>
      <c r="I326" s="12" t="str">
        <f>RIGHT(LEFT(Table4[[#This Row],[Latest Senate Action]],FIND(" Congress",Table4[[#This Row],[Latest Senate Action]])-1),LEN(LEFT(Table4[[#This Row],[Latest Senate Action]],FIND(" Congress",Table4[[#This Row],[Latest Senate Action]])-1))-FIND("-",Table4[[#This Row],[Latest Senate Action]])-1)</f>
        <v>104th</v>
      </c>
      <c r="J326" s="12" t="str">
        <f>RIGHT(Table4[[#This Row],[Latest Senate Action]],LEN(Table4[[#This Row],[Latest Senate Action]])-FIND(") - ",Table4[[#This Row],[Latest Senate Action]])-3)</f>
        <v xml:space="preserve">Resolution of advice and consent to ratification agreed to in Senate by Division vote. (All Actions) </v>
      </c>
      <c r="K326" s="12" t="str">
        <f>INDEX(Table5[type],MATCH(Table4[[#This Row],[Action]],Table5[Action],0))</f>
        <v>Passed</v>
      </c>
      <c r="L326" s="22" t="b">
        <f>INDEX(Table1[Senate and President Same Party, House and President Different Party],MATCH(Table4[[#This Row],[Congress Acting]],Table1[Congress],0))</f>
        <v>0</v>
      </c>
    </row>
    <row r="327" spans="1:12" ht="157.5">
      <c r="A327" s="9" t="s">
        <v>549</v>
      </c>
      <c r="B327" t="s">
        <v>2270</v>
      </c>
      <c r="C327" s="9" t="s">
        <v>2271</v>
      </c>
      <c r="D327" s="13" t="s">
        <v>3805</v>
      </c>
      <c r="E327" s="9" t="s">
        <v>2272</v>
      </c>
      <c r="F327"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27" s="9" t="s">
        <v>1013</v>
      </c>
      <c r="H327" s="9" t="s">
        <v>2273</v>
      </c>
      <c r="I327" s="12" t="str">
        <f>RIGHT(LEFT(Table4[[#This Row],[Latest Senate Action]],FIND(" Congress",Table4[[#This Row],[Latest Senate Action]])-1),LEN(LEFT(Table4[[#This Row],[Latest Senate Action]],FIND(" Congress",Table4[[#This Row],[Latest Senate Action]])-1))-FIND("-",Table4[[#This Row],[Latest Senate Action]])-1)</f>
        <v>104th</v>
      </c>
      <c r="J327" s="12" t="str">
        <f>RIGHT(Table4[[#This Row],[Latest Senate Action]],LEN(Table4[[#This Row],[Latest Senate Action]])-FIND(") - ",Table4[[#This Row],[Latest Senate Action]])-3)</f>
        <v xml:space="preserve">Resolution of advice and consent to ratification agreed to in Senate by Division vote. (All Actions) </v>
      </c>
      <c r="K327" s="12" t="str">
        <f>INDEX(Table5[type],MATCH(Table4[[#This Row],[Action]],Table5[Action],0))</f>
        <v>Passed</v>
      </c>
      <c r="L327" s="22" t="b">
        <f>INDEX(Table1[Senate and President Same Party, House and President Different Party],MATCH(Table4[[#This Row],[Congress Acting]],Table1[Congress],0))</f>
        <v>0</v>
      </c>
    </row>
    <row r="328" spans="1:12" ht="157.5">
      <c r="A328" s="9" t="s">
        <v>550</v>
      </c>
      <c r="B328" t="s">
        <v>2274</v>
      </c>
      <c r="C328" s="9" t="s">
        <v>2275</v>
      </c>
      <c r="D328" s="13" t="s">
        <v>2276</v>
      </c>
      <c r="E328" s="9" t="s">
        <v>2254</v>
      </c>
      <c r="F328" t="str">
        <f>RIGHT(LEFT(Table4[[#This Row],[Date Received from President]],FIND(" Congress",Table4[[#This Row],[Date Received from President]])-1),LEN(LEFT(Table4[[#This Row],[Date Received from President]],FIND(" Congress",Table4[[#This Row],[Date Received from President]])-1))-FIND("-",Table4[[#This Row],[Date Received from President]])-1)</f>
        <v>104th</v>
      </c>
      <c r="G328" s="9" t="s">
        <v>1013</v>
      </c>
      <c r="H328" s="9" t="s">
        <v>2277</v>
      </c>
      <c r="I328" s="12" t="str">
        <f>RIGHT(LEFT(Table4[[#This Row],[Latest Senate Action]],FIND(" Congress",Table4[[#This Row],[Latest Senate Action]])-1),LEN(LEFT(Table4[[#This Row],[Latest Senate Action]],FIND(" Congress",Table4[[#This Row],[Latest Senate Action]])-1))-FIND("-",Table4[[#This Row],[Latest Senate Action]])-1)</f>
        <v>104th</v>
      </c>
      <c r="J328" s="12" t="str">
        <f>RIGHT(Table4[[#This Row],[Latest Senate Action]],LEN(Table4[[#This Row],[Latest Senate Action]])-FIND(") - ",Table4[[#This Row],[Latest Senate Action]])-3)</f>
        <v xml:space="preserve">Resolution of advice and consent to ratification agreed to in Senate by Division vote. (All Actions) </v>
      </c>
      <c r="K328" s="12" t="str">
        <f>INDEX(Table5[type],MATCH(Table4[[#This Row],[Action]],Table5[Action],0))</f>
        <v>Passed</v>
      </c>
      <c r="L328" s="22" t="b">
        <f>INDEX(Table1[Senate and President Same Party, House and President Different Party],MATCH(Table4[[#This Row],[Congress Acting]],Table1[Congress],0))</f>
        <v>0</v>
      </c>
    </row>
    <row r="329" spans="1:12" ht="173.25">
      <c r="A329" s="9" t="s">
        <v>551</v>
      </c>
      <c r="B329" t="s">
        <v>2278</v>
      </c>
      <c r="C329" s="9" t="s">
        <v>2279</v>
      </c>
      <c r="D329" s="13" t="s">
        <v>3806</v>
      </c>
      <c r="E329" s="9" t="s">
        <v>2280</v>
      </c>
      <c r="F329"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29" s="9" t="s">
        <v>1101</v>
      </c>
      <c r="H329" s="9" t="s">
        <v>2281</v>
      </c>
      <c r="I329" s="12" t="str">
        <f>RIGHT(LEFT(Table4[[#This Row],[Latest Senate Action]],FIND(" Congress",Table4[[#This Row],[Latest Senate Action]])-1),LEN(LEFT(Table4[[#This Row],[Latest Senate Action]],FIND(" Congress",Table4[[#This Row],[Latest Senate Action]])-1))-FIND("-",Table4[[#This Row],[Latest Senate Action]])-1)</f>
        <v>104th</v>
      </c>
      <c r="J329" s="12" t="str">
        <f>RIGHT(Table4[[#This Row],[Latest Senate Action]],LEN(Table4[[#This Row],[Latest Senate Action]])-FIND(") - ",Table4[[#This Row],[Latest Senate Action]])-3)</f>
        <v xml:space="preserve">Resolution of advice and consent to ratification agreed to in Senate by Division vote. (All Actions) </v>
      </c>
      <c r="K329" s="12" t="str">
        <f>INDEX(Table5[type],MATCH(Table4[[#This Row],[Action]],Table5[Action],0))</f>
        <v>Passed</v>
      </c>
      <c r="L329" s="22" t="b">
        <f>INDEX(Table1[Senate and President Same Party, House and President Different Party],MATCH(Table4[[#This Row],[Congress Acting]],Table1[Congress],0))</f>
        <v>0</v>
      </c>
    </row>
    <row r="330" spans="1:12" ht="189">
      <c r="A330" s="9" t="s">
        <v>552</v>
      </c>
      <c r="B330" t="s">
        <v>2282</v>
      </c>
      <c r="C330" s="9" t="s">
        <v>2283</v>
      </c>
      <c r="D330" s="13" t="s">
        <v>3807</v>
      </c>
      <c r="E330" s="9" t="s">
        <v>2284</v>
      </c>
      <c r="F330"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0" s="9" t="s">
        <v>1112</v>
      </c>
      <c r="H330" s="9" t="s">
        <v>2285</v>
      </c>
      <c r="I330" s="12" t="str">
        <f>RIGHT(LEFT(Table4[[#This Row],[Latest Senate Action]],FIND(" Congress",Table4[[#This Row],[Latest Senate Action]])-1),LEN(LEFT(Table4[[#This Row],[Latest Senate Action]],FIND(" Congress",Table4[[#This Row],[Latest Senate Action]])-1))-FIND("-",Table4[[#This Row],[Latest Senate Action]])-1)</f>
        <v>103rd</v>
      </c>
      <c r="J330" s="12" t="str">
        <f>RIGHT(Table4[[#This Row],[Latest Senate Action]],LEN(Table4[[#This Row],[Latest Senate Action]])-FIND(") - ",Table4[[#This Row],[Latest Senate Action]])-3)</f>
        <v xml:space="preserve">No further action at sine die adjournment of the 103 Congress; automatically rereferred to the Committee on Foreign Relations under the provisions of Rule XXX, section 2, of the Standing Rules of the Senate. (All Actions) </v>
      </c>
      <c r="K330" s="12" t="str">
        <f>INDEX(Table5[type],MATCH(Table4[[#This Row],[Action]],Table5[Action],0))</f>
        <v>In Process</v>
      </c>
      <c r="L330" s="22" t="b">
        <f>INDEX(Table1[Senate and President Same Party, House and President Different Party],MATCH(Table4[[#This Row],[Congress Acting]],Table1[Congress],0))</f>
        <v>1</v>
      </c>
    </row>
    <row r="331" spans="1:12" ht="173.25">
      <c r="A331" s="9" t="s">
        <v>553</v>
      </c>
      <c r="B331" t="s">
        <v>2286</v>
      </c>
      <c r="C331" s="9" t="s">
        <v>2287</v>
      </c>
      <c r="D331" s="13" t="s">
        <v>3808</v>
      </c>
      <c r="E331" s="9" t="s">
        <v>2288</v>
      </c>
      <c r="F331"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1" s="9" t="s">
        <v>1623</v>
      </c>
      <c r="H331" s="9" t="s">
        <v>2289</v>
      </c>
      <c r="I331" s="12" t="str">
        <f>RIGHT(LEFT(Table4[[#This Row],[Latest Senate Action]],FIND(" Congress",Table4[[#This Row],[Latest Senate Action]])-1),LEN(LEFT(Table4[[#This Row],[Latest Senate Action]],FIND(" Congress",Table4[[#This Row],[Latest Senate Action]])-1))-FIND("-",Table4[[#This Row],[Latest Senate Action]])-1)</f>
        <v>103rd</v>
      </c>
      <c r="J331" s="12" t="str">
        <f>RIGHT(Table4[[#This Row],[Latest Senate Action]],LEN(Table4[[#This Row],[Latest Senate Action]])-FIND(") - ",Table4[[#This Row],[Latest Senate Action]])-3)</f>
        <v xml:space="preserve">Resolution of advice and consent to ratification agreed to in Senate by Division vote. (All Actions) </v>
      </c>
      <c r="K331" s="12" t="str">
        <f>INDEX(Table5[type],MATCH(Table4[[#This Row],[Action]],Table5[Action],0))</f>
        <v>Passed</v>
      </c>
      <c r="L331" s="22" t="b">
        <f>INDEX(Table1[Senate and President Same Party, House and President Different Party],MATCH(Table4[[#This Row],[Congress Acting]],Table1[Congress],0))</f>
        <v>1</v>
      </c>
    </row>
    <row r="332" spans="1:12" ht="189">
      <c r="A332" s="9" t="s">
        <v>554</v>
      </c>
      <c r="B332" t="s">
        <v>2290</v>
      </c>
      <c r="C332" s="9" t="s">
        <v>2291</v>
      </c>
      <c r="D332" s="13" t="s">
        <v>3809</v>
      </c>
      <c r="E332" s="9" t="s">
        <v>2292</v>
      </c>
      <c r="F332"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2" s="9" t="s">
        <v>1112</v>
      </c>
      <c r="H332" s="9" t="s">
        <v>2289</v>
      </c>
      <c r="I332" s="12" t="str">
        <f>RIGHT(LEFT(Table4[[#This Row],[Latest Senate Action]],FIND(" Congress",Table4[[#This Row],[Latest Senate Action]])-1),LEN(LEFT(Table4[[#This Row],[Latest Senate Action]],FIND(" Congress",Table4[[#This Row],[Latest Senate Action]])-1))-FIND("-",Table4[[#This Row],[Latest Senate Action]])-1)</f>
        <v>103rd</v>
      </c>
      <c r="J332" s="12" t="str">
        <f>RIGHT(Table4[[#This Row],[Latest Senate Action]],LEN(Table4[[#This Row],[Latest Senate Action]])-FIND(") - ",Table4[[#This Row],[Latest Senate Action]])-3)</f>
        <v xml:space="preserve">Resolution of advice and consent to ratification agreed to in Senate by Division vote. (All Actions) </v>
      </c>
      <c r="K332" s="12" t="str">
        <f>INDEX(Table5[type],MATCH(Table4[[#This Row],[Action]],Table5[Action],0))</f>
        <v>Passed</v>
      </c>
      <c r="L332" s="22" t="b">
        <f>INDEX(Table1[Senate and President Same Party, House and President Different Party],MATCH(Table4[[#This Row],[Congress Acting]],Table1[Congress],0))</f>
        <v>1</v>
      </c>
    </row>
    <row r="333" spans="1:12" ht="157.5">
      <c r="A333" s="9" t="s">
        <v>555</v>
      </c>
      <c r="B333" t="s">
        <v>2293</v>
      </c>
      <c r="C333" s="9" t="s">
        <v>2294</v>
      </c>
      <c r="D333" s="13" t="s">
        <v>3810</v>
      </c>
      <c r="E333" s="9" t="s">
        <v>2295</v>
      </c>
      <c r="F333"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3" s="9" t="s">
        <v>1853</v>
      </c>
      <c r="H333" s="9" t="s">
        <v>2289</v>
      </c>
      <c r="I333" s="12" t="str">
        <f>RIGHT(LEFT(Table4[[#This Row],[Latest Senate Action]],FIND(" Congress",Table4[[#This Row],[Latest Senate Action]])-1),LEN(LEFT(Table4[[#This Row],[Latest Senate Action]],FIND(" Congress",Table4[[#This Row],[Latest Senate Action]])-1))-FIND("-",Table4[[#This Row],[Latest Senate Action]])-1)</f>
        <v>103rd</v>
      </c>
      <c r="J333" s="12" t="str">
        <f>RIGHT(Table4[[#This Row],[Latest Senate Action]],LEN(Table4[[#This Row],[Latest Senate Action]])-FIND(") - ",Table4[[#This Row],[Latest Senate Action]])-3)</f>
        <v xml:space="preserve">Resolution of advice and consent to ratification agreed to in Senate by Division vote. (All Actions) </v>
      </c>
      <c r="K333" s="12" t="str">
        <f>INDEX(Table5[type],MATCH(Table4[[#This Row],[Action]],Table5[Action],0))</f>
        <v>Passed</v>
      </c>
      <c r="L333" s="22" t="b">
        <f>INDEX(Table1[Senate and President Same Party, House and President Different Party],MATCH(Table4[[#This Row],[Congress Acting]],Table1[Congress],0))</f>
        <v>1</v>
      </c>
    </row>
    <row r="334" spans="1:12" ht="173.25">
      <c r="A334" s="9" t="s">
        <v>556</v>
      </c>
      <c r="B334" t="s">
        <v>2296</v>
      </c>
      <c r="C334" s="9" t="s">
        <v>2297</v>
      </c>
      <c r="D334" s="13" t="s">
        <v>3811</v>
      </c>
      <c r="E334" s="9" t="s">
        <v>2298</v>
      </c>
      <c r="F334"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4" s="9" t="s">
        <v>1112</v>
      </c>
      <c r="H334" s="9" t="s">
        <v>2289</v>
      </c>
      <c r="I334" s="12" t="str">
        <f>RIGHT(LEFT(Table4[[#This Row],[Latest Senate Action]],FIND(" Congress",Table4[[#This Row],[Latest Senate Action]])-1),LEN(LEFT(Table4[[#This Row],[Latest Senate Action]],FIND(" Congress",Table4[[#This Row],[Latest Senate Action]])-1))-FIND("-",Table4[[#This Row],[Latest Senate Action]])-1)</f>
        <v>103rd</v>
      </c>
      <c r="J334" s="12" t="str">
        <f>RIGHT(Table4[[#This Row],[Latest Senate Action]],LEN(Table4[[#This Row],[Latest Senate Action]])-FIND(") - ",Table4[[#This Row],[Latest Senate Action]])-3)</f>
        <v xml:space="preserve">Resolution of advice and consent to ratification agreed to in Senate by Division vote. (All Actions) </v>
      </c>
      <c r="K334" s="12" t="str">
        <f>INDEX(Table5[type],MATCH(Table4[[#This Row],[Action]],Table5[Action],0))</f>
        <v>Passed</v>
      </c>
      <c r="L334" s="22" t="b">
        <f>INDEX(Table1[Senate and President Same Party, House and President Different Party],MATCH(Table4[[#This Row],[Congress Acting]],Table1[Congress],0))</f>
        <v>1</v>
      </c>
    </row>
    <row r="335" spans="1:12" ht="157.5">
      <c r="A335" s="9" t="s">
        <v>557</v>
      </c>
      <c r="B335" t="s">
        <v>2299</v>
      </c>
      <c r="C335" s="9" t="s">
        <v>2300</v>
      </c>
      <c r="D335" s="13" t="s">
        <v>3812</v>
      </c>
      <c r="E335" s="9" t="s">
        <v>2301</v>
      </c>
      <c r="F335"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35" s="9" t="s">
        <v>1038</v>
      </c>
      <c r="H335" s="9" t="s">
        <v>2289</v>
      </c>
      <c r="I335" s="12" t="str">
        <f>RIGHT(LEFT(Table4[[#This Row],[Latest Senate Action]],FIND(" Congress",Table4[[#This Row],[Latest Senate Action]])-1),LEN(LEFT(Table4[[#This Row],[Latest Senate Action]],FIND(" Congress",Table4[[#This Row],[Latest Senate Action]])-1))-FIND("-",Table4[[#This Row],[Latest Senate Action]])-1)</f>
        <v>103rd</v>
      </c>
      <c r="J335" s="12" t="str">
        <f>RIGHT(Table4[[#This Row],[Latest Senate Action]],LEN(Table4[[#This Row],[Latest Senate Action]])-FIND(") - ",Table4[[#This Row],[Latest Senate Action]])-3)</f>
        <v xml:space="preserve">Resolution of advice and consent to ratification agreed to in Senate by Division vote. (All Actions) </v>
      </c>
      <c r="K335" s="12" t="str">
        <f>INDEX(Table5[type],MATCH(Table4[[#This Row],[Action]],Table5[Action],0))</f>
        <v>Passed</v>
      </c>
      <c r="L335" s="22" t="b">
        <f>INDEX(Table1[Senate and President Same Party, House and President Different Party],MATCH(Table4[[#This Row],[Congress Acting]],Table1[Congress],0))</f>
        <v>1</v>
      </c>
    </row>
    <row r="336" spans="1:12" ht="141.75">
      <c r="A336" s="9" t="s">
        <v>558</v>
      </c>
      <c r="B336" t="s">
        <v>2302</v>
      </c>
      <c r="C336" s="9" t="s">
        <v>2303</v>
      </c>
      <c r="D336" s="13" t="s">
        <v>3813</v>
      </c>
      <c r="E336" s="9" t="s">
        <v>2304</v>
      </c>
      <c r="F336"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6" s="9" t="s">
        <v>1063</v>
      </c>
      <c r="H336" s="9" t="s">
        <v>2305</v>
      </c>
      <c r="I336" s="12" t="str">
        <f>RIGHT(LEFT(Table4[[#This Row],[Latest Senate Action]],FIND(" Congress",Table4[[#This Row],[Latest Senate Action]])-1),LEN(LEFT(Table4[[#This Row],[Latest Senate Action]],FIND(" Congress",Table4[[#This Row],[Latest Senate Action]])-1))-FIND("-",Table4[[#This Row],[Latest Senate Action]])-1)</f>
        <v>103rd</v>
      </c>
      <c r="J336" s="12" t="str">
        <f>RIGHT(Table4[[#This Row],[Latest Senate Action]],LEN(Table4[[#This Row],[Latest Senate Action]])-FIND(") - ",Table4[[#This Row],[Latest Senate Action]])-3)</f>
        <v xml:space="preserve">Resolution of advice and consent to ratification agreed to in Senate by Division vote. (All Actions) </v>
      </c>
      <c r="K336" s="12" t="str">
        <f>INDEX(Table5[type],MATCH(Table4[[#This Row],[Action]],Table5[Action],0))</f>
        <v>Passed</v>
      </c>
      <c r="L336" s="22" t="b">
        <f>INDEX(Table1[Senate and President Same Party, House and President Different Party],MATCH(Table4[[#This Row],[Congress Acting]],Table1[Congress],0))</f>
        <v>1</v>
      </c>
    </row>
    <row r="337" spans="1:12" ht="157.5">
      <c r="A337" s="9" t="s">
        <v>559</v>
      </c>
      <c r="B337" t="s">
        <v>2306</v>
      </c>
      <c r="C337" s="9" t="s">
        <v>2307</v>
      </c>
      <c r="D337" s="13" t="s">
        <v>3895</v>
      </c>
      <c r="E337" s="9" t="s">
        <v>2308</v>
      </c>
      <c r="F337"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337" s="9" t="s">
        <v>1106</v>
      </c>
      <c r="H337" s="9" t="s">
        <v>2309</v>
      </c>
      <c r="I337" s="12" t="str">
        <f>RIGHT(LEFT(Table4[[#This Row],[Latest Senate Action]],FIND(" Congress",Table4[[#This Row],[Latest Senate Action]])-1),LEN(LEFT(Table4[[#This Row],[Latest Senate Action]],FIND(" Congress",Table4[[#This Row],[Latest Senate Action]])-1))-FIND("-",Table4[[#This Row],[Latest Senate Action]])-1)</f>
        <v>103rd</v>
      </c>
      <c r="J337" s="12" t="str">
        <f>RIGHT(Table4[[#This Row],[Latest Senate Action]],LEN(Table4[[#This Row],[Latest Senate Action]])-FIND(") - ",Table4[[#This Row],[Latest Senate Action]])-3)</f>
        <v xml:space="preserve">Resolution of advice and consent to ratification agreed to in Senate by Division Vote. (All Actions) </v>
      </c>
      <c r="K337" s="12" t="str">
        <f>INDEX(Table5[type],MATCH(Table4[[#This Row],[Action]],Table5[Action],0))</f>
        <v>Passed</v>
      </c>
      <c r="L337" s="22" t="b">
        <f>INDEX(Table1[Senate and President Same Party, House and President Different Party],MATCH(Table4[[#This Row],[Congress Acting]],Table1[Congress],0))</f>
        <v>1</v>
      </c>
    </row>
    <row r="338" spans="1:12" ht="141.75">
      <c r="A338" s="9" t="s">
        <v>560</v>
      </c>
      <c r="B338" t="s">
        <v>2310</v>
      </c>
      <c r="C338" s="9" t="s">
        <v>2311</v>
      </c>
      <c r="D338" s="13" t="s">
        <v>3814</v>
      </c>
      <c r="E338" s="9" t="s">
        <v>2312</v>
      </c>
      <c r="F338"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8" s="9" t="s">
        <v>1164</v>
      </c>
      <c r="H338" s="9" t="s">
        <v>2313</v>
      </c>
      <c r="I338" s="12" t="str">
        <f>RIGHT(LEFT(Table4[[#This Row],[Latest Senate Action]],FIND(" Congress",Table4[[#This Row],[Latest Senate Action]])-1),LEN(LEFT(Table4[[#This Row],[Latest Senate Action]],FIND(" Congress",Table4[[#This Row],[Latest Senate Action]])-1))-FIND("-",Table4[[#This Row],[Latest Senate Action]])-1)</f>
        <v>103rd</v>
      </c>
      <c r="J338" s="12" t="str">
        <f>RIGHT(Table4[[#This Row],[Latest Senate Action]],LEN(Table4[[#This Row],[Latest Senate Action]])-FIND(") - ",Table4[[#This Row],[Latest Senate Action]])-3)</f>
        <v xml:space="preserve">Resolution of advice and consent to ratification agreed to in Senate by Division Vote. (All Actions) </v>
      </c>
      <c r="K338" s="12" t="str">
        <f>INDEX(Table5[type],MATCH(Table4[[#This Row],[Action]],Table5[Action],0))</f>
        <v>Passed</v>
      </c>
      <c r="L338" s="22" t="b">
        <f>INDEX(Table1[Senate and President Same Party, House and President Different Party],MATCH(Table4[[#This Row],[Congress Acting]],Table1[Congress],0))</f>
        <v>1</v>
      </c>
    </row>
    <row r="339" spans="1:12" ht="157.5">
      <c r="A339" s="9" t="s">
        <v>561</v>
      </c>
      <c r="B339" t="s">
        <v>2314</v>
      </c>
      <c r="C339" s="9" t="s">
        <v>2315</v>
      </c>
      <c r="D339" s="13" t="s">
        <v>3896</v>
      </c>
      <c r="E339" s="9" t="s">
        <v>1614</v>
      </c>
      <c r="F339"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39" s="9" t="s">
        <v>1112</v>
      </c>
      <c r="H339" s="9" t="s">
        <v>2316</v>
      </c>
      <c r="I339" s="12" t="str">
        <f>RIGHT(LEFT(Table4[[#This Row],[Latest Senate Action]],FIND(" Congress",Table4[[#This Row],[Latest Senate Action]])-1),LEN(LEFT(Table4[[#This Row],[Latest Senate Action]],FIND(" Congress",Table4[[#This Row],[Latest Senate Action]])-1))-FIND("-",Table4[[#This Row],[Latest Senate Action]])-1)</f>
        <v>103rd</v>
      </c>
      <c r="J339" s="12" t="str">
        <f>RIGHT(Table4[[#This Row],[Latest Senate Action]],LEN(Table4[[#This Row],[Latest Senate Action]])-FIND(") - ",Table4[[#This Row],[Latest Senate Action]])-3)</f>
        <v xml:space="preserve">Resolution of advice and consent to ratification agreed to in Senate by Division Vote. (All Actions) </v>
      </c>
      <c r="K339" s="12" t="str">
        <f>INDEX(Table5[type],MATCH(Table4[[#This Row],[Action]],Table5[Action],0))</f>
        <v>Passed</v>
      </c>
      <c r="L339" s="22" t="b">
        <f>INDEX(Table1[Senate and President Same Party, House and President Different Party],MATCH(Table4[[#This Row],[Congress Acting]],Table1[Congress],0))</f>
        <v>1</v>
      </c>
    </row>
    <row r="340" spans="1:12" ht="141.75">
      <c r="A340" s="9" t="s">
        <v>562</v>
      </c>
      <c r="B340" t="s">
        <v>2317</v>
      </c>
      <c r="C340" s="9" t="s">
        <v>2318</v>
      </c>
      <c r="D340" s="13" t="s">
        <v>3897</v>
      </c>
      <c r="E340" s="9" t="s">
        <v>2319</v>
      </c>
      <c r="F340"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0" s="9" t="s">
        <v>1063</v>
      </c>
      <c r="H340" s="9" t="s">
        <v>2316</v>
      </c>
      <c r="I340" s="12" t="str">
        <f>RIGHT(LEFT(Table4[[#This Row],[Latest Senate Action]],FIND(" Congress",Table4[[#This Row],[Latest Senate Action]])-1),LEN(LEFT(Table4[[#This Row],[Latest Senate Action]],FIND(" Congress",Table4[[#This Row],[Latest Senate Action]])-1))-FIND("-",Table4[[#This Row],[Latest Senate Action]])-1)</f>
        <v>103rd</v>
      </c>
      <c r="J340" s="12" t="str">
        <f>RIGHT(Table4[[#This Row],[Latest Senate Action]],LEN(Table4[[#This Row],[Latest Senate Action]])-FIND(") - ",Table4[[#This Row],[Latest Senate Action]])-3)</f>
        <v xml:space="preserve">Resolution of advice and consent to ratification agreed to in Senate by Division Vote. (All Actions) </v>
      </c>
      <c r="K340" s="12" t="str">
        <f>INDEX(Table5[type],MATCH(Table4[[#This Row],[Action]],Table5[Action],0))</f>
        <v>Passed</v>
      </c>
      <c r="L340" s="22" t="b">
        <f>INDEX(Table1[Senate and President Same Party, House and President Different Party],MATCH(Table4[[#This Row],[Congress Acting]],Table1[Congress],0))</f>
        <v>1</v>
      </c>
    </row>
    <row r="341" spans="1:12" ht="141.75">
      <c r="A341" s="9" t="s">
        <v>563</v>
      </c>
      <c r="B341" t="s">
        <v>184</v>
      </c>
      <c r="C341" s="9" t="s">
        <v>2320</v>
      </c>
      <c r="D341" s="13" t="s">
        <v>3898</v>
      </c>
      <c r="E341" s="9" t="s">
        <v>2321</v>
      </c>
      <c r="F341"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1" s="9" t="s">
        <v>1063</v>
      </c>
      <c r="H341" s="9" t="s">
        <v>2322</v>
      </c>
      <c r="I341" s="12" t="str">
        <f>RIGHT(LEFT(Table4[[#This Row],[Latest Senate Action]],FIND(" Congress",Table4[[#This Row],[Latest Senate Action]])-1),LEN(LEFT(Table4[[#This Row],[Latest Senate Action]],FIND(" Congress",Table4[[#This Row],[Latest Senate Action]])-1))-FIND("-",Table4[[#This Row],[Latest Senate Action]])-1)</f>
        <v>103rd</v>
      </c>
      <c r="J341" s="12" t="str">
        <f>RIGHT(Table4[[#This Row],[Latest Senate Action]],LEN(Table4[[#This Row],[Latest Senate Action]])-FIND(") - ",Table4[[#This Row],[Latest Senate Action]])-3)</f>
        <v xml:space="preserve">Resolution of advice and consent to ratification agreed to in Senate with an amendment by Division Vote. (All Actions) </v>
      </c>
      <c r="K341" s="12" t="str">
        <f>INDEX(Table5[type],MATCH(Table4[[#This Row],[Action]],Table5[Action],0))</f>
        <v>Passed</v>
      </c>
      <c r="L341" s="22" t="b">
        <f>INDEX(Table1[Senate and President Same Party, House and President Different Party],MATCH(Table4[[#This Row],[Congress Acting]],Table1[Congress],0))</f>
        <v>1</v>
      </c>
    </row>
    <row r="342" spans="1:12" ht="157.5">
      <c r="A342" s="9" t="s">
        <v>564</v>
      </c>
      <c r="B342" t="s">
        <v>2323</v>
      </c>
      <c r="C342" s="9" t="s">
        <v>2324</v>
      </c>
      <c r="D342" s="13" t="s">
        <v>3899</v>
      </c>
      <c r="E342" s="9" t="s">
        <v>2325</v>
      </c>
      <c r="F342"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2" s="9" t="s">
        <v>1101</v>
      </c>
      <c r="H342" s="9" t="s">
        <v>2316</v>
      </c>
      <c r="I342" s="12" t="str">
        <f>RIGHT(LEFT(Table4[[#This Row],[Latest Senate Action]],FIND(" Congress",Table4[[#This Row],[Latest Senate Action]])-1),LEN(LEFT(Table4[[#This Row],[Latest Senate Action]],FIND(" Congress",Table4[[#This Row],[Latest Senate Action]])-1))-FIND("-",Table4[[#This Row],[Latest Senate Action]])-1)</f>
        <v>103rd</v>
      </c>
      <c r="J342" s="12" t="str">
        <f>RIGHT(Table4[[#This Row],[Latest Senate Action]],LEN(Table4[[#This Row],[Latest Senate Action]])-FIND(") - ",Table4[[#This Row],[Latest Senate Action]])-3)</f>
        <v xml:space="preserve">Resolution of advice and consent to ratification agreed to in Senate by Division Vote. (All Actions) </v>
      </c>
      <c r="K342" s="12" t="str">
        <f>INDEX(Table5[type],MATCH(Table4[[#This Row],[Action]],Table5[Action],0))</f>
        <v>Passed</v>
      </c>
      <c r="L342" s="22" t="b">
        <f>INDEX(Table1[Senate and President Same Party, House and President Different Party],MATCH(Table4[[#This Row],[Congress Acting]],Table1[Congress],0))</f>
        <v>1</v>
      </c>
    </row>
    <row r="343" spans="1:12" ht="173.25">
      <c r="A343" s="9" t="s">
        <v>565</v>
      </c>
      <c r="B343" t="s">
        <v>2326</v>
      </c>
      <c r="C343" s="9" t="s">
        <v>2327</v>
      </c>
      <c r="D343" s="13" t="s">
        <v>3900</v>
      </c>
      <c r="E343" s="9" t="s">
        <v>2328</v>
      </c>
      <c r="F343"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3" s="9" t="s">
        <v>1038</v>
      </c>
      <c r="H343" s="9" t="s">
        <v>2316</v>
      </c>
      <c r="I343" s="12" t="str">
        <f>RIGHT(LEFT(Table4[[#This Row],[Latest Senate Action]],FIND(" Congress",Table4[[#This Row],[Latest Senate Action]])-1),LEN(LEFT(Table4[[#This Row],[Latest Senate Action]],FIND(" Congress",Table4[[#This Row],[Latest Senate Action]])-1))-FIND("-",Table4[[#This Row],[Latest Senate Action]])-1)</f>
        <v>103rd</v>
      </c>
      <c r="J343" s="12" t="str">
        <f>RIGHT(Table4[[#This Row],[Latest Senate Action]],LEN(Table4[[#This Row],[Latest Senate Action]])-FIND(") - ",Table4[[#This Row],[Latest Senate Action]])-3)</f>
        <v xml:space="preserve">Resolution of advice and consent to ratification agreed to in Senate by Division Vote. (All Actions) </v>
      </c>
      <c r="K343" s="12" t="str">
        <f>INDEX(Table5[type],MATCH(Table4[[#This Row],[Action]],Table5[Action],0))</f>
        <v>Passed</v>
      </c>
      <c r="L343" s="22" t="b">
        <f>INDEX(Table1[Senate and President Same Party, House and President Different Party],MATCH(Table4[[#This Row],[Congress Acting]],Table1[Congress],0))</f>
        <v>1</v>
      </c>
    </row>
    <row r="344" spans="1:12" ht="173.25">
      <c r="A344" s="9" t="s">
        <v>566</v>
      </c>
      <c r="B344" t="s">
        <v>2329</v>
      </c>
      <c r="C344" s="9" t="s">
        <v>2330</v>
      </c>
      <c r="D344" s="13" t="s">
        <v>3815</v>
      </c>
      <c r="E344" s="9" t="s">
        <v>2331</v>
      </c>
      <c r="F344"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4" s="9" t="s">
        <v>1052</v>
      </c>
      <c r="H344" s="9" t="s">
        <v>2316</v>
      </c>
      <c r="I344" s="12" t="str">
        <f>RIGHT(LEFT(Table4[[#This Row],[Latest Senate Action]],FIND(" Congress",Table4[[#This Row],[Latest Senate Action]])-1),LEN(LEFT(Table4[[#This Row],[Latest Senate Action]],FIND(" Congress",Table4[[#This Row],[Latest Senate Action]])-1))-FIND("-",Table4[[#This Row],[Latest Senate Action]])-1)</f>
        <v>103rd</v>
      </c>
      <c r="J344" s="12" t="str">
        <f>RIGHT(Table4[[#This Row],[Latest Senate Action]],LEN(Table4[[#This Row],[Latest Senate Action]])-FIND(") - ",Table4[[#This Row],[Latest Senate Action]])-3)</f>
        <v xml:space="preserve">Resolution of advice and consent to ratification agreed to in Senate by Division Vote. (All Actions) </v>
      </c>
      <c r="K344" s="12" t="str">
        <f>INDEX(Table5[type],MATCH(Table4[[#This Row],[Action]],Table5[Action],0))</f>
        <v>Passed</v>
      </c>
      <c r="L344" s="22" t="b">
        <f>INDEX(Table1[Senate and President Same Party, House and President Different Party],MATCH(Table4[[#This Row],[Congress Acting]],Table1[Congress],0))</f>
        <v>1</v>
      </c>
    </row>
    <row r="345" spans="1:12" ht="141.75">
      <c r="A345" s="9" t="s">
        <v>567</v>
      </c>
      <c r="B345" t="s">
        <v>2332</v>
      </c>
      <c r="C345" s="9" t="s">
        <v>2333</v>
      </c>
      <c r="D345" s="13" t="s">
        <v>3816</v>
      </c>
      <c r="E345" s="9" t="s">
        <v>2334</v>
      </c>
      <c r="F345"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5" s="9" t="s">
        <v>1063</v>
      </c>
      <c r="H345" s="9" t="s">
        <v>2316</v>
      </c>
      <c r="I345" s="12" t="str">
        <f>RIGHT(LEFT(Table4[[#This Row],[Latest Senate Action]],FIND(" Congress",Table4[[#This Row],[Latest Senate Action]])-1),LEN(LEFT(Table4[[#This Row],[Latest Senate Action]],FIND(" Congress",Table4[[#This Row],[Latest Senate Action]])-1))-FIND("-",Table4[[#This Row],[Latest Senate Action]])-1)</f>
        <v>103rd</v>
      </c>
      <c r="J345" s="12" t="str">
        <f>RIGHT(Table4[[#This Row],[Latest Senate Action]],LEN(Table4[[#This Row],[Latest Senate Action]])-FIND(") - ",Table4[[#This Row],[Latest Senate Action]])-3)</f>
        <v xml:space="preserve">Resolution of advice and consent to ratification agreed to in Senate by Division Vote. (All Actions) </v>
      </c>
      <c r="K345" s="12" t="str">
        <f>INDEX(Table5[type],MATCH(Table4[[#This Row],[Action]],Table5[Action],0))</f>
        <v>Passed</v>
      </c>
      <c r="L345" s="22" t="b">
        <f>INDEX(Table1[Senate and President Same Party, House and President Different Party],MATCH(Table4[[#This Row],[Congress Acting]],Table1[Congress],0))</f>
        <v>1</v>
      </c>
    </row>
    <row r="346" spans="1:12" ht="141.75">
      <c r="A346" s="9" t="s">
        <v>568</v>
      </c>
      <c r="B346" t="s">
        <v>2335</v>
      </c>
      <c r="C346" s="9" t="s">
        <v>2336</v>
      </c>
      <c r="D346" s="13" t="s">
        <v>3817</v>
      </c>
      <c r="E346" s="9" t="s">
        <v>2334</v>
      </c>
      <c r="F346"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6" s="9" t="s">
        <v>1063</v>
      </c>
      <c r="H346" s="9" t="s">
        <v>2316</v>
      </c>
      <c r="I346" s="12" t="str">
        <f>RIGHT(LEFT(Table4[[#This Row],[Latest Senate Action]],FIND(" Congress",Table4[[#This Row],[Latest Senate Action]])-1),LEN(LEFT(Table4[[#This Row],[Latest Senate Action]],FIND(" Congress",Table4[[#This Row],[Latest Senate Action]])-1))-FIND("-",Table4[[#This Row],[Latest Senate Action]])-1)</f>
        <v>103rd</v>
      </c>
      <c r="J346" s="12" t="str">
        <f>RIGHT(Table4[[#This Row],[Latest Senate Action]],LEN(Table4[[#This Row],[Latest Senate Action]])-FIND(") - ",Table4[[#This Row],[Latest Senate Action]])-3)</f>
        <v xml:space="preserve">Resolution of advice and consent to ratification agreed to in Senate by Division Vote. (All Actions) </v>
      </c>
      <c r="K346" s="12" t="str">
        <f>INDEX(Table5[type],MATCH(Table4[[#This Row],[Action]],Table5[Action],0))</f>
        <v>Passed</v>
      </c>
      <c r="L346" s="22" t="b">
        <f>INDEX(Table1[Senate and President Same Party, House and President Different Party],MATCH(Table4[[#This Row],[Congress Acting]],Table1[Congress],0))</f>
        <v>1</v>
      </c>
    </row>
    <row r="347" spans="1:12" ht="157.5">
      <c r="A347" s="9" t="s">
        <v>569</v>
      </c>
      <c r="B347" t="s">
        <v>2337</v>
      </c>
      <c r="C347" s="9" t="s">
        <v>2338</v>
      </c>
      <c r="D347" s="13" t="s">
        <v>3818</v>
      </c>
      <c r="E347" s="9" t="s">
        <v>2339</v>
      </c>
      <c r="F347"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47" s="9" t="s">
        <v>1063</v>
      </c>
      <c r="H347" s="9" t="s">
        <v>2316</v>
      </c>
      <c r="I347" s="12" t="str">
        <f>RIGHT(LEFT(Table4[[#This Row],[Latest Senate Action]],FIND(" Congress",Table4[[#This Row],[Latest Senate Action]])-1),LEN(LEFT(Table4[[#This Row],[Latest Senate Action]],FIND(" Congress",Table4[[#This Row],[Latest Senate Action]])-1))-FIND("-",Table4[[#This Row],[Latest Senate Action]])-1)</f>
        <v>103rd</v>
      </c>
      <c r="J347" s="12" t="str">
        <f>RIGHT(Table4[[#This Row],[Latest Senate Action]],LEN(Table4[[#This Row],[Latest Senate Action]])-FIND(") - ",Table4[[#This Row],[Latest Senate Action]])-3)</f>
        <v xml:space="preserve">Resolution of advice and consent to ratification agreed to in Senate by Division Vote. (All Actions) </v>
      </c>
      <c r="K347" s="12" t="str">
        <f>INDEX(Table5[type],MATCH(Table4[[#This Row],[Action]],Table5[Action],0))</f>
        <v>Passed</v>
      </c>
      <c r="L347" s="22" t="b">
        <f>INDEX(Table1[Senate and President Same Party, House and President Different Party],MATCH(Table4[[#This Row],[Congress Acting]],Table1[Congress],0))</f>
        <v>1</v>
      </c>
    </row>
    <row r="348" spans="1:12" ht="141.75">
      <c r="A348" s="9" t="s">
        <v>570</v>
      </c>
      <c r="B348" t="s">
        <v>2340</v>
      </c>
      <c r="C348" s="9" t="s">
        <v>2341</v>
      </c>
      <c r="D348" s="13" t="s">
        <v>3819</v>
      </c>
      <c r="E348" s="9" t="s">
        <v>2342</v>
      </c>
      <c r="F348"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48" s="9" t="s">
        <v>1063</v>
      </c>
      <c r="H348" s="9" t="s">
        <v>2316</v>
      </c>
      <c r="I348" s="12" t="str">
        <f>RIGHT(LEFT(Table4[[#This Row],[Latest Senate Action]],FIND(" Congress",Table4[[#This Row],[Latest Senate Action]])-1),LEN(LEFT(Table4[[#This Row],[Latest Senate Action]],FIND(" Congress",Table4[[#This Row],[Latest Senate Action]])-1))-FIND("-",Table4[[#This Row],[Latest Senate Action]])-1)</f>
        <v>103rd</v>
      </c>
      <c r="J348" s="12" t="str">
        <f>RIGHT(Table4[[#This Row],[Latest Senate Action]],LEN(Table4[[#This Row],[Latest Senate Action]])-FIND(") - ",Table4[[#This Row],[Latest Senate Action]])-3)</f>
        <v xml:space="preserve">Resolution of advice and consent to ratification agreed to in Senate by Division Vote. (All Actions) </v>
      </c>
      <c r="K348" s="12" t="str">
        <f>INDEX(Table5[type],MATCH(Table4[[#This Row],[Action]],Table5[Action],0))</f>
        <v>Passed</v>
      </c>
      <c r="L348" s="22" t="b">
        <f>INDEX(Table1[Senate and President Same Party, House and President Different Party],MATCH(Table4[[#This Row],[Congress Acting]],Table1[Congress],0))</f>
        <v>1</v>
      </c>
    </row>
    <row r="349" spans="1:12" ht="157.5">
      <c r="A349" s="9" t="s">
        <v>571</v>
      </c>
      <c r="B349" t="s">
        <v>2343</v>
      </c>
      <c r="C349" s="9" t="s">
        <v>2344</v>
      </c>
      <c r="D349" s="13" t="s">
        <v>3820</v>
      </c>
      <c r="E349" s="9" t="s">
        <v>2345</v>
      </c>
      <c r="F349"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49" s="9" t="s">
        <v>1063</v>
      </c>
      <c r="H349" s="9" t="s">
        <v>2316</v>
      </c>
      <c r="I349" s="12" t="str">
        <f>RIGHT(LEFT(Table4[[#This Row],[Latest Senate Action]],FIND(" Congress",Table4[[#This Row],[Latest Senate Action]])-1),LEN(LEFT(Table4[[#This Row],[Latest Senate Action]],FIND(" Congress",Table4[[#This Row],[Latest Senate Action]])-1))-FIND("-",Table4[[#This Row],[Latest Senate Action]])-1)</f>
        <v>103rd</v>
      </c>
      <c r="J349" s="12" t="str">
        <f>RIGHT(Table4[[#This Row],[Latest Senate Action]],LEN(Table4[[#This Row],[Latest Senate Action]])-FIND(") - ",Table4[[#This Row],[Latest Senate Action]])-3)</f>
        <v xml:space="preserve">Resolution of advice and consent to ratification agreed to in Senate by Division Vote. (All Actions) </v>
      </c>
      <c r="K349" s="12" t="str">
        <f>INDEX(Table5[type],MATCH(Table4[[#This Row],[Action]],Table5[Action],0))</f>
        <v>Passed</v>
      </c>
      <c r="L349" s="22" t="b">
        <f>INDEX(Table1[Senate and President Same Party, House and President Different Party],MATCH(Table4[[#This Row],[Congress Acting]],Table1[Congress],0))</f>
        <v>1</v>
      </c>
    </row>
    <row r="350" spans="1:12" ht="173.25">
      <c r="A350" s="9" t="s">
        <v>572</v>
      </c>
      <c r="B350" t="s">
        <v>2346</v>
      </c>
      <c r="C350" s="9" t="s">
        <v>2347</v>
      </c>
      <c r="D350" s="13" t="s">
        <v>3901</v>
      </c>
      <c r="E350" s="9" t="s">
        <v>2348</v>
      </c>
      <c r="F350"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0" s="9" t="s">
        <v>1052</v>
      </c>
      <c r="H350" s="9" t="s">
        <v>2349</v>
      </c>
      <c r="I350" s="12" t="str">
        <f>RIGHT(LEFT(Table4[[#This Row],[Latest Senate Action]],FIND(" Congress",Table4[[#This Row],[Latest Senate Action]])-1),LEN(LEFT(Table4[[#This Row],[Latest Senate Action]],FIND(" Congress",Table4[[#This Row],[Latest Senate Action]])-1))-FIND("-",Table4[[#This Row],[Latest Senate Action]])-1)</f>
        <v>103rd</v>
      </c>
      <c r="J350" s="12" t="str">
        <f>RIGHT(Table4[[#This Row],[Latest Senate Action]],LEN(Table4[[#This Row],[Latest Senate Action]])-FIND(") - ",Table4[[#This Row],[Latest Senate Action]])-3)</f>
        <v xml:space="preserve">Resolution of advice and consent to ratification agreed to in Senate by Division Vote. (All Actions) </v>
      </c>
      <c r="K350" s="12" t="str">
        <f>INDEX(Table5[type],MATCH(Table4[[#This Row],[Action]],Table5[Action],0))</f>
        <v>Passed</v>
      </c>
      <c r="L350" s="22" t="b">
        <f>INDEX(Table1[Senate and President Same Party, House and President Different Party],MATCH(Table4[[#This Row],[Congress Acting]],Table1[Congress],0))</f>
        <v>1</v>
      </c>
    </row>
    <row r="351" spans="1:12" ht="173.25">
      <c r="A351" s="9" t="s">
        <v>573</v>
      </c>
      <c r="B351" t="s">
        <v>2350</v>
      </c>
      <c r="C351" s="9" t="s">
        <v>2351</v>
      </c>
      <c r="D351" s="13" t="s">
        <v>3902</v>
      </c>
      <c r="E351" s="9" t="s">
        <v>2348</v>
      </c>
      <c r="F351"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1" s="9" t="s">
        <v>1052</v>
      </c>
      <c r="H351" s="9" t="s">
        <v>2349</v>
      </c>
      <c r="I351" s="12" t="str">
        <f>RIGHT(LEFT(Table4[[#This Row],[Latest Senate Action]],FIND(" Congress",Table4[[#This Row],[Latest Senate Action]])-1),LEN(LEFT(Table4[[#This Row],[Latest Senate Action]],FIND(" Congress",Table4[[#This Row],[Latest Senate Action]])-1))-FIND("-",Table4[[#This Row],[Latest Senate Action]])-1)</f>
        <v>103rd</v>
      </c>
      <c r="J351" s="12" t="str">
        <f>RIGHT(Table4[[#This Row],[Latest Senate Action]],LEN(Table4[[#This Row],[Latest Senate Action]])-FIND(") - ",Table4[[#This Row],[Latest Senate Action]])-3)</f>
        <v xml:space="preserve">Resolution of advice and consent to ratification agreed to in Senate by Division Vote. (All Actions) </v>
      </c>
      <c r="K351" s="12" t="str">
        <f>INDEX(Table5[type],MATCH(Table4[[#This Row],[Action]],Table5[Action],0))</f>
        <v>Passed</v>
      </c>
      <c r="L351" s="22" t="b">
        <f>INDEX(Table1[Senate and President Same Party, House and President Different Party],MATCH(Table4[[#This Row],[Congress Acting]],Table1[Congress],0))</f>
        <v>1</v>
      </c>
    </row>
    <row r="352" spans="1:12" ht="141.75">
      <c r="A352" s="9" t="s">
        <v>574</v>
      </c>
      <c r="B352" t="s">
        <v>2352</v>
      </c>
      <c r="C352" s="9" t="s">
        <v>2353</v>
      </c>
      <c r="D352" s="13" t="s">
        <v>3821</v>
      </c>
      <c r="E352" s="9" t="s">
        <v>2354</v>
      </c>
      <c r="F352"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2" s="9" t="s">
        <v>1052</v>
      </c>
      <c r="H352" s="9" t="s">
        <v>2349</v>
      </c>
      <c r="I352" s="12" t="str">
        <f>RIGHT(LEFT(Table4[[#This Row],[Latest Senate Action]],FIND(" Congress",Table4[[#This Row],[Latest Senate Action]])-1),LEN(LEFT(Table4[[#This Row],[Latest Senate Action]],FIND(" Congress",Table4[[#This Row],[Latest Senate Action]])-1))-FIND("-",Table4[[#This Row],[Latest Senate Action]])-1)</f>
        <v>103rd</v>
      </c>
      <c r="J352" s="12" t="str">
        <f>RIGHT(Table4[[#This Row],[Latest Senate Action]],LEN(Table4[[#This Row],[Latest Senate Action]])-FIND(") - ",Table4[[#This Row],[Latest Senate Action]])-3)</f>
        <v xml:space="preserve">Resolution of advice and consent to ratification agreed to in Senate by Division Vote. (All Actions) </v>
      </c>
      <c r="K352" s="12" t="str">
        <f>INDEX(Table5[type],MATCH(Table4[[#This Row],[Action]],Table5[Action],0))</f>
        <v>Passed</v>
      </c>
      <c r="L352" s="22" t="b">
        <f>INDEX(Table1[Senate and President Same Party, House and President Different Party],MATCH(Table4[[#This Row],[Congress Acting]],Table1[Congress],0))</f>
        <v>1</v>
      </c>
    </row>
    <row r="353" spans="1:12" ht="157.5">
      <c r="A353" s="9" t="s">
        <v>575</v>
      </c>
      <c r="B353" t="s">
        <v>2355</v>
      </c>
      <c r="C353" s="9" t="s">
        <v>2356</v>
      </c>
      <c r="D353" s="13" t="s">
        <v>3822</v>
      </c>
      <c r="E353" s="9" t="s">
        <v>2354</v>
      </c>
      <c r="F353"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3" s="9" t="s">
        <v>1052</v>
      </c>
      <c r="H353" s="9" t="s">
        <v>2349</v>
      </c>
      <c r="I353" s="12" t="str">
        <f>RIGHT(LEFT(Table4[[#This Row],[Latest Senate Action]],FIND(" Congress",Table4[[#This Row],[Latest Senate Action]])-1),LEN(LEFT(Table4[[#This Row],[Latest Senate Action]],FIND(" Congress",Table4[[#This Row],[Latest Senate Action]])-1))-FIND("-",Table4[[#This Row],[Latest Senate Action]])-1)</f>
        <v>103rd</v>
      </c>
      <c r="J353" s="12" t="str">
        <f>RIGHT(Table4[[#This Row],[Latest Senate Action]],LEN(Table4[[#This Row],[Latest Senate Action]])-FIND(") - ",Table4[[#This Row],[Latest Senate Action]])-3)</f>
        <v xml:space="preserve">Resolution of advice and consent to ratification agreed to in Senate by Division Vote. (All Actions) </v>
      </c>
      <c r="K353" s="12" t="str">
        <f>INDEX(Table5[type],MATCH(Table4[[#This Row],[Action]],Table5[Action],0))</f>
        <v>Passed</v>
      </c>
      <c r="L353" s="22" t="b">
        <f>INDEX(Table1[Senate and President Same Party, House and President Different Party],MATCH(Table4[[#This Row],[Congress Acting]],Table1[Congress],0))</f>
        <v>1</v>
      </c>
    </row>
    <row r="354" spans="1:12" ht="157.5">
      <c r="A354" s="9" t="s">
        <v>576</v>
      </c>
      <c r="B354" t="s">
        <v>2357</v>
      </c>
      <c r="C354" s="9" t="s">
        <v>2358</v>
      </c>
      <c r="D354" s="13" t="s">
        <v>3823</v>
      </c>
      <c r="E354" s="9" t="s">
        <v>2354</v>
      </c>
      <c r="F354"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4" s="9" t="s">
        <v>1052</v>
      </c>
      <c r="H354" s="9" t="s">
        <v>2349</v>
      </c>
      <c r="I354" s="12" t="str">
        <f>RIGHT(LEFT(Table4[[#This Row],[Latest Senate Action]],FIND(" Congress",Table4[[#This Row],[Latest Senate Action]])-1),LEN(LEFT(Table4[[#This Row],[Latest Senate Action]],FIND(" Congress",Table4[[#This Row],[Latest Senate Action]])-1))-FIND("-",Table4[[#This Row],[Latest Senate Action]])-1)</f>
        <v>103rd</v>
      </c>
      <c r="J354" s="12" t="str">
        <f>RIGHT(Table4[[#This Row],[Latest Senate Action]],LEN(Table4[[#This Row],[Latest Senate Action]])-FIND(") - ",Table4[[#This Row],[Latest Senate Action]])-3)</f>
        <v xml:space="preserve">Resolution of advice and consent to ratification agreed to in Senate by Division Vote. (All Actions) </v>
      </c>
      <c r="K354" s="12" t="str">
        <f>INDEX(Table5[type],MATCH(Table4[[#This Row],[Action]],Table5[Action],0))</f>
        <v>Passed</v>
      </c>
      <c r="L354" s="22" t="b">
        <f>INDEX(Table1[Senate and President Same Party, House and President Different Party],MATCH(Table4[[#This Row],[Congress Acting]],Table1[Congress],0))</f>
        <v>1</v>
      </c>
    </row>
    <row r="355" spans="1:12" ht="141.75">
      <c r="A355" s="9" t="s">
        <v>577</v>
      </c>
      <c r="B355" t="s">
        <v>2359</v>
      </c>
      <c r="C355" s="9" t="s">
        <v>2360</v>
      </c>
      <c r="D355" s="13" t="s">
        <v>3824</v>
      </c>
      <c r="E355" s="9" t="s">
        <v>2361</v>
      </c>
      <c r="F355"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5" s="9" t="s">
        <v>1052</v>
      </c>
      <c r="H355" s="9" t="s">
        <v>2349</v>
      </c>
      <c r="I355" s="12" t="str">
        <f>RIGHT(LEFT(Table4[[#This Row],[Latest Senate Action]],FIND(" Congress",Table4[[#This Row],[Latest Senate Action]])-1),LEN(LEFT(Table4[[#This Row],[Latest Senate Action]],FIND(" Congress",Table4[[#This Row],[Latest Senate Action]])-1))-FIND("-",Table4[[#This Row],[Latest Senate Action]])-1)</f>
        <v>103rd</v>
      </c>
      <c r="J355" s="12" t="str">
        <f>RIGHT(Table4[[#This Row],[Latest Senate Action]],LEN(Table4[[#This Row],[Latest Senate Action]])-FIND(") - ",Table4[[#This Row],[Latest Senate Action]])-3)</f>
        <v xml:space="preserve">Resolution of advice and consent to ratification agreed to in Senate by Division Vote. (All Actions) </v>
      </c>
      <c r="K355" s="12" t="str">
        <f>INDEX(Table5[type],MATCH(Table4[[#This Row],[Action]],Table5[Action],0))</f>
        <v>Passed</v>
      </c>
      <c r="L355" s="22" t="b">
        <f>INDEX(Table1[Senate and President Same Party, House and President Different Party],MATCH(Table4[[#This Row],[Congress Acting]],Table1[Congress],0))</f>
        <v>1</v>
      </c>
    </row>
    <row r="356" spans="1:12" ht="173.25">
      <c r="A356" s="9" t="s">
        <v>578</v>
      </c>
      <c r="B356" t="s">
        <v>2362</v>
      </c>
      <c r="C356" s="9" t="s">
        <v>2363</v>
      </c>
      <c r="D356" s="13" t="s">
        <v>3825</v>
      </c>
      <c r="E356" s="9" t="s">
        <v>2364</v>
      </c>
      <c r="F356"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56" s="9" t="s">
        <v>1052</v>
      </c>
      <c r="H356" s="9" t="s">
        <v>2349</v>
      </c>
      <c r="I356" s="12" t="str">
        <f>RIGHT(LEFT(Table4[[#This Row],[Latest Senate Action]],FIND(" Congress",Table4[[#This Row],[Latest Senate Action]])-1),LEN(LEFT(Table4[[#This Row],[Latest Senate Action]],FIND(" Congress",Table4[[#This Row],[Latest Senate Action]])-1))-FIND("-",Table4[[#This Row],[Latest Senate Action]])-1)</f>
        <v>103rd</v>
      </c>
      <c r="J356" s="12" t="str">
        <f>RIGHT(Table4[[#This Row],[Latest Senate Action]],LEN(Table4[[#This Row],[Latest Senate Action]])-FIND(") - ",Table4[[#This Row],[Latest Senate Action]])-3)</f>
        <v xml:space="preserve">Resolution of advice and consent to ratification agreed to in Senate by Division Vote. (All Actions) </v>
      </c>
      <c r="K356" s="12" t="str">
        <f>INDEX(Table5[type],MATCH(Table4[[#This Row],[Action]],Table5[Action],0))</f>
        <v>Passed</v>
      </c>
      <c r="L356" s="22" t="b">
        <f>INDEX(Table1[Senate and President Same Party, House and President Different Party],MATCH(Table4[[#This Row],[Congress Acting]],Table1[Congress],0))</f>
        <v>1</v>
      </c>
    </row>
    <row r="357" spans="1:12" ht="141.75">
      <c r="A357" s="9" t="s">
        <v>579</v>
      </c>
      <c r="B357" t="s">
        <v>2365</v>
      </c>
      <c r="C357" s="9" t="s">
        <v>2366</v>
      </c>
      <c r="D357" s="13" t="s">
        <v>3826</v>
      </c>
      <c r="E357" s="9" t="s">
        <v>2354</v>
      </c>
      <c r="F357" t="str">
        <f>RIGHT(LEFT(Table4[[#This Row],[Date Received from President]],FIND(" Congress",Table4[[#This Row],[Date Received from President]])-1),LEN(LEFT(Table4[[#This Row],[Date Received from President]],FIND(" Congress",Table4[[#This Row],[Date Received from President]])-1))-FIND("-",Table4[[#This Row],[Date Received from President]])-1)</f>
        <v>103rd</v>
      </c>
      <c r="G357" s="9" t="s">
        <v>1052</v>
      </c>
      <c r="H357" s="9" t="s">
        <v>2367</v>
      </c>
      <c r="I357" s="12" t="str">
        <f>RIGHT(LEFT(Table4[[#This Row],[Latest Senate Action]],FIND(" Congress",Table4[[#This Row],[Latest Senate Action]])-1),LEN(LEFT(Table4[[#This Row],[Latest Senate Action]],FIND(" Congress",Table4[[#This Row],[Latest Senate Action]])-1))-FIND("-",Table4[[#This Row],[Latest Senate Action]])-1)</f>
        <v>103rd</v>
      </c>
      <c r="J357" s="12" t="str">
        <f>RIGHT(Table4[[#This Row],[Latest Senate Action]],LEN(Table4[[#This Row],[Latest Senate Action]])-FIND(") - ",Table4[[#This Row],[Latest Senate Action]])-3)</f>
        <v xml:space="preserve">Resolution of advice and consent to ratification agreed to in Senate by Division Vote. (All Actions) </v>
      </c>
      <c r="K357" s="12" t="str">
        <f>INDEX(Table5[type],MATCH(Table4[[#This Row],[Action]],Table5[Action],0))</f>
        <v>Passed</v>
      </c>
      <c r="L357" s="22" t="b">
        <f>INDEX(Table1[Senate and President Same Party, House and President Different Party],MATCH(Table4[[#This Row],[Congress Acting]],Table1[Congress],0))</f>
        <v>1</v>
      </c>
    </row>
    <row r="358" spans="1:12" ht="126">
      <c r="A358" s="9" t="s">
        <v>580</v>
      </c>
      <c r="B358" t="s">
        <v>2368</v>
      </c>
      <c r="C358" s="9" t="s">
        <v>2369</v>
      </c>
      <c r="D358" s="13" t="s">
        <v>3827</v>
      </c>
      <c r="E358" s="9" t="s">
        <v>2370</v>
      </c>
      <c r="F358"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58" s="9" t="s">
        <v>1456</v>
      </c>
      <c r="H358" s="9" t="s">
        <v>2371</v>
      </c>
      <c r="I358" s="12" t="str">
        <f>RIGHT(LEFT(Table4[[#This Row],[Latest Senate Action]],FIND(" Congress",Table4[[#This Row],[Latest Senate Action]])-1),LEN(LEFT(Table4[[#This Row],[Latest Senate Action]],FIND(" Congress",Table4[[#This Row],[Latest Senate Action]])-1))-FIND("-",Table4[[#This Row],[Latest Senate Action]])-1)</f>
        <v>103rd</v>
      </c>
      <c r="J358" s="12" t="str">
        <f>RIGHT(Table4[[#This Row],[Latest Senate Action]],LEN(Table4[[#This Row],[Latest Senate Action]])-FIND(") - ",Table4[[#This Row],[Latest Senate Action]])-3)</f>
        <v xml:space="preserve">Resolution of advice and consent to ratification agreed to in Senate by Division Vote. (All Actions) </v>
      </c>
      <c r="K358" s="12" t="str">
        <f>INDEX(Table5[type],MATCH(Table4[[#This Row],[Action]],Table5[Action],0))</f>
        <v>Passed</v>
      </c>
      <c r="L358" s="22" t="b">
        <f>INDEX(Table1[Senate and President Same Party, House and President Different Party],MATCH(Table4[[#This Row],[Congress Acting]],Table1[Congress],0))</f>
        <v>1</v>
      </c>
    </row>
    <row r="359" spans="1:12" ht="157.5">
      <c r="A359" s="9" t="s">
        <v>581</v>
      </c>
      <c r="B359" t="s">
        <v>2372</v>
      </c>
      <c r="C359" s="9" t="s">
        <v>2373</v>
      </c>
      <c r="D359" s="13" t="s">
        <v>3828</v>
      </c>
      <c r="E359" s="9" t="s">
        <v>2374</v>
      </c>
      <c r="F359"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59" s="9" t="s">
        <v>1164</v>
      </c>
      <c r="H359" s="9" t="s">
        <v>2375</v>
      </c>
      <c r="I359" s="12" t="str">
        <f>RIGHT(LEFT(Table4[[#This Row],[Latest Senate Action]],FIND(" Congress",Table4[[#This Row],[Latest Senate Action]])-1),LEN(LEFT(Table4[[#This Row],[Latest Senate Action]],FIND(" Congress",Table4[[#This Row],[Latest Senate Action]])-1))-FIND("-",Table4[[#This Row],[Latest Senate Action]])-1)</f>
        <v>102nd</v>
      </c>
      <c r="J359" s="12" t="str">
        <f>RIGHT(Table4[[#This Row],[Latest Senate Action]],LEN(Table4[[#This Row],[Latest Senate Action]])-FIND(") - ",Table4[[#This Row],[Latest Senate Action]])-3)</f>
        <v xml:space="preserve">Resolution of advice and consent to ratification agreed to in Senate by Division Vote. (All Actions) </v>
      </c>
      <c r="K359" s="12" t="str">
        <f>INDEX(Table5[type],MATCH(Table4[[#This Row],[Action]],Table5[Action],0))</f>
        <v>Passed</v>
      </c>
      <c r="L359" s="22" t="b">
        <f>INDEX(Table1[Senate and President Same Party, House and President Different Party],MATCH(Table4[[#This Row],[Congress Acting]],Table1[Congress],0))</f>
        <v>0</v>
      </c>
    </row>
    <row r="360" spans="1:12" ht="157.5">
      <c r="A360" s="9" t="s">
        <v>582</v>
      </c>
      <c r="B360" t="s">
        <v>2376</v>
      </c>
      <c r="C360" s="9" t="s">
        <v>2377</v>
      </c>
      <c r="D360" s="13" t="s">
        <v>3829</v>
      </c>
      <c r="E360" s="9" t="s">
        <v>2342</v>
      </c>
      <c r="F360"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0" s="9" t="s">
        <v>1038</v>
      </c>
      <c r="H360" s="9" t="s">
        <v>2375</v>
      </c>
      <c r="I360" s="12" t="str">
        <f>RIGHT(LEFT(Table4[[#This Row],[Latest Senate Action]],FIND(" Congress",Table4[[#This Row],[Latest Senate Action]])-1),LEN(LEFT(Table4[[#This Row],[Latest Senate Action]],FIND(" Congress",Table4[[#This Row],[Latest Senate Action]])-1))-FIND("-",Table4[[#This Row],[Latest Senate Action]])-1)</f>
        <v>102nd</v>
      </c>
      <c r="J360" s="12" t="str">
        <f>RIGHT(Table4[[#This Row],[Latest Senate Action]],LEN(Table4[[#This Row],[Latest Senate Action]])-FIND(") - ",Table4[[#This Row],[Latest Senate Action]])-3)</f>
        <v xml:space="preserve">Resolution of advice and consent to ratification agreed to in Senate by Division Vote. (All Actions) </v>
      </c>
      <c r="K360" s="12" t="str">
        <f>INDEX(Table5[type],MATCH(Table4[[#This Row],[Action]],Table5[Action],0))</f>
        <v>Passed</v>
      </c>
      <c r="L360" s="22" t="b">
        <f>INDEX(Table1[Senate and President Same Party, House and President Different Party],MATCH(Table4[[#This Row],[Congress Acting]],Table1[Congress],0))</f>
        <v>0</v>
      </c>
    </row>
    <row r="361" spans="1:12" ht="204.75">
      <c r="A361" s="9" t="s">
        <v>583</v>
      </c>
      <c r="B361" t="s">
        <v>2378</v>
      </c>
      <c r="C361" s="9" t="s">
        <v>2379</v>
      </c>
      <c r="D361" s="13" t="s">
        <v>3830</v>
      </c>
      <c r="E361" s="9" t="s">
        <v>2380</v>
      </c>
      <c r="F361"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1" s="9" t="s">
        <v>1101</v>
      </c>
      <c r="H361" s="9" t="s">
        <v>2381</v>
      </c>
      <c r="I361" s="12" t="str">
        <f>RIGHT(LEFT(Table4[[#This Row],[Latest Senate Action]],FIND(" Congress",Table4[[#This Row],[Latest Senate Action]])-1),LEN(LEFT(Table4[[#This Row],[Latest Senate Action]],FIND(" Congress",Table4[[#This Row],[Latest Senate Action]])-1))-FIND("-",Table4[[#This Row],[Latest Senate Action]])-1)</f>
        <v>102nd</v>
      </c>
      <c r="J361" s="12" t="str">
        <f>RIGHT(Table4[[#This Row],[Latest Senate Action]],LEN(Table4[[#This Row],[Latest Senate Action]])-FIND(") - ",Table4[[#This Row],[Latest Senate Action]])-3)</f>
        <v xml:space="preserve">Resolution of advice and consent to ratification agreed to in Senate with amendments by Yea-Nay Vote. 93 - 6. Record Vote Number: 253. (All Actions) </v>
      </c>
      <c r="K361" s="12" t="str">
        <f>INDEX(Table5[type],MATCH(Table4[[#This Row],[Action]],Table5[Action],0))</f>
        <v>Passed</v>
      </c>
      <c r="L361" s="22" t="b">
        <f>INDEX(Table1[Senate and President Same Party, House and President Different Party],MATCH(Table4[[#This Row],[Congress Acting]],Table1[Congress],0))</f>
        <v>0</v>
      </c>
    </row>
    <row r="362" spans="1:12" ht="204.75">
      <c r="A362" s="9" t="s">
        <v>584</v>
      </c>
      <c r="B362" t="s">
        <v>2382</v>
      </c>
      <c r="C362" s="9" t="s">
        <v>2383</v>
      </c>
      <c r="D362" s="13" t="s">
        <v>3831</v>
      </c>
      <c r="E362" s="9" t="s">
        <v>2384</v>
      </c>
      <c r="F362"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2" s="9" t="s">
        <v>1101</v>
      </c>
      <c r="H362" s="9" t="s">
        <v>2381</v>
      </c>
      <c r="I362" s="12" t="str">
        <f>RIGHT(LEFT(Table4[[#This Row],[Latest Senate Action]],FIND(" Congress",Table4[[#This Row],[Latest Senate Action]])-1),LEN(LEFT(Table4[[#This Row],[Latest Senate Action]],FIND(" Congress",Table4[[#This Row],[Latest Senate Action]])-1))-FIND("-",Table4[[#This Row],[Latest Senate Action]])-1)</f>
        <v>102nd</v>
      </c>
      <c r="J362" s="12" t="str">
        <f>RIGHT(Table4[[#This Row],[Latest Senate Action]],LEN(Table4[[#This Row],[Latest Senate Action]])-FIND(") - ",Table4[[#This Row],[Latest Senate Action]])-3)</f>
        <v xml:space="preserve">Resolution of advice and consent to ratification agreed to in Senate with amendments by Yea-Nay Vote. 93 - 6. Record Vote Number: 253. (All Actions) </v>
      </c>
      <c r="K362" s="12" t="str">
        <f>INDEX(Table5[type],MATCH(Table4[[#This Row],[Action]],Table5[Action],0))</f>
        <v>Passed</v>
      </c>
      <c r="L362" s="22" t="b">
        <f>INDEX(Table1[Senate and President Same Party, House and President Different Party],MATCH(Table4[[#This Row],[Congress Acting]],Table1[Congress],0))</f>
        <v>0</v>
      </c>
    </row>
    <row r="363" spans="1:12" ht="189">
      <c r="A363" s="9" t="s">
        <v>585</v>
      </c>
      <c r="B363" t="s">
        <v>2385</v>
      </c>
      <c r="C363" s="9" t="s">
        <v>2386</v>
      </c>
      <c r="D363" s="13" t="s">
        <v>3903</v>
      </c>
      <c r="E363" s="9" t="s">
        <v>2387</v>
      </c>
      <c r="F363"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3" s="9" t="s">
        <v>1052</v>
      </c>
      <c r="H363" s="9" t="s">
        <v>2388</v>
      </c>
      <c r="I363" s="12" t="str">
        <f>RIGHT(LEFT(Table4[[#This Row],[Latest Senate Action]],FIND(" Congress",Table4[[#This Row],[Latest Senate Action]])-1),LEN(LEFT(Table4[[#This Row],[Latest Senate Action]],FIND(" Congress",Table4[[#This Row],[Latest Senate Action]])-1))-FIND("-",Table4[[#This Row],[Latest Senate Action]])-1)</f>
        <v>102nd</v>
      </c>
      <c r="J363" s="12" t="str">
        <f>RIGHT(Table4[[#This Row],[Latest Senate Action]],LEN(Table4[[#This Row],[Latest Senate Action]])-FIND(") - ",Table4[[#This Row],[Latest Senate Action]])-3)</f>
        <v xml:space="preserve">Resolution of advice and consent to ratification agreed to in Senate by Division Vote. (All Actions) </v>
      </c>
      <c r="K363" s="12" t="str">
        <f>INDEX(Table5[type],MATCH(Table4[[#This Row],[Action]],Table5[Action],0))</f>
        <v>Passed</v>
      </c>
      <c r="L363" s="22" t="b">
        <f>INDEX(Table1[Senate and President Same Party, House and President Different Party],MATCH(Table4[[#This Row],[Congress Acting]],Table1[Congress],0))</f>
        <v>0</v>
      </c>
    </row>
    <row r="364" spans="1:12" ht="173.25">
      <c r="A364" s="9" t="s">
        <v>586</v>
      </c>
      <c r="B364" t="s">
        <v>2389</v>
      </c>
      <c r="C364" s="9" t="s">
        <v>2390</v>
      </c>
      <c r="D364" s="13" t="s">
        <v>3904</v>
      </c>
      <c r="E364" s="9" t="s">
        <v>2391</v>
      </c>
      <c r="F364"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4" s="9" t="s">
        <v>1164</v>
      </c>
      <c r="H364" s="9" t="s">
        <v>2392</v>
      </c>
      <c r="I364" s="12" t="str">
        <f>RIGHT(LEFT(Table4[[#This Row],[Latest Senate Action]],FIND(" Congress",Table4[[#This Row],[Latest Senate Action]])-1),LEN(LEFT(Table4[[#This Row],[Latest Senate Action]],FIND(" Congress",Table4[[#This Row],[Latest Senate Action]])-1))-FIND("-",Table4[[#This Row],[Latest Senate Action]])-1)</f>
        <v>102nd</v>
      </c>
      <c r="J364" s="12" t="str">
        <f>RIGHT(Table4[[#This Row],[Latest Senate Action]],LEN(Table4[[#This Row],[Latest Senate Action]])-FIND(") - ",Table4[[#This Row],[Latest Senate Action]])-3)</f>
        <v xml:space="preserve">Resolution of advice and consent to ratification agreed to in Senate with understandings by Division Vote. (All Actions) </v>
      </c>
      <c r="K364" s="12" t="str">
        <f>INDEX(Table5[type],MATCH(Table4[[#This Row],[Action]],Table5[Action],0))</f>
        <v>Passed</v>
      </c>
      <c r="L364" s="22" t="b">
        <f>INDEX(Table1[Senate and President Same Party, House and President Different Party],MATCH(Table4[[#This Row],[Congress Acting]],Table1[Congress],0))</f>
        <v>0</v>
      </c>
    </row>
    <row r="365" spans="1:12" ht="173.25">
      <c r="A365" s="9" t="s">
        <v>587</v>
      </c>
      <c r="B365" t="s">
        <v>2393</v>
      </c>
      <c r="C365" s="9" t="s">
        <v>2394</v>
      </c>
      <c r="D365" s="13" t="s">
        <v>3905</v>
      </c>
      <c r="E365" s="9" t="s">
        <v>2391</v>
      </c>
      <c r="F365"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5" s="9" t="s">
        <v>1052</v>
      </c>
      <c r="H365" s="9" t="s">
        <v>2388</v>
      </c>
      <c r="I365" s="12" t="str">
        <f>RIGHT(LEFT(Table4[[#This Row],[Latest Senate Action]],FIND(" Congress",Table4[[#This Row],[Latest Senate Action]])-1),LEN(LEFT(Table4[[#This Row],[Latest Senate Action]],FIND(" Congress",Table4[[#This Row],[Latest Senate Action]])-1))-FIND("-",Table4[[#This Row],[Latest Senate Action]])-1)</f>
        <v>102nd</v>
      </c>
      <c r="J365" s="12" t="str">
        <f>RIGHT(Table4[[#This Row],[Latest Senate Action]],LEN(Table4[[#This Row],[Latest Senate Action]])-FIND(") - ",Table4[[#This Row],[Latest Senate Action]])-3)</f>
        <v xml:space="preserve">Resolution of advice and consent to ratification agreed to in Senate by Division Vote. (All Actions) </v>
      </c>
      <c r="K365" s="12" t="str">
        <f>INDEX(Table5[type],MATCH(Table4[[#This Row],[Action]],Table5[Action],0))</f>
        <v>Passed</v>
      </c>
      <c r="L365" s="22" t="b">
        <f>INDEX(Table1[Senate and President Same Party, House and President Different Party],MATCH(Table4[[#This Row],[Congress Acting]],Table1[Congress],0))</f>
        <v>0</v>
      </c>
    </row>
    <row r="366" spans="1:12" ht="173.25">
      <c r="A366" s="9" t="s">
        <v>588</v>
      </c>
      <c r="B366" t="s">
        <v>2395</v>
      </c>
      <c r="C366" s="9" t="s">
        <v>2396</v>
      </c>
      <c r="D366" s="13" t="s">
        <v>3832</v>
      </c>
      <c r="E366" s="9" t="s">
        <v>2397</v>
      </c>
      <c r="F366"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6" s="9" t="s">
        <v>1052</v>
      </c>
      <c r="H366" s="9" t="s">
        <v>2388</v>
      </c>
      <c r="I366" s="12" t="str">
        <f>RIGHT(LEFT(Table4[[#This Row],[Latest Senate Action]],FIND(" Congress",Table4[[#This Row],[Latest Senate Action]])-1),LEN(LEFT(Table4[[#This Row],[Latest Senate Action]],FIND(" Congress",Table4[[#This Row],[Latest Senate Action]])-1))-FIND("-",Table4[[#This Row],[Latest Senate Action]])-1)</f>
        <v>102nd</v>
      </c>
      <c r="J366" s="12" t="str">
        <f>RIGHT(Table4[[#This Row],[Latest Senate Action]],LEN(Table4[[#This Row],[Latest Senate Action]])-FIND(") - ",Table4[[#This Row],[Latest Senate Action]])-3)</f>
        <v xml:space="preserve">Resolution of advice and consent to ratification agreed to in Senate by Division Vote. (All Actions) </v>
      </c>
      <c r="K366" s="12" t="str">
        <f>INDEX(Table5[type],MATCH(Table4[[#This Row],[Action]],Table5[Action],0))</f>
        <v>Passed</v>
      </c>
      <c r="L366" s="22" t="b">
        <f>INDEX(Table1[Senate and President Same Party, House and President Different Party],MATCH(Table4[[#This Row],[Congress Acting]],Table1[Congress],0))</f>
        <v>0</v>
      </c>
    </row>
    <row r="367" spans="1:12" ht="157.5">
      <c r="A367" s="9" t="s">
        <v>589</v>
      </c>
      <c r="B367" t="s">
        <v>2398</v>
      </c>
      <c r="C367" s="9" t="s">
        <v>2399</v>
      </c>
      <c r="D367" s="13" t="s">
        <v>3833</v>
      </c>
      <c r="E367" s="9" t="s">
        <v>2400</v>
      </c>
      <c r="F367"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7" s="9" t="s">
        <v>1112</v>
      </c>
      <c r="H367" s="9" t="s">
        <v>2388</v>
      </c>
      <c r="I367" s="12" t="str">
        <f>RIGHT(LEFT(Table4[[#This Row],[Latest Senate Action]],FIND(" Congress",Table4[[#This Row],[Latest Senate Action]])-1),LEN(LEFT(Table4[[#This Row],[Latest Senate Action]],FIND(" Congress",Table4[[#This Row],[Latest Senate Action]])-1))-FIND("-",Table4[[#This Row],[Latest Senate Action]])-1)</f>
        <v>102nd</v>
      </c>
      <c r="J367" s="12" t="str">
        <f>RIGHT(Table4[[#This Row],[Latest Senate Action]],LEN(Table4[[#This Row],[Latest Senate Action]])-FIND(") - ",Table4[[#This Row],[Latest Senate Action]])-3)</f>
        <v xml:space="preserve">Resolution of advice and consent to ratification agreed to in Senate by Division Vote. (All Actions) </v>
      </c>
      <c r="K367" s="12" t="str">
        <f>INDEX(Table5[type],MATCH(Table4[[#This Row],[Action]],Table5[Action],0))</f>
        <v>Passed</v>
      </c>
      <c r="L367" s="22" t="b">
        <f>INDEX(Table1[Senate and President Same Party, House and President Different Party],MATCH(Table4[[#This Row],[Congress Acting]],Table1[Congress],0))</f>
        <v>0</v>
      </c>
    </row>
    <row r="368" spans="1:12" ht="189">
      <c r="A368" s="9" t="s">
        <v>590</v>
      </c>
      <c r="B368" t="s">
        <v>2401</v>
      </c>
      <c r="C368" s="9" t="s">
        <v>2402</v>
      </c>
      <c r="D368" s="13" t="s">
        <v>3834</v>
      </c>
      <c r="E368" s="9" t="s">
        <v>2403</v>
      </c>
      <c r="F368"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8" s="9" t="s">
        <v>1052</v>
      </c>
      <c r="H368" s="9" t="s">
        <v>2388</v>
      </c>
      <c r="I368" s="12" t="str">
        <f>RIGHT(LEFT(Table4[[#This Row],[Latest Senate Action]],FIND(" Congress",Table4[[#This Row],[Latest Senate Action]])-1),LEN(LEFT(Table4[[#This Row],[Latest Senate Action]],FIND(" Congress",Table4[[#This Row],[Latest Senate Action]])-1))-FIND("-",Table4[[#This Row],[Latest Senate Action]])-1)</f>
        <v>102nd</v>
      </c>
      <c r="J368" s="12" t="str">
        <f>RIGHT(Table4[[#This Row],[Latest Senate Action]],LEN(Table4[[#This Row],[Latest Senate Action]])-FIND(") - ",Table4[[#This Row],[Latest Senate Action]])-3)</f>
        <v xml:space="preserve">Resolution of advice and consent to ratification agreed to in Senate by Division Vote. (All Actions) </v>
      </c>
      <c r="K368" s="12" t="str">
        <f>INDEX(Table5[type],MATCH(Table4[[#This Row],[Action]],Table5[Action],0))</f>
        <v>Passed</v>
      </c>
      <c r="L368" s="22" t="b">
        <f>INDEX(Table1[Senate and President Same Party, House and President Different Party],MATCH(Table4[[#This Row],[Congress Acting]],Table1[Congress],0))</f>
        <v>0</v>
      </c>
    </row>
    <row r="369" spans="1:12" ht="173.25">
      <c r="A369" s="9" t="s">
        <v>591</v>
      </c>
      <c r="B369" t="s">
        <v>2404</v>
      </c>
      <c r="C369" s="9" t="s">
        <v>2405</v>
      </c>
      <c r="D369" s="13" t="s">
        <v>3835</v>
      </c>
      <c r="E369" s="9" t="s">
        <v>2406</v>
      </c>
      <c r="F369"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69" s="9" t="s">
        <v>1052</v>
      </c>
      <c r="H369" s="9" t="s">
        <v>2388</v>
      </c>
      <c r="I369" s="12" t="str">
        <f>RIGHT(LEFT(Table4[[#This Row],[Latest Senate Action]],FIND(" Congress",Table4[[#This Row],[Latest Senate Action]])-1),LEN(LEFT(Table4[[#This Row],[Latest Senate Action]],FIND(" Congress",Table4[[#This Row],[Latest Senate Action]])-1))-FIND("-",Table4[[#This Row],[Latest Senate Action]])-1)</f>
        <v>102nd</v>
      </c>
      <c r="J369" s="12" t="str">
        <f>RIGHT(Table4[[#This Row],[Latest Senate Action]],LEN(Table4[[#This Row],[Latest Senate Action]])-FIND(") - ",Table4[[#This Row],[Latest Senate Action]])-3)</f>
        <v xml:space="preserve">Resolution of advice and consent to ratification agreed to in Senate by Division Vote. (All Actions) </v>
      </c>
      <c r="K369" s="12" t="str">
        <f>INDEX(Table5[type],MATCH(Table4[[#This Row],[Action]],Table5[Action],0))</f>
        <v>Passed</v>
      </c>
      <c r="L369" s="22" t="b">
        <f>INDEX(Table1[Senate and President Same Party, House and President Different Party],MATCH(Table4[[#This Row],[Congress Acting]],Table1[Congress],0))</f>
        <v>0</v>
      </c>
    </row>
    <row r="370" spans="1:12" ht="173.25">
      <c r="A370" s="9" t="s">
        <v>592</v>
      </c>
      <c r="B370" t="s">
        <v>2407</v>
      </c>
      <c r="C370" s="9" t="s">
        <v>2408</v>
      </c>
      <c r="D370" s="13" t="s">
        <v>3836</v>
      </c>
      <c r="E370" s="9" t="s">
        <v>2409</v>
      </c>
      <c r="F370"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0" s="9" t="s">
        <v>1052</v>
      </c>
      <c r="H370" s="9" t="s">
        <v>2388</v>
      </c>
      <c r="I370" s="12" t="str">
        <f>RIGHT(LEFT(Table4[[#This Row],[Latest Senate Action]],FIND(" Congress",Table4[[#This Row],[Latest Senate Action]])-1),LEN(LEFT(Table4[[#This Row],[Latest Senate Action]],FIND(" Congress",Table4[[#This Row],[Latest Senate Action]])-1))-FIND("-",Table4[[#This Row],[Latest Senate Action]])-1)</f>
        <v>102nd</v>
      </c>
      <c r="J370" s="12" t="str">
        <f>RIGHT(Table4[[#This Row],[Latest Senate Action]],LEN(Table4[[#This Row],[Latest Senate Action]])-FIND(") - ",Table4[[#This Row],[Latest Senate Action]])-3)</f>
        <v xml:space="preserve">Resolution of advice and consent to ratification agreed to in Senate by Division Vote. (All Actions) </v>
      </c>
      <c r="K370" s="12" t="str">
        <f>INDEX(Table5[type],MATCH(Table4[[#This Row],[Action]],Table5[Action],0))</f>
        <v>Passed</v>
      </c>
      <c r="L370" s="22" t="b">
        <f>INDEX(Table1[Senate and President Same Party, House and President Different Party],MATCH(Table4[[#This Row],[Congress Acting]],Table1[Congress],0))</f>
        <v>0</v>
      </c>
    </row>
    <row r="371" spans="1:12" ht="157.5">
      <c r="A371" s="9" t="s">
        <v>593</v>
      </c>
      <c r="B371" t="s">
        <v>2410</v>
      </c>
      <c r="C371" s="9" t="s">
        <v>2411</v>
      </c>
      <c r="D371" s="13" t="s">
        <v>3837</v>
      </c>
      <c r="E371" s="9" t="s">
        <v>2409</v>
      </c>
      <c r="F371"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1" s="9" t="s">
        <v>1052</v>
      </c>
      <c r="H371" s="9" t="s">
        <v>2388</v>
      </c>
      <c r="I371" s="12" t="str">
        <f>RIGHT(LEFT(Table4[[#This Row],[Latest Senate Action]],FIND(" Congress",Table4[[#This Row],[Latest Senate Action]])-1),LEN(LEFT(Table4[[#This Row],[Latest Senate Action]],FIND(" Congress",Table4[[#This Row],[Latest Senate Action]])-1))-FIND("-",Table4[[#This Row],[Latest Senate Action]])-1)</f>
        <v>102nd</v>
      </c>
      <c r="J371" s="12" t="str">
        <f>RIGHT(Table4[[#This Row],[Latest Senate Action]],LEN(Table4[[#This Row],[Latest Senate Action]])-FIND(") - ",Table4[[#This Row],[Latest Senate Action]])-3)</f>
        <v xml:space="preserve">Resolution of advice and consent to ratification agreed to in Senate by Division Vote. (All Actions) </v>
      </c>
      <c r="K371" s="12" t="str">
        <f>INDEX(Table5[type],MATCH(Table4[[#This Row],[Action]],Table5[Action],0))</f>
        <v>Passed</v>
      </c>
      <c r="L371" s="22" t="b">
        <f>INDEX(Table1[Senate and President Same Party, House and President Different Party],MATCH(Table4[[#This Row],[Congress Acting]],Table1[Congress],0))</f>
        <v>0</v>
      </c>
    </row>
    <row r="372" spans="1:12" ht="157.5">
      <c r="A372" s="9" t="s">
        <v>594</v>
      </c>
      <c r="B372" t="s">
        <v>2412</v>
      </c>
      <c r="C372" s="9" t="s">
        <v>2413</v>
      </c>
      <c r="D372" s="13" t="s">
        <v>3906</v>
      </c>
      <c r="E372" s="9" t="s">
        <v>2414</v>
      </c>
      <c r="F372"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372" s="9" t="s">
        <v>1052</v>
      </c>
      <c r="H372" s="9" t="s">
        <v>2415</v>
      </c>
      <c r="I372" s="12" t="str">
        <f>RIGHT(LEFT(Table4[[#This Row],[Latest Senate Action]],FIND(" Congress",Table4[[#This Row],[Latest Senate Action]])-1),LEN(LEFT(Table4[[#This Row],[Latest Senate Action]],FIND(" Congress",Table4[[#This Row],[Latest Senate Action]])-1))-FIND("-",Table4[[#This Row],[Latest Senate Action]])-1)</f>
        <v>102nd</v>
      </c>
      <c r="J372" s="12" t="str">
        <f>RIGHT(Table4[[#This Row],[Latest Senate Action]],LEN(Table4[[#This Row],[Latest Senate Action]])-FIND(") - ",Table4[[#This Row],[Latest Senate Action]])-3)</f>
        <v xml:space="preserve">Resolution of advice and consent to ratification agreed to in Senate by Division Vote. (All Actions) </v>
      </c>
      <c r="K372" s="12" t="str">
        <f>INDEX(Table5[type],MATCH(Table4[[#This Row],[Action]],Table5[Action],0))</f>
        <v>Passed</v>
      </c>
      <c r="L372" s="22" t="b">
        <f>INDEX(Table1[Senate and President Same Party, House and President Different Party],MATCH(Table4[[#This Row],[Congress Acting]],Table1[Congress],0))</f>
        <v>0</v>
      </c>
    </row>
    <row r="373" spans="1:12" ht="157.5">
      <c r="A373" s="9" t="s">
        <v>595</v>
      </c>
      <c r="B373" t="s">
        <v>2416</v>
      </c>
      <c r="C373" s="9" t="s">
        <v>2417</v>
      </c>
      <c r="D373" s="13" t="s">
        <v>3907</v>
      </c>
      <c r="E373" s="9" t="s">
        <v>2418</v>
      </c>
      <c r="F373"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373" s="9" t="s">
        <v>1052</v>
      </c>
      <c r="H373" s="9" t="s">
        <v>2415</v>
      </c>
      <c r="I373" s="12" t="str">
        <f>RIGHT(LEFT(Table4[[#This Row],[Latest Senate Action]],FIND(" Congress",Table4[[#This Row],[Latest Senate Action]])-1),LEN(LEFT(Table4[[#This Row],[Latest Senate Action]],FIND(" Congress",Table4[[#This Row],[Latest Senate Action]])-1))-FIND("-",Table4[[#This Row],[Latest Senate Action]])-1)</f>
        <v>102nd</v>
      </c>
      <c r="J373" s="12" t="str">
        <f>RIGHT(Table4[[#This Row],[Latest Senate Action]],LEN(Table4[[#This Row],[Latest Senate Action]])-FIND(") - ",Table4[[#This Row],[Latest Senate Action]])-3)</f>
        <v xml:space="preserve">Resolution of advice and consent to ratification agreed to in Senate by Division Vote. (All Actions) </v>
      </c>
      <c r="K373" s="12" t="str">
        <f>INDEX(Table5[type],MATCH(Table4[[#This Row],[Action]],Table5[Action],0))</f>
        <v>Passed</v>
      </c>
      <c r="L373" s="22" t="b">
        <f>INDEX(Table1[Senate and President Same Party, House and President Different Party],MATCH(Table4[[#This Row],[Congress Acting]],Table1[Congress],0))</f>
        <v>0</v>
      </c>
    </row>
    <row r="374" spans="1:12" ht="173.25">
      <c r="A374" s="9" t="s">
        <v>596</v>
      </c>
      <c r="B374" t="s">
        <v>2419</v>
      </c>
      <c r="C374" s="9" t="s">
        <v>2420</v>
      </c>
      <c r="D374" s="13" t="s">
        <v>3838</v>
      </c>
      <c r="E374" s="9" t="s">
        <v>2421</v>
      </c>
      <c r="F374"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4" s="9" t="s">
        <v>1052</v>
      </c>
      <c r="H374" s="9" t="s">
        <v>2415</v>
      </c>
      <c r="I374" s="12" t="str">
        <f>RIGHT(LEFT(Table4[[#This Row],[Latest Senate Action]],FIND(" Congress",Table4[[#This Row],[Latest Senate Action]])-1),LEN(LEFT(Table4[[#This Row],[Latest Senate Action]],FIND(" Congress",Table4[[#This Row],[Latest Senate Action]])-1))-FIND("-",Table4[[#This Row],[Latest Senate Action]])-1)</f>
        <v>102nd</v>
      </c>
      <c r="J374" s="12" t="str">
        <f>RIGHT(Table4[[#This Row],[Latest Senate Action]],LEN(Table4[[#This Row],[Latest Senate Action]])-FIND(") - ",Table4[[#This Row],[Latest Senate Action]])-3)</f>
        <v xml:space="preserve">Resolution of advice and consent to ratification agreed to in Senate by Division Vote. (All Actions) </v>
      </c>
      <c r="K374" s="12" t="str">
        <f>INDEX(Table5[type],MATCH(Table4[[#This Row],[Action]],Table5[Action],0))</f>
        <v>Passed</v>
      </c>
      <c r="L374" s="22" t="b">
        <f>INDEX(Table1[Senate and President Same Party, House and President Different Party],MATCH(Table4[[#This Row],[Congress Acting]],Table1[Congress],0))</f>
        <v>0</v>
      </c>
    </row>
    <row r="375" spans="1:12" ht="157.5">
      <c r="A375" s="9" t="s">
        <v>597</v>
      </c>
      <c r="B375" t="s">
        <v>2422</v>
      </c>
      <c r="C375" s="9" t="s">
        <v>2423</v>
      </c>
      <c r="D375" s="13" t="s">
        <v>3839</v>
      </c>
      <c r="E375" s="9" t="s">
        <v>2424</v>
      </c>
      <c r="F375"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5" s="9" t="s">
        <v>1038</v>
      </c>
      <c r="H375" s="9" t="s">
        <v>2415</v>
      </c>
      <c r="I375" s="12" t="str">
        <f>RIGHT(LEFT(Table4[[#This Row],[Latest Senate Action]],FIND(" Congress",Table4[[#This Row],[Latest Senate Action]])-1),LEN(LEFT(Table4[[#This Row],[Latest Senate Action]],FIND(" Congress",Table4[[#This Row],[Latest Senate Action]])-1))-FIND("-",Table4[[#This Row],[Latest Senate Action]])-1)</f>
        <v>102nd</v>
      </c>
      <c r="J375" s="12" t="str">
        <f>RIGHT(Table4[[#This Row],[Latest Senate Action]],LEN(Table4[[#This Row],[Latest Senate Action]])-FIND(") - ",Table4[[#This Row],[Latest Senate Action]])-3)</f>
        <v xml:space="preserve">Resolution of advice and consent to ratification agreed to in Senate by Division Vote. (All Actions) </v>
      </c>
      <c r="K375" s="12" t="str">
        <f>INDEX(Table5[type],MATCH(Table4[[#This Row],[Action]],Table5[Action],0))</f>
        <v>Passed</v>
      </c>
      <c r="L375" s="22" t="b">
        <f>INDEX(Table1[Senate and President Same Party, House and President Different Party],MATCH(Table4[[#This Row],[Congress Acting]],Table1[Congress],0))</f>
        <v>0</v>
      </c>
    </row>
    <row r="376" spans="1:12" ht="173.25">
      <c r="A376" s="9" t="s">
        <v>598</v>
      </c>
      <c r="B376" t="s">
        <v>2425</v>
      </c>
      <c r="C376" s="9" t="s">
        <v>2426</v>
      </c>
      <c r="D376" s="13" t="s">
        <v>3840</v>
      </c>
      <c r="E376" s="9" t="s">
        <v>2427</v>
      </c>
      <c r="F376"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6" s="9" t="s">
        <v>1038</v>
      </c>
      <c r="H376" s="9" t="s">
        <v>2415</v>
      </c>
      <c r="I376" s="12" t="str">
        <f>RIGHT(LEFT(Table4[[#This Row],[Latest Senate Action]],FIND(" Congress",Table4[[#This Row],[Latest Senate Action]])-1),LEN(LEFT(Table4[[#This Row],[Latest Senate Action]],FIND(" Congress",Table4[[#This Row],[Latest Senate Action]])-1))-FIND("-",Table4[[#This Row],[Latest Senate Action]])-1)</f>
        <v>102nd</v>
      </c>
      <c r="J376" s="12" t="str">
        <f>RIGHT(Table4[[#This Row],[Latest Senate Action]],LEN(Table4[[#This Row],[Latest Senate Action]])-FIND(") - ",Table4[[#This Row],[Latest Senate Action]])-3)</f>
        <v xml:space="preserve">Resolution of advice and consent to ratification agreed to in Senate by Division Vote. (All Actions) </v>
      </c>
      <c r="K376" s="12" t="str">
        <f>INDEX(Table5[type],MATCH(Table4[[#This Row],[Action]],Table5[Action],0))</f>
        <v>Passed</v>
      </c>
      <c r="L376" s="22" t="b">
        <f>INDEX(Table1[Senate and President Same Party, House and President Different Party],MATCH(Table4[[#This Row],[Congress Acting]],Table1[Congress],0))</f>
        <v>0</v>
      </c>
    </row>
    <row r="377" spans="1:12" ht="173.25">
      <c r="A377" s="9" t="s">
        <v>599</v>
      </c>
      <c r="B377" t="s">
        <v>2428</v>
      </c>
      <c r="C377" s="9" t="s">
        <v>2429</v>
      </c>
      <c r="D377" s="13" t="s">
        <v>4243</v>
      </c>
      <c r="E377" s="9" t="s">
        <v>2427</v>
      </c>
      <c r="F377"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7" s="9" t="s">
        <v>1038</v>
      </c>
      <c r="H377" s="9" t="s">
        <v>2415</v>
      </c>
      <c r="I377" s="12" t="str">
        <f>RIGHT(LEFT(Table4[[#This Row],[Latest Senate Action]],FIND(" Congress",Table4[[#This Row],[Latest Senate Action]])-1),LEN(LEFT(Table4[[#This Row],[Latest Senate Action]],FIND(" Congress",Table4[[#This Row],[Latest Senate Action]])-1))-FIND("-",Table4[[#This Row],[Latest Senate Action]])-1)</f>
        <v>102nd</v>
      </c>
      <c r="J377" s="12" t="str">
        <f>RIGHT(Table4[[#This Row],[Latest Senate Action]],LEN(Table4[[#This Row],[Latest Senate Action]])-FIND(") - ",Table4[[#This Row],[Latest Senate Action]])-3)</f>
        <v xml:space="preserve">Resolution of advice and consent to ratification agreed to in Senate by Division Vote. (All Actions) </v>
      </c>
      <c r="K377" s="12" t="str">
        <f>INDEX(Table5[type],MATCH(Table4[[#This Row],[Action]],Table5[Action],0))</f>
        <v>Passed</v>
      </c>
      <c r="L377" s="22" t="b">
        <f>INDEX(Table1[Senate and President Same Party, House and President Different Party],MATCH(Table4[[#This Row],[Congress Acting]],Table1[Congress],0))</f>
        <v>0</v>
      </c>
    </row>
    <row r="378" spans="1:12" ht="173.25">
      <c r="A378" s="9" t="s">
        <v>600</v>
      </c>
      <c r="B378" t="s">
        <v>2430</v>
      </c>
      <c r="C378" s="9" t="s">
        <v>2431</v>
      </c>
      <c r="D378" s="13" t="s">
        <v>3841</v>
      </c>
      <c r="E378" s="9" t="s">
        <v>2432</v>
      </c>
      <c r="F378"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8" s="9" t="s">
        <v>1038</v>
      </c>
      <c r="H378" s="9" t="s">
        <v>2415</v>
      </c>
      <c r="I378" s="12" t="str">
        <f>RIGHT(LEFT(Table4[[#This Row],[Latest Senate Action]],FIND(" Congress",Table4[[#This Row],[Latest Senate Action]])-1),LEN(LEFT(Table4[[#This Row],[Latest Senate Action]],FIND(" Congress",Table4[[#This Row],[Latest Senate Action]])-1))-FIND("-",Table4[[#This Row],[Latest Senate Action]])-1)</f>
        <v>102nd</v>
      </c>
      <c r="J378" s="12" t="str">
        <f>RIGHT(Table4[[#This Row],[Latest Senate Action]],LEN(Table4[[#This Row],[Latest Senate Action]])-FIND(") - ",Table4[[#This Row],[Latest Senate Action]])-3)</f>
        <v xml:space="preserve">Resolution of advice and consent to ratification agreed to in Senate by Division Vote. (All Actions) </v>
      </c>
      <c r="K378" s="12" t="str">
        <f>INDEX(Table5[type],MATCH(Table4[[#This Row],[Action]],Table5[Action],0))</f>
        <v>Passed</v>
      </c>
      <c r="L378" s="22" t="b">
        <f>INDEX(Table1[Senate and President Same Party, House and President Different Party],MATCH(Table4[[#This Row],[Congress Acting]],Table1[Congress],0))</f>
        <v>0</v>
      </c>
    </row>
    <row r="379" spans="1:12" ht="157.5">
      <c r="A379" s="9" t="s">
        <v>601</v>
      </c>
      <c r="B379" t="s">
        <v>2433</v>
      </c>
      <c r="C379" s="9" t="s">
        <v>2434</v>
      </c>
      <c r="D379" s="13" t="s">
        <v>3842</v>
      </c>
      <c r="E379" s="9" t="s">
        <v>2435</v>
      </c>
      <c r="F379"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79" s="9" t="s">
        <v>1013</v>
      </c>
      <c r="H379" s="9" t="s">
        <v>2436</v>
      </c>
      <c r="I379" s="12" t="str">
        <f>RIGHT(LEFT(Table4[[#This Row],[Latest Senate Action]],FIND(" Congress",Table4[[#This Row],[Latest Senate Action]])-1),LEN(LEFT(Table4[[#This Row],[Latest Senate Action]],FIND(" Congress",Table4[[#This Row],[Latest Senate Action]])-1))-FIND("-",Table4[[#This Row],[Latest Senate Action]])-1)</f>
        <v>102nd</v>
      </c>
      <c r="J379" s="12" t="str">
        <f>RIGHT(Table4[[#This Row],[Latest Senate Action]],LEN(Table4[[#This Row],[Latest Senate Action]])-FIND(") - ",Table4[[#This Row],[Latest Senate Action]])-3)</f>
        <v xml:space="preserve">Resolution of advice and consent to ratification agreed to in Senate by Division Vote. (All Actions) </v>
      </c>
      <c r="K379" s="12" t="str">
        <f>INDEX(Table5[type],MATCH(Table4[[#This Row],[Action]],Table5[Action],0))</f>
        <v>Passed</v>
      </c>
      <c r="L379" s="22" t="b">
        <f>INDEX(Table1[Senate and President Same Party, House and President Different Party],MATCH(Table4[[#This Row],[Congress Acting]],Table1[Congress],0))</f>
        <v>0</v>
      </c>
    </row>
    <row r="380" spans="1:12" ht="157.5">
      <c r="A380" s="9" t="s">
        <v>602</v>
      </c>
      <c r="B380" t="s">
        <v>2437</v>
      </c>
      <c r="C380" s="9" t="s">
        <v>2438</v>
      </c>
      <c r="D380" s="13" t="s">
        <v>3843</v>
      </c>
      <c r="E380" s="9" t="s">
        <v>2439</v>
      </c>
      <c r="F380"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0" s="9" t="s">
        <v>1013</v>
      </c>
      <c r="H380" s="9" t="s">
        <v>2436</v>
      </c>
      <c r="I380" s="12" t="str">
        <f>RIGHT(LEFT(Table4[[#This Row],[Latest Senate Action]],FIND(" Congress",Table4[[#This Row],[Latest Senate Action]])-1),LEN(LEFT(Table4[[#This Row],[Latest Senate Action]],FIND(" Congress",Table4[[#This Row],[Latest Senate Action]])-1))-FIND("-",Table4[[#This Row],[Latest Senate Action]])-1)</f>
        <v>102nd</v>
      </c>
      <c r="J380" s="12" t="str">
        <f>RIGHT(Table4[[#This Row],[Latest Senate Action]],LEN(Table4[[#This Row],[Latest Senate Action]])-FIND(") - ",Table4[[#This Row],[Latest Senate Action]])-3)</f>
        <v xml:space="preserve">Resolution of advice and consent to ratification agreed to in Senate by Division Vote. (All Actions) </v>
      </c>
      <c r="K380" s="12" t="str">
        <f>INDEX(Table5[type],MATCH(Table4[[#This Row],[Action]],Table5[Action],0))</f>
        <v>Passed</v>
      </c>
      <c r="L380" s="22" t="b">
        <f>INDEX(Table1[Senate and President Same Party, House and President Different Party],MATCH(Table4[[#This Row],[Congress Acting]],Table1[Congress],0))</f>
        <v>0</v>
      </c>
    </row>
    <row r="381" spans="1:12" ht="157.5">
      <c r="A381" s="9" t="s">
        <v>603</v>
      </c>
      <c r="B381" t="s">
        <v>2440</v>
      </c>
      <c r="C381" s="9" t="s">
        <v>2441</v>
      </c>
      <c r="D381" s="13" t="s">
        <v>3844</v>
      </c>
      <c r="E381" s="9" t="s">
        <v>2442</v>
      </c>
      <c r="F381"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1" s="9" t="s">
        <v>1013</v>
      </c>
      <c r="H381" s="9" t="s">
        <v>2436</v>
      </c>
      <c r="I381" s="12" t="str">
        <f>RIGHT(LEFT(Table4[[#This Row],[Latest Senate Action]],FIND(" Congress",Table4[[#This Row],[Latest Senate Action]])-1),LEN(LEFT(Table4[[#This Row],[Latest Senate Action]],FIND(" Congress",Table4[[#This Row],[Latest Senate Action]])-1))-FIND("-",Table4[[#This Row],[Latest Senate Action]])-1)</f>
        <v>102nd</v>
      </c>
      <c r="J381" s="12" t="str">
        <f>RIGHT(Table4[[#This Row],[Latest Senate Action]],LEN(Table4[[#This Row],[Latest Senate Action]])-FIND(") - ",Table4[[#This Row],[Latest Senate Action]])-3)</f>
        <v xml:space="preserve">Resolution of advice and consent to ratification agreed to in Senate by Division Vote. (All Actions) </v>
      </c>
      <c r="K381" s="12" t="str">
        <f>INDEX(Table5[type],MATCH(Table4[[#This Row],[Action]],Table5[Action],0))</f>
        <v>Passed</v>
      </c>
      <c r="L381" s="22" t="b">
        <f>INDEX(Table1[Senate and President Same Party, House and President Different Party],MATCH(Table4[[#This Row],[Congress Acting]],Table1[Congress],0))</f>
        <v>0</v>
      </c>
    </row>
    <row r="382" spans="1:12" ht="157.5">
      <c r="A382" s="9" t="s">
        <v>604</v>
      </c>
      <c r="B382" t="s">
        <v>2443</v>
      </c>
      <c r="C382" s="9" t="s">
        <v>2444</v>
      </c>
      <c r="D382" s="13" t="s">
        <v>3845</v>
      </c>
      <c r="E382" s="9" t="s">
        <v>2445</v>
      </c>
      <c r="F382"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2" s="9" t="s">
        <v>1013</v>
      </c>
      <c r="H382" s="9" t="s">
        <v>2436</v>
      </c>
      <c r="I382" s="12" t="str">
        <f>RIGHT(LEFT(Table4[[#This Row],[Latest Senate Action]],FIND(" Congress",Table4[[#This Row],[Latest Senate Action]])-1),LEN(LEFT(Table4[[#This Row],[Latest Senate Action]],FIND(" Congress",Table4[[#This Row],[Latest Senate Action]])-1))-FIND("-",Table4[[#This Row],[Latest Senate Action]])-1)</f>
        <v>102nd</v>
      </c>
      <c r="J382" s="12" t="str">
        <f>RIGHT(Table4[[#This Row],[Latest Senate Action]],LEN(Table4[[#This Row],[Latest Senate Action]])-FIND(") - ",Table4[[#This Row],[Latest Senate Action]])-3)</f>
        <v xml:space="preserve">Resolution of advice and consent to ratification agreed to in Senate by Division Vote. (All Actions) </v>
      </c>
      <c r="K382" s="12" t="str">
        <f>INDEX(Table5[type],MATCH(Table4[[#This Row],[Action]],Table5[Action],0))</f>
        <v>Passed</v>
      </c>
      <c r="L382" s="22" t="b">
        <f>INDEX(Table1[Senate and President Same Party, House and President Different Party],MATCH(Table4[[#This Row],[Congress Acting]],Table1[Congress],0))</f>
        <v>0</v>
      </c>
    </row>
    <row r="383" spans="1:12" ht="157.5">
      <c r="A383" s="9" t="s">
        <v>605</v>
      </c>
      <c r="B383" t="s">
        <v>2446</v>
      </c>
      <c r="C383" s="9" t="s">
        <v>2447</v>
      </c>
      <c r="D383" s="13" t="s">
        <v>3908</v>
      </c>
      <c r="E383" s="9" t="s">
        <v>2448</v>
      </c>
      <c r="F383"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383" s="9" t="s">
        <v>1013</v>
      </c>
      <c r="H383" s="9" t="s">
        <v>2449</v>
      </c>
      <c r="I383" s="12" t="str">
        <f>RIGHT(LEFT(Table4[[#This Row],[Latest Senate Action]],FIND(" Congress",Table4[[#This Row],[Latest Senate Action]])-1),LEN(LEFT(Table4[[#This Row],[Latest Senate Action]],FIND(" Congress",Table4[[#This Row],[Latest Senate Action]])-1))-FIND("-",Table4[[#This Row],[Latest Senate Action]])-1)</f>
        <v>102nd</v>
      </c>
      <c r="J383" s="12" t="str">
        <f>RIGHT(Table4[[#This Row],[Latest Senate Action]],LEN(Table4[[#This Row],[Latest Senate Action]])-FIND(") - ",Table4[[#This Row],[Latest Senate Action]])-3)</f>
        <v xml:space="preserve">Resolution of advice and consent to ratification agreed to in Senate by Division Vote. (All Actions) </v>
      </c>
      <c r="K383" s="12" t="str">
        <f>INDEX(Table5[type],MATCH(Table4[[#This Row],[Action]],Table5[Action],0))</f>
        <v>Passed</v>
      </c>
      <c r="L383" s="22" t="b">
        <f>INDEX(Table1[Senate and President Same Party, House and President Different Party],MATCH(Table4[[#This Row],[Congress Acting]],Table1[Congress],0))</f>
        <v>0</v>
      </c>
    </row>
    <row r="384" spans="1:12" ht="141.75">
      <c r="A384" s="9" t="s">
        <v>606</v>
      </c>
      <c r="B384" t="s">
        <v>2450</v>
      </c>
      <c r="C384" s="9" t="s">
        <v>2451</v>
      </c>
      <c r="D384" s="13" t="s">
        <v>3846</v>
      </c>
      <c r="E384" s="9" t="s">
        <v>2452</v>
      </c>
      <c r="F384"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384" s="9" t="s">
        <v>1766</v>
      </c>
      <c r="H384" s="9" t="s">
        <v>2449</v>
      </c>
      <c r="I384" s="12" t="str">
        <f>RIGHT(LEFT(Table4[[#This Row],[Latest Senate Action]],FIND(" Congress",Table4[[#This Row],[Latest Senate Action]])-1),LEN(LEFT(Table4[[#This Row],[Latest Senate Action]],FIND(" Congress",Table4[[#This Row],[Latest Senate Action]])-1))-FIND("-",Table4[[#This Row],[Latest Senate Action]])-1)</f>
        <v>102nd</v>
      </c>
      <c r="J384" s="12" t="str">
        <f>RIGHT(Table4[[#This Row],[Latest Senate Action]],LEN(Table4[[#This Row],[Latest Senate Action]])-FIND(") - ",Table4[[#This Row],[Latest Senate Action]])-3)</f>
        <v xml:space="preserve">Resolution of advice and consent to ratification agreed to in Senate by Division Vote. (All Actions) </v>
      </c>
      <c r="K384" s="12" t="str">
        <f>INDEX(Table5[type],MATCH(Table4[[#This Row],[Action]],Table5[Action],0))</f>
        <v>Passed</v>
      </c>
      <c r="L384" s="22" t="b">
        <f>INDEX(Table1[Senate and President Same Party, House and President Different Party],MATCH(Table4[[#This Row],[Congress Acting]],Table1[Congress],0))</f>
        <v>0</v>
      </c>
    </row>
    <row r="385" spans="1:12" ht="157.5">
      <c r="A385" s="9" t="s">
        <v>607</v>
      </c>
      <c r="B385" t="s">
        <v>2453</v>
      </c>
      <c r="C385" s="9" t="s">
        <v>2454</v>
      </c>
      <c r="D385" s="13" t="s">
        <v>3847</v>
      </c>
      <c r="E385" s="9" t="s">
        <v>2455</v>
      </c>
      <c r="F385"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385" s="9" t="s">
        <v>1766</v>
      </c>
      <c r="H385" s="9" t="s">
        <v>2449</v>
      </c>
      <c r="I385" s="12" t="str">
        <f>RIGHT(LEFT(Table4[[#This Row],[Latest Senate Action]],FIND(" Congress",Table4[[#This Row],[Latest Senate Action]])-1),LEN(LEFT(Table4[[#This Row],[Latest Senate Action]],FIND(" Congress",Table4[[#This Row],[Latest Senate Action]])-1))-FIND("-",Table4[[#This Row],[Latest Senate Action]])-1)</f>
        <v>102nd</v>
      </c>
      <c r="J385" s="12" t="str">
        <f>RIGHT(Table4[[#This Row],[Latest Senate Action]],LEN(Table4[[#This Row],[Latest Senate Action]])-FIND(") - ",Table4[[#This Row],[Latest Senate Action]])-3)</f>
        <v xml:space="preserve">Resolution of advice and consent to ratification agreed to in Senate by Division Vote. (All Actions) </v>
      </c>
      <c r="K385" s="12" t="str">
        <f>INDEX(Table5[type],MATCH(Table4[[#This Row],[Action]],Table5[Action],0))</f>
        <v>Passed</v>
      </c>
      <c r="L385" s="22" t="b">
        <f>INDEX(Table1[Senate and President Same Party, House and President Different Party],MATCH(Table4[[#This Row],[Congress Acting]],Table1[Congress],0))</f>
        <v>0</v>
      </c>
    </row>
    <row r="386" spans="1:12" ht="141.75">
      <c r="A386" s="9" t="s">
        <v>608</v>
      </c>
      <c r="B386" t="s">
        <v>2456</v>
      </c>
      <c r="C386" s="9" t="s">
        <v>2457</v>
      </c>
      <c r="D386" s="13" t="s">
        <v>3848</v>
      </c>
      <c r="E386" s="9" t="s">
        <v>2458</v>
      </c>
      <c r="F386"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6" s="9" t="s">
        <v>1766</v>
      </c>
      <c r="H386" s="9" t="s">
        <v>2449</v>
      </c>
      <c r="I386" s="12" t="str">
        <f>RIGHT(LEFT(Table4[[#This Row],[Latest Senate Action]],FIND(" Congress",Table4[[#This Row],[Latest Senate Action]])-1),LEN(LEFT(Table4[[#This Row],[Latest Senate Action]],FIND(" Congress",Table4[[#This Row],[Latest Senate Action]])-1))-FIND("-",Table4[[#This Row],[Latest Senate Action]])-1)</f>
        <v>102nd</v>
      </c>
      <c r="J386" s="12" t="str">
        <f>RIGHT(Table4[[#This Row],[Latest Senate Action]],LEN(Table4[[#This Row],[Latest Senate Action]])-FIND(") - ",Table4[[#This Row],[Latest Senate Action]])-3)</f>
        <v xml:space="preserve">Resolution of advice and consent to ratification agreed to in Senate by Division Vote. (All Actions) </v>
      </c>
      <c r="K386" s="12" t="str">
        <f>INDEX(Table5[type],MATCH(Table4[[#This Row],[Action]],Table5[Action],0))</f>
        <v>Passed</v>
      </c>
      <c r="L386" s="22" t="b">
        <f>INDEX(Table1[Senate and President Same Party, House and President Different Party],MATCH(Table4[[#This Row],[Congress Acting]],Table1[Congress],0))</f>
        <v>0</v>
      </c>
    </row>
    <row r="387" spans="1:12" ht="157.5">
      <c r="A387" s="9" t="s">
        <v>609</v>
      </c>
      <c r="B387" t="s">
        <v>181</v>
      </c>
      <c r="C387" s="9" t="s">
        <v>2459</v>
      </c>
      <c r="D387" s="13" t="s">
        <v>3849</v>
      </c>
      <c r="E387" s="9" t="s">
        <v>2460</v>
      </c>
      <c r="F387"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7" s="9" t="s">
        <v>1013</v>
      </c>
      <c r="H387" s="9" t="s">
        <v>2449</v>
      </c>
      <c r="I387" s="12" t="str">
        <f>RIGHT(LEFT(Table4[[#This Row],[Latest Senate Action]],FIND(" Congress",Table4[[#This Row],[Latest Senate Action]])-1),LEN(LEFT(Table4[[#This Row],[Latest Senate Action]],FIND(" Congress",Table4[[#This Row],[Latest Senate Action]])-1))-FIND("-",Table4[[#This Row],[Latest Senate Action]])-1)</f>
        <v>102nd</v>
      </c>
      <c r="J387" s="12" t="str">
        <f>RIGHT(Table4[[#This Row],[Latest Senate Action]],LEN(Table4[[#This Row],[Latest Senate Action]])-FIND(") - ",Table4[[#This Row],[Latest Senate Action]])-3)</f>
        <v xml:space="preserve">Resolution of advice and consent to ratification agreed to in Senate by Division Vote. (All Actions) </v>
      </c>
      <c r="K387" s="12" t="str">
        <f>INDEX(Table5[type],MATCH(Table4[[#This Row],[Action]],Table5[Action],0))</f>
        <v>Passed</v>
      </c>
      <c r="L387" s="22" t="b">
        <f>INDEX(Table1[Senate and President Same Party, House and President Different Party],MATCH(Table4[[#This Row],[Congress Acting]],Table1[Congress],0))</f>
        <v>0</v>
      </c>
    </row>
    <row r="388" spans="1:12" ht="157.5">
      <c r="A388" s="9" t="s">
        <v>610</v>
      </c>
      <c r="B388" t="s">
        <v>2461</v>
      </c>
      <c r="C388" s="9" t="s">
        <v>2462</v>
      </c>
      <c r="D388" s="13" t="s">
        <v>3850</v>
      </c>
      <c r="E388" s="9" t="s">
        <v>2463</v>
      </c>
      <c r="F388"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8" s="9" t="s">
        <v>1013</v>
      </c>
      <c r="H388" s="9" t="s">
        <v>2449</v>
      </c>
      <c r="I388" s="12" t="str">
        <f>RIGHT(LEFT(Table4[[#This Row],[Latest Senate Action]],FIND(" Congress",Table4[[#This Row],[Latest Senate Action]])-1),LEN(LEFT(Table4[[#This Row],[Latest Senate Action]],FIND(" Congress",Table4[[#This Row],[Latest Senate Action]])-1))-FIND("-",Table4[[#This Row],[Latest Senate Action]])-1)</f>
        <v>102nd</v>
      </c>
      <c r="J388" s="12" t="str">
        <f>RIGHT(Table4[[#This Row],[Latest Senate Action]],LEN(Table4[[#This Row],[Latest Senate Action]])-FIND(") - ",Table4[[#This Row],[Latest Senate Action]])-3)</f>
        <v xml:space="preserve">Resolution of advice and consent to ratification agreed to in Senate by Division Vote. (All Actions) </v>
      </c>
      <c r="K388" s="12" t="str">
        <f>INDEX(Table5[type],MATCH(Table4[[#This Row],[Action]],Table5[Action],0))</f>
        <v>Passed</v>
      </c>
      <c r="L388" s="22" t="b">
        <f>INDEX(Table1[Senate and President Same Party, House and President Different Party],MATCH(Table4[[#This Row],[Congress Acting]],Table1[Congress],0))</f>
        <v>0</v>
      </c>
    </row>
    <row r="389" spans="1:12" ht="157.5">
      <c r="A389" s="9" t="s">
        <v>611</v>
      </c>
      <c r="B389" t="s">
        <v>177</v>
      </c>
      <c r="C389" s="9" t="s">
        <v>2464</v>
      </c>
      <c r="D389" s="13" t="s">
        <v>3851</v>
      </c>
      <c r="E389" s="9" t="s">
        <v>2465</v>
      </c>
      <c r="F389"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89" s="9" t="s">
        <v>1013</v>
      </c>
      <c r="H389" s="9" t="s">
        <v>2449</v>
      </c>
      <c r="I389" s="12" t="str">
        <f>RIGHT(LEFT(Table4[[#This Row],[Latest Senate Action]],FIND(" Congress",Table4[[#This Row],[Latest Senate Action]])-1),LEN(LEFT(Table4[[#This Row],[Latest Senate Action]],FIND(" Congress",Table4[[#This Row],[Latest Senate Action]])-1))-FIND("-",Table4[[#This Row],[Latest Senate Action]])-1)</f>
        <v>102nd</v>
      </c>
      <c r="J389" s="12" t="str">
        <f>RIGHT(Table4[[#This Row],[Latest Senate Action]],LEN(Table4[[#This Row],[Latest Senate Action]])-FIND(") - ",Table4[[#This Row],[Latest Senate Action]])-3)</f>
        <v xml:space="preserve">Resolution of advice and consent to ratification agreed to in Senate by Division Vote. (All Actions) </v>
      </c>
      <c r="K389" s="12" t="str">
        <f>INDEX(Table5[type],MATCH(Table4[[#This Row],[Action]],Table5[Action],0))</f>
        <v>Passed</v>
      </c>
      <c r="L389" s="22" t="b">
        <f>INDEX(Table1[Senate and President Same Party, House and President Different Party],MATCH(Table4[[#This Row],[Congress Acting]],Table1[Congress],0))</f>
        <v>0</v>
      </c>
    </row>
    <row r="390" spans="1:12" ht="141.75">
      <c r="A390" s="9" t="s">
        <v>612</v>
      </c>
      <c r="B390" t="s">
        <v>2466</v>
      </c>
      <c r="C390" s="9" t="s">
        <v>2467</v>
      </c>
      <c r="D390" s="13" t="s">
        <v>3909</v>
      </c>
      <c r="E390" s="9" t="s">
        <v>2308</v>
      </c>
      <c r="F390"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390" s="9" t="s">
        <v>1106</v>
      </c>
      <c r="H390" s="9" t="s">
        <v>2468</v>
      </c>
      <c r="I390" s="12" t="str">
        <f>RIGHT(LEFT(Table4[[#This Row],[Latest Senate Action]],FIND(" Congress",Table4[[#This Row],[Latest Senate Action]])-1),LEN(LEFT(Table4[[#This Row],[Latest Senate Action]],FIND(" Congress",Table4[[#This Row],[Latest Senate Action]])-1))-FIND("-",Table4[[#This Row],[Latest Senate Action]])-1)</f>
        <v>102nd</v>
      </c>
      <c r="J390" s="12" t="str">
        <f>RIGHT(Table4[[#This Row],[Latest Senate Action]],LEN(Table4[[#This Row],[Latest Senate Action]])-FIND(") - ",Table4[[#This Row],[Latest Senate Action]])-3)</f>
        <v xml:space="preserve">Resolution of advice and consent to ratification agreed to in Senate by Division Vote. (All Actions) </v>
      </c>
      <c r="K390" s="12" t="str">
        <f>INDEX(Table5[type],MATCH(Table4[[#This Row],[Action]],Table5[Action],0))</f>
        <v>Passed</v>
      </c>
      <c r="L390" s="22" t="b">
        <f>INDEX(Table1[Senate and President Same Party, House and President Different Party],MATCH(Table4[[#This Row],[Congress Acting]],Table1[Congress],0))</f>
        <v>0</v>
      </c>
    </row>
    <row r="391" spans="1:12" ht="157.5">
      <c r="A391" s="9" t="s">
        <v>613</v>
      </c>
      <c r="B391" t="s">
        <v>2469</v>
      </c>
      <c r="C391" s="9" t="s">
        <v>2327</v>
      </c>
      <c r="D391" s="13" t="s">
        <v>3910</v>
      </c>
      <c r="E391" s="9" t="s">
        <v>2470</v>
      </c>
      <c r="F391"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1" s="9" t="s">
        <v>1164</v>
      </c>
      <c r="H391" s="9" t="s">
        <v>2471</v>
      </c>
      <c r="I391" s="12" t="str">
        <f>RIGHT(LEFT(Table4[[#This Row],[Latest Senate Action]],FIND(" Congress",Table4[[#This Row],[Latest Senate Action]])-1),LEN(LEFT(Table4[[#This Row],[Latest Senate Action]],FIND(" Congress",Table4[[#This Row],[Latest Senate Action]])-1))-FIND("-",Table4[[#This Row],[Latest Senate Action]])-1)</f>
        <v>102nd</v>
      </c>
      <c r="J391" s="12" t="str">
        <f>RIGHT(Table4[[#This Row],[Latest Senate Action]],LEN(Table4[[#This Row],[Latest Senate Action]])-FIND(") - ",Table4[[#This Row],[Latest Senate Action]])-3)</f>
        <v xml:space="preserve">Resolution of advice and consent to ratification agreed to in Senate by Division vote. (All Actions) </v>
      </c>
      <c r="K391" s="12" t="str">
        <f>INDEX(Table5[type],MATCH(Table4[[#This Row],[Action]],Table5[Action],0))</f>
        <v>Passed</v>
      </c>
      <c r="L391" s="22" t="b">
        <f>INDEX(Table1[Senate and President Same Party, House and President Different Party],MATCH(Table4[[#This Row],[Congress Acting]],Table1[Congress],0))</f>
        <v>0</v>
      </c>
    </row>
    <row r="392" spans="1:12" ht="157.5">
      <c r="A392" s="9" t="s">
        <v>614</v>
      </c>
      <c r="B392" t="s">
        <v>2472</v>
      </c>
      <c r="C392" s="9" t="s">
        <v>2473</v>
      </c>
      <c r="D392" s="13" t="s">
        <v>3911</v>
      </c>
      <c r="E392" s="9" t="s">
        <v>2474</v>
      </c>
      <c r="F392"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2" s="9" t="s">
        <v>1112</v>
      </c>
      <c r="H392" s="9" t="s">
        <v>2471</v>
      </c>
      <c r="I392" s="12" t="str">
        <f>RIGHT(LEFT(Table4[[#This Row],[Latest Senate Action]],FIND(" Congress",Table4[[#This Row],[Latest Senate Action]])-1),LEN(LEFT(Table4[[#This Row],[Latest Senate Action]],FIND(" Congress",Table4[[#This Row],[Latest Senate Action]])-1))-FIND("-",Table4[[#This Row],[Latest Senate Action]])-1)</f>
        <v>102nd</v>
      </c>
      <c r="J392" s="12" t="str">
        <f>RIGHT(Table4[[#This Row],[Latest Senate Action]],LEN(Table4[[#This Row],[Latest Senate Action]])-FIND(") - ",Table4[[#This Row],[Latest Senate Action]])-3)</f>
        <v xml:space="preserve">Resolution of advice and consent to ratification agreed to in Senate by Division vote. (All Actions) </v>
      </c>
      <c r="K392" s="12" t="str">
        <f>INDEX(Table5[type],MATCH(Table4[[#This Row],[Action]],Table5[Action],0))</f>
        <v>Passed</v>
      </c>
      <c r="L392" s="22" t="b">
        <f>INDEX(Table1[Senate and President Same Party, House and President Different Party],MATCH(Table4[[#This Row],[Congress Acting]],Table1[Congress],0))</f>
        <v>0</v>
      </c>
    </row>
    <row r="393" spans="1:12" ht="157.5">
      <c r="A393" s="9" t="s">
        <v>615</v>
      </c>
      <c r="B393" t="s">
        <v>2475</v>
      </c>
      <c r="C393" s="9" t="s">
        <v>2476</v>
      </c>
      <c r="D393" s="13" t="s">
        <v>3912</v>
      </c>
      <c r="E393" s="9" t="s">
        <v>2477</v>
      </c>
      <c r="F393"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3" s="9" t="s">
        <v>1101</v>
      </c>
      <c r="H393" s="9" t="s">
        <v>2478</v>
      </c>
      <c r="I393" s="12" t="str">
        <f>RIGHT(LEFT(Table4[[#This Row],[Latest Senate Action]],FIND(" Congress",Table4[[#This Row],[Latest Senate Action]])-1),LEN(LEFT(Table4[[#This Row],[Latest Senate Action]],FIND(" Congress",Table4[[#This Row],[Latest Senate Action]])-1))-FIND("-",Table4[[#This Row],[Latest Senate Action]])-1)</f>
        <v>102nd</v>
      </c>
      <c r="J393" s="12" t="str">
        <f>RIGHT(Table4[[#This Row],[Latest Senate Action]],LEN(Table4[[#This Row],[Latest Senate Action]])-FIND(") - ",Table4[[#This Row],[Latest Senate Action]])-3)</f>
        <v xml:space="preserve">Resolution of advice and consent to ratification agreed to in Senate by Yea-Nay vote. 90-4. Record Vote No: 273. (All Actions) </v>
      </c>
      <c r="K393" s="12" t="str">
        <f>INDEX(Table5[type],MATCH(Table4[[#This Row],[Action]],Table5[Action],0))</f>
        <v>Passed</v>
      </c>
      <c r="L393" s="22" t="b">
        <f>INDEX(Table1[Senate and President Same Party, House and President Different Party],MATCH(Table4[[#This Row],[Congress Acting]],Table1[Congress],0))</f>
        <v>0</v>
      </c>
    </row>
    <row r="394" spans="1:12" ht="157.5">
      <c r="A394" s="9" t="s">
        <v>616</v>
      </c>
      <c r="B394" t="s">
        <v>2479</v>
      </c>
      <c r="C394" s="9" t="s">
        <v>2480</v>
      </c>
      <c r="D394" s="13" t="s">
        <v>3913</v>
      </c>
      <c r="E394" s="9" t="s">
        <v>2477</v>
      </c>
      <c r="F394"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4" s="9" t="s">
        <v>1038</v>
      </c>
      <c r="H394" s="9" t="s">
        <v>2481</v>
      </c>
      <c r="I394" s="12" t="str">
        <f>RIGHT(LEFT(Table4[[#This Row],[Latest Senate Action]],FIND(" Congress",Table4[[#This Row],[Latest Senate Action]])-1),LEN(LEFT(Table4[[#This Row],[Latest Senate Action]],FIND(" Congress",Table4[[#This Row],[Latest Senate Action]])-1))-FIND("-",Table4[[#This Row],[Latest Senate Action]])-1)</f>
        <v>102nd</v>
      </c>
      <c r="J394" s="12" t="str">
        <f>RIGHT(Table4[[#This Row],[Latest Senate Action]],LEN(Table4[[#This Row],[Latest Senate Action]])-FIND(") - ",Table4[[#This Row],[Latest Senate Action]])-3)</f>
        <v xml:space="preserve">Resolution of advice and consent to ratification agreed to in Senate by Division Vote. (All Actions) </v>
      </c>
      <c r="K394" s="12" t="str">
        <f>INDEX(Table5[type],MATCH(Table4[[#This Row],[Action]],Table5[Action],0))</f>
        <v>Passed</v>
      </c>
      <c r="L394" s="22" t="b">
        <f>INDEX(Table1[Senate and President Same Party, House and President Different Party],MATCH(Table4[[#This Row],[Congress Acting]],Table1[Congress],0))</f>
        <v>0</v>
      </c>
    </row>
    <row r="395" spans="1:12" ht="173.25">
      <c r="A395" s="9" t="s">
        <v>617</v>
      </c>
      <c r="B395" t="s">
        <v>2482</v>
      </c>
      <c r="C395" s="9" t="s">
        <v>2483</v>
      </c>
      <c r="D395" s="13" t="s">
        <v>4244</v>
      </c>
      <c r="E395" s="9" t="s">
        <v>2484</v>
      </c>
      <c r="F395"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5" s="9" t="s">
        <v>1200</v>
      </c>
      <c r="H395" s="9" t="s">
        <v>2481</v>
      </c>
      <c r="I395" s="12" t="str">
        <f>RIGHT(LEFT(Table4[[#This Row],[Latest Senate Action]],FIND(" Congress",Table4[[#This Row],[Latest Senate Action]])-1),LEN(LEFT(Table4[[#This Row],[Latest Senate Action]],FIND(" Congress",Table4[[#This Row],[Latest Senate Action]])-1))-FIND("-",Table4[[#This Row],[Latest Senate Action]])-1)</f>
        <v>102nd</v>
      </c>
      <c r="J395" s="12" t="str">
        <f>RIGHT(Table4[[#This Row],[Latest Senate Action]],LEN(Table4[[#This Row],[Latest Senate Action]])-FIND(") - ",Table4[[#This Row],[Latest Senate Action]])-3)</f>
        <v xml:space="preserve">Resolution of advice and consent to ratification agreed to in Senate by Division Vote. (All Actions) </v>
      </c>
      <c r="K395" s="12" t="str">
        <f>INDEX(Table5[type],MATCH(Table4[[#This Row],[Action]],Table5[Action],0))</f>
        <v>Passed</v>
      </c>
      <c r="L395" s="22" t="b">
        <f>INDEX(Table1[Senate and President Same Party, House and President Different Party],MATCH(Table4[[#This Row],[Congress Acting]],Table1[Congress],0))</f>
        <v>0</v>
      </c>
    </row>
    <row r="396" spans="1:12" ht="157.5">
      <c r="A396" s="9" t="s">
        <v>618</v>
      </c>
      <c r="B396" t="s">
        <v>2485</v>
      </c>
      <c r="C396" s="9" t="s">
        <v>2486</v>
      </c>
      <c r="D396" s="13" t="s">
        <v>3852</v>
      </c>
      <c r="E396" s="9" t="s">
        <v>2424</v>
      </c>
      <c r="F396"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396" s="9" t="s">
        <v>1623</v>
      </c>
      <c r="H396" s="9" t="s">
        <v>2481</v>
      </c>
      <c r="I396" s="12" t="str">
        <f>RIGHT(LEFT(Table4[[#This Row],[Latest Senate Action]],FIND(" Congress",Table4[[#This Row],[Latest Senate Action]])-1),LEN(LEFT(Table4[[#This Row],[Latest Senate Action]],FIND(" Congress",Table4[[#This Row],[Latest Senate Action]])-1))-FIND("-",Table4[[#This Row],[Latest Senate Action]])-1)</f>
        <v>102nd</v>
      </c>
      <c r="J396" s="12" t="str">
        <f>RIGHT(Table4[[#This Row],[Latest Senate Action]],LEN(Table4[[#This Row],[Latest Senate Action]])-FIND(") - ",Table4[[#This Row],[Latest Senate Action]])-3)</f>
        <v xml:space="preserve">Resolution of advice and consent to ratification agreed to in Senate by Division Vote. (All Actions) </v>
      </c>
      <c r="K396" s="12" t="str">
        <f>INDEX(Table5[type],MATCH(Table4[[#This Row],[Action]],Table5[Action],0))</f>
        <v>Passed</v>
      </c>
      <c r="L396" s="22" t="b">
        <f>INDEX(Table1[Senate and President Same Party, House and President Different Party],MATCH(Table4[[#This Row],[Congress Acting]],Table1[Congress],0))</f>
        <v>0</v>
      </c>
    </row>
    <row r="397" spans="1:12" ht="189">
      <c r="A397" s="9" t="s">
        <v>619</v>
      </c>
      <c r="B397" t="s">
        <v>2487</v>
      </c>
      <c r="C397" s="9" t="s">
        <v>2488</v>
      </c>
      <c r="D397" s="13" t="s">
        <v>3853</v>
      </c>
      <c r="E397" s="9" t="s">
        <v>2489</v>
      </c>
      <c r="F397"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397" s="9" t="s">
        <v>1623</v>
      </c>
      <c r="H397" s="9" t="s">
        <v>2490</v>
      </c>
      <c r="I397" s="12" t="str">
        <f>RIGHT(LEFT(Table4[[#This Row],[Latest Senate Action]],FIND(" Congress",Table4[[#This Row],[Latest Senate Action]])-1),LEN(LEFT(Table4[[#This Row],[Latest Senate Action]],FIND(" Congress",Table4[[#This Row],[Latest Senate Action]])-1))-FIND("-",Table4[[#This Row],[Latest Senate Action]])-1)</f>
        <v>102nd</v>
      </c>
      <c r="J397" s="12" t="str">
        <f>RIGHT(Table4[[#This Row],[Latest Senate Action]],LEN(Table4[[#This Row],[Latest Senate Action]])-FIND(") - ",Table4[[#This Row],[Latest Senate Action]])-3)</f>
        <v xml:space="preserve">Resolution of advice and consent to ratification agreed to in Senate by Yea-Nay Vote. 86 - 6. Record Vote Number: 192. (All Actions) </v>
      </c>
      <c r="K397" s="12" t="str">
        <f>INDEX(Table5[type],MATCH(Table4[[#This Row],[Action]],Table5[Action],0))</f>
        <v>Passed</v>
      </c>
      <c r="L397" s="22" t="b">
        <f>INDEX(Table1[Senate and President Same Party, House and President Different Party],MATCH(Table4[[#This Row],[Congress Acting]],Table1[Congress],0))</f>
        <v>0</v>
      </c>
    </row>
    <row r="398" spans="1:12" ht="157.5">
      <c r="A398" s="9" t="s">
        <v>620</v>
      </c>
      <c r="B398" t="s">
        <v>2491</v>
      </c>
      <c r="C398" s="9" t="s">
        <v>2492</v>
      </c>
      <c r="D398" s="13" t="s">
        <v>3854</v>
      </c>
      <c r="E398" s="9" t="s">
        <v>2493</v>
      </c>
      <c r="F398"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398" s="9" t="s">
        <v>1456</v>
      </c>
      <c r="H398" s="9" t="s">
        <v>2494</v>
      </c>
      <c r="I398" s="12" t="str">
        <f>RIGHT(LEFT(Table4[[#This Row],[Latest Senate Action]],FIND(" Congress",Table4[[#This Row],[Latest Senate Action]])-1),LEN(LEFT(Table4[[#This Row],[Latest Senate Action]],FIND(" Congress",Table4[[#This Row],[Latest Senate Action]])-1))-FIND("-",Table4[[#This Row],[Latest Senate Action]])-1)</f>
        <v>102nd</v>
      </c>
      <c r="J398" s="12" t="str">
        <f>RIGHT(Table4[[#This Row],[Latest Senate Action]],LEN(Table4[[#This Row],[Latest Senate Action]])-FIND(") - ",Table4[[#This Row],[Latest Senate Action]])-3)</f>
        <v xml:space="preserve">Passed Senate without amendment by Division. (All Actions) </v>
      </c>
      <c r="K398" s="12" t="str">
        <f>INDEX(Table5[type],MATCH(Table4[[#This Row],[Action]],Table5[Action],0))</f>
        <v>Passed</v>
      </c>
      <c r="L398" s="22" t="b">
        <f>INDEX(Table1[Senate and President Same Party, House and President Different Party],MATCH(Table4[[#This Row],[Congress Acting]],Table1[Congress],0))</f>
        <v>0</v>
      </c>
    </row>
    <row r="399" spans="1:12" ht="157.5">
      <c r="A399" s="9" t="s">
        <v>621</v>
      </c>
      <c r="B399" t="s">
        <v>2495</v>
      </c>
      <c r="C399" s="9" t="s">
        <v>2496</v>
      </c>
      <c r="D399" s="13" t="s">
        <v>3855</v>
      </c>
      <c r="E399" s="9" t="s">
        <v>2497</v>
      </c>
      <c r="F399"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399" s="9" t="s">
        <v>1038</v>
      </c>
      <c r="H399" s="9" t="s">
        <v>2494</v>
      </c>
      <c r="I399" s="12" t="str">
        <f>RIGHT(LEFT(Table4[[#This Row],[Latest Senate Action]],FIND(" Congress",Table4[[#This Row],[Latest Senate Action]])-1),LEN(LEFT(Table4[[#This Row],[Latest Senate Action]],FIND(" Congress",Table4[[#This Row],[Latest Senate Action]])-1))-FIND("-",Table4[[#This Row],[Latest Senate Action]])-1)</f>
        <v>102nd</v>
      </c>
      <c r="J399" s="12" t="str">
        <f>RIGHT(Table4[[#This Row],[Latest Senate Action]],LEN(Table4[[#This Row],[Latest Senate Action]])-FIND(") - ",Table4[[#This Row],[Latest Senate Action]])-3)</f>
        <v xml:space="preserve">Passed Senate without amendment by Division. (All Actions) </v>
      </c>
      <c r="K399" s="12" t="str">
        <f>INDEX(Table5[type],MATCH(Table4[[#This Row],[Action]],Table5[Action],0))</f>
        <v>Passed</v>
      </c>
      <c r="L399" s="22" t="b">
        <f>INDEX(Table1[Senate and President Same Party, House and President Different Party],MATCH(Table4[[#This Row],[Congress Acting]],Table1[Congress],0))</f>
        <v>0</v>
      </c>
    </row>
    <row r="400" spans="1:12" ht="141.75">
      <c r="A400" s="9" t="s">
        <v>622</v>
      </c>
      <c r="B400" t="s">
        <v>2498</v>
      </c>
      <c r="C400" s="9" t="s">
        <v>2499</v>
      </c>
      <c r="D400" s="13" t="s">
        <v>3856</v>
      </c>
      <c r="E400" s="9" t="s">
        <v>2500</v>
      </c>
      <c r="F400"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00" s="9" t="s">
        <v>1013</v>
      </c>
      <c r="H400" s="9" t="s">
        <v>2494</v>
      </c>
      <c r="I400" s="12" t="str">
        <f>RIGHT(LEFT(Table4[[#This Row],[Latest Senate Action]],FIND(" Congress",Table4[[#This Row],[Latest Senate Action]])-1),LEN(LEFT(Table4[[#This Row],[Latest Senate Action]],FIND(" Congress",Table4[[#This Row],[Latest Senate Action]])-1))-FIND("-",Table4[[#This Row],[Latest Senate Action]])-1)</f>
        <v>102nd</v>
      </c>
      <c r="J400" s="12" t="str">
        <f>RIGHT(Table4[[#This Row],[Latest Senate Action]],LEN(Table4[[#This Row],[Latest Senate Action]])-FIND(") - ",Table4[[#This Row],[Latest Senate Action]])-3)</f>
        <v xml:space="preserve">Passed Senate without amendment by Division. (All Actions) </v>
      </c>
      <c r="K400" s="12" t="str">
        <f>INDEX(Table5[type],MATCH(Table4[[#This Row],[Action]],Table5[Action],0))</f>
        <v>Passed</v>
      </c>
      <c r="L400" s="22" t="b">
        <f>INDEX(Table1[Senate and President Same Party, House and President Different Party],MATCH(Table4[[#This Row],[Congress Acting]],Table1[Congress],0))</f>
        <v>0</v>
      </c>
    </row>
    <row r="401" spans="1:12" ht="141.75">
      <c r="A401" s="9" t="s">
        <v>623</v>
      </c>
      <c r="B401" t="s">
        <v>2501</v>
      </c>
      <c r="C401" s="9" t="s">
        <v>2502</v>
      </c>
      <c r="D401" s="13" t="s">
        <v>3914</v>
      </c>
      <c r="E401" s="9" t="s">
        <v>2503</v>
      </c>
      <c r="F401"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01" s="9" t="s">
        <v>1164</v>
      </c>
      <c r="H401" s="9" t="s">
        <v>2494</v>
      </c>
      <c r="I401" s="12" t="str">
        <f>RIGHT(LEFT(Table4[[#This Row],[Latest Senate Action]],FIND(" Congress",Table4[[#This Row],[Latest Senate Action]])-1),LEN(LEFT(Table4[[#This Row],[Latest Senate Action]],FIND(" Congress",Table4[[#This Row],[Latest Senate Action]])-1))-FIND("-",Table4[[#This Row],[Latest Senate Action]])-1)</f>
        <v>102nd</v>
      </c>
      <c r="J401" s="12" t="str">
        <f>RIGHT(Table4[[#This Row],[Latest Senate Action]],LEN(Table4[[#This Row],[Latest Senate Action]])-FIND(") - ",Table4[[#This Row],[Latest Senate Action]])-3)</f>
        <v xml:space="preserve">Passed Senate without amendment by Division. (All Actions) </v>
      </c>
      <c r="K401" s="12" t="str">
        <f>INDEX(Table5[type],MATCH(Table4[[#This Row],[Action]],Table5[Action],0))</f>
        <v>Passed</v>
      </c>
      <c r="L401" s="22" t="b">
        <f>INDEX(Table1[Senate and President Same Party, House and President Different Party],MATCH(Table4[[#This Row],[Congress Acting]],Table1[Congress],0))</f>
        <v>0</v>
      </c>
    </row>
    <row r="402" spans="1:12" ht="157.5">
      <c r="A402" s="9" t="s">
        <v>624</v>
      </c>
      <c r="B402" t="s">
        <v>2504</v>
      </c>
      <c r="C402" s="9" t="s">
        <v>2505</v>
      </c>
      <c r="D402" s="13" t="s">
        <v>3857</v>
      </c>
      <c r="E402" s="9" t="s">
        <v>2506</v>
      </c>
      <c r="F402"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02" s="9" t="s">
        <v>1200</v>
      </c>
      <c r="H402" s="9" t="s">
        <v>2507</v>
      </c>
      <c r="I402" s="12" t="str">
        <f>RIGHT(LEFT(Table4[[#This Row],[Latest Senate Action]],FIND(" Congress",Table4[[#This Row],[Latest Senate Action]])-1),LEN(LEFT(Table4[[#This Row],[Latest Senate Action]],FIND(" Congress",Table4[[#This Row],[Latest Senate Action]])-1))-FIND("-",Table4[[#This Row],[Latest Senate Action]])-1)</f>
        <v>102nd</v>
      </c>
      <c r="J402" s="12" t="str">
        <f>RIGHT(Table4[[#This Row],[Latest Senate Action]],LEN(Table4[[#This Row],[Latest Senate Action]])-FIND(") - ",Table4[[#This Row],[Latest Senate Action]])-3)</f>
        <v xml:space="preserve">Treaty returned to the President. (All Actions) </v>
      </c>
      <c r="K402" s="12" t="str">
        <f>INDEX(Table5[type],MATCH(Table4[[#This Row],[Action]],Table5[Action],0))</f>
        <v>In Process</v>
      </c>
      <c r="L402" s="22" t="b">
        <f>INDEX(Table1[Senate and President Same Party, House and President Different Party],MATCH(Table4[[#This Row],[Congress Acting]],Table1[Congress],0))</f>
        <v>0</v>
      </c>
    </row>
    <row r="403" spans="1:12" ht="141.75">
      <c r="A403" s="9" t="s">
        <v>625</v>
      </c>
      <c r="B403" t="s">
        <v>2508</v>
      </c>
      <c r="C403" s="9" t="s">
        <v>2509</v>
      </c>
      <c r="D403" s="13" t="s">
        <v>3915</v>
      </c>
      <c r="E403" s="9" t="s">
        <v>2510</v>
      </c>
      <c r="F403"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403" s="9" t="s">
        <v>1200</v>
      </c>
      <c r="H403" s="9" t="s">
        <v>2507</v>
      </c>
      <c r="I403" s="12" t="str">
        <f>RIGHT(LEFT(Table4[[#This Row],[Latest Senate Action]],FIND(" Congress",Table4[[#This Row],[Latest Senate Action]])-1),LEN(LEFT(Table4[[#This Row],[Latest Senate Action]],FIND(" Congress",Table4[[#This Row],[Latest Senate Action]])-1))-FIND("-",Table4[[#This Row],[Latest Senate Action]])-1)</f>
        <v>102nd</v>
      </c>
      <c r="J403" s="12" t="str">
        <f>RIGHT(Table4[[#This Row],[Latest Senate Action]],LEN(Table4[[#This Row],[Latest Senate Action]])-FIND(") - ",Table4[[#This Row],[Latest Senate Action]])-3)</f>
        <v xml:space="preserve">Treaty returned to the President. (All Actions) </v>
      </c>
      <c r="K403" s="12" t="str">
        <f>INDEX(Table5[type],MATCH(Table4[[#This Row],[Action]],Table5[Action],0))</f>
        <v>In Process</v>
      </c>
      <c r="L403" s="22" t="b">
        <f>INDEX(Table1[Senate and President Same Party, House and President Different Party],MATCH(Table4[[#This Row],[Congress Acting]],Table1[Congress],0))</f>
        <v>0</v>
      </c>
    </row>
    <row r="404" spans="1:12" ht="204.75">
      <c r="A404" s="9" t="s">
        <v>626</v>
      </c>
      <c r="B404" t="s">
        <v>2511</v>
      </c>
      <c r="C404" s="9" t="s">
        <v>2512</v>
      </c>
      <c r="D404" s="13" t="s">
        <v>3858</v>
      </c>
      <c r="E404" s="9" t="s">
        <v>2513</v>
      </c>
      <c r="F404"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04" s="9" t="s">
        <v>1200</v>
      </c>
      <c r="H404" s="9" t="s">
        <v>2514</v>
      </c>
      <c r="I404" s="12" t="str">
        <f>RIGHT(LEFT(Table4[[#This Row],[Latest Senate Action]],FIND(" Congress",Table4[[#This Row],[Latest Senate Action]])-1),LEN(LEFT(Table4[[#This Row],[Latest Senate Action]],FIND(" Congress",Table4[[#This Row],[Latest Senate Action]])-1))-FIND("-",Table4[[#This Row],[Latest Senate Action]])-1)</f>
        <v>102nd</v>
      </c>
      <c r="J404" s="12" t="str">
        <f>RIGHT(Table4[[#This Row],[Latest Senate Action]],LEN(Table4[[#This Row],[Latest Senate Action]])-FIND(") - ",Table4[[#This Row],[Latest Senate Action]])-3)</f>
        <v xml:space="preserve">Resolution of advice and consent to ratification agreed to in Senate with amendments by Division Vote. (All Actions) </v>
      </c>
      <c r="K404" s="12" t="str">
        <f>INDEX(Table5[type],MATCH(Table4[[#This Row],[Action]],Table5[Action],0))</f>
        <v>Passed</v>
      </c>
      <c r="L404" s="22" t="b">
        <f>INDEX(Table1[Senate and President Same Party, House and President Different Party],MATCH(Table4[[#This Row],[Congress Acting]],Table1[Congress],0))</f>
        <v>0</v>
      </c>
    </row>
    <row r="405" spans="1:12" ht="189">
      <c r="A405" s="9" t="s">
        <v>627</v>
      </c>
      <c r="B405" t="s">
        <v>2515</v>
      </c>
      <c r="C405" s="9" t="s">
        <v>2516</v>
      </c>
      <c r="D405" s="13" t="s">
        <v>3916</v>
      </c>
      <c r="E405" s="9" t="s">
        <v>2387</v>
      </c>
      <c r="F405" t="str">
        <f>RIGHT(LEFT(Table4[[#This Row],[Date Received from President]],FIND(" Congress",Table4[[#This Row],[Date Received from President]])-1),LEN(LEFT(Table4[[#This Row],[Date Received from President]],FIND(" Congress",Table4[[#This Row],[Date Received from President]])-1))-FIND("-",Table4[[#This Row],[Date Received from President]])-1)</f>
        <v>102nd</v>
      </c>
      <c r="G405" s="9" t="s">
        <v>1200</v>
      </c>
      <c r="H405" s="9" t="s">
        <v>2517</v>
      </c>
      <c r="I405" s="12" t="str">
        <f>RIGHT(LEFT(Table4[[#This Row],[Latest Senate Action]],FIND(" Congress",Table4[[#This Row],[Latest Senate Action]])-1),LEN(LEFT(Table4[[#This Row],[Latest Senate Action]],FIND(" Congress",Table4[[#This Row],[Latest Senate Action]])-1))-FIND("-",Table4[[#This Row],[Latest Senate Action]])-1)</f>
        <v>102nd</v>
      </c>
      <c r="J405" s="12" t="str">
        <f>RIGHT(Table4[[#This Row],[Latest Senate Action]],LEN(Table4[[#This Row],[Latest Senate Action]])-FIND(") - ",Table4[[#This Row],[Latest Senate Action]])-3)</f>
        <v xml:space="preserve">Resolution of advice and consent to ratification agreed to in Senate by Yea-Nay Vote. 97 - 0. Record Vote Number: 58. (All Actions) </v>
      </c>
      <c r="K405" s="12" t="str">
        <f>INDEX(Table5[type],MATCH(Table4[[#This Row],[Action]],Table5[Action],0))</f>
        <v>Passed</v>
      </c>
      <c r="L405" s="22" t="b">
        <f>INDEX(Table1[Senate and President Same Party, House and President Different Party],MATCH(Table4[[#This Row],[Congress Acting]],Table1[Congress],0))</f>
        <v>0</v>
      </c>
    </row>
    <row r="406" spans="1:12" ht="189">
      <c r="A406" s="9" t="s">
        <v>628</v>
      </c>
      <c r="B406" t="s">
        <v>2518</v>
      </c>
      <c r="C406" s="9" t="s">
        <v>2519</v>
      </c>
      <c r="D406" s="13" t="s">
        <v>3917</v>
      </c>
      <c r="E406" s="9" t="s">
        <v>2520</v>
      </c>
      <c r="F406"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06" s="9" t="s">
        <v>1200</v>
      </c>
      <c r="H406" s="9" t="s">
        <v>2521</v>
      </c>
      <c r="I406" s="12" t="str">
        <f>RIGHT(LEFT(Table4[[#This Row],[Latest Senate Action]],FIND(" Congress",Table4[[#This Row],[Latest Senate Action]])-1),LEN(LEFT(Table4[[#This Row],[Latest Senate Action]],FIND(" Congress",Table4[[#This Row],[Latest Senate Action]])-1))-FIND("-",Table4[[#This Row],[Latest Senate Action]])-1)</f>
        <v>102nd</v>
      </c>
      <c r="J406" s="12" t="str">
        <f>RIGHT(Table4[[#This Row],[Latest Senate Action]],LEN(Table4[[#This Row],[Latest Senate Action]])-FIND(") - ",Table4[[#This Row],[Latest Senate Action]])-3)</f>
        <v xml:space="preserve">Resolution of advice and consent to ratification agreed to in Senate by Yea-Nay Vote. 97 - 0. Record Vote Number: 57. (All Actions) </v>
      </c>
      <c r="K406" s="12" t="str">
        <f>INDEX(Table5[type],MATCH(Table4[[#This Row],[Action]],Table5[Action],0))</f>
        <v>Passed</v>
      </c>
      <c r="L406" s="22" t="b">
        <f>INDEX(Table1[Senate and President Same Party, House and President Different Party],MATCH(Table4[[#This Row],[Congress Acting]],Table1[Congress],0))</f>
        <v>0</v>
      </c>
    </row>
    <row r="407" spans="1:12" ht="157.5">
      <c r="A407" s="9" t="s">
        <v>629</v>
      </c>
      <c r="B407" t="s">
        <v>2522</v>
      </c>
      <c r="C407" s="9" t="s">
        <v>2523</v>
      </c>
      <c r="D407" s="13" t="s">
        <v>3918</v>
      </c>
      <c r="E407" s="9" t="s">
        <v>2524</v>
      </c>
      <c r="F407" t="str">
        <f>RIGHT(LEFT(Table4[[#This Row],[Date Received from President]],FIND(" Congress",Table4[[#This Row],[Date Received from President]])-1),LEN(LEFT(Table4[[#This Row],[Date Received from President]],FIND(" Congress",Table4[[#This Row],[Date Received from President]])-1))-FIND("-",Table4[[#This Row],[Date Received from President]])-1)</f>
        <v>88th</v>
      </c>
      <c r="G407" s="9" t="s">
        <v>1853</v>
      </c>
      <c r="H407" s="9" t="s">
        <v>2525</v>
      </c>
      <c r="I407" s="12" t="str">
        <f>RIGHT(LEFT(Table4[[#This Row],[Latest Senate Action]],FIND(" Congress",Table4[[#This Row],[Latest Senate Action]])-1),LEN(LEFT(Table4[[#This Row],[Latest Senate Action]],FIND(" Congress",Table4[[#This Row],[Latest Senate Action]])-1))-FIND("-",Table4[[#This Row],[Latest Senate Action]])-1)</f>
        <v>102nd</v>
      </c>
      <c r="J407" s="12" t="str">
        <f>RIGHT(Table4[[#This Row],[Latest Senate Action]],LEN(Table4[[#This Row],[Latest Senate Action]])-FIND(") - ",Table4[[#This Row],[Latest Senate Action]])-3)</f>
        <v xml:space="preserve">Resolution of advice and consent to ratification agreed to in Senate with amendments by Yea-Nay Vote. 97 - 0. Record Vote Number: 59. (All Actions) </v>
      </c>
      <c r="K407" s="12" t="str">
        <f>INDEX(Table5[type],MATCH(Table4[[#This Row],[Action]],Table5[Action],0))</f>
        <v>Passed</v>
      </c>
      <c r="L407" s="22" t="b">
        <f>INDEX(Table1[Senate and President Same Party, House and President Different Party],MATCH(Table4[[#This Row],[Congress Acting]],Table1[Congress],0))</f>
        <v>0</v>
      </c>
    </row>
    <row r="408" spans="1:12" ht="189">
      <c r="A408" s="9" t="s">
        <v>630</v>
      </c>
      <c r="B408" t="s">
        <v>183</v>
      </c>
      <c r="C408" s="9" t="s">
        <v>2526</v>
      </c>
      <c r="D408" s="13" t="s">
        <v>3919</v>
      </c>
      <c r="E408" s="9" t="s">
        <v>2527</v>
      </c>
      <c r="F408"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408" s="9" t="s">
        <v>1200</v>
      </c>
      <c r="H408" s="9" t="s">
        <v>2528</v>
      </c>
      <c r="I408" s="12" t="str">
        <f>RIGHT(LEFT(Table4[[#This Row],[Latest Senate Action]],FIND(" Congress",Table4[[#This Row],[Latest Senate Action]])-1),LEN(LEFT(Table4[[#This Row],[Latest Senate Action]],FIND(" Congress",Table4[[#This Row],[Latest Senate Action]])-1))-FIND("-",Table4[[#This Row],[Latest Senate Action]])-1)</f>
        <v>102nd</v>
      </c>
      <c r="J408" s="12" t="str">
        <f>RIGHT(Table4[[#This Row],[Latest Senate Action]],LEN(Table4[[#This Row],[Latest Senate Action]])-FIND(") - ",Table4[[#This Row],[Latest Senate Action]])-3)</f>
        <v xml:space="preserve">Resolution of advice and consent to ratification agreed to in Senate by Yea-Nay Vote. 97 - 0. Record Vote Number: 56. (All Actions) </v>
      </c>
      <c r="K408" s="12" t="str">
        <f>INDEX(Table5[type],MATCH(Table4[[#This Row],[Action]],Table5[Action],0))</f>
        <v>Passed</v>
      </c>
      <c r="L408" s="22" t="b">
        <f>INDEX(Table1[Senate and President Same Party, House and President Different Party],MATCH(Table4[[#This Row],[Congress Acting]],Table1[Congress],0))</f>
        <v>0</v>
      </c>
    </row>
    <row r="409" spans="1:12" ht="141.75">
      <c r="A409" s="9" t="s">
        <v>631</v>
      </c>
      <c r="B409" t="s">
        <v>2529</v>
      </c>
      <c r="C409" s="9" t="s">
        <v>2530</v>
      </c>
      <c r="D409" s="13" t="s">
        <v>3920</v>
      </c>
      <c r="E409" s="9" t="s">
        <v>1809</v>
      </c>
      <c r="F409"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09" s="9" t="s">
        <v>1052</v>
      </c>
      <c r="H409" s="9" t="s">
        <v>2531</v>
      </c>
      <c r="I409" s="12" t="str">
        <f>RIGHT(LEFT(Table4[[#This Row],[Latest Senate Action]],FIND(" Congress",Table4[[#This Row],[Latest Senate Action]])-1),LEN(LEFT(Table4[[#This Row],[Latest Senate Action]],FIND(" Congress",Table4[[#This Row],[Latest Senate Action]])-1))-FIND("-",Table4[[#This Row],[Latest Senate Action]])-1)</f>
        <v>101st</v>
      </c>
      <c r="J409" s="12" t="str">
        <f>RIGHT(Table4[[#This Row],[Latest Senate Action]],LEN(Table4[[#This Row],[Latest Senate Action]])-FIND(") - ",Table4[[#This Row],[Latest Senate Action]])-3)</f>
        <v xml:space="preserve">Resolution of advice and consent to ratification agreed to in Senate by Division Vote. (All Actions) </v>
      </c>
      <c r="K409" s="12" t="str">
        <f>INDEX(Table5[type],MATCH(Table4[[#This Row],[Action]],Table5[Action],0))</f>
        <v>Passed</v>
      </c>
      <c r="L409" s="22" t="b">
        <f>INDEX(Table1[Senate and President Same Party, House and President Different Party],MATCH(Table4[[#This Row],[Congress Acting]],Table1[Congress],0))</f>
        <v>0</v>
      </c>
    </row>
    <row r="410" spans="1:12" ht="157.5">
      <c r="A410" s="9" t="s">
        <v>632</v>
      </c>
      <c r="B410" t="s">
        <v>2532</v>
      </c>
      <c r="C410" s="9" t="s">
        <v>2533</v>
      </c>
      <c r="D410" s="13" t="s">
        <v>3859</v>
      </c>
      <c r="E410" s="9" t="s">
        <v>2534</v>
      </c>
      <c r="F410"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0" s="9" t="s">
        <v>1052</v>
      </c>
      <c r="H410" s="9" t="s">
        <v>2531</v>
      </c>
      <c r="I410" s="12" t="str">
        <f>RIGHT(LEFT(Table4[[#This Row],[Latest Senate Action]],FIND(" Congress",Table4[[#This Row],[Latest Senate Action]])-1),LEN(LEFT(Table4[[#This Row],[Latest Senate Action]],FIND(" Congress",Table4[[#This Row],[Latest Senate Action]])-1))-FIND("-",Table4[[#This Row],[Latest Senate Action]])-1)</f>
        <v>101st</v>
      </c>
      <c r="J410" s="12" t="str">
        <f>RIGHT(Table4[[#This Row],[Latest Senate Action]],LEN(Table4[[#This Row],[Latest Senate Action]])-FIND(") - ",Table4[[#This Row],[Latest Senate Action]])-3)</f>
        <v xml:space="preserve">Resolution of advice and consent to ratification agreed to in Senate by Division Vote. (All Actions) </v>
      </c>
      <c r="K410" s="12" t="str">
        <f>INDEX(Table5[type],MATCH(Table4[[#This Row],[Action]],Table5[Action],0))</f>
        <v>Passed</v>
      </c>
      <c r="L410" s="22" t="b">
        <f>INDEX(Table1[Senate and President Same Party, House and President Different Party],MATCH(Table4[[#This Row],[Congress Acting]],Table1[Congress],0))</f>
        <v>0</v>
      </c>
    </row>
    <row r="411" spans="1:12" ht="173.25">
      <c r="A411" s="9" t="s">
        <v>633</v>
      </c>
      <c r="B411" t="s">
        <v>2535</v>
      </c>
      <c r="C411" s="9" t="s">
        <v>2536</v>
      </c>
      <c r="D411" s="13" t="s">
        <v>3860</v>
      </c>
      <c r="E411" s="9" t="s">
        <v>2537</v>
      </c>
      <c r="F411"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11" s="9" t="s">
        <v>1106</v>
      </c>
      <c r="H411" s="9" t="s">
        <v>2538</v>
      </c>
      <c r="I411" s="12" t="str">
        <f>RIGHT(LEFT(Table4[[#This Row],[Latest Senate Action]],FIND(" Congress",Table4[[#This Row],[Latest Senate Action]])-1),LEN(LEFT(Table4[[#This Row],[Latest Senate Action]],FIND(" Congress",Table4[[#This Row],[Latest Senate Action]])-1))-FIND("-",Table4[[#This Row],[Latest Senate Action]])-1)</f>
        <v>101st</v>
      </c>
      <c r="J411" s="12" t="str">
        <f>RIGHT(Table4[[#This Row],[Latest Senate Action]],LEN(Table4[[#This Row],[Latest Senate Action]])-FIND(") - ",Table4[[#This Row],[Latest Senate Action]])-3)</f>
        <v xml:space="preserve">Resolution of advice and consent to ratification agreed to in Senate with amendments by Division Vote. (All Actions) </v>
      </c>
      <c r="K411" s="12" t="str">
        <f>INDEX(Table5[type],MATCH(Table4[[#This Row],[Action]],Table5[Action],0))</f>
        <v>Passed</v>
      </c>
      <c r="L411" s="22" t="b">
        <f>INDEX(Table1[Senate and President Same Party, House and President Different Party],MATCH(Table4[[#This Row],[Congress Acting]],Table1[Congress],0))</f>
        <v>0</v>
      </c>
    </row>
    <row r="412" spans="1:12" ht="173.25">
      <c r="A412" s="9" t="s">
        <v>634</v>
      </c>
      <c r="B412" t="s">
        <v>2539</v>
      </c>
      <c r="C412" s="9" t="s">
        <v>2540</v>
      </c>
      <c r="D412" s="13" t="s">
        <v>3861</v>
      </c>
      <c r="E412" s="9" t="s">
        <v>2513</v>
      </c>
      <c r="F412"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2" s="9" t="s">
        <v>1800</v>
      </c>
      <c r="H412" s="9" t="s">
        <v>2541</v>
      </c>
      <c r="I412" s="12" t="str">
        <f>RIGHT(LEFT(Table4[[#This Row],[Latest Senate Action]],FIND(" Congress",Table4[[#This Row],[Latest Senate Action]])-1),LEN(LEFT(Table4[[#This Row],[Latest Senate Action]],FIND(" Congress",Table4[[#This Row],[Latest Senate Action]])-1))-FIND("-",Table4[[#This Row],[Latest Senate Action]])-1)</f>
        <v>101st</v>
      </c>
      <c r="J412" s="12" t="str">
        <f>RIGHT(Table4[[#This Row],[Latest Senate Action]],LEN(Table4[[#This Row],[Latest Senate Action]])-FIND(") - ",Table4[[#This Row],[Latest Senate Action]])-3)</f>
        <v xml:space="preserve">Resolution of advice and consent to ratification agreed to in Senate by Yea-Nay Vote. 98 - 0. Record Vote Number: 263. (All Actions) </v>
      </c>
      <c r="K412" s="12" t="str">
        <f>INDEX(Table5[type],MATCH(Table4[[#This Row],[Action]],Table5[Action],0))</f>
        <v>Passed</v>
      </c>
      <c r="L412" s="22" t="b">
        <f>INDEX(Table1[Senate and President Same Party, House and President Different Party],MATCH(Table4[[#This Row],[Congress Acting]],Table1[Congress],0))</f>
        <v>0</v>
      </c>
    </row>
    <row r="413" spans="1:12" ht="220.5">
      <c r="A413" s="9" t="s">
        <v>635</v>
      </c>
      <c r="B413" t="s">
        <v>2542</v>
      </c>
      <c r="C413" s="9" t="s">
        <v>2543</v>
      </c>
      <c r="D413" s="13" t="s">
        <v>3862</v>
      </c>
      <c r="E413" s="9" t="s">
        <v>2544</v>
      </c>
      <c r="F413"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3" s="9" t="s">
        <v>1101</v>
      </c>
      <c r="H413" s="9" t="s">
        <v>2545</v>
      </c>
      <c r="I413" s="12" t="str">
        <f>RIGHT(LEFT(Table4[[#This Row],[Latest Senate Action]],FIND(" Congress",Table4[[#This Row],[Latest Senate Action]])-1),LEN(LEFT(Table4[[#This Row],[Latest Senate Action]],FIND(" Congress",Table4[[#This Row],[Latest Senate Action]])-1))-FIND("-",Table4[[#This Row],[Latest Senate Action]])-1)</f>
        <v>101st</v>
      </c>
      <c r="J413" s="12" t="str">
        <f>RIGHT(Table4[[#This Row],[Latest Senate Action]],LEN(Table4[[#This Row],[Latest Senate Action]])-FIND(") - ",Table4[[#This Row],[Latest Senate Action]])-3)</f>
        <v xml:space="preserve">Resolution agreed to in Senate , this Protocol is included in Treaty Doc. Ex. N(A), 94-2 and Ex. N(B), 94-2 and recorded on roll calls No. 249 and 250. Without amendment by Yea-Nay. 98-0. Record Vote No: 249/250. (All Actions) </v>
      </c>
      <c r="K413" s="12" t="str">
        <f>INDEX(Table5[type],MATCH(Table4[[#This Row],[Action]],Table5[Action],0))</f>
        <v>Passed</v>
      </c>
      <c r="L413" s="22" t="b">
        <f>INDEX(Table1[Senate and President Same Party, House and President Different Party],MATCH(Table4[[#This Row],[Congress Acting]],Table1[Congress],0))</f>
        <v>0</v>
      </c>
    </row>
    <row r="414" spans="1:12" ht="189">
      <c r="A414" s="9" t="s">
        <v>636</v>
      </c>
      <c r="B414" t="s">
        <v>2546</v>
      </c>
      <c r="C414" s="9" t="s">
        <v>2547</v>
      </c>
      <c r="D414" s="13" t="s">
        <v>3921</v>
      </c>
      <c r="E414" s="9" t="s">
        <v>2548</v>
      </c>
      <c r="F414"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414" s="9" t="s">
        <v>1101</v>
      </c>
      <c r="H414" s="9" t="s">
        <v>2549</v>
      </c>
      <c r="I414" s="12" t="str">
        <f>RIGHT(LEFT(Table4[[#This Row],[Latest Senate Action]],FIND(" Congress",Table4[[#This Row],[Latest Senate Action]])-1),LEN(LEFT(Table4[[#This Row],[Latest Senate Action]],FIND(" Congress",Table4[[#This Row],[Latest Senate Action]])-1))-FIND("-",Table4[[#This Row],[Latest Senate Action]])-1)</f>
        <v>101st</v>
      </c>
      <c r="J414" s="12" t="str">
        <f>RIGHT(Table4[[#This Row],[Latest Senate Action]],LEN(Table4[[#This Row],[Latest Senate Action]])-FIND(") - ",Table4[[#This Row],[Latest Senate Action]])-3)</f>
        <v xml:space="preserve">Resolution of advice and consent to ratification agreed to in Senate by Yea-Nay Vote. 98 - 0. Record Vote Number: 249. (All Actions) </v>
      </c>
      <c r="K414" s="12" t="str">
        <f>INDEX(Table5[type],MATCH(Table4[[#This Row],[Action]],Table5[Action],0))</f>
        <v>Passed</v>
      </c>
      <c r="L414" s="22" t="b">
        <f>INDEX(Table1[Senate and President Same Party, House and President Different Party],MATCH(Table4[[#This Row],[Congress Acting]],Table1[Congress],0))</f>
        <v>0</v>
      </c>
    </row>
    <row r="415" spans="1:12" ht="189">
      <c r="A415" s="9" t="s">
        <v>637</v>
      </c>
      <c r="B415" t="s">
        <v>2550</v>
      </c>
      <c r="C415" s="9" t="s">
        <v>2551</v>
      </c>
      <c r="D415" s="13" t="s">
        <v>3921</v>
      </c>
      <c r="E415" s="9" t="s">
        <v>2548</v>
      </c>
      <c r="F41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415" s="9" t="s">
        <v>1101</v>
      </c>
      <c r="H415" s="9" t="s">
        <v>2552</v>
      </c>
      <c r="I415" s="12" t="str">
        <f>RIGHT(LEFT(Table4[[#This Row],[Latest Senate Action]],FIND(" Congress",Table4[[#This Row],[Latest Senate Action]])-1),LEN(LEFT(Table4[[#This Row],[Latest Senate Action]],FIND(" Congress",Table4[[#This Row],[Latest Senate Action]])-1))-FIND("-",Table4[[#This Row],[Latest Senate Action]])-1)</f>
        <v>101st</v>
      </c>
      <c r="J415" s="12" t="str">
        <f>RIGHT(Table4[[#This Row],[Latest Senate Action]],LEN(Table4[[#This Row],[Latest Senate Action]])-FIND(") - ",Table4[[#This Row],[Latest Senate Action]])-3)</f>
        <v xml:space="preserve">Resolution of advice and consent to ratification agreed to in Senate by Yea-Nay Vote. 98 - 0. Record Vote Number: 250. (All Actions) </v>
      </c>
      <c r="K415" s="12" t="str">
        <f>INDEX(Table5[type],MATCH(Table4[[#This Row],[Action]],Table5[Action],0))</f>
        <v>Passed</v>
      </c>
      <c r="L415" s="22" t="b">
        <f>INDEX(Table1[Senate and President Same Party, House and President Different Party],MATCH(Table4[[#This Row],[Congress Acting]],Table1[Congress],0))</f>
        <v>0</v>
      </c>
    </row>
    <row r="416" spans="1:12" ht="157.5">
      <c r="A416" s="9" t="s">
        <v>638</v>
      </c>
      <c r="B416" t="s">
        <v>2553</v>
      </c>
      <c r="C416" s="9" t="s">
        <v>2554</v>
      </c>
      <c r="D416" s="13" t="s">
        <v>3922</v>
      </c>
      <c r="E416" s="9" t="s">
        <v>2555</v>
      </c>
      <c r="F416"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6" s="9" t="s">
        <v>1063</v>
      </c>
      <c r="H416" s="9" t="s">
        <v>2556</v>
      </c>
      <c r="I416" s="12" t="str">
        <f>RIGHT(LEFT(Table4[[#This Row],[Latest Senate Action]],FIND(" Congress",Table4[[#This Row],[Latest Senate Action]])-1),LEN(LEFT(Table4[[#This Row],[Latest Senate Action]],FIND(" Congress",Table4[[#This Row],[Latest Senate Action]])-1))-FIND("-",Table4[[#This Row],[Latest Senate Action]])-1)</f>
        <v>101st</v>
      </c>
      <c r="J416" s="12" t="str">
        <f>RIGHT(Table4[[#This Row],[Latest Senate Action]],LEN(Table4[[#This Row],[Latest Senate Action]])-FIND(") - ",Table4[[#This Row],[Latest Senate Action]])-3)</f>
        <v xml:space="preserve">Resolution of advice and consent to ratification agreed to in Senate by Yea-Nay Vote. 99 - 0. Record Vote Number: 238. (All Actions) </v>
      </c>
      <c r="K416" s="12" t="str">
        <f>INDEX(Table5[type],MATCH(Table4[[#This Row],[Action]],Table5[Action],0))</f>
        <v>Passed</v>
      </c>
      <c r="L416" s="22" t="b">
        <f>INDEX(Table1[Senate and President Same Party, House and President Different Party],MATCH(Table4[[#This Row],[Congress Acting]],Table1[Congress],0))</f>
        <v>0</v>
      </c>
    </row>
    <row r="417" spans="1:12" ht="173.25">
      <c r="A417" s="9" t="s">
        <v>639</v>
      </c>
      <c r="B417" t="s">
        <v>2557</v>
      </c>
      <c r="C417" s="9" t="s">
        <v>2558</v>
      </c>
      <c r="D417" s="13" t="s">
        <v>4245</v>
      </c>
      <c r="E417" s="9" t="s">
        <v>2559</v>
      </c>
      <c r="F417"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7" s="9" t="s">
        <v>1063</v>
      </c>
      <c r="H417" s="9" t="s">
        <v>2560</v>
      </c>
      <c r="I417" s="12" t="str">
        <f>RIGHT(LEFT(Table4[[#This Row],[Latest Senate Action]],FIND(" Congress",Table4[[#This Row],[Latest Senate Action]])-1),LEN(LEFT(Table4[[#This Row],[Latest Senate Action]],FIND(" Congress",Table4[[#This Row],[Latest Senate Action]])-1))-FIND("-",Table4[[#This Row],[Latest Senate Action]])-1)</f>
        <v>101st</v>
      </c>
      <c r="J417" s="12" t="str">
        <f>RIGHT(Table4[[#This Row],[Latest Senate Action]],LEN(Table4[[#This Row],[Latest Senate Action]])-FIND(") - ",Table4[[#This Row],[Latest Senate Action]])-3)</f>
        <v xml:space="preserve">Resolution of advice and consent to ratification agreed to in Senate by Yea-Nay Vote. 99 - 0. Record Vote Number: 239. (All Actions) </v>
      </c>
      <c r="K417" s="12" t="str">
        <f>INDEX(Table5[type],MATCH(Table4[[#This Row],[Action]],Table5[Action],0))</f>
        <v>Passed</v>
      </c>
      <c r="L417" s="22" t="b">
        <f>INDEX(Table1[Senate and President Same Party, House and President Different Party],MATCH(Table4[[#This Row],[Congress Acting]],Table1[Congress],0))</f>
        <v>0</v>
      </c>
    </row>
    <row r="418" spans="1:12" ht="173.25">
      <c r="A418" s="9" t="s">
        <v>640</v>
      </c>
      <c r="B418" t="s">
        <v>2561</v>
      </c>
      <c r="C418" s="9" t="s">
        <v>2562</v>
      </c>
      <c r="D418" s="13" t="s">
        <v>3923</v>
      </c>
      <c r="E418" s="9" t="s">
        <v>1790</v>
      </c>
      <c r="F418"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8" s="9" t="s">
        <v>1063</v>
      </c>
      <c r="H418" s="9" t="s">
        <v>2563</v>
      </c>
      <c r="I418" s="12" t="str">
        <f>RIGHT(LEFT(Table4[[#This Row],[Latest Senate Action]],FIND(" Congress",Table4[[#This Row],[Latest Senate Action]])-1),LEN(LEFT(Table4[[#This Row],[Latest Senate Action]],FIND(" Congress",Table4[[#This Row],[Latest Senate Action]])-1))-FIND("-",Table4[[#This Row],[Latest Senate Action]])-1)</f>
        <v>101st</v>
      </c>
      <c r="J418" s="12" t="str">
        <f>RIGHT(Table4[[#This Row],[Latest Senate Action]],LEN(Table4[[#This Row],[Latest Senate Action]])-FIND(") - ",Table4[[#This Row],[Latest Senate Action]])-3)</f>
        <v xml:space="preserve">Resolution of advice and consent to ratification agreed to in Senate by Yea-Nay Vote. 99 - 0. Record Vote Number: 236. (All Actions) </v>
      </c>
      <c r="K418" s="12" t="str">
        <f>INDEX(Table5[type],MATCH(Table4[[#This Row],[Action]],Table5[Action],0))</f>
        <v>Passed</v>
      </c>
      <c r="L418" s="22" t="b">
        <f>INDEX(Table1[Senate and President Same Party, House and President Different Party],MATCH(Table4[[#This Row],[Congress Acting]],Table1[Congress],0))</f>
        <v>0</v>
      </c>
    </row>
    <row r="419" spans="1:12" ht="157.5">
      <c r="A419" s="9" t="s">
        <v>641</v>
      </c>
      <c r="B419" t="s">
        <v>2564</v>
      </c>
      <c r="C419" s="9" t="s">
        <v>2565</v>
      </c>
      <c r="D419" s="13" t="s">
        <v>3863</v>
      </c>
      <c r="E419" s="9" t="s">
        <v>2566</v>
      </c>
      <c r="F419"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19" s="9" t="s">
        <v>1063</v>
      </c>
      <c r="H419" s="9" t="s">
        <v>2567</v>
      </c>
      <c r="I419" s="12" t="str">
        <f>RIGHT(LEFT(Table4[[#This Row],[Latest Senate Action]],FIND(" Congress",Table4[[#This Row],[Latest Senate Action]])-1),LEN(LEFT(Table4[[#This Row],[Latest Senate Action]],FIND(" Congress",Table4[[#This Row],[Latest Senate Action]])-1))-FIND("-",Table4[[#This Row],[Latest Senate Action]])-1)</f>
        <v>101st</v>
      </c>
      <c r="J419" s="12" t="str">
        <f>RIGHT(Table4[[#This Row],[Latest Senate Action]],LEN(Table4[[#This Row],[Latest Senate Action]])-FIND(") - ",Table4[[#This Row],[Latest Senate Action]])-3)</f>
        <v xml:space="preserve">Resolution of advice and consent to ratification agreed to in Senate by Yea-Nay Vote. 99 - 0. Record Vote Number: 240. (All Actions) </v>
      </c>
      <c r="K419" s="12" t="str">
        <f>INDEX(Table5[type],MATCH(Table4[[#This Row],[Action]],Table5[Action],0))</f>
        <v>Passed</v>
      </c>
      <c r="L419" s="22" t="b">
        <f>INDEX(Table1[Senate and President Same Party, House and President Different Party],MATCH(Table4[[#This Row],[Congress Acting]],Table1[Congress],0))</f>
        <v>0</v>
      </c>
    </row>
    <row r="420" spans="1:12" ht="157.5">
      <c r="A420" s="9" t="s">
        <v>642</v>
      </c>
      <c r="B420" t="s">
        <v>2568</v>
      </c>
      <c r="C420" s="9" t="s">
        <v>2569</v>
      </c>
      <c r="D420" s="13" t="s">
        <v>3864</v>
      </c>
      <c r="E420" s="9" t="s">
        <v>2566</v>
      </c>
      <c r="F420"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20" s="9" t="s">
        <v>1063</v>
      </c>
      <c r="H420" s="9" t="s">
        <v>2570</v>
      </c>
      <c r="I420" s="12" t="str">
        <f>RIGHT(LEFT(Table4[[#This Row],[Latest Senate Action]],FIND(" Congress",Table4[[#This Row],[Latest Senate Action]])-1),LEN(LEFT(Table4[[#This Row],[Latest Senate Action]],FIND(" Congress",Table4[[#This Row],[Latest Senate Action]])-1))-FIND("-",Table4[[#This Row],[Latest Senate Action]])-1)</f>
        <v>101st</v>
      </c>
      <c r="J420" s="12" t="str">
        <f>RIGHT(Table4[[#This Row],[Latest Senate Action]],LEN(Table4[[#This Row],[Latest Senate Action]])-FIND(") - ",Table4[[#This Row],[Latest Senate Action]])-3)</f>
        <v xml:space="preserve">Resolution of advice and consent to ratification agreed to in Senate by Yea-Nay Vote. 99 - 0. Record Vote Number: 241. (All Actions) </v>
      </c>
      <c r="K420" s="12" t="str">
        <f>INDEX(Table5[type],MATCH(Table4[[#This Row],[Action]],Table5[Action],0))</f>
        <v>Passed</v>
      </c>
      <c r="L420" s="22" t="b">
        <f>INDEX(Table1[Senate and President Same Party, House and President Different Party],MATCH(Table4[[#This Row],[Congress Acting]],Table1[Congress],0))</f>
        <v>0</v>
      </c>
    </row>
    <row r="421" spans="1:12" ht="141.75">
      <c r="A421" s="9" t="s">
        <v>643</v>
      </c>
      <c r="B421" t="s">
        <v>2571</v>
      </c>
      <c r="C421" s="9" t="s">
        <v>2572</v>
      </c>
      <c r="D421" s="13" t="s">
        <v>3924</v>
      </c>
      <c r="E421" s="9" t="s">
        <v>2573</v>
      </c>
      <c r="F421"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21" s="9" t="s">
        <v>1063</v>
      </c>
      <c r="H421" s="9" t="s">
        <v>2563</v>
      </c>
      <c r="I421" s="12" t="str">
        <f>RIGHT(LEFT(Table4[[#This Row],[Latest Senate Action]],FIND(" Congress",Table4[[#This Row],[Latest Senate Action]])-1),LEN(LEFT(Table4[[#This Row],[Latest Senate Action]],FIND(" Congress",Table4[[#This Row],[Latest Senate Action]])-1))-FIND("-",Table4[[#This Row],[Latest Senate Action]])-1)</f>
        <v>101st</v>
      </c>
      <c r="J421" s="12" t="str">
        <f>RIGHT(Table4[[#This Row],[Latest Senate Action]],LEN(Table4[[#This Row],[Latest Senate Action]])-FIND(") - ",Table4[[#This Row],[Latest Senate Action]])-3)</f>
        <v xml:space="preserve">Resolution of advice and consent to ratification agreed to in Senate by Yea-Nay Vote. 99 - 0. Record Vote Number: 236. (All Actions) </v>
      </c>
      <c r="K421" s="12" t="str">
        <f>INDEX(Table5[type],MATCH(Table4[[#This Row],[Action]],Table5[Action],0))</f>
        <v>Passed</v>
      </c>
      <c r="L421" s="22" t="b">
        <f>INDEX(Table1[Senate and President Same Party, House and President Different Party],MATCH(Table4[[#This Row],[Congress Acting]],Table1[Congress],0))</f>
        <v>0</v>
      </c>
    </row>
    <row r="422" spans="1:12" ht="157.5">
      <c r="A422" s="9" t="s">
        <v>644</v>
      </c>
      <c r="B422" t="s">
        <v>2574</v>
      </c>
      <c r="C422" s="9" t="s">
        <v>2575</v>
      </c>
      <c r="D422" s="13" t="s">
        <v>3865</v>
      </c>
      <c r="E422" s="9" t="s">
        <v>2576</v>
      </c>
      <c r="F422"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22" s="9" t="s">
        <v>1063</v>
      </c>
      <c r="H422" s="9" t="s">
        <v>2577</v>
      </c>
      <c r="I422" s="12" t="str">
        <f>RIGHT(LEFT(Table4[[#This Row],[Latest Senate Action]],FIND(" Congress",Table4[[#This Row],[Latest Senate Action]])-1),LEN(LEFT(Table4[[#This Row],[Latest Senate Action]],FIND(" Congress",Table4[[#This Row],[Latest Senate Action]])-1))-FIND("-",Table4[[#This Row],[Latest Senate Action]])-1)</f>
        <v>101st</v>
      </c>
      <c r="J422" s="12" t="str">
        <f>RIGHT(Table4[[#This Row],[Latest Senate Action]],LEN(Table4[[#This Row],[Latest Senate Action]])-FIND(") - ",Table4[[#This Row],[Latest Senate Action]])-3)</f>
        <v xml:space="preserve">Resolution of advice and consent to ratification agreed to in Senate by Yea-Nay Vote. 99 - 0. Record Vote Number: 242. (All Actions) </v>
      </c>
      <c r="K422" s="12" t="str">
        <f>INDEX(Table5[type],MATCH(Table4[[#This Row],[Action]],Table5[Action],0))</f>
        <v>Passed</v>
      </c>
      <c r="L422" s="22" t="b">
        <f>INDEX(Table1[Senate and President Same Party, House and President Different Party],MATCH(Table4[[#This Row],[Congress Acting]],Table1[Congress],0))</f>
        <v>0</v>
      </c>
    </row>
    <row r="423" spans="1:12" ht="157.5">
      <c r="A423" s="9" t="s">
        <v>645</v>
      </c>
      <c r="B423" t="s">
        <v>2578</v>
      </c>
      <c r="C423" s="9" t="s">
        <v>2579</v>
      </c>
      <c r="D423" s="13" t="s">
        <v>3866</v>
      </c>
      <c r="E423" s="9" t="s">
        <v>2580</v>
      </c>
      <c r="F423"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23" s="9" t="s">
        <v>1063</v>
      </c>
      <c r="H423" s="9" t="s">
        <v>2581</v>
      </c>
      <c r="I423" s="12" t="str">
        <f>RIGHT(LEFT(Table4[[#This Row],[Latest Senate Action]],FIND(" Congress",Table4[[#This Row],[Latest Senate Action]])-1),LEN(LEFT(Table4[[#This Row],[Latest Senate Action]],FIND(" Congress",Table4[[#This Row],[Latest Senate Action]])-1))-FIND("-",Table4[[#This Row],[Latest Senate Action]])-1)</f>
        <v>101st</v>
      </c>
      <c r="J423" s="12" t="str">
        <f>RIGHT(Table4[[#This Row],[Latest Senate Action]],LEN(Table4[[#This Row],[Latest Senate Action]])-FIND(") - ",Table4[[#This Row],[Latest Senate Action]])-3)</f>
        <v xml:space="preserve">Resolution of advice and consent to ratification agreed to in Senate by Yea-Nay Vote. 99 - 0. Record Vote Number: 237. (All Actions) </v>
      </c>
      <c r="K423" s="12" t="str">
        <f>INDEX(Table5[type],MATCH(Table4[[#This Row],[Action]],Table5[Action],0))</f>
        <v>Passed</v>
      </c>
      <c r="L423" s="22" t="b">
        <f>INDEX(Table1[Senate and President Same Party, House and President Different Party],MATCH(Table4[[#This Row],[Congress Acting]],Table1[Congress],0))</f>
        <v>0</v>
      </c>
    </row>
    <row r="424" spans="1:12" ht="157.5">
      <c r="A424" s="9" t="s">
        <v>646</v>
      </c>
      <c r="B424" t="s">
        <v>2582</v>
      </c>
      <c r="C424" s="9" t="s">
        <v>2583</v>
      </c>
      <c r="D424" s="13" t="s">
        <v>3925</v>
      </c>
      <c r="E424" s="9" t="s">
        <v>2584</v>
      </c>
      <c r="F424"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24" s="9" t="s">
        <v>1853</v>
      </c>
      <c r="H424" s="9" t="s">
        <v>2585</v>
      </c>
      <c r="I424" s="12" t="str">
        <f>RIGHT(LEFT(Table4[[#This Row],[Latest Senate Action]],FIND(" Congress",Table4[[#This Row],[Latest Senate Action]])-1),LEN(LEFT(Table4[[#This Row],[Latest Senate Action]],FIND(" Congress",Table4[[#This Row],[Latest Senate Action]])-1))-FIND("-",Table4[[#This Row],[Latest Senate Action]])-1)</f>
        <v>101st</v>
      </c>
      <c r="J424" s="12" t="str">
        <f>RIGHT(Table4[[#This Row],[Latest Senate Action]],LEN(Table4[[#This Row],[Latest Senate Action]])-FIND(") - ",Table4[[#This Row],[Latest Senate Action]])-3)</f>
        <v xml:space="preserve">Resolution of advice and consent to ratification agreed to in Senate by Yea-Nay Vote. 94 - 0. Record Vote Number: 14. (All Actions) </v>
      </c>
      <c r="K424" s="12" t="str">
        <f>INDEX(Table5[type],MATCH(Table4[[#This Row],[Action]],Table5[Action],0))</f>
        <v>Passed</v>
      </c>
      <c r="L424" s="22" t="b">
        <f>INDEX(Table1[Senate and President Same Party, House and President Different Party],MATCH(Table4[[#This Row],[Congress Acting]],Table1[Congress],0))</f>
        <v>0</v>
      </c>
    </row>
    <row r="425" spans="1:12" ht="189">
      <c r="A425" s="9" t="s">
        <v>647</v>
      </c>
      <c r="B425" t="s">
        <v>2586</v>
      </c>
      <c r="C425" s="9" t="s">
        <v>2587</v>
      </c>
      <c r="D425" s="13" t="s">
        <v>3926</v>
      </c>
      <c r="E425" s="9" t="s">
        <v>2584</v>
      </c>
      <c r="F425"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25" s="9" t="s">
        <v>1200</v>
      </c>
      <c r="H425" s="9" t="s">
        <v>2588</v>
      </c>
      <c r="I425" s="12" t="str">
        <f>RIGHT(LEFT(Table4[[#This Row],[Latest Senate Action]],FIND(" Congress",Table4[[#This Row],[Latest Senate Action]])-1),LEN(LEFT(Table4[[#This Row],[Latest Senate Action]],FIND(" Congress",Table4[[#This Row],[Latest Senate Action]])-1))-FIND("-",Table4[[#This Row],[Latest Senate Action]])-1)</f>
        <v>101st</v>
      </c>
      <c r="J425" s="12" t="str">
        <f>RIGHT(Table4[[#This Row],[Latest Senate Action]],LEN(Table4[[#This Row],[Latest Senate Action]])-FIND(") - ",Table4[[#This Row],[Latest Senate Action]])-3)</f>
        <v xml:space="preserve">Resolution of advice and consent to ratification agreed to in Senate by Division Vote. (All Actions) </v>
      </c>
      <c r="K425" s="12" t="str">
        <f>INDEX(Table5[type],MATCH(Table4[[#This Row],[Action]],Table5[Action],0))</f>
        <v>Passed</v>
      </c>
      <c r="L425" s="22" t="b">
        <f>INDEX(Table1[Senate and President Same Party, House and President Different Party],MATCH(Table4[[#This Row],[Congress Acting]],Table1[Congress],0))</f>
        <v>0</v>
      </c>
    </row>
    <row r="426" spans="1:12" ht="189">
      <c r="A426" s="9" t="s">
        <v>648</v>
      </c>
      <c r="B426" t="s">
        <v>2589</v>
      </c>
      <c r="C426" s="9" t="s">
        <v>2590</v>
      </c>
      <c r="D426" s="13" t="s">
        <v>3927</v>
      </c>
      <c r="E426" s="9" t="s">
        <v>2591</v>
      </c>
      <c r="F426" t="str">
        <f>RIGHT(LEFT(Table4[[#This Row],[Date Received from President]],FIND(" Congress",Table4[[#This Row],[Date Received from President]])-1),LEN(LEFT(Table4[[#This Row],[Date Received from President]],FIND(" Congress",Table4[[#This Row],[Date Received from President]])-1))-FIND("-",Table4[[#This Row],[Date Received from President]])-1)</f>
        <v>101st</v>
      </c>
      <c r="G426" s="9" t="s">
        <v>1013</v>
      </c>
      <c r="H426" s="9" t="s">
        <v>2592</v>
      </c>
      <c r="I426" s="12" t="str">
        <f>RIGHT(LEFT(Table4[[#This Row],[Latest Senate Action]],FIND(" Congress",Table4[[#This Row],[Latest Senate Action]])-1),LEN(LEFT(Table4[[#This Row],[Latest Senate Action]],FIND(" Congress",Table4[[#This Row],[Latest Senate Action]])-1))-FIND("-",Table4[[#This Row],[Latest Senate Action]])-1)</f>
        <v>101st</v>
      </c>
      <c r="J426" s="12" t="str">
        <f>RIGHT(Table4[[#This Row],[Latest Senate Action]],LEN(Table4[[#This Row],[Latest Senate Action]])-FIND(") - ",Table4[[#This Row],[Latest Senate Action]])-3)</f>
        <v xml:space="preserve">Resolution of advice and consent to ratification agreed to in Senate with understandings by Division Vote. (All Actions) </v>
      </c>
      <c r="K426" s="12" t="str">
        <f>INDEX(Table5[type],MATCH(Table4[[#This Row],[Action]],Table5[Action],0))</f>
        <v>Passed</v>
      </c>
      <c r="L426" s="22" t="b">
        <f>INDEX(Table1[Senate and President Same Party, House and President Different Party],MATCH(Table4[[#This Row],[Congress Acting]],Table1[Congress],0))</f>
        <v>0</v>
      </c>
    </row>
    <row r="427" spans="1:12" ht="173.25">
      <c r="A427" s="9" t="s">
        <v>649</v>
      </c>
      <c r="B427" t="s">
        <v>2593</v>
      </c>
      <c r="C427" s="9" t="s">
        <v>2594</v>
      </c>
      <c r="D427" s="13" t="s">
        <v>3867</v>
      </c>
      <c r="E427" s="9" t="s">
        <v>2537</v>
      </c>
      <c r="F427"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27" s="9" t="s">
        <v>1456</v>
      </c>
      <c r="H427" s="9" t="s">
        <v>2588</v>
      </c>
      <c r="I427" s="12" t="str">
        <f>RIGHT(LEFT(Table4[[#This Row],[Latest Senate Action]],FIND(" Congress",Table4[[#This Row],[Latest Senate Action]])-1),LEN(LEFT(Table4[[#This Row],[Latest Senate Action]],FIND(" Congress",Table4[[#This Row],[Latest Senate Action]])-1))-FIND("-",Table4[[#This Row],[Latest Senate Action]])-1)</f>
        <v>101st</v>
      </c>
      <c r="J427" s="12" t="str">
        <f>RIGHT(Table4[[#This Row],[Latest Senate Action]],LEN(Table4[[#This Row],[Latest Senate Action]])-FIND(") - ",Table4[[#This Row],[Latest Senate Action]])-3)</f>
        <v xml:space="preserve">Resolution of advice and consent to ratification agreed to in Senate by Division Vote. (All Actions) </v>
      </c>
      <c r="K427" s="12" t="str">
        <f>INDEX(Table5[type],MATCH(Table4[[#This Row],[Action]],Table5[Action],0))</f>
        <v>Passed</v>
      </c>
      <c r="L427" s="22" t="b">
        <f>INDEX(Table1[Senate and President Same Party, House and President Different Party],MATCH(Table4[[#This Row],[Congress Acting]],Table1[Congress],0))</f>
        <v>0</v>
      </c>
    </row>
    <row r="428" spans="1:12" ht="204.75">
      <c r="A428" s="9" t="s">
        <v>650</v>
      </c>
      <c r="B428" t="s">
        <v>2595</v>
      </c>
      <c r="C428" s="9" t="s">
        <v>2596</v>
      </c>
      <c r="D428" s="13" t="s">
        <v>3928</v>
      </c>
      <c r="E428" s="9" t="s">
        <v>2597</v>
      </c>
      <c r="F428"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28" s="9" t="s">
        <v>1013</v>
      </c>
      <c r="H428" s="9" t="s">
        <v>2598</v>
      </c>
      <c r="I428" s="12" t="str">
        <f>RIGHT(LEFT(Table4[[#This Row],[Latest Senate Action]],FIND(" Congress",Table4[[#This Row],[Latest Senate Action]])-1),LEN(LEFT(Table4[[#This Row],[Latest Senate Action]],FIND(" Congress",Table4[[#This Row],[Latest Senate Action]])-1))-FIND("-",Table4[[#This Row],[Latest Senate Action]])-1)</f>
        <v>101st</v>
      </c>
      <c r="J428" s="12" t="str">
        <f>RIGHT(Table4[[#This Row],[Latest Senate Action]],LEN(Table4[[#This Row],[Latest Senate Action]])-FIND(") - ",Table4[[#This Row],[Latest Senate Action]])-3)</f>
        <v xml:space="preserve">Resolution of advice and consent to ratification agreed to in Senate by Yea-Nay Vote. 99 - 0. Record Vote Number: 265. (All Actions) </v>
      </c>
      <c r="K428" s="12" t="str">
        <f>INDEX(Table5[type],MATCH(Table4[[#This Row],[Action]],Table5[Action],0))</f>
        <v>Passed</v>
      </c>
      <c r="L428" s="22" t="b">
        <f>INDEX(Table1[Senate and President Same Party, House and President Different Party],MATCH(Table4[[#This Row],[Congress Acting]],Table1[Congress],0))</f>
        <v>0</v>
      </c>
    </row>
    <row r="429" spans="1:12" ht="173.25">
      <c r="A429" s="9" t="s">
        <v>651</v>
      </c>
      <c r="B429" t="s">
        <v>2599</v>
      </c>
      <c r="C429" s="9" t="s">
        <v>2600</v>
      </c>
      <c r="D429" s="13" t="s">
        <v>3868</v>
      </c>
      <c r="E429" s="9" t="s">
        <v>2601</v>
      </c>
      <c r="F429"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29" s="9" t="s">
        <v>1013</v>
      </c>
      <c r="H429" s="9" t="s">
        <v>2602</v>
      </c>
      <c r="I429" s="12" t="str">
        <f>RIGHT(LEFT(Table4[[#This Row],[Latest Senate Action]],FIND(" Congress",Table4[[#This Row],[Latest Senate Action]])-1),LEN(LEFT(Table4[[#This Row],[Latest Senate Action]],FIND(" Congress",Table4[[#This Row],[Latest Senate Action]])-1))-FIND("-",Table4[[#This Row],[Latest Senate Action]])-1)</f>
        <v>101st</v>
      </c>
      <c r="J429" s="12" t="str">
        <f>RIGHT(Table4[[#This Row],[Latest Senate Action]],LEN(Table4[[#This Row],[Latest Senate Action]])-FIND(") - ",Table4[[#This Row],[Latest Senate Action]])-3)</f>
        <v xml:space="preserve">Resolution of advice and consent to ratification agreed to in Senate by Yea-Nay Vote. 99 - 0. Record Vote Number: 266. (All Actions) </v>
      </c>
      <c r="K429" s="12" t="str">
        <f>INDEX(Table5[type],MATCH(Table4[[#This Row],[Action]],Table5[Action],0))</f>
        <v>Passed</v>
      </c>
      <c r="L429" s="22" t="b">
        <f>INDEX(Table1[Senate and President Same Party, House and President Different Party],MATCH(Table4[[#This Row],[Congress Acting]],Table1[Congress],0))</f>
        <v>0</v>
      </c>
    </row>
    <row r="430" spans="1:12" ht="173.25">
      <c r="A430" s="9" t="s">
        <v>652</v>
      </c>
      <c r="B430" t="s">
        <v>2603</v>
      </c>
      <c r="C430" s="9" t="s">
        <v>2604</v>
      </c>
      <c r="D430" s="13" t="s">
        <v>3869</v>
      </c>
      <c r="E430" s="9" t="s">
        <v>2605</v>
      </c>
      <c r="F430"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0" s="9" t="s">
        <v>1013</v>
      </c>
      <c r="H430" s="9" t="s">
        <v>2606</v>
      </c>
      <c r="I430" s="12" t="str">
        <f>RIGHT(LEFT(Table4[[#This Row],[Latest Senate Action]],FIND(" Congress",Table4[[#This Row],[Latest Senate Action]])-1),LEN(LEFT(Table4[[#This Row],[Latest Senate Action]],FIND(" Congress",Table4[[#This Row],[Latest Senate Action]])-1))-FIND("-",Table4[[#This Row],[Latest Senate Action]])-1)</f>
        <v>101st</v>
      </c>
      <c r="J430" s="12" t="str">
        <f>RIGHT(Table4[[#This Row],[Latest Senate Action]],LEN(Table4[[#This Row],[Latest Senate Action]])-FIND(") - ",Table4[[#This Row],[Latest Senate Action]])-3)</f>
        <v xml:space="preserve">Resolution of advice and consent to ratification agreed to in Senate with amendments by Yea-Nay Vote. 99 - 0. Record Vote Number: 267. (All Actions) </v>
      </c>
      <c r="K430" s="12" t="str">
        <f>INDEX(Table5[type],MATCH(Table4[[#This Row],[Action]],Table5[Action],0))</f>
        <v>Passed</v>
      </c>
      <c r="L430" s="22" t="b">
        <f>INDEX(Table1[Senate and President Same Party, House and President Different Party],MATCH(Table4[[#This Row],[Congress Acting]],Table1[Congress],0))</f>
        <v>0</v>
      </c>
    </row>
    <row r="431" spans="1:12" ht="173.25">
      <c r="A431" s="9" t="s">
        <v>653</v>
      </c>
      <c r="B431" t="s">
        <v>2607</v>
      </c>
      <c r="C431" s="9" t="s">
        <v>2608</v>
      </c>
      <c r="D431" s="13" t="s">
        <v>3870</v>
      </c>
      <c r="E431" s="9" t="s">
        <v>2609</v>
      </c>
      <c r="F431"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1" s="9" t="s">
        <v>1013</v>
      </c>
      <c r="H431" s="9" t="s">
        <v>2610</v>
      </c>
      <c r="I431" s="12" t="str">
        <f>RIGHT(LEFT(Table4[[#This Row],[Latest Senate Action]],FIND(" Congress",Table4[[#This Row],[Latest Senate Action]])-1),LEN(LEFT(Table4[[#This Row],[Latest Senate Action]],FIND(" Congress",Table4[[#This Row],[Latest Senate Action]])-1))-FIND("-",Table4[[#This Row],[Latest Senate Action]])-1)</f>
        <v>101st</v>
      </c>
      <c r="J431" s="12" t="str">
        <f>RIGHT(Table4[[#This Row],[Latest Senate Action]],LEN(Table4[[#This Row],[Latest Senate Action]])-FIND(") - ",Table4[[#This Row],[Latest Senate Action]])-3)</f>
        <v xml:space="preserve">Resolution of advice and consent to ratification agreed to in Senate with amendments by Yea-Nay Vote. 99 - 0. Record Vote Number: 268. (All Actions) </v>
      </c>
      <c r="K431" s="12" t="str">
        <f>INDEX(Table5[type],MATCH(Table4[[#This Row],[Action]],Table5[Action],0))</f>
        <v>Passed</v>
      </c>
      <c r="L431" s="22" t="b">
        <f>INDEX(Table1[Senate and President Same Party, House and President Different Party],MATCH(Table4[[#This Row],[Congress Acting]],Table1[Congress],0))</f>
        <v>0</v>
      </c>
    </row>
    <row r="432" spans="1:12" ht="173.25">
      <c r="A432" s="9" t="s">
        <v>654</v>
      </c>
      <c r="B432" t="s">
        <v>2611</v>
      </c>
      <c r="C432" s="9" t="s">
        <v>2612</v>
      </c>
      <c r="D432" s="13" t="s">
        <v>3871</v>
      </c>
      <c r="E432" s="9" t="s">
        <v>2613</v>
      </c>
      <c r="F432"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2" s="9" t="s">
        <v>1013</v>
      </c>
      <c r="H432" s="9" t="s">
        <v>2614</v>
      </c>
      <c r="I432" s="12" t="str">
        <f>RIGHT(LEFT(Table4[[#This Row],[Latest Senate Action]],FIND(" Congress",Table4[[#This Row],[Latest Senate Action]])-1),LEN(LEFT(Table4[[#This Row],[Latest Senate Action]],FIND(" Congress",Table4[[#This Row],[Latest Senate Action]])-1))-FIND("-",Table4[[#This Row],[Latest Senate Action]])-1)</f>
        <v>101st</v>
      </c>
      <c r="J432" s="12" t="str">
        <f>RIGHT(Table4[[#This Row],[Latest Senate Action]],LEN(Table4[[#This Row],[Latest Senate Action]])-FIND(") - ",Table4[[#This Row],[Latest Senate Action]])-3)</f>
        <v xml:space="preserve">Resolution of advice and consent to ratification agreed to in Senate with amendments by Yea-Nay Vote. 99 - 0. Record Vote Number: 269. (All Actions) </v>
      </c>
      <c r="K432" s="12" t="str">
        <f>INDEX(Table5[type],MATCH(Table4[[#This Row],[Action]],Table5[Action],0))</f>
        <v>Passed</v>
      </c>
      <c r="L432" s="22" t="b">
        <f>INDEX(Table1[Senate and President Same Party, House and President Different Party],MATCH(Table4[[#This Row],[Congress Acting]],Table1[Congress],0))</f>
        <v>0</v>
      </c>
    </row>
    <row r="433" spans="1:12" ht="173.25">
      <c r="A433" s="9" t="s">
        <v>655</v>
      </c>
      <c r="B433" t="s">
        <v>2615</v>
      </c>
      <c r="C433" s="9" t="s">
        <v>2616</v>
      </c>
      <c r="D433" s="13" t="s">
        <v>3872</v>
      </c>
      <c r="E433" s="9" t="s">
        <v>2617</v>
      </c>
      <c r="F433"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3" s="9" t="s">
        <v>1013</v>
      </c>
      <c r="H433" s="9" t="s">
        <v>2618</v>
      </c>
      <c r="I433" s="12" t="str">
        <f>RIGHT(LEFT(Table4[[#This Row],[Latest Senate Action]],FIND(" Congress",Table4[[#This Row],[Latest Senate Action]])-1),LEN(LEFT(Table4[[#This Row],[Latest Senate Action]],FIND(" Congress",Table4[[#This Row],[Latest Senate Action]])-1))-FIND("-",Table4[[#This Row],[Latest Senate Action]])-1)</f>
        <v>101st</v>
      </c>
      <c r="J433" s="12" t="str">
        <f>RIGHT(Table4[[#This Row],[Latest Senate Action]],LEN(Table4[[#This Row],[Latest Senate Action]])-FIND(") - ",Table4[[#This Row],[Latest Senate Action]])-3)</f>
        <v xml:space="preserve">Resolution of advice and consent to ratification agreed to in Senate with amendments by Yea-Nay Vote. 99 - 0. Record Vote Number: 270. (All Actions) </v>
      </c>
      <c r="K433" s="12" t="str">
        <f>INDEX(Table5[type],MATCH(Table4[[#This Row],[Action]],Table5[Action],0))</f>
        <v>Passed</v>
      </c>
      <c r="L433" s="22" t="b">
        <f>INDEX(Table1[Senate and President Same Party, House and President Different Party],MATCH(Table4[[#This Row],[Congress Acting]],Table1[Congress],0))</f>
        <v>0</v>
      </c>
    </row>
    <row r="434" spans="1:12" ht="157.5">
      <c r="A434" s="9" t="s">
        <v>656</v>
      </c>
      <c r="B434" t="s">
        <v>2619</v>
      </c>
      <c r="C434" s="9" t="s">
        <v>2620</v>
      </c>
      <c r="D434" s="13" t="s">
        <v>3873</v>
      </c>
      <c r="E434" s="9" t="s">
        <v>2621</v>
      </c>
      <c r="F434"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4" s="9" t="s">
        <v>1063</v>
      </c>
      <c r="H434" s="9" t="s">
        <v>2622</v>
      </c>
      <c r="I434" s="12" t="str">
        <f>RIGHT(LEFT(Table4[[#This Row],[Latest Senate Action]],FIND(" Congress",Table4[[#This Row],[Latest Senate Action]])-1),LEN(LEFT(Table4[[#This Row],[Latest Senate Action]],FIND(" Congress",Table4[[#This Row],[Latest Senate Action]])-1))-FIND("-",Table4[[#This Row],[Latest Senate Action]])-1)</f>
        <v>100th</v>
      </c>
      <c r="J434" s="12" t="str">
        <f>RIGHT(Table4[[#This Row],[Latest Senate Action]],LEN(Table4[[#This Row],[Latest Senate Action]])-FIND(") - ",Table4[[#This Row],[Latest Senate Action]])-3)</f>
        <v xml:space="preserve">Resolution of advice and consent to ratification agreed to in Senate by Division Vote. (All Actions) </v>
      </c>
      <c r="K434" s="12" t="str">
        <f>INDEX(Table5[type],MATCH(Table4[[#This Row],[Action]],Table5[Action],0))</f>
        <v>Passed</v>
      </c>
      <c r="L434" s="22" t="b">
        <f>INDEX(Table1[Senate and President Same Party, House and President Different Party],MATCH(Table4[[#This Row],[Congress Acting]],Table1[Congress],0))</f>
        <v>0</v>
      </c>
    </row>
    <row r="435" spans="1:12" ht="141.75">
      <c r="A435" s="9" t="s">
        <v>657</v>
      </c>
      <c r="B435" t="s">
        <v>2623</v>
      </c>
      <c r="C435" s="9" t="s">
        <v>2624</v>
      </c>
      <c r="D435" s="13" t="s">
        <v>3929</v>
      </c>
      <c r="E435" s="9" t="s">
        <v>2625</v>
      </c>
      <c r="F435"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35" s="9" t="s">
        <v>1063</v>
      </c>
      <c r="H435" s="9" t="s">
        <v>2622</v>
      </c>
      <c r="I435" s="12" t="str">
        <f>RIGHT(LEFT(Table4[[#This Row],[Latest Senate Action]],FIND(" Congress",Table4[[#This Row],[Latest Senate Action]])-1),LEN(LEFT(Table4[[#This Row],[Latest Senate Action]],FIND(" Congress",Table4[[#This Row],[Latest Senate Action]])-1))-FIND("-",Table4[[#This Row],[Latest Senate Action]])-1)</f>
        <v>100th</v>
      </c>
      <c r="J435" s="12" t="str">
        <f>RIGHT(Table4[[#This Row],[Latest Senate Action]],LEN(Table4[[#This Row],[Latest Senate Action]])-FIND(") - ",Table4[[#This Row],[Latest Senate Action]])-3)</f>
        <v xml:space="preserve">Resolution of advice and consent to ratification agreed to in Senate by Division Vote. (All Actions) </v>
      </c>
      <c r="K435" s="12" t="str">
        <f>INDEX(Table5[type],MATCH(Table4[[#This Row],[Action]],Table5[Action],0))</f>
        <v>Passed</v>
      </c>
      <c r="L435" s="22" t="b">
        <f>INDEX(Table1[Senate and President Same Party, House and President Different Party],MATCH(Table4[[#This Row],[Congress Acting]],Table1[Congress],0))</f>
        <v>0</v>
      </c>
    </row>
    <row r="436" spans="1:12" ht="141.75">
      <c r="A436" s="9" t="s">
        <v>658</v>
      </c>
      <c r="B436" t="s">
        <v>2626</v>
      </c>
      <c r="C436" s="9" t="s">
        <v>2627</v>
      </c>
      <c r="D436" s="13" t="s">
        <v>3874</v>
      </c>
      <c r="E436" s="9" t="s">
        <v>2628</v>
      </c>
      <c r="F436"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36" s="9" t="s">
        <v>1063</v>
      </c>
      <c r="H436" s="9" t="s">
        <v>2629</v>
      </c>
      <c r="I436" s="12" t="str">
        <f>RIGHT(LEFT(Table4[[#This Row],[Latest Senate Action]],FIND(" Congress",Table4[[#This Row],[Latest Senate Action]])-1),LEN(LEFT(Table4[[#This Row],[Latest Senate Action]],FIND(" Congress",Table4[[#This Row],[Latest Senate Action]])-1))-FIND("-",Table4[[#This Row],[Latest Senate Action]])-1)</f>
        <v>100th</v>
      </c>
      <c r="J436" s="12" t="str">
        <f>RIGHT(Table4[[#This Row],[Latest Senate Action]],LEN(Table4[[#This Row],[Latest Senate Action]])-FIND(") - ",Table4[[#This Row],[Latest Senate Action]])-3)</f>
        <v xml:space="preserve">Resolution of advice and consent to ratification agreed to in Senate by Division Vote. (All Actions) </v>
      </c>
      <c r="K436" s="12" t="str">
        <f>INDEX(Table5[type],MATCH(Table4[[#This Row],[Action]],Table5[Action],0))</f>
        <v>Passed</v>
      </c>
      <c r="L436" s="22" t="b">
        <f>INDEX(Table1[Senate and President Same Party, House and President Different Party],MATCH(Table4[[#This Row],[Congress Acting]],Table1[Congress],0))</f>
        <v>0</v>
      </c>
    </row>
    <row r="437" spans="1:12" ht="141.75">
      <c r="A437" s="9" t="s">
        <v>659</v>
      </c>
      <c r="B437" t="s">
        <v>2630</v>
      </c>
      <c r="C437" s="9" t="s">
        <v>2631</v>
      </c>
      <c r="D437" s="13" t="s">
        <v>3930</v>
      </c>
      <c r="E437" s="9" t="s">
        <v>1809</v>
      </c>
      <c r="F437"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37" s="9" t="s">
        <v>1052</v>
      </c>
      <c r="H437" s="9" t="s">
        <v>2632</v>
      </c>
      <c r="I437" s="12" t="str">
        <f>RIGHT(LEFT(Table4[[#This Row],[Latest Senate Action]],FIND(" Congress",Table4[[#This Row],[Latest Senate Action]])-1),LEN(LEFT(Table4[[#This Row],[Latest Senate Action]],FIND(" Congress",Table4[[#This Row],[Latest Senate Action]])-1))-FIND("-",Table4[[#This Row],[Latest Senate Action]])-1)</f>
        <v>100th</v>
      </c>
      <c r="J437" s="12" t="str">
        <f>RIGHT(Table4[[#This Row],[Latest Senate Action]],LEN(Table4[[#This Row],[Latest Senate Action]])-FIND(") - ",Table4[[#This Row],[Latest Senate Action]])-3)</f>
        <v xml:space="preserve">Resolution of advice and consent to ratification agreed to in Senate by Division Vote. (All Actions) </v>
      </c>
      <c r="K437" s="12" t="str">
        <f>INDEX(Table5[type],MATCH(Table4[[#This Row],[Action]],Table5[Action],0))</f>
        <v>Passed</v>
      </c>
      <c r="L437" s="22" t="b">
        <f>INDEX(Table1[Senate and President Same Party, House and President Different Party],MATCH(Table4[[#This Row],[Congress Acting]],Table1[Congress],0))</f>
        <v>0</v>
      </c>
    </row>
    <row r="438" spans="1:12" ht="141.75">
      <c r="A438" s="9" t="s">
        <v>660</v>
      </c>
      <c r="B438" t="s">
        <v>2633</v>
      </c>
      <c r="C438" s="9" t="s">
        <v>2634</v>
      </c>
      <c r="D438" s="13" t="s">
        <v>3931</v>
      </c>
      <c r="E438" s="9" t="s">
        <v>1809</v>
      </c>
      <c r="F438"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38" s="9" t="s">
        <v>1052</v>
      </c>
      <c r="H438" s="9" t="s">
        <v>2632</v>
      </c>
      <c r="I438" s="12" t="str">
        <f>RIGHT(LEFT(Table4[[#This Row],[Latest Senate Action]],FIND(" Congress",Table4[[#This Row],[Latest Senate Action]])-1),LEN(LEFT(Table4[[#This Row],[Latest Senate Action]],FIND(" Congress",Table4[[#This Row],[Latest Senate Action]])-1))-FIND("-",Table4[[#This Row],[Latest Senate Action]])-1)</f>
        <v>100th</v>
      </c>
      <c r="J438" s="12" t="str">
        <f>RIGHT(Table4[[#This Row],[Latest Senate Action]],LEN(Table4[[#This Row],[Latest Senate Action]])-FIND(") - ",Table4[[#This Row],[Latest Senate Action]])-3)</f>
        <v xml:space="preserve">Resolution of advice and consent to ratification agreed to in Senate by Division Vote. (All Actions) </v>
      </c>
      <c r="K438" s="12" t="str">
        <f>INDEX(Table5[type],MATCH(Table4[[#This Row],[Action]],Table5[Action],0))</f>
        <v>Passed</v>
      </c>
      <c r="L438" s="22" t="b">
        <f>INDEX(Table1[Senate and President Same Party, House and President Different Party],MATCH(Table4[[#This Row],[Congress Acting]],Table1[Congress],0))</f>
        <v>0</v>
      </c>
    </row>
    <row r="439" spans="1:12" ht="141.75">
      <c r="A439" s="9" t="s">
        <v>661</v>
      </c>
      <c r="B439" t="s">
        <v>2635</v>
      </c>
      <c r="C439" s="9" t="s">
        <v>2636</v>
      </c>
      <c r="D439" s="13" t="s">
        <v>3932</v>
      </c>
      <c r="E439" s="9" t="s">
        <v>1809</v>
      </c>
      <c r="F439"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39" s="9" t="s">
        <v>1052</v>
      </c>
      <c r="H439" s="9" t="s">
        <v>2632</v>
      </c>
      <c r="I439" s="12" t="str">
        <f>RIGHT(LEFT(Table4[[#This Row],[Latest Senate Action]],FIND(" Congress",Table4[[#This Row],[Latest Senate Action]])-1),LEN(LEFT(Table4[[#This Row],[Latest Senate Action]],FIND(" Congress",Table4[[#This Row],[Latest Senate Action]])-1))-FIND("-",Table4[[#This Row],[Latest Senate Action]])-1)</f>
        <v>100th</v>
      </c>
      <c r="J439" s="12" t="str">
        <f>RIGHT(Table4[[#This Row],[Latest Senate Action]],LEN(Table4[[#This Row],[Latest Senate Action]])-FIND(") - ",Table4[[#This Row],[Latest Senate Action]])-3)</f>
        <v xml:space="preserve">Resolution of advice and consent to ratification agreed to in Senate by Division Vote. (All Actions) </v>
      </c>
      <c r="K439" s="12" t="str">
        <f>INDEX(Table5[type],MATCH(Table4[[#This Row],[Action]],Table5[Action],0))</f>
        <v>Passed</v>
      </c>
      <c r="L439" s="22" t="b">
        <f>INDEX(Table1[Senate and President Same Party, House and President Different Party],MATCH(Table4[[#This Row],[Congress Acting]],Table1[Congress],0))</f>
        <v>0</v>
      </c>
    </row>
    <row r="440" spans="1:12" ht="141.75">
      <c r="A440" s="9" t="s">
        <v>662</v>
      </c>
      <c r="B440" t="s">
        <v>2637</v>
      </c>
      <c r="C440" s="9" t="s">
        <v>2638</v>
      </c>
      <c r="D440" s="13" t="s">
        <v>3933</v>
      </c>
      <c r="E440" s="9" t="s">
        <v>1809</v>
      </c>
      <c r="F440"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0" s="9" t="s">
        <v>1052</v>
      </c>
      <c r="H440" s="9" t="s">
        <v>2632</v>
      </c>
      <c r="I440" s="12" t="str">
        <f>RIGHT(LEFT(Table4[[#This Row],[Latest Senate Action]],FIND(" Congress",Table4[[#This Row],[Latest Senate Action]])-1),LEN(LEFT(Table4[[#This Row],[Latest Senate Action]],FIND(" Congress",Table4[[#This Row],[Latest Senate Action]])-1))-FIND("-",Table4[[#This Row],[Latest Senate Action]])-1)</f>
        <v>100th</v>
      </c>
      <c r="J440" s="12" t="str">
        <f>RIGHT(Table4[[#This Row],[Latest Senate Action]],LEN(Table4[[#This Row],[Latest Senate Action]])-FIND(") - ",Table4[[#This Row],[Latest Senate Action]])-3)</f>
        <v xml:space="preserve">Resolution of advice and consent to ratification agreed to in Senate by Division Vote. (All Actions) </v>
      </c>
      <c r="K440" s="12" t="str">
        <f>INDEX(Table5[type],MATCH(Table4[[#This Row],[Action]],Table5[Action],0))</f>
        <v>Passed</v>
      </c>
      <c r="L440" s="22" t="b">
        <f>INDEX(Table1[Senate and President Same Party, House and President Different Party],MATCH(Table4[[#This Row],[Congress Acting]],Table1[Congress],0))</f>
        <v>0</v>
      </c>
    </row>
    <row r="441" spans="1:12" ht="141.75">
      <c r="A441" s="9" t="s">
        <v>663</v>
      </c>
      <c r="B441" t="s">
        <v>2639</v>
      </c>
      <c r="C441" s="9" t="s">
        <v>2640</v>
      </c>
      <c r="D441" s="13" t="s">
        <v>3934</v>
      </c>
      <c r="E441" s="9" t="s">
        <v>2641</v>
      </c>
      <c r="F441"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1" s="9" t="s">
        <v>1052</v>
      </c>
      <c r="H441" s="9" t="s">
        <v>2632</v>
      </c>
      <c r="I441" s="12" t="str">
        <f>RIGHT(LEFT(Table4[[#This Row],[Latest Senate Action]],FIND(" Congress",Table4[[#This Row],[Latest Senate Action]])-1),LEN(LEFT(Table4[[#This Row],[Latest Senate Action]],FIND(" Congress",Table4[[#This Row],[Latest Senate Action]])-1))-FIND("-",Table4[[#This Row],[Latest Senate Action]])-1)</f>
        <v>100th</v>
      </c>
      <c r="J441" s="12" t="str">
        <f>RIGHT(Table4[[#This Row],[Latest Senate Action]],LEN(Table4[[#This Row],[Latest Senate Action]])-FIND(") - ",Table4[[#This Row],[Latest Senate Action]])-3)</f>
        <v xml:space="preserve">Resolution of advice and consent to ratification agreed to in Senate by Division Vote. (All Actions) </v>
      </c>
      <c r="K441" s="12" t="str">
        <f>INDEX(Table5[type],MATCH(Table4[[#This Row],[Action]],Table5[Action],0))</f>
        <v>Passed</v>
      </c>
      <c r="L441" s="22" t="b">
        <f>INDEX(Table1[Senate and President Same Party, House and President Different Party],MATCH(Table4[[#This Row],[Congress Acting]],Table1[Congress],0))</f>
        <v>0</v>
      </c>
    </row>
    <row r="442" spans="1:12" ht="141.75">
      <c r="A442" s="9" t="s">
        <v>664</v>
      </c>
      <c r="B442" t="s">
        <v>2642</v>
      </c>
      <c r="C442" s="9" t="s">
        <v>2643</v>
      </c>
      <c r="D442" s="13" t="s">
        <v>3935</v>
      </c>
      <c r="E442" s="9" t="s">
        <v>2644</v>
      </c>
      <c r="F442"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2" s="9" t="s">
        <v>1052</v>
      </c>
      <c r="H442" s="9" t="s">
        <v>2632</v>
      </c>
      <c r="I442" s="12" t="str">
        <f>RIGHT(LEFT(Table4[[#This Row],[Latest Senate Action]],FIND(" Congress",Table4[[#This Row],[Latest Senate Action]])-1),LEN(LEFT(Table4[[#This Row],[Latest Senate Action]],FIND(" Congress",Table4[[#This Row],[Latest Senate Action]])-1))-FIND("-",Table4[[#This Row],[Latest Senate Action]])-1)</f>
        <v>100th</v>
      </c>
      <c r="J442" s="12" t="str">
        <f>RIGHT(Table4[[#This Row],[Latest Senate Action]],LEN(Table4[[#This Row],[Latest Senate Action]])-FIND(") - ",Table4[[#This Row],[Latest Senate Action]])-3)</f>
        <v xml:space="preserve">Resolution of advice and consent to ratification agreed to in Senate by Division Vote. (All Actions) </v>
      </c>
      <c r="K442" s="12" t="str">
        <f>INDEX(Table5[type],MATCH(Table4[[#This Row],[Action]],Table5[Action],0))</f>
        <v>Passed</v>
      </c>
      <c r="L442" s="22" t="b">
        <f>INDEX(Table1[Senate and President Same Party, House and President Different Party],MATCH(Table4[[#This Row],[Congress Acting]],Table1[Congress],0))</f>
        <v>0</v>
      </c>
    </row>
    <row r="443" spans="1:12" ht="141.75">
      <c r="A443" s="9" t="s">
        <v>665</v>
      </c>
      <c r="B443" t="s">
        <v>2645</v>
      </c>
      <c r="C443" s="9" t="s">
        <v>2646</v>
      </c>
      <c r="D443" s="13" t="s">
        <v>3936</v>
      </c>
      <c r="E443" s="9" t="s">
        <v>2647</v>
      </c>
      <c r="F443"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3" s="9" t="s">
        <v>1052</v>
      </c>
      <c r="H443" s="9" t="s">
        <v>2632</v>
      </c>
      <c r="I443" s="12" t="str">
        <f>RIGHT(LEFT(Table4[[#This Row],[Latest Senate Action]],FIND(" Congress",Table4[[#This Row],[Latest Senate Action]])-1),LEN(LEFT(Table4[[#This Row],[Latest Senate Action]],FIND(" Congress",Table4[[#This Row],[Latest Senate Action]])-1))-FIND("-",Table4[[#This Row],[Latest Senate Action]])-1)</f>
        <v>100th</v>
      </c>
      <c r="J443" s="12" t="str">
        <f>RIGHT(Table4[[#This Row],[Latest Senate Action]],LEN(Table4[[#This Row],[Latest Senate Action]])-FIND(") - ",Table4[[#This Row],[Latest Senate Action]])-3)</f>
        <v xml:space="preserve">Resolution of advice and consent to ratification agreed to in Senate by Division Vote. (All Actions) </v>
      </c>
      <c r="K443" s="12" t="str">
        <f>INDEX(Table5[type],MATCH(Table4[[#This Row],[Action]],Table5[Action],0))</f>
        <v>Passed</v>
      </c>
      <c r="L443" s="22" t="b">
        <f>INDEX(Table1[Senate and President Same Party, House and President Different Party],MATCH(Table4[[#This Row],[Congress Acting]],Table1[Congress],0))</f>
        <v>0</v>
      </c>
    </row>
    <row r="444" spans="1:12" ht="141.75">
      <c r="A444" s="9" t="s">
        <v>666</v>
      </c>
      <c r="B444" t="s">
        <v>2648</v>
      </c>
      <c r="C444" s="9" t="s">
        <v>2649</v>
      </c>
      <c r="D444" s="13" t="s">
        <v>3937</v>
      </c>
      <c r="E444" s="9" t="s">
        <v>2650</v>
      </c>
      <c r="F444"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4" s="9" t="s">
        <v>1052</v>
      </c>
      <c r="H444" s="9" t="s">
        <v>2632</v>
      </c>
      <c r="I444" s="12" t="str">
        <f>RIGHT(LEFT(Table4[[#This Row],[Latest Senate Action]],FIND(" Congress",Table4[[#This Row],[Latest Senate Action]])-1),LEN(LEFT(Table4[[#This Row],[Latest Senate Action]],FIND(" Congress",Table4[[#This Row],[Latest Senate Action]])-1))-FIND("-",Table4[[#This Row],[Latest Senate Action]])-1)</f>
        <v>100th</v>
      </c>
      <c r="J444" s="12" t="str">
        <f>RIGHT(Table4[[#This Row],[Latest Senate Action]],LEN(Table4[[#This Row],[Latest Senate Action]])-FIND(") - ",Table4[[#This Row],[Latest Senate Action]])-3)</f>
        <v xml:space="preserve">Resolution of advice and consent to ratification agreed to in Senate by Division Vote. (All Actions) </v>
      </c>
      <c r="K444" s="12" t="str">
        <f>INDEX(Table5[type],MATCH(Table4[[#This Row],[Action]],Table5[Action],0))</f>
        <v>Passed</v>
      </c>
      <c r="L444" s="22" t="b">
        <f>INDEX(Table1[Senate and President Same Party, House and President Different Party],MATCH(Table4[[#This Row],[Congress Acting]],Table1[Congress],0))</f>
        <v>0</v>
      </c>
    </row>
    <row r="445" spans="1:12" ht="157.5">
      <c r="A445" s="9" t="s">
        <v>667</v>
      </c>
      <c r="B445" t="s">
        <v>2651</v>
      </c>
      <c r="C445" s="9" t="s">
        <v>2652</v>
      </c>
      <c r="D445" s="13" t="s">
        <v>3938</v>
      </c>
      <c r="E445" s="9" t="s">
        <v>2653</v>
      </c>
      <c r="F445"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5" s="9" t="s">
        <v>1164</v>
      </c>
      <c r="H445" s="9" t="s">
        <v>2632</v>
      </c>
      <c r="I445" s="12" t="str">
        <f>RIGHT(LEFT(Table4[[#This Row],[Latest Senate Action]],FIND(" Congress",Table4[[#This Row],[Latest Senate Action]])-1),LEN(LEFT(Table4[[#This Row],[Latest Senate Action]],FIND(" Congress",Table4[[#This Row],[Latest Senate Action]])-1))-FIND("-",Table4[[#This Row],[Latest Senate Action]])-1)</f>
        <v>100th</v>
      </c>
      <c r="J445" s="12" t="str">
        <f>RIGHT(Table4[[#This Row],[Latest Senate Action]],LEN(Table4[[#This Row],[Latest Senate Action]])-FIND(") - ",Table4[[#This Row],[Latest Senate Action]])-3)</f>
        <v xml:space="preserve">Resolution of advice and consent to ratification agreed to in Senate by Division Vote. (All Actions) </v>
      </c>
      <c r="K445" s="12" t="str">
        <f>INDEX(Table5[type],MATCH(Table4[[#This Row],[Action]],Table5[Action],0))</f>
        <v>Passed</v>
      </c>
      <c r="L445" s="22" t="b">
        <f>INDEX(Table1[Senate and President Same Party, House and President Different Party],MATCH(Table4[[#This Row],[Congress Acting]],Table1[Congress],0))</f>
        <v>0</v>
      </c>
    </row>
    <row r="446" spans="1:12" ht="173.25">
      <c r="A446" s="9" t="s">
        <v>668</v>
      </c>
      <c r="B446" t="s">
        <v>2654</v>
      </c>
      <c r="C446" s="9" t="s">
        <v>2655</v>
      </c>
      <c r="D446" s="13" t="s">
        <v>3875</v>
      </c>
      <c r="E446" s="9" t="s">
        <v>2656</v>
      </c>
      <c r="F446"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46" s="9" t="s">
        <v>1164</v>
      </c>
      <c r="H446" s="9" t="s">
        <v>2657</v>
      </c>
      <c r="I446" s="12" t="str">
        <f>RIGHT(LEFT(Table4[[#This Row],[Latest Senate Action]],FIND(" Congress",Table4[[#This Row],[Latest Senate Action]])-1),LEN(LEFT(Table4[[#This Row],[Latest Senate Action]],FIND(" Congress",Table4[[#This Row],[Latest Senate Action]])-1))-FIND("-",Table4[[#This Row],[Latest Senate Action]])-1)</f>
        <v>100th</v>
      </c>
      <c r="J446" s="12" t="str">
        <f>RIGHT(Table4[[#This Row],[Latest Senate Action]],LEN(Table4[[#This Row],[Latest Senate Action]])-FIND(") - ",Table4[[#This Row],[Latest Senate Action]])-3)</f>
        <v xml:space="preserve">Resolution of advice and consent to ratification agreed to in Senate by Yea-Nay Vote. 97 - 0. Record Vote Number: 311. (All Actions) </v>
      </c>
      <c r="K446" s="12" t="str">
        <f>INDEX(Table5[type],MATCH(Table4[[#This Row],[Action]],Table5[Action],0))</f>
        <v>Passed</v>
      </c>
      <c r="L446" s="22" t="b">
        <f>INDEX(Table1[Senate and President Same Party, House and President Different Party],MATCH(Table4[[#This Row],[Congress Acting]],Table1[Congress],0))</f>
        <v>0</v>
      </c>
    </row>
    <row r="447" spans="1:12" ht="189">
      <c r="A447" s="9" t="s">
        <v>669</v>
      </c>
      <c r="B447" t="s">
        <v>2658</v>
      </c>
      <c r="C447" s="9" t="s">
        <v>2659</v>
      </c>
      <c r="D447" s="13" t="s">
        <v>3875</v>
      </c>
      <c r="E447" s="9" t="s">
        <v>2656</v>
      </c>
      <c r="F447"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47" s="9" t="s">
        <v>1164</v>
      </c>
      <c r="H447" s="9" t="s">
        <v>2657</v>
      </c>
      <c r="I447" s="12" t="str">
        <f>RIGHT(LEFT(Table4[[#This Row],[Latest Senate Action]],FIND(" Congress",Table4[[#This Row],[Latest Senate Action]])-1),LEN(LEFT(Table4[[#This Row],[Latest Senate Action]],FIND(" Congress",Table4[[#This Row],[Latest Senate Action]])-1))-FIND("-",Table4[[#This Row],[Latest Senate Action]])-1)</f>
        <v>100th</v>
      </c>
      <c r="J447" s="12" t="str">
        <f>RIGHT(Table4[[#This Row],[Latest Senate Action]],LEN(Table4[[#This Row],[Latest Senate Action]])-FIND(") - ",Table4[[#This Row],[Latest Senate Action]])-3)</f>
        <v xml:space="preserve">Resolution of advice and consent to ratification agreed to in Senate by Yea-Nay Vote. 97 - 0. Record Vote Number: 311. (All Actions) </v>
      </c>
      <c r="K447" s="12" t="str">
        <f>INDEX(Table5[type],MATCH(Table4[[#This Row],[Action]],Table5[Action],0))</f>
        <v>Passed</v>
      </c>
      <c r="L447" s="22" t="b">
        <f>INDEX(Table1[Senate and President Same Party, House and President Different Party],MATCH(Table4[[#This Row],[Congress Acting]],Table1[Congress],0))</f>
        <v>0</v>
      </c>
    </row>
    <row r="448" spans="1:12" ht="173.25">
      <c r="A448" s="9" t="s">
        <v>670</v>
      </c>
      <c r="B448" t="s">
        <v>2660</v>
      </c>
      <c r="C448" s="9" t="s">
        <v>2661</v>
      </c>
      <c r="D448" s="13" t="s">
        <v>3939</v>
      </c>
      <c r="E448" s="9" t="s">
        <v>2662</v>
      </c>
      <c r="F448"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48" s="9" t="s">
        <v>1038</v>
      </c>
      <c r="H448" s="9" t="s">
        <v>2663</v>
      </c>
      <c r="I448" s="12" t="str">
        <f>RIGHT(LEFT(Table4[[#This Row],[Latest Senate Action]],FIND(" Congress",Table4[[#This Row],[Latest Senate Action]])-1),LEN(LEFT(Table4[[#This Row],[Latest Senate Action]],FIND(" Congress",Table4[[#This Row],[Latest Senate Action]])-1))-FIND("-",Table4[[#This Row],[Latest Senate Action]])-1)</f>
        <v>100th</v>
      </c>
      <c r="J448" s="12" t="str">
        <f>RIGHT(Table4[[#This Row],[Latest Senate Action]],LEN(Table4[[#This Row],[Latest Senate Action]])-FIND(") - ",Table4[[#This Row],[Latest Senate Action]])-3)</f>
        <v xml:space="preserve">Resolution of advice and consent to ratification agreed to in Senate by Yea-Nay Vote. 97 - 0. Record Vote Number: 312. (All Actions) </v>
      </c>
      <c r="K448" s="12" t="str">
        <f>INDEX(Table5[type],MATCH(Table4[[#This Row],[Action]],Table5[Action],0))</f>
        <v>Passed</v>
      </c>
      <c r="L448" s="22" t="b">
        <f>INDEX(Table1[Senate and President Same Party, House and President Different Party],MATCH(Table4[[#This Row],[Congress Acting]],Table1[Congress],0))</f>
        <v>0</v>
      </c>
    </row>
    <row r="449" spans="1:12" ht="157.5">
      <c r="A449" s="9" t="s">
        <v>671</v>
      </c>
      <c r="B449" t="s">
        <v>2664</v>
      </c>
      <c r="C449" s="9" t="s">
        <v>2665</v>
      </c>
      <c r="D449" s="13" t="s">
        <v>3940</v>
      </c>
      <c r="E449" s="9" t="s">
        <v>2666</v>
      </c>
      <c r="F449"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49" s="9" t="s">
        <v>1052</v>
      </c>
      <c r="H449" s="9" t="s">
        <v>2667</v>
      </c>
      <c r="I449" s="12" t="str">
        <f>RIGHT(LEFT(Table4[[#This Row],[Latest Senate Action]],FIND(" Congress",Table4[[#This Row],[Latest Senate Action]])-1),LEN(LEFT(Table4[[#This Row],[Latest Senate Action]],FIND(" Congress",Table4[[#This Row],[Latest Senate Action]])-1))-FIND("-",Table4[[#This Row],[Latest Senate Action]])-1)</f>
        <v>100th</v>
      </c>
      <c r="J449" s="12" t="str">
        <f>RIGHT(Table4[[#This Row],[Latest Senate Action]],LEN(Table4[[#This Row],[Latest Senate Action]])-FIND(") - ",Table4[[#This Row],[Latest Senate Action]])-3)</f>
        <v xml:space="preserve">Resolution of advice and consent to ratification agreed to in Senate by Yea-Nay Vote. 97 - 0. Record Vote Number: 313. (All Actions) </v>
      </c>
      <c r="K449" s="12" t="str">
        <f>INDEX(Table5[type],MATCH(Table4[[#This Row],[Action]],Table5[Action],0))</f>
        <v>Passed</v>
      </c>
      <c r="L449" s="22" t="b">
        <f>INDEX(Table1[Senate and President Same Party, House and President Different Party],MATCH(Table4[[#This Row],[Congress Acting]],Table1[Congress],0))</f>
        <v>0</v>
      </c>
    </row>
    <row r="450" spans="1:12" ht="220.5">
      <c r="A450" s="9" t="s">
        <v>672</v>
      </c>
      <c r="B450" t="s">
        <v>2668</v>
      </c>
      <c r="C450" s="9" t="s">
        <v>2669</v>
      </c>
      <c r="D450" s="13" t="s">
        <v>4246</v>
      </c>
      <c r="E450" s="9" t="s">
        <v>2670</v>
      </c>
      <c r="F450"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0" s="9" t="s">
        <v>1101</v>
      </c>
      <c r="H450" s="9" t="s">
        <v>2671</v>
      </c>
      <c r="I450" s="12" t="str">
        <f>RIGHT(LEFT(Table4[[#This Row],[Latest Senate Action]],FIND(" Congress",Table4[[#This Row],[Latest Senate Action]])-1),LEN(LEFT(Table4[[#This Row],[Latest Senate Action]],FIND(" Congress",Table4[[#This Row],[Latest Senate Action]])-1))-FIND("-",Table4[[#This Row],[Latest Senate Action]])-1)</f>
        <v>100th</v>
      </c>
      <c r="J450" s="12" t="str">
        <f>RIGHT(Table4[[#This Row],[Latest Senate Action]],LEN(Table4[[#This Row],[Latest Senate Action]])-FIND(") - ",Table4[[#This Row],[Latest Senate Action]])-3)</f>
        <v xml:space="preserve">Resolution of advice and consent to ratification agreed to in Senate with amendments by Yea-Nay Vote. 93 - 5. Record Vote Number: 166. (All Actions) </v>
      </c>
      <c r="K450" s="12" t="str">
        <f>INDEX(Table5[type],MATCH(Table4[[#This Row],[Action]],Table5[Action],0))</f>
        <v>Passed</v>
      </c>
      <c r="L450" s="22" t="b">
        <f>INDEX(Table1[Senate and President Same Party, House and President Different Party],MATCH(Table4[[#This Row],[Congress Acting]],Table1[Congress],0))</f>
        <v>0</v>
      </c>
    </row>
    <row r="451" spans="1:12" ht="173.25">
      <c r="A451" s="9" t="s">
        <v>673</v>
      </c>
      <c r="B451" t="s">
        <v>2672</v>
      </c>
      <c r="C451" s="9" t="s">
        <v>2673</v>
      </c>
      <c r="D451" s="13" t="s">
        <v>3876</v>
      </c>
      <c r="E451" s="9" t="s">
        <v>2674</v>
      </c>
      <c r="F451"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1" s="9" t="s">
        <v>1038</v>
      </c>
      <c r="H451" s="9" t="s">
        <v>2675</v>
      </c>
      <c r="I451" s="12" t="str">
        <f>RIGHT(LEFT(Table4[[#This Row],[Latest Senate Action]],FIND(" Congress",Table4[[#This Row],[Latest Senate Action]])-1),LEN(LEFT(Table4[[#This Row],[Latest Senate Action]],FIND(" Congress",Table4[[#This Row],[Latest Senate Action]])-1))-FIND("-",Table4[[#This Row],[Latest Senate Action]])-1)</f>
        <v>100th</v>
      </c>
      <c r="J451" s="12" t="str">
        <f>RIGHT(Table4[[#This Row],[Latest Senate Action]],LEN(Table4[[#This Row],[Latest Senate Action]])-FIND(") - ",Table4[[#This Row],[Latest Senate Action]])-3)</f>
        <v xml:space="preserve">Resolution of advice and consent to ratification agreed to in Senate by Yea-Nay Vote. 83 - 0. Record Vote Number: 47. (All Actions) </v>
      </c>
      <c r="K451" s="12" t="str">
        <f>INDEX(Table5[type],MATCH(Table4[[#This Row],[Action]],Table5[Action],0))</f>
        <v>Passed</v>
      </c>
      <c r="L451" s="22" t="b">
        <f>INDEX(Table1[Senate and President Same Party, House and President Different Party],MATCH(Table4[[#This Row],[Congress Acting]],Table1[Congress],0))</f>
        <v>0</v>
      </c>
    </row>
    <row r="452" spans="1:12" ht="204.75">
      <c r="A452" s="9" t="s">
        <v>674</v>
      </c>
      <c r="B452" t="s">
        <v>2676</v>
      </c>
      <c r="C452" s="9" t="s">
        <v>2677</v>
      </c>
      <c r="D452" s="13" t="s">
        <v>3941</v>
      </c>
      <c r="E452" s="9" t="s">
        <v>2678</v>
      </c>
      <c r="F452"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52" s="9" t="s">
        <v>1052</v>
      </c>
      <c r="H452" s="9" t="s">
        <v>2679</v>
      </c>
      <c r="I452" s="12" t="str">
        <f>RIGHT(LEFT(Table4[[#This Row],[Latest Senate Action]],FIND(" Congress",Table4[[#This Row],[Latest Senate Action]])-1),LEN(LEFT(Table4[[#This Row],[Latest Senate Action]],FIND(" Congress",Table4[[#This Row],[Latest Senate Action]])-1))-FIND("-",Table4[[#This Row],[Latest Senate Action]])-1)</f>
        <v>100th</v>
      </c>
      <c r="J452" s="12" t="str">
        <f>RIGHT(Table4[[#This Row],[Latest Senate Action]],LEN(Table4[[#This Row],[Latest Senate Action]])-FIND(") - ",Table4[[#This Row],[Latest Senate Action]])-3)</f>
        <v xml:space="preserve">Resolution of advice and consent to ratification agreed to in Senate by Yea-Nay Vote. 81 - 2. Record Vote Number: 13. (All Actions) </v>
      </c>
      <c r="K452" s="12" t="str">
        <f>INDEX(Table5[type],MATCH(Table4[[#This Row],[Action]],Table5[Action],0))</f>
        <v>Passed</v>
      </c>
      <c r="L452" s="22" t="b">
        <f>INDEX(Table1[Senate and President Same Party, House and President Different Party],MATCH(Table4[[#This Row],[Congress Acting]],Table1[Congress],0))</f>
        <v>0</v>
      </c>
    </row>
    <row r="453" spans="1:12" ht="173.25">
      <c r="A453" s="9" t="s">
        <v>675</v>
      </c>
      <c r="B453" t="s">
        <v>2680</v>
      </c>
      <c r="C453" s="9" t="s">
        <v>2681</v>
      </c>
      <c r="D453" s="13" t="s">
        <v>3942</v>
      </c>
      <c r="E453" s="9" t="s">
        <v>2678</v>
      </c>
      <c r="F453"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53" s="9" t="s">
        <v>1052</v>
      </c>
      <c r="H453" s="9" t="s">
        <v>2682</v>
      </c>
      <c r="I453" s="12" t="str">
        <f>RIGHT(LEFT(Table4[[#This Row],[Latest Senate Action]],FIND(" Congress",Table4[[#This Row],[Latest Senate Action]])-1),LEN(LEFT(Table4[[#This Row],[Latest Senate Action]],FIND(" Congress",Table4[[#This Row],[Latest Senate Action]])-1))-FIND("-",Table4[[#This Row],[Latest Senate Action]])-1)</f>
        <v>100th</v>
      </c>
      <c r="J453" s="12" t="str">
        <f>RIGHT(Table4[[#This Row],[Latest Senate Action]],LEN(Table4[[#This Row],[Latest Senate Action]])-FIND(") - ",Table4[[#This Row],[Latest Senate Action]])-3)</f>
        <v xml:space="preserve">Resolution of advice and consent to ratification agreed to in Senate by Yea-Nay Vote. 84 - 0. Record Vote Number: 14. (All Actions) </v>
      </c>
      <c r="K453" s="12" t="str">
        <f>INDEX(Table5[type],MATCH(Table4[[#This Row],[Action]],Table5[Action],0))</f>
        <v>Passed</v>
      </c>
      <c r="L453" s="22" t="b">
        <f>INDEX(Table1[Senate and President Same Party, House and President Different Party],MATCH(Table4[[#This Row],[Congress Acting]],Table1[Congress],0))</f>
        <v>0</v>
      </c>
    </row>
    <row r="454" spans="1:12" ht="157.5">
      <c r="A454" s="9" t="s">
        <v>676</v>
      </c>
      <c r="B454" t="s">
        <v>2683</v>
      </c>
      <c r="C454" s="9" t="s">
        <v>2684</v>
      </c>
      <c r="D454" s="13" t="s">
        <v>3943</v>
      </c>
      <c r="E454" s="9" t="s">
        <v>2685</v>
      </c>
      <c r="F454"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4" s="9" t="s">
        <v>1052</v>
      </c>
      <c r="H454" s="9" t="s">
        <v>2686</v>
      </c>
      <c r="I454" s="12" t="str">
        <f>RIGHT(LEFT(Table4[[#This Row],[Latest Senate Action]],FIND(" Congress",Table4[[#This Row],[Latest Senate Action]])-1),LEN(LEFT(Table4[[#This Row],[Latest Senate Action]],FIND(" Congress",Table4[[#This Row],[Latest Senate Action]])-1))-FIND("-",Table4[[#This Row],[Latest Senate Action]])-1)</f>
        <v>100th</v>
      </c>
      <c r="J454" s="12" t="str">
        <f>RIGHT(Table4[[#This Row],[Latest Senate Action]],LEN(Table4[[#This Row],[Latest Senate Action]])-FIND(") - ",Table4[[#This Row],[Latest Senate Action]])-3)</f>
        <v xml:space="preserve">Resolution of advice and consent to ratification agreed to in Senate by Yea-Nay Vote. 94 - 0. Record Vote Number: 378. (All Actions) </v>
      </c>
      <c r="K454" s="12" t="str">
        <f>INDEX(Table5[type],MATCH(Table4[[#This Row],[Action]],Table5[Action],0))</f>
        <v>Passed</v>
      </c>
      <c r="L454" s="22" t="b">
        <f>INDEX(Table1[Senate and President Same Party, House and President Different Party],MATCH(Table4[[#This Row],[Congress Acting]],Table1[Congress],0))</f>
        <v>0</v>
      </c>
    </row>
    <row r="455" spans="1:12" ht="157.5">
      <c r="A455" s="9" t="s">
        <v>677</v>
      </c>
      <c r="B455" t="s">
        <v>2687</v>
      </c>
      <c r="C455" s="9" t="s">
        <v>2688</v>
      </c>
      <c r="D455" s="13" t="s">
        <v>3944</v>
      </c>
      <c r="E455" s="9" t="s">
        <v>2689</v>
      </c>
      <c r="F455"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5" s="9" t="s">
        <v>1112</v>
      </c>
      <c r="H455" s="9" t="s">
        <v>2690</v>
      </c>
      <c r="I455" s="12" t="str">
        <f>RIGHT(LEFT(Table4[[#This Row],[Latest Senate Action]],FIND(" Congress",Table4[[#This Row],[Latest Senate Action]])-1),LEN(LEFT(Table4[[#This Row],[Latest Senate Action]],FIND(" Congress",Table4[[#This Row],[Latest Senate Action]])-1))-FIND("-",Table4[[#This Row],[Latest Senate Action]])-1)</f>
        <v>100th</v>
      </c>
      <c r="J455" s="12" t="str">
        <f>RIGHT(Table4[[#This Row],[Latest Senate Action]],LEN(Table4[[#This Row],[Latest Senate Action]])-FIND(") - ",Table4[[#This Row],[Latest Senate Action]])-3)</f>
        <v xml:space="preserve">Resolution of advice and consent to ratification agreed to in Senate by Yea-Nay Vote. 89 - 0. Record Vote Number: 371. (All Actions) </v>
      </c>
      <c r="K455" s="12" t="str">
        <f>INDEX(Table5[type],MATCH(Table4[[#This Row],[Action]],Table5[Action],0))</f>
        <v>Passed</v>
      </c>
      <c r="L455" s="22" t="b">
        <f>INDEX(Table1[Senate and President Same Party, House and President Different Party],MATCH(Table4[[#This Row],[Congress Acting]],Table1[Congress],0))</f>
        <v>0</v>
      </c>
    </row>
    <row r="456" spans="1:12" ht="189">
      <c r="A456" s="9" t="s">
        <v>678</v>
      </c>
      <c r="B456" t="s">
        <v>2691</v>
      </c>
      <c r="C456" s="9" t="s">
        <v>2692</v>
      </c>
      <c r="D456" s="13" t="s">
        <v>3945</v>
      </c>
      <c r="E456" s="9" t="s">
        <v>2693</v>
      </c>
      <c r="F456"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6" s="9" t="s">
        <v>1200</v>
      </c>
      <c r="H456" s="9" t="s">
        <v>2694</v>
      </c>
      <c r="I456" s="12" t="str">
        <f>RIGHT(LEFT(Table4[[#This Row],[Latest Senate Action]],FIND(" Congress",Table4[[#This Row],[Latest Senate Action]])-1),LEN(LEFT(Table4[[#This Row],[Latest Senate Action]],FIND(" Congress",Table4[[#This Row],[Latest Senate Action]])-1))-FIND("-",Table4[[#This Row],[Latest Senate Action]])-1)</f>
        <v>100th</v>
      </c>
      <c r="J456" s="12" t="str">
        <f>RIGHT(Table4[[#This Row],[Latest Senate Action]],LEN(Table4[[#This Row],[Latest Senate Action]])-FIND(") - ",Table4[[#This Row],[Latest Senate Action]])-3)</f>
        <v xml:space="preserve">Resolution of advice and consent to ratification agreed to in Senate with an amendment by Yea-Nay Vote. 93 - 0. Record Vote Number: 368. (All Actions) </v>
      </c>
      <c r="K456" s="12" t="str">
        <f>INDEX(Table5[type],MATCH(Table4[[#This Row],[Action]],Table5[Action],0))</f>
        <v>Passed</v>
      </c>
      <c r="L456" s="22" t="b">
        <f>INDEX(Table1[Senate and President Same Party, House and President Different Party],MATCH(Table4[[#This Row],[Congress Acting]],Table1[Congress],0))</f>
        <v>0</v>
      </c>
    </row>
    <row r="457" spans="1:12" ht="173.25">
      <c r="A457" s="9" t="s">
        <v>679</v>
      </c>
      <c r="B457" t="s">
        <v>2695</v>
      </c>
      <c r="C457" s="9" t="s">
        <v>2696</v>
      </c>
      <c r="D457" s="13" t="s">
        <v>4247</v>
      </c>
      <c r="E457" s="9" t="s">
        <v>2697</v>
      </c>
      <c r="F457" t="str">
        <f>RIGHT(LEFT(Table4[[#This Row],[Date Received from President]],FIND(" Congress",Table4[[#This Row],[Date Received from President]])-1),LEN(LEFT(Table4[[#This Row],[Date Received from President]],FIND(" Congress",Table4[[#This Row],[Date Received from President]])-1))-FIND("-",Table4[[#This Row],[Date Received from President]])-1)</f>
        <v>100th</v>
      </c>
      <c r="G457" s="9" t="s">
        <v>1164</v>
      </c>
      <c r="H457" s="9" t="s">
        <v>2698</v>
      </c>
      <c r="I457" s="12" t="str">
        <f>RIGHT(LEFT(Table4[[#This Row],[Latest Senate Action]],FIND(" Congress",Table4[[#This Row],[Latest Senate Action]])-1),LEN(LEFT(Table4[[#This Row],[Latest Senate Action]],FIND(" Congress",Table4[[#This Row],[Latest Senate Action]])-1))-FIND("-",Table4[[#This Row],[Latest Senate Action]])-1)</f>
        <v>100th</v>
      </c>
      <c r="J457" s="12" t="str">
        <f>RIGHT(Table4[[#This Row],[Latest Senate Action]],LEN(Table4[[#This Row],[Latest Senate Action]])-FIND(") - ",Table4[[#This Row],[Latest Senate Action]])-3)</f>
        <v xml:space="preserve">Received in the Senate and referred to the Committee on Foreign Relations. (All Actions) </v>
      </c>
      <c r="K457" s="12" t="str">
        <f>INDEX(Table5[type],MATCH(Table4[[#This Row],[Action]],Table5[Action],0))</f>
        <v>In Process</v>
      </c>
      <c r="L457" s="22" t="b">
        <f>INDEX(Table1[Senate and President Same Party, House and President Different Party],MATCH(Table4[[#This Row],[Congress Acting]],Table1[Congress],0))</f>
        <v>0</v>
      </c>
    </row>
    <row r="458" spans="1:12" ht="157.5">
      <c r="A458" s="9" t="s">
        <v>680</v>
      </c>
      <c r="B458" t="s">
        <v>2699</v>
      </c>
      <c r="C458" s="9" t="s">
        <v>2700</v>
      </c>
      <c r="D458" s="13" t="s">
        <v>3946</v>
      </c>
      <c r="E458" s="9" t="s">
        <v>2701</v>
      </c>
      <c r="F45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58" s="9" t="s">
        <v>1052</v>
      </c>
      <c r="H458" s="9" t="s">
        <v>2702</v>
      </c>
      <c r="I458" s="12" t="str">
        <f>RIGHT(LEFT(Table4[[#This Row],[Latest Senate Action]],FIND(" Congress",Table4[[#This Row],[Latest Senate Action]])-1),LEN(LEFT(Table4[[#This Row],[Latest Senate Action]],FIND(" Congress",Table4[[#This Row],[Latest Senate Action]])-1))-FIND("-",Table4[[#This Row],[Latest Senate Action]])-1)</f>
        <v>99th</v>
      </c>
      <c r="J458" s="12" t="str">
        <f>RIGHT(Table4[[#This Row],[Latest Senate Action]],LEN(Table4[[#This Row],[Latest Senate Action]])-FIND(") - ",Table4[[#This Row],[Latest Senate Action]])-3)</f>
        <v xml:space="preserve">Approved 98-0 by a roll call vote (Record Vote No. 339). Calendar No. 14. (All Actions) </v>
      </c>
      <c r="K458" s="12" t="str">
        <f>INDEX(Table5[type],MATCH(Table4[[#This Row],[Action]],Table5[Action],0))</f>
        <v>Passed</v>
      </c>
      <c r="L458" s="22" t="b">
        <f>INDEX(Table1[Senate and President Same Party, House and President Different Party],MATCH(Table4[[#This Row],[Congress Acting]],Table1[Congress],0))</f>
        <v>1</v>
      </c>
    </row>
    <row r="459" spans="1:12" ht="157.5">
      <c r="A459" s="9" t="s">
        <v>681</v>
      </c>
      <c r="B459" t="s">
        <v>2703</v>
      </c>
      <c r="C459" s="9" t="s">
        <v>2704</v>
      </c>
      <c r="D459" s="13" t="s">
        <v>3947</v>
      </c>
      <c r="E459" s="9" t="s">
        <v>2705</v>
      </c>
      <c r="F459"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59" s="9" t="s">
        <v>1164</v>
      </c>
      <c r="H459" s="9" t="s">
        <v>2706</v>
      </c>
      <c r="I459" s="12" t="str">
        <f>RIGHT(LEFT(Table4[[#This Row],[Latest Senate Action]],FIND(" Congress",Table4[[#This Row],[Latest Senate Action]])-1),LEN(LEFT(Table4[[#This Row],[Latest Senate Action]],FIND(" Congress",Table4[[#This Row],[Latest Senate Action]])-1))-FIND("-",Table4[[#This Row],[Latest Senate Action]])-1)</f>
        <v>99th</v>
      </c>
      <c r="J459" s="12" t="str">
        <f>RIGHT(Table4[[#This Row],[Latest Senate Action]],LEN(Table4[[#This Row],[Latest Senate Action]])-FIND(") - ",Table4[[#This Row],[Latest Senate Action]])-3)</f>
        <v xml:space="preserve">Approved 98-0 by roll call vote (Record Vote No. 344). Calendar No. 19. (All Actions) </v>
      </c>
      <c r="K459" s="12" t="str">
        <f>INDEX(Table5[type],MATCH(Table4[[#This Row],[Action]],Table5[Action],0))</f>
        <v>Passed</v>
      </c>
      <c r="L459" s="22" t="b">
        <f>INDEX(Table1[Senate and President Same Party, House and President Different Party],MATCH(Table4[[#This Row],[Congress Acting]],Table1[Congress],0))</f>
        <v>1</v>
      </c>
    </row>
    <row r="460" spans="1:12" ht="141.75">
      <c r="A460" s="9" t="s">
        <v>682</v>
      </c>
      <c r="B460" t="s">
        <v>2707</v>
      </c>
      <c r="C460" s="9" t="s">
        <v>2708</v>
      </c>
      <c r="D460" s="13" t="s">
        <v>4248</v>
      </c>
      <c r="E460" s="9" t="s">
        <v>2709</v>
      </c>
      <c r="F460"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460" s="9" t="s">
        <v>1052</v>
      </c>
      <c r="H460" s="9" t="s">
        <v>2710</v>
      </c>
      <c r="I460" s="12" t="str">
        <f>RIGHT(LEFT(Table4[[#This Row],[Latest Senate Action]],FIND(" Congress",Table4[[#This Row],[Latest Senate Action]])-1),LEN(LEFT(Table4[[#This Row],[Latest Senate Action]],FIND(" Congress",Table4[[#This Row],[Latest Senate Action]])-1))-FIND("-",Table4[[#This Row],[Latest Senate Action]])-1)</f>
        <v>99th</v>
      </c>
      <c r="J460" s="12" t="str">
        <f>RIGHT(Table4[[#This Row],[Latest Senate Action]],LEN(Table4[[#This Row],[Latest Senate Action]])-FIND(") - ",Table4[[#This Row],[Latest Senate Action]])-3)</f>
        <v xml:space="preserve">Approved 98-0 by roll call vote (Record Vote No. 343). Calendar No. 18. (All Actions) </v>
      </c>
      <c r="K460" s="12" t="str">
        <f>INDEX(Table5[type],MATCH(Table4[[#This Row],[Action]],Table5[Action],0))</f>
        <v>Passed</v>
      </c>
      <c r="L460" s="22" t="b">
        <f>INDEX(Table1[Senate and President Same Party, House and President Different Party],MATCH(Table4[[#This Row],[Congress Acting]],Table1[Congress],0))</f>
        <v>1</v>
      </c>
    </row>
    <row r="461" spans="1:12" ht="141.75">
      <c r="A461" s="9" t="s">
        <v>683</v>
      </c>
      <c r="B461" t="s">
        <v>2711</v>
      </c>
      <c r="C461" s="9" t="s">
        <v>2712</v>
      </c>
      <c r="D461" s="13" t="s">
        <v>4249</v>
      </c>
      <c r="E461" s="9" t="s">
        <v>2713</v>
      </c>
      <c r="F461"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61" s="9" t="s">
        <v>1164</v>
      </c>
      <c r="H461" s="9" t="s">
        <v>2714</v>
      </c>
      <c r="I461" s="12" t="str">
        <f>RIGHT(LEFT(Table4[[#This Row],[Latest Senate Action]],FIND(" Congress",Table4[[#This Row],[Latest Senate Action]])-1),LEN(LEFT(Table4[[#This Row],[Latest Senate Action]],FIND(" Congress",Table4[[#This Row],[Latest Senate Action]])-1))-FIND("-",Table4[[#This Row],[Latest Senate Action]])-1)</f>
        <v>99th</v>
      </c>
      <c r="J461" s="12" t="str">
        <f>RIGHT(Table4[[#This Row],[Latest Senate Action]],LEN(Table4[[#This Row],[Latest Senate Action]])-FIND(") - ",Table4[[#This Row],[Latest Senate Action]])-3)</f>
        <v xml:space="preserve">Approved 98-0 by a roll call vote (Record Vote No. 340). Calendar No. 15. (All Actions) </v>
      </c>
      <c r="K461" s="12" t="str">
        <f>INDEX(Table5[type],MATCH(Table4[[#This Row],[Action]],Table5[Action],0))</f>
        <v>Passed</v>
      </c>
      <c r="L461" s="22" t="b">
        <f>INDEX(Table1[Senate and President Same Party, House and President Different Party],MATCH(Table4[[#This Row],[Congress Acting]],Table1[Congress],0))</f>
        <v>1</v>
      </c>
    </row>
    <row r="462" spans="1:12" ht="141.75">
      <c r="A462" s="9" t="s">
        <v>684</v>
      </c>
      <c r="B462" t="s">
        <v>2715</v>
      </c>
      <c r="C462" s="9" t="s">
        <v>2716</v>
      </c>
      <c r="D462" s="13" t="s">
        <v>3948</v>
      </c>
      <c r="E462" s="9" t="s">
        <v>2717</v>
      </c>
      <c r="F462"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2" s="9" t="s">
        <v>1112</v>
      </c>
      <c r="H462" s="9" t="s">
        <v>2718</v>
      </c>
      <c r="I462" s="12" t="str">
        <f>RIGHT(LEFT(Table4[[#This Row],[Latest Senate Action]],FIND(" Congress",Table4[[#This Row],[Latest Senate Action]])-1),LEN(LEFT(Table4[[#This Row],[Latest Senate Action]],FIND(" Congress",Table4[[#This Row],[Latest Senate Action]])-1))-FIND("-",Table4[[#This Row],[Latest Senate Action]])-1)</f>
        <v>99th</v>
      </c>
      <c r="J462" s="12" t="str">
        <f>RIGHT(Table4[[#This Row],[Latest Senate Action]],LEN(Table4[[#This Row],[Latest Senate Action]])-FIND(") - ",Table4[[#This Row],[Latest Senate Action]])-3)</f>
        <v xml:space="preserve">Approved 98-0 by roll call vote (Record Vote No. 341). Calendar No. 16. (All Actions) </v>
      </c>
      <c r="K462" s="12" t="str">
        <f>INDEX(Table5[type],MATCH(Table4[[#This Row],[Action]],Table5[Action],0))</f>
        <v>Passed</v>
      </c>
      <c r="L462" s="22" t="b">
        <f>INDEX(Table1[Senate and President Same Party, House and President Different Party],MATCH(Table4[[#This Row],[Congress Acting]],Table1[Congress],0))</f>
        <v>1</v>
      </c>
    </row>
    <row r="463" spans="1:12" ht="157.5">
      <c r="A463" s="9" t="s">
        <v>685</v>
      </c>
      <c r="B463" t="s">
        <v>2719</v>
      </c>
      <c r="C463" s="9" t="s">
        <v>2720</v>
      </c>
      <c r="D463" s="13" t="s">
        <v>3949</v>
      </c>
      <c r="E463" s="9" t="s">
        <v>2721</v>
      </c>
      <c r="F463"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63" s="9" t="s">
        <v>1052</v>
      </c>
      <c r="H463" s="9" t="s">
        <v>2722</v>
      </c>
      <c r="I463" s="12" t="str">
        <f>RIGHT(LEFT(Table4[[#This Row],[Latest Senate Action]],FIND(" Congress",Table4[[#This Row],[Latest Senate Action]])-1),LEN(LEFT(Table4[[#This Row],[Latest Senate Action]],FIND(" Congress",Table4[[#This Row],[Latest Senate Action]])-1))-FIND("-",Table4[[#This Row],[Latest Senate Action]])-1)</f>
        <v>99th</v>
      </c>
      <c r="J463" s="12" t="str">
        <f>RIGHT(Table4[[#This Row],[Latest Senate Action]],LEN(Table4[[#This Row],[Latest Senate Action]])-FIND(") - ",Table4[[#This Row],[Latest Senate Action]])-3)</f>
        <v xml:space="preserve">Approved 98-0 by roll call vote (Record Vote No. 342). Calendar No. 17. (All Actions) </v>
      </c>
      <c r="K463" s="12" t="str">
        <f>INDEX(Table5[type],MATCH(Table4[[#This Row],[Action]],Table5[Action],0))</f>
        <v>Passed</v>
      </c>
      <c r="L463" s="22" t="b">
        <f>INDEX(Table1[Senate and President Same Party, House and President Different Party],MATCH(Table4[[#This Row],[Congress Acting]],Table1[Congress],0))</f>
        <v>1</v>
      </c>
    </row>
    <row r="464" spans="1:12" ht="189">
      <c r="A464" s="9" t="s">
        <v>686</v>
      </c>
      <c r="B464" t="s">
        <v>178</v>
      </c>
      <c r="C464" s="9" t="s">
        <v>2723</v>
      </c>
      <c r="D464" s="13" t="s">
        <v>3950</v>
      </c>
      <c r="E464" s="9" t="s">
        <v>2724</v>
      </c>
      <c r="F464"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4" s="9" t="s">
        <v>1200</v>
      </c>
      <c r="H464" s="9" t="s">
        <v>2725</v>
      </c>
      <c r="I464" s="12" t="str">
        <f>RIGHT(LEFT(Table4[[#This Row],[Latest Senate Action]],FIND(" Congress",Table4[[#This Row],[Latest Senate Action]])-1),LEN(LEFT(Table4[[#This Row],[Latest Senate Action]],FIND(" Congress",Table4[[#This Row],[Latest Senate Action]])-1))-FIND("-",Table4[[#This Row],[Latest Senate Action]])-1)</f>
        <v>99th</v>
      </c>
      <c r="J464" s="12" t="str">
        <f>RIGHT(Table4[[#This Row],[Latest Senate Action]],LEN(Table4[[#This Row],[Latest Senate Action]])-FIND(") - ",Table4[[#This Row],[Latest Senate Action]])-3)</f>
        <v xml:space="preserve">Treaty moved through its parliamentary stages, and the resolution of ratification considered without amendment. Approved by division vote. (All Actions) </v>
      </c>
      <c r="K464" s="12" t="str">
        <f>INDEX(Table5[type],MATCH(Table4[[#This Row],[Action]],Table5[Action],0))</f>
        <v>Passed</v>
      </c>
      <c r="L464" s="22" t="b">
        <f>INDEX(Table1[Senate and President Same Party, House and President Different Party],MATCH(Table4[[#This Row],[Congress Acting]],Table1[Congress],0))</f>
        <v>1</v>
      </c>
    </row>
    <row r="465" spans="1:12" ht="173.25">
      <c r="A465" s="9" t="s">
        <v>687</v>
      </c>
      <c r="B465" t="s">
        <v>2726</v>
      </c>
      <c r="C465" s="9" t="s">
        <v>2727</v>
      </c>
      <c r="D465" s="13" t="s">
        <v>3951</v>
      </c>
      <c r="E465" s="9" t="s">
        <v>2728</v>
      </c>
      <c r="F465"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5" s="9" t="s">
        <v>1112</v>
      </c>
      <c r="H465" s="9" t="s">
        <v>2729</v>
      </c>
      <c r="I465" s="12" t="str">
        <f>RIGHT(LEFT(Table4[[#This Row],[Latest Senate Action]],FIND(" Congress",Table4[[#This Row],[Latest Senate Action]])-1),LEN(LEFT(Table4[[#This Row],[Latest Senate Action]],FIND(" Congress",Table4[[#This Row],[Latest Senate Action]])-1))-FIND("-",Table4[[#This Row],[Latest Senate Action]])-1)</f>
        <v>99th</v>
      </c>
      <c r="J465" s="12" t="str">
        <f>RIGHT(Table4[[#This Row],[Latest Senate Action]],LEN(Table4[[#This Row],[Latest Senate Action]])-FIND(") - ",Table4[[#This Row],[Latest Senate Action]])-3)</f>
        <v xml:space="preserve">Treaty moved through its various parliamentary stages, and resolution of ratification considered without amendment. Approved by division vote. (All Actions) </v>
      </c>
      <c r="K465" s="12" t="str">
        <f>INDEX(Table5[type],MATCH(Table4[[#This Row],[Action]],Table5[Action],0))</f>
        <v>Passed</v>
      </c>
      <c r="L465" s="22" t="b">
        <f>INDEX(Table1[Senate and President Same Party, House and President Different Party],MATCH(Table4[[#This Row],[Congress Acting]],Table1[Congress],0))</f>
        <v>1</v>
      </c>
    </row>
    <row r="466" spans="1:12" ht="173.25">
      <c r="A466" s="9" t="s">
        <v>688</v>
      </c>
      <c r="B466" t="s">
        <v>2730</v>
      </c>
      <c r="C466" s="9" t="s">
        <v>2731</v>
      </c>
      <c r="D466" s="13" t="s">
        <v>3952</v>
      </c>
      <c r="E466" s="9" t="s">
        <v>2732</v>
      </c>
      <c r="F466"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6" s="9" t="s">
        <v>1038</v>
      </c>
      <c r="H466" s="9" t="s">
        <v>2729</v>
      </c>
      <c r="I466" s="12" t="str">
        <f>RIGHT(LEFT(Table4[[#This Row],[Latest Senate Action]],FIND(" Congress",Table4[[#This Row],[Latest Senate Action]])-1),LEN(LEFT(Table4[[#This Row],[Latest Senate Action]],FIND(" Congress",Table4[[#This Row],[Latest Senate Action]])-1))-FIND("-",Table4[[#This Row],[Latest Senate Action]])-1)</f>
        <v>99th</v>
      </c>
      <c r="J466" s="12" t="str">
        <f>RIGHT(Table4[[#This Row],[Latest Senate Action]],LEN(Table4[[#This Row],[Latest Senate Action]])-FIND(") - ",Table4[[#This Row],[Latest Senate Action]])-3)</f>
        <v xml:space="preserve">Treaty moved through its various parliamentary stages, and resolution of ratification considered without amendment. Approved by division vote. (All Actions) </v>
      </c>
      <c r="K466" s="12" t="str">
        <f>INDEX(Table5[type],MATCH(Table4[[#This Row],[Action]],Table5[Action],0))</f>
        <v>Passed</v>
      </c>
      <c r="L466" s="22" t="b">
        <f>INDEX(Table1[Senate and President Same Party, House and President Different Party],MATCH(Table4[[#This Row],[Congress Acting]],Table1[Congress],0))</f>
        <v>1</v>
      </c>
    </row>
    <row r="467" spans="1:12" ht="189">
      <c r="A467" s="9" t="s">
        <v>689</v>
      </c>
      <c r="B467" t="s">
        <v>2733</v>
      </c>
      <c r="C467" s="9" t="s">
        <v>2734</v>
      </c>
      <c r="D467" s="13" t="s">
        <v>3953</v>
      </c>
      <c r="E467" s="9" t="s">
        <v>2735</v>
      </c>
      <c r="F467"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7" s="9" t="s">
        <v>1063</v>
      </c>
      <c r="H467" s="9" t="s">
        <v>2736</v>
      </c>
      <c r="I467" s="12" t="str">
        <f>RIGHT(LEFT(Table4[[#This Row],[Latest Senate Action]],FIND(" Congress",Table4[[#This Row],[Latest Senate Action]])-1),LEN(LEFT(Table4[[#This Row],[Latest Senate Action]],FIND(" Congress",Table4[[#This Row],[Latest Senate Action]])-1))-FIND("-",Table4[[#This Row],[Latest Senate Action]])-1)</f>
        <v>99th</v>
      </c>
      <c r="J467" s="12" t="str">
        <f>RIGHT(Table4[[#This Row],[Latest Senate Action]],LEN(Table4[[#This Row],[Latest Senate Action]])-FIND(") - ",Table4[[#This Row],[Latest Senate Action]])-3)</f>
        <v xml:space="preserve">Approved 96-1. See action on parent treaty - Treaty Doc. 98-30. Record Vote Number: 163. (All Actions) </v>
      </c>
      <c r="K467" s="12" t="str">
        <f>INDEX(Table5[type],MATCH(Table4[[#This Row],[Action]],Table5[Action],0))</f>
        <v>Passed</v>
      </c>
      <c r="L467" s="22" t="b">
        <f>INDEX(Table1[Senate and President Same Party, House and President Different Party],MATCH(Table4[[#This Row],[Congress Acting]],Table1[Congress],0))</f>
        <v>1</v>
      </c>
    </row>
    <row r="468" spans="1:12" ht="189">
      <c r="A468" s="9" t="s">
        <v>690</v>
      </c>
      <c r="B468" t="s">
        <v>2737</v>
      </c>
      <c r="C468" s="9" t="s">
        <v>2738</v>
      </c>
      <c r="D468" s="13" t="s">
        <v>3954</v>
      </c>
      <c r="E468" s="9" t="s">
        <v>2739</v>
      </c>
      <c r="F46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68" s="9" t="s">
        <v>1063</v>
      </c>
      <c r="H468" s="9" t="s">
        <v>2740</v>
      </c>
      <c r="I468" s="12" t="str">
        <f>RIGHT(LEFT(Table4[[#This Row],[Latest Senate Action]],FIND(" Congress",Table4[[#This Row],[Latest Senate Action]])-1),LEN(LEFT(Table4[[#This Row],[Latest Senate Action]],FIND(" Congress",Table4[[#This Row],[Latest Senate Action]])-1))-FIND("-",Table4[[#This Row],[Latest Senate Action]])-1)</f>
        <v>99th</v>
      </c>
      <c r="J468" s="12" t="str">
        <f>RIGHT(Table4[[#This Row],[Latest Senate Action]],LEN(Table4[[#This Row],[Latest Senate Action]])-FIND(") - ",Table4[[#This Row],[Latest Senate Action]])-3)</f>
        <v xml:space="preserve">Treaty and Protocol of May 10, 1986, moved through various parliamentary stages, and resolution of ratification considered without amendment. Approved 96-1 by roll call vote (Record Vote No. 163 Ex.) Calendar No. 8. (All Actions) </v>
      </c>
      <c r="K468" s="12" t="str">
        <f>INDEX(Table5[type],MATCH(Table4[[#This Row],[Action]],Table5[Action],0))</f>
        <v>Passed</v>
      </c>
      <c r="L468" s="22" t="b">
        <f>INDEX(Table1[Senate and President Same Party, House and President Different Party],MATCH(Table4[[#This Row],[Congress Acting]],Table1[Congress],0))</f>
        <v>1</v>
      </c>
    </row>
    <row r="469" spans="1:12" ht="173.25">
      <c r="A469" s="9" t="s">
        <v>691</v>
      </c>
      <c r="B469" t="s">
        <v>2741</v>
      </c>
      <c r="C469" s="9" t="s">
        <v>2742</v>
      </c>
      <c r="D469" s="13" t="s">
        <v>3955</v>
      </c>
      <c r="E469" s="9" t="s">
        <v>2743</v>
      </c>
      <c r="F469"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69" s="9" t="s">
        <v>1013</v>
      </c>
      <c r="H469" s="9" t="s">
        <v>2744</v>
      </c>
      <c r="I469" s="12" t="str">
        <f>RIGHT(LEFT(Table4[[#This Row],[Latest Senate Action]],FIND(" Congress",Table4[[#This Row],[Latest Senate Action]])-1),LEN(LEFT(Table4[[#This Row],[Latest Senate Action]],FIND(" Congress",Table4[[#This Row],[Latest Senate Action]])-1))-FIND("-",Table4[[#This Row],[Latest Senate Action]])-1)</f>
        <v>99th</v>
      </c>
      <c r="J469" s="12" t="str">
        <f>RIGHT(Table4[[#This Row],[Latest Senate Action]],LEN(Table4[[#This Row],[Latest Senate Action]])-FIND(") - ",Table4[[#This Row],[Latest Senate Action]])-3)</f>
        <v xml:space="preserve">Resolution of advice and consent to ratification considered. Approved 87-10 by a roll call vote (No. 160 Ex.). Cal. No. 13. (All Actions) </v>
      </c>
      <c r="K469" s="12" t="str">
        <f>INDEX(Table5[type],MATCH(Table4[[#This Row],[Action]],Table5[Action],0))</f>
        <v>Passed</v>
      </c>
      <c r="L469" s="22" t="b">
        <f>INDEX(Table1[Senate and President Same Party, House and President Different Party],MATCH(Table4[[#This Row],[Congress Acting]],Table1[Congress],0))</f>
        <v>1</v>
      </c>
    </row>
    <row r="470" spans="1:12" ht="157.5">
      <c r="A470" s="9" t="s">
        <v>692</v>
      </c>
      <c r="B470" t="s">
        <v>2745</v>
      </c>
      <c r="C470" s="9" t="s">
        <v>2746</v>
      </c>
      <c r="D470" s="13" t="s">
        <v>3956</v>
      </c>
      <c r="E470" s="9" t="s">
        <v>2747</v>
      </c>
      <c r="F470"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0" s="9" t="s">
        <v>1112</v>
      </c>
      <c r="H470" s="9" t="s">
        <v>2748</v>
      </c>
      <c r="I470" s="12" t="str">
        <f>RIGHT(LEFT(Table4[[#This Row],[Latest Senate Action]],FIND(" Congress",Table4[[#This Row],[Latest Senate Action]])-1),LEN(LEFT(Table4[[#This Row],[Latest Senate Action]],FIND(" Congress",Table4[[#This Row],[Latest Senate Action]])-1))-FIND("-",Table4[[#This Row],[Latest Senate Action]])-1)</f>
        <v>99th</v>
      </c>
      <c r="J470" s="12" t="str">
        <f>RIGHT(Table4[[#This Row],[Latest Senate Action]],LEN(Table4[[#This Row],[Latest Senate Action]])-FIND(") - ",Table4[[#This Row],[Latest Senate Action]])-3)</f>
        <v xml:space="preserve">Committee on Foreign Relations. Hearings held. (All Actions) </v>
      </c>
      <c r="K470" s="12" t="str">
        <f>INDEX(Table5[type],MATCH(Table4[[#This Row],[Action]],Table5[Action],0))</f>
        <v>In Process</v>
      </c>
      <c r="L470" s="22" t="b">
        <f>INDEX(Table1[Senate and President Same Party, House and President Different Party],MATCH(Table4[[#This Row],[Congress Acting]],Table1[Congress],0))</f>
        <v>1</v>
      </c>
    </row>
    <row r="471" spans="1:12" ht="204.75">
      <c r="A471" s="9" t="s">
        <v>693</v>
      </c>
      <c r="B471" t="s">
        <v>2749</v>
      </c>
      <c r="C471" s="9" t="s">
        <v>2750</v>
      </c>
      <c r="D471" s="13" t="s">
        <v>3957</v>
      </c>
      <c r="E471" s="9" t="s">
        <v>2751</v>
      </c>
      <c r="F471" t="str">
        <f>RIGHT(LEFT(Table4[[#This Row],[Date Received from President]],FIND(" Congress",Table4[[#This Row],[Date Received from President]])-1),LEN(LEFT(Table4[[#This Row],[Date Received from President]],FIND(" Congress",Table4[[#This Row],[Date Received from President]])-1))-FIND("-",Table4[[#This Row],[Date Received from President]])-1)</f>
        <v>81st</v>
      </c>
      <c r="G471" s="9" t="s">
        <v>1106</v>
      </c>
      <c r="H471" s="9" t="s">
        <v>2752</v>
      </c>
      <c r="I471" s="12" t="str">
        <f>RIGHT(LEFT(Table4[[#This Row],[Latest Senate Action]],FIND(" Congress",Table4[[#This Row],[Latest Senate Action]])-1),LEN(LEFT(Table4[[#This Row],[Latest Senate Action]],FIND(" Congress",Table4[[#This Row],[Latest Senate Action]])-1))-FIND("-",Table4[[#This Row],[Latest Senate Action]])-1)</f>
        <v>99th</v>
      </c>
      <c r="J471" s="12" t="str">
        <f>RIGHT(Table4[[#This Row],[Latest Senate Action]],LEN(Table4[[#This Row],[Latest Senate Action]])-FIND(") - ",Table4[[#This Row],[Latest Senate Action]])-3)</f>
        <v xml:space="preserve">Treaty moved through its parliamentary stages, and resolution of ratification considered; with eight committee-reported provisos agreed to. Approved 83-11 by a roll call vote (No. 15 Ex.). Calendar No. 2. (All Actions) </v>
      </c>
      <c r="K471" s="12" t="str">
        <f>INDEX(Table5[type],MATCH(Table4[[#This Row],[Action]],Table5[Action],0))</f>
        <v>Passed</v>
      </c>
      <c r="L471" s="22" t="b">
        <f>INDEX(Table1[Senate and President Same Party, House and President Different Party],MATCH(Table4[[#This Row],[Congress Acting]],Table1[Congress],0))</f>
        <v>1</v>
      </c>
    </row>
    <row r="472" spans="1:12" ht="141.75">
      <c r="A472" s="9" t="s">
        <v>694</v>
      </c>
      <c r="B472" t="s">
        <v>2753</v>
      </c>
      <c r="C472" s="9" t="s">
        <v>2754</v>
      </c>
      <c r="D472" s="13" t="s">
        <v>3958</v>
      </c>
      <c r="E472" s="9" t="s">
        <v>2755</v>
      </c>
      <c r="F472"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72" s="9" t="s">
        <v>1063</v>
      </c>
      <c r="H472" s="9" t="s">
        <v>2756</v>
      </c>
      <c r="I472" s="12" t="str">
        <f>RIGHT(LEFT(Table4[[#This Row],[Latest Senate Action]],FIND(" Congress",Table4[[#This Row],[Latest Senate Action]])-1),LEN(LEFT(Table4[[#This Row],[Latest Senate Action]],FIND(" Congress",Table4[[#This Row],[Latest Senate Action]])-1))-FIND("-",Table4[[#This Row],[Latest Senate Action]])-1)</f>
        <v>99th</v>
      </c>
      <c r="J472" s="12" t="str">
        <f>RIGHT(Table4[[#This Row],[Latest Senate Action]],LEN(Table4[[#This Row],[Latest Senate Action]])-FIND(") - ",Table4[[#This Row],[Latest Senate Action]])-3)</f>
        <v xml:space="preserve">Resolution of advice and consent to ratification agreed to in Senate with a reservation by Division Vote. (All Actions) </v>
      </c>
      <c r="K472" s="12" t="str">
        <f>INDEX(Table5[type],MATCH(Table4[[#This Row],[Action]],Table5[Action],0))</f>
        <v>Passed</v>
      </c>
      <c r="L472" s="22" t="b">
        <f>INDEX(Table1[Senate and President Same Party, House and President Different Party],MATCH(Table4[[#This Row],[Congress Acting]],Table1[Congress],0))</f>
        <v>1</v>
      </c>
    </row>
    <row r="473" spans="1:12" ht="157.5">
      <c r="A473" s="9" t="s">
        <v>695</v>
      </c>
      <c r="B473" t="s">
        <v>2757</v>
      </c>
      <c r="C473" s="9" t="s">
        <v>2758</v>
      </c>
      <c r="D473" s="13" t="s">
        <v>3959</v>
      </c>
      <c r="E473" s="9" t="s">
        <v>2759</v>
      </c>
      <c r="F473"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73" s="9" t="s">
        <v>1052</v>
      </c>
      <c r="H473" s="9" t="s">
        <v>2760</v>
      </c>
      <c r="I473" s="12" t="str">
        <f>RIGHT(LEFT(Table4[[#This Row],[Latest Senate Action]],FIND(" Congress",Table4[[#This Row],[Latest Senate Action]])-1),LEN(LEFT(Table4[[#This Row],[Latest Senate Action]],FIND(" Congress",Table4[[#This Row],[Latest Senate Action]])-1))-FIND("-",Table4[[#This Row],[Latest Senate Action]])-1)</f>
        <v>99th</v>
      </c>
      <c r="J473" s="12" t="str">
        <f>RIGHT(Table4[[#This Row],[Latest Senate Action]],LEN(Table4[[#This Row],[Latest Senate Action]])-FIND(") - ",Table4[[#This Row],[Latest Senate Action]])-3)</f>
        <v xml:space="preserve">Resolution of advice and consent to ratification agreed to in Senate by Division Vote. (All Actions) </v>
      </c>
      <c r="K473" s="12" t="str">
        <f>INDEX(Table5[type],MATCH(Table4[[#This Row],[Action]],Table5[Action],0))</f>
        <v>Passed</v>
      </c>
      <c r="L473" s="22" t="b">
        <f>INDEX(Table1[Senate and President Same Party, House and President Different Party],MATCH(Table4[[#This Row],[Congress Acting]],Table1[Congress],0))</f>
        <v>1</v>
      </c>
    </row>
    <row r="474" spans="1:12" ht="141.75">
      <c r="A474" s="9" t="s">
        <v>696</v>
      </c>
      <c r="B474" t="s">
        <v>2761</v>
      </c>
      <c r="C474" s="9" t="s">
        <v>1895</v>
      </c>
      <c r="D474" s="13" t="s">
        <v>3960</v>
      </c>
      <c r="E474" s="9" t="s">
        <v>2762</v>
      </c>
      <c r="F474"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4" s="9" t="s">
        <v>1063</v>
      </c>
      <c r="H474" s="9" t="s">
        <v>2763</v>
      </c>
      <c r="I474" s="12" t="str">
        <f>RIGHT(LEFT(Table4[[#This Row],[Latest Senate Action]],FIND(" Congress",Table4[[#This Row],[Latest Senate Action]])-1),LEN(LEFT(Table4[[#This Row],[Latest Senate Action]],FIND(" Congress",Table4[[#This Row],[Latest Senate Action]])-1))-FIND("-",Table4[[#This Row],[Latest Senate Action]])-1)</f>
        <v>99th</v>
      </c>
      <c r="J474" s="12" t="str">
        <f>RIGHT(Table4[[#This Row],[Latest Senate Action]],LEN(Table4[[#This Row],[Latest Senate Action]])-FIND(") - ",Table4[[#This Row],[Latest Senate Action]])-3)</f>
        <v xml:space="preserve">Resolution of advice and consent to ratification agreed to in Senate with an understanding by Division Vote. (All Actions) </v>
      </c>
      <c r="K474" s="12" t="str">
        <f>INDEX(Table5[type],MATCH(Table4[[#This Row],[Action]],Table5[Action],0))</f>
        <v>Passed</v>
      </c>
      <c r="L474" s="22" t="b">
        <f>INDEX(Table1[Senate and President Same Party, House and President Different Party],MATCH(Table4[[#This Row],[Congress Acting]],Table1[Congress],0))</f>
        <v>1</v>
      </c>
    </row>
    <row r="475" spans="1:12" ht="141.75">
      <c r="A475" s="9" t="s">
        <v>697</v>
      </c>
      <c r="B475" t="s">
        <v>2764</v>
      </c>
      <c r="C475" s="9" t="s">
        <v>2765</v>
      </c>
      <c r="D475" s="13" t="s">
        <v>3961</v>
      </c>
      <c r="E475" s="9" t="s">
        <v>2766</v>
      </c>
      <c r="F475"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5" s="9" t="s">
        <v>1063</v>
      </c>
      <c r="H475" s="9" t="s">
        <v>2760</v>
      </c>
      <c r="I475" s="12" t="str">
        <f>RIGHT(LEFT(Table4[[#This Row],[Latest Senate Action]],FIND(" Congress",Table4[[#This Row],[Latest Senate Action]])-1),LEN(LEFT(Table4[[#This Row],[Latest Senate Action]],FIND(" Congress",Table4[[#This Row],[Latest Senate Action]])-1))-FIND("-",Table4[[#This Row],[Latest Senate Action]])-1)</f>
        <v>99th</v>
      </c>
      <c r="J475" s="12" t="str">
        <f>RIGHT(Table4[[#This Row],[Latest Senate Action]],LEN(Table4[[#This Row],[Latest Senate Action]])-FIND(") - ",Table4[[#This Row],[Latest Senate Action]])-3)</f>
        <v xml:space="preserve">Resolution of advice and consent to ratification agreed to in Senate by Division Vote. (All Actions) </v>
      </c>
      <c r="K475" s="12" t="str">
        <f>INDEX(Table5[type],MATCH(Table4[[#This Row],[Action]],Table5[Action],0))</f>
        <v>Passed</v>
      </c>
      <c r="L475" s="22" t="b">
        <f>INDEX(Table1[Senate and President Same Party, House and President Different Party],MATCH(Table4[[#This Row],[Congress Acting]],Table1[Congress],0))</f>
        <v>1</v>
      </c>
    </row>
    <row r="476" spans="1:12" ht="173.25">
      <c r="A476" s="9" t="s">
        <v>698</v>
      </c>
      <c r="B476" t="s">
        <v>2767</v>
      </c>
      <c r="C476" s="9" t="s">
        <v>2768</v>
      </c>
      <c r="D476" s="13" t="s">
        <v>3962</v>
      </c>
      <c r="E476" s="9" t="s">
        <v>2769</v>
      </c>
      <c r="F476"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6" s="9" t="s">
        <v>1052</v>
      </c>
      <c r="H476" s="9" t="s">
        <v>2770</v>
      </c>
      <c r="I476" s="12" t="str">
        <f>RIGHT(LEFT(Table4[[#This Row],[Latest Senate Action]],FIND(" Congress",Table4[[#This Row],[Latest Senate Action]])-1),LEN(LEFT(Table4[[#This Row],[Latest Senate Action]],FIND(" Congress",Table4[[#This Row],[Latest Senate Action]])-1))-FIND("-",Table4[[#This Row],[Latest Senate Action]])-1)</f>
        <v>99th</v>
      </c>
      <c r="J476" s="12" t="str">
        <f>RIGHT(Table4[[#This Row],[Latest Senate Action]],LEN(Table4[[#This Row],[Latest Senate Action]])-FIND(") - ",Table4[[#This Row],[Latest Senate Action]])-3)</f>
        <v xml:space="preserve">Considered by Senate; treaty and resolution thereto considered without amendment; approved 98-0 (Vote #239 Ex.) Calendar No. 3. (All Actions) </v>
      </c>
      <c r="K476" s="12" t="str">
        <f>INDEX(Table5[type],MATCH(Table4[[#This Row],[Action]],Table5[Action],0))</f>
        <v>Passed</v>
      </c>
      <c r="L476" s="22" t="b">
        <f>INDEX(Table1[Senate and President Same Party, House and President Different Party],MATCH(Table4[[#This Row],[Congress Acting]],Table1[Congress],0))</f>
        <v>1</v>
      </c>
    </row>
    <row r="477" spans="1:12" ht="189">
      <c r="A477" s="9" t="s">
        <v>699</v>
      </c>
      <c r="B477" t="s">
        <v>185</v>
      </c>
      <c r="C477" s="9" t="s">
        <v>2771</v>
      </c>
      <c r="D477" s="13" t="s">
        <v>3963</v>
      </c>
      <c r="E477" s="9" t="s">
        <v>2772</v>
      </c>
      <c r="F477" t="str">
        <f>RIGHT(LEFT(Table4[[#This Row],[Date Received from President]],FIND(" Congress",Table4[[#This Row],[Date Received from President]])-1),LEN(LEFT(Table4[[#This Row],[Date Received from President]],FIND(" Congress",Table4[[#This Row],[Date Received from President]])-1))-FIND("-",Table4[[#This Row],[Date Received from President]])-1)</f>
        <v>99th</v>
      </c>
      <c r="G477" s="9" t="s">
        <v>1112</v>
      </c>
      <c r="H477" s="9" t="s">
        <v>2773</v>
      </c>
      <c r="I477" s="12" t="str">
        <f>RIGHT(LEFT(Table4[[#This Row],[Latest Senate Action]],FIND(" Congress",Table4[[#This Row],[Latest Senate Action]])-1),LEN(LEFT(Table4[[#This Row],[Latest Senate Action]],FIND(" Congress",Table4[[#This Row],[Latest Senate Action]])-1))-FIND("-",Table4[[#This Row],[Latest Senate Action]])-1)</f>
        <v>99th</v>
      </c>
      <c r="J477" s="12" t="str">
        <f>RIGHT(Table4[[#This Row],[Latest Senate Action]],LEN(Table4[[#This Row],[Latest Senate Action]])-FIND(") - ",Table4[[#This Row],[Latest Senate Action]])-3)</f>
        <v xml:space="preserve">Treaty considered by the Senate, moved through its parliamentary stages, and resolution of ratification considered without amendment. Approved 96-0 by a roll call vote (No. 18 Ex.). Calendar No. 1. (All Actions) </v>
      </c>
      <c r="K477" s="12" t="str">
        <f>INDEX(Table5[type],MATCH(Table4[[#This Row],[Action]],Table5[Action],0))</f>
        <v>Passed</v>
      </c>
      <c r="L477" s="22" t="b">
        <f>INDEX(Table1[Senate and President Same Party, House and President Different Party],MATCH(Table4[[#This Row],[Congress Acting]],Table1[Congress],0))</f>
        <v>1</v>
      </c>
    </row>
    <row r="478" spans="1:12" ht="141.75">
      <c r="A478" s="9" t="s">
        <v>700</v>
      </c>
      <c r="B478" t="s">
        <v>2774</v>
      </c>
      <c r="C478" s="9" t="s">
        <v>2775</v>
      </c>
      <c r="D478" s="13" t="s">
        <v>4250</v>
      </c>
      <c r="E478" s="9" t="s">
        <v>2776</v>
      </c>
      <c r="F47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8" s="9" t="s">
        <v>1052</v>
      </c>
      <c r="H478" s="9" t="s">
        <v>2777</v>
      </c>
      <c r="I478" s="12" t="str">
        <f>RIGHT(LEFT(Table4[[#This Row],[Latest Senate Action]],FIND(" Congress",Table4[[#This Row],[Latest Senate Action]])-1),LEN(LEFT(Table4[[#This Row],[Latest Senate Action]],FIND(" Congress",Table4[[#This Row],[Latest Senate Action]])-1))-FIND("-",Table4[[#This Row],[Latest Senate Action]])-1)</f>
        <v>98th</v>
      </c>
      <c r="J478" s="12" t="str">
        <f>RIGHT(Table4[[#This Row],[Latest Senate Action]],LEN(Table4[[#This Row],[Latest Senate Action]])-FIND(") - ",Table4[[#This Row],[Latest Senate Action]])-3)</f>
        <v xml:space="preserve">Resolution of advice and consent to ratification agreed to in Senate by Voice Vote. (All Actions) </v>
      </c>
      <c r="K478" s="12" t="str">
        <f>INDEX(Table5[type],MATCH(Table4[[#This Row],[Action]],Table5[Action],0))</f>
        <v>Passed</v>
      </c>
      <c r="L478" s="22" t="b">
        <f>INDEX(Table1[Senate and President Same Party, House and President Different Party],MATCH(Table4[[#This Row],[Congress Acting]],Table1[Congress],0))</f>
        <v>1</v>
      </c>
    </row>
    <row r="479" spans="1:12" ht="126">
      <c r="A479" s="9" t="s">
        <v>701</v>
      </c>
      <c r="B479" t="s">
        <v>2778</v>
      </c>
      <c r="C479" s="9" t="s">
        <v>2779</v>
      </c>
      <c r="D479" s="13" t="s">
        <v>3964</v>
      </c>
      <c r="E479" s="9" t="s">
        <v>2780</v>
      </c>
      <c r="F479"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79" s="9" t="s">
        <v>1063</v>
      </c>
      <c r="H479" s="9" t="s">
        <v>2781</v>
      </c>
      <c r="I479" s="12" t="str">
        <f>RIGHT(LEFT(Table4[[#This Row],[Latest Senate Action]],FIND(" Congress",Table4[[#This Row],[Latest Senate Action]])-1),LEN(LEFT(Table4[[#This Row],[Latest Senate Action]],FIND(" Congress",Table4[[#This Row],[Latest Senate Action]])-1))-FIND("-",Table4[[#This Row],[Latest Senate Action]])-1)</f>
        <v>98th</v>
      </c>
      <c r="J479" s="12" t="str">
        <f>RIGHT(Table4[[#This Row],[Latest Senate Action]],LEN(Table4[[#This Row],[Latest Senate Action]])-FIND(") - ",Table4[[#This Row],[Latest Senate Action]])-3)</f>
        <v xml:space="preserve">Treaty (with reservation) approved by Senate 97-0 (#222 Ex.). (All Actions) </v>
      </c>
      <c r="K479" s="12" t="str">
        <f>INDEX(Table5[type],MATCH(Table4[[#This Row],[Action]],Table5[Action],0))</f>
        <v>Passed</v>
      </c>
      <c r="L479" s="22" t="b">
        <f>INDEX(Table1[Senate and President Same Party, House and President Different Party],MATCH(Table4[[#This Row],[Congress Acting]],Table1[Congress],0))</f>
        <v>1</v>
      </c>
    </row>
    <row r="480" spans="1:12" ht="157.5">
      <c r="A480" s="9" t="s">
        <v>702</v>
      </c>
      <c r="B480" t="s">
        <v>2782</v>
      </c>
      <c r="C480" s="9" t="s">
        <v>2783</v>
      </c>
      <c r="D480" s="13" t="s">
        <v>3965</v>
      </c>
      <c r="E480" s="9" t="s">
        <v>2701</v>
      </c>
      <c r="F480"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0" s="9" t="s">
        <v>1013</v>
      </c>
      <c r="H480" s="9" t="s">
        <v>2784</v>
      </c>
      <c r="I480" s="12" t="str">
        <f>RIGHT(LEFT(Table4[[#This Row],[Latest Senate Action]],FIND(" Congress",Table4[[#This Row],[Latest Senate Action]])-1),LEN(LEFT(Table4[[#This Row],[Latest Senate Action]],FIND(" Congress",Table4[[#This Row],[Latest Senate Action]])-1))-FIND("-",Table4[[#This Row],[Latest Senate Action]])-1)</f>
        <v>98th</v>
      </c>
      <c r="J480" s="12" t="str">
        <f>RIGHT(Table4[[#This Row],[Latest Senate Action]],LEN(Table4[[#This Row],[Latest Senate Action]])-FIND(") - ",Table4[[#This Row],[Latest Senate Action]])-3)</f>
        <v xml:space="preserve">Treaty approved by Senate 97-0 (#223 Ex.). (All Actions) </v>
      </c>
      <c r="K480" s="12" t="str">
        <f>INDEX(Table5[type],MATCH(Table4[[#This Row],[Action]],Table5[Action],0))</f>
        <v>Passed</v>
      </c>
      <c r="L480" s="22" t="b">
        <f>INDEX(Table1[Senate and President Same Party, House and President Different Party],MATCH(Table4[[#This Row],[Congress Acting]],Table1[Congress],0))</f>
        <v>1</v>
      </c>
    </row>
    <row r="481" spans="1:12" ht="157.5">
      <c r="A481" s="9" t="s">
        <v>703</v>
      </c>
      <c r="B481" t="s">
        <v>2785</v>
      </c>
      <c r="C481" s="9" t="s">
        <v>2786</v>
      </c>
      <c r="D481" s="13" t="s">
        <v>3966</v>
      </c>
      <c r="E481" s="9" t="s">
        <v>1803</v>
      </c>
      <c r="F481"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1" s="9" t="s">
        <v>1112</v>
      </c>
      <c r="H481" s="9" t="s">
        <v>2787</v>
      </c>
      <c r="I481" s="12" t="str">
        <f>RIGHT(LEFT(Table4[[#This Row],[Latest Senate Action]],FIND(" Congress",Table4[[#This Row],[Latest Senate Action]])-1),LEN(LEFT(Table4[[#This Row],[Latest Senate Action]],FIND(" Congress",Table4[[#This Row],[Latest Senate Action]])-1))-FIND("-",Table4[[#This Row],[Latest Senate Action]])-1)</f>
        <v>98th</v>
      </c>
      <c r="J481" s="12" t="str">
        <f>RIGHT(Table4[[#This Row],[Latest Senate Action]],LEN(Table4[[#This Row],[Latest Senate Action]])-FIND(") - ",Table4[[#This Row],[Latest Senate Action]])-3)</f>
        <v xml:space="preserve">Treaty approved by Senate 97-0 (#224 Ex.). (All Actions) </v>
      </c>
      <c r="K481" s="12" t="str">
        <f>INDEX(Table5[type],MATCH(Table4[[#This Row],[Action]],Table5[Action],0))</f>
        <v>Passed</v>
      </c>
      <c r="L481" s="22" t="b">
        <f>INDEX(Table1[Senate and President Same Party, House and President Different Party],MATCH(Table4[[#This Row],[Congress Acting]],Table1[Congress],0))</f>
        <v>1</v>
      </c>
    </row>
    <row r="482" spans="1:12" ht="157.5">
      <c r="A482" s="9" t="s">
        <v>704</v>
      </c>
      <c r="B482" t="s">
        <v>2788</v>
      </c>
      <c r="C482" s="9" t="s">
        <v>2789</v>
      </c>
      <c r="D482" s="13" t="s">
        <v>3967</v>
      </c>
      <c r="E482" s="9" t="s">
        <v>2790</v>
      </c>
      <c r="F482"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2" s="9" t="s">
        <v>1013</v>
      </c>
      <c r="H482" s="9" t="s">
        <v>2791</v>
      </c>
      <c r="I482" s="12" t="str">
        <f>RIGHT(LEFT(Table4[[#This Row],[Latest Senate Action]],FIND(" Congress",Table4[[#This Row],[Latest Senate Action]])-1),LEN(LEFT(Table4[[#This Row],[Latest Senate Action]],FIND(" Congress",Table4[[#This Row],[Latest Senate Action]])-1))-FIND("-",Table4[[#This Row],[Latest Senate Action]])-1)</f>
        <v>98th</v>
      </c>
      <c r="J482" s="12" t="str">
        <f>RIGHT(Table4[[#This Row],[Latest Senate Action]],LEN(Table4[[#This Row],[Latest Senate Action]])-FIND(") - ",Table4[[#This Row],[Latest Senate Action]])-3)</f>
        <v xml:space="preserve">Treaty approved by Senate 100-0 vote (#168 Ex.). (All Actions) </v>
      </c>
      <c r="K482" s="12" t="str">
        <f>INDEX(Table5[type],MATCH(Table4[[#This Row],[Action]],Table5[Action],0))</f>
        <v>Passed</v>
      </c>
      <c r="L482" s="22" t="b">
        <f>INDEX(Table1[Senate and President Same Party, House and President Different Party],MATCH(Table4[[#This Row],[Congress Acting]],Table1[Congress],0))</f>
        <v>1</v>
      </c>
    </row>
    <row r="483" spans="1:12" ht="126">
      <c r="A483" s="9" t="s">
        <v>705</v>
      </c>
      <c r="B483" t="s">
        <v>2792</v>
      </c>
      <c r="C483" s="9" t="s">
        <v>2793</v>
      </c>
      <c r="D483" s="13" t="s">
        <v>3968</v>
      </c>
      <c r="E483" s="9" t="s">
        <v>2701</v>
      </c>
      <c r="F483"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3" s="9" t="s">
        <v>1063</v>
      </c>
      <c r="H483" s="9" t="s">
        <v>2794</v>
      </c>
      <c r="I483" s="12" t="str">
        <f>RIGHT(LEFT(Table4[[#This Row],[Latest Senate Action]],FIND(" Congress",Table4[[#This Row],[Latest Senate Action]])-1),LEN(LEFT(Table4[[#This Row],[Latest Senate Action]],FIND(" Congress",Table4[[#This Row],[Latest Senate Action]])-1))-FIND("-",Table4[[#This Row],[Latest Senate Action]])-1)</f>
        <v>98th</v>
      </c>
      <c r="J483" s="12" t="str">
        <f>RIGHT(Table4[[#This Row],[Latest Senate Action]],LEN(Table4[[#This Row],[Latest Senate Action]])-FIND(") - ",Table4[[#This Row],[Latest Senate Action]])-3)</f>
        <v xml:space="preserve">Treaty approved by Senate 100-0 (#164 Ex.). (All Actions) </v>
      </c>
      <c r="K483" s="12" t="str">
        <f>INDEX(Table5[type],MATCH(Table4[[#This Row],[Action]],Table5[Action],0))</f>
        <v>Passed</v>
      </c>
      <c r="L483" s="22" t="b">
        <f>INDEX(Table1[Senate and President Same Party, House and President Different Party],MATCH(Table4[[#This Row],[Congress Acting]],Table1[Congress],0))</f>
        <v>1</v>
      </c>
    </row>
    <row r="484" spans="1:12" ht="126">
      <c r="A484" s="9" t="s">
        <v>706</v>
      </c>
      <c r="B484" t="s">
        <v>2795</v>
      </c>
      <c r="C484" s="9" t="s">
        <v>2796</v>
      </c>
      <c r="D484" s="13" t="s">
        <v>3969</v>
      </c>
      <c r="E484" s="9" t="s">
        <v>2797</v>
      </c>
      <c r="F484"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4" s="9" t="s">
        <v>1063</v>
      </c>
      <c r="H484" s="9" t="s">
        <v>2798</v>
      </c>
      <c r="I484" s="12" t="str">
        <f>RIGHT(LEFT(Table4[[#This Row],[Latest Senate Action]],FIND(" Congress",Table4[[#This Row],[Latest Senate Action]])-1),LEN(LEFT(Table4[[#This Row],[Latest Senate Action]],FIND(" Congress",Table4[[#This Row],[Latest Senate Action]])-1))-FIND("-",Table4[[#This Row],[Latest Senate Action]])-1)</f>
        <v>98th</v>
      </c>
      <c r="J484" s="12" t="str">
        <f>RIGHT(Table4[[#This Row],[Latest Senate Action]],LEN(Table4[[#This Row],[Latest Senate Action]])-FIND(") - ",Table4[[#This Row],[Latest Senate Action]])-3)</f>
        <v xml:space="preserve">Treaty approved by Senate 100-0 (#167 Ex.). (All Actions) </v>
      </c>
      <c r="K484" s="12" t="str">
        <f>INDEX(Table5[type],MATCH(Table4[[#This Row],[Action]],Table5[Action],0))</f>
        <v>Passed</v>
      </c>
      <c r="L484" s="22" t="b">
        <f>INDEX(Table1[Senate and President Same Party, House and President Different Party],MATCH(Table4[[#This Row],[Congress Acting]],Table1[Congress],0))</f>
        <v>1</v>
      </c>
    </row>
    <row r="485" spans="1:12" ht="141.75">
      <c r="A485" s="9" t="s">
        <v>707</v>
      </c>
      <c r="B485" t="s">
        <v>2799</v>
      </c>
      <c r="C485" s="9" t="s">
        <v>2800</v>
      </c>
      <c r="D485" s="13" t="s">
        <v>3970</v>
      </c>
      <c r="E485" s="9" t="s">
        <v>2801</v>
      </c>
      <c r="F485"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5" s="9" t="s">
        <v>1013</v>
      </c>
      <c r="H485" s="9" t="s">
        <v>2802</v>
      </c>
      <c r="I485" s="12" t="str">
        <f>RIGHT(LEFT(Table4[[#This Row],[Latest Senate Action]],FIND(" Congress",Table4[[#This Row],[Latest Senate Action]])-1),LEN(LEFT(Table4[[#This Row],[Latest Senate Action]],FIND(" Congress",Table4[[#This Row],[Latest Senate Action]])-1))-FIND("-",Table4[[#This Row],[Latest Senate Action]])-1)</f>
        <v>98th</v>
      </c>
      <c r="J485" s="12" t="str">
        <f>RIGHT(Table4[[#This Row],[Latest Senate Action]],LEN(Table4[[#This Row],[Latest Senate Action]])-FIND(") - ",Table4[[#This Row],[Latest Senate Action]])-3)</f>
        <v xml:space="preserve">Treaty approved by Senate 100-0 (# 169 Ex.). (All Actions) </v>
      </c>
      <c r="K485" s="12" t="str">
        <f>INDEX(Table5[type],MATCH(Table4[[#This Row],[Action]],Table5[Action],0))</f>
        <v>Passed</v>
      </c>
      <c r="L485" s="22" t="b">
        <f>INDEX(Table1[Senate and President Same Party, House and President Different Party],MATCH(Table4[[#This Row],[Congress Acting]],Table1[Congress],0))</f>
        <v>1</v>
      </c>
    </row>
    <row r="486" spans="1:12" ht="141.75">
      <c r="A486" s="9" t="s">
        <v>708</v>
      </c>
      <c r="B486" t="s">
        <v>2803</v>
      </c>
      <c r="C486" s="9" t="s">
        <v>2804</v>
      </c>
      <c r="D486" s="13" t="s">
        <v>3971</v>
      </c>
      <c r="E486" s="9" t="s">
        <v>2805</v>
      </c>
      <c r="F486"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6" s="9" t="s">
        <v>1013</v>
      </c>
      <c r="H486" s="9" t="s">
        <v>2806</v>
      </c>
      <c r="I486" s="12" t="str">
        <f>RIGHT(LEFT(Table4[[#This Row],[Latest Senate Action]],FIND(" Congress",Table4[[#This Row],[Latest Senate Action]])-1),LEN(LEFT(Table4[[#This Row],[Latest Senate Action]],FIND(" Congress",Table4[[#This Row],[Latest Senate Action]])-1))-FIND("-",Table4[[#This Row],[Latest Senate Action]])-1)</f>
        <v>98th</v>
      </c>
      <c r="J486" s="12" t="str">
        <f>RIGHT(Table4[[#This Row],[Latest Senate Action]],LEN(Table4[[#This Row],[Latest Senate Action]])-FIND(") - ",Table4[[#This Row],[Latest Senate Action]])-3)</f>
        <v xml:space="preserve">Treaty approved by Senate 100-0 (#170 Ex.). (All Actions) </v>
      </c>
      <c r="K486" s="12" t="str">
        <f>INDEX(Table5[type],MATCH(Table4[[#This Row],[Action]],Table5[Action],0))</f>
        <v>Passed</v>
      </c>
      <c r="L486" s="22" t="b">
        <f>INDEX(Table1[Senate and President Same Party, House and President Different Party],MATCH(Table4[[#This Row],[Congress Acting]],Table1[Congress],0))</f>
        <v>1</v>
      </c>
    </row>
    <row r="487" spans="1:12" ht="141.75">
      <c r="A487" s="9" t="s">
        <v>709</v>
      </c>
      <c r="B487" t="s">
        <v>179</v>
      </c>
      <c r="C487" s="9" t="s">
        <v>2807</v>
      </c>
      <c r="D487" s="13" t="s">
        <v>3972</v>
      </c>
      <c r="E487" s="9" t="s">
        <v>2808</v>
      </c>
      <c r="F487"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7" s="9" t="s">
        <v>1013</v>
      </c>
      <c r="H487" s="9" t="s">
        <v>2809</v>
      </c>
      <c r="I487" s="12" t="str">
        <f>RIGHT(LEFT(Table4[[#This Row],[Latest Senate Action]],FIND(" Congress",Table4[[#This Row],[Latest Senate Action]])-1),LEN(LEFT(Table4[[#This Row],[Latest Senate Action]],FIND(" Congress",Table4[[#This Row],[Latest Senate Action]])-1))-FIND("-",Table4[[#This Row],[Latest Senate Action]])-1)</f>
        <v>98th</v>
      </c>
      <c r="J487" s="12" t="str">
        <f>RIGHT(Table4[[#This Row],[Latest Senate Action]],LEN(Table4[[#This Row],[Latest Senate Action]])-FIND(") - ",Table4[[#This Row],[Latest Senate Action]])-3)</f>
        <v xml:space="preserve">Treaty approved by Senate 100-0 (#171 Ex.). (All Actions) </v>
      </c>
      <c r="K487" s="12" t="str">
        <f>INDEX(Table5[type],MATCH(Table4[[#This Row],[Action]],Table5[Action],0))</f>
        <v>Passed</v>
      </c>
      <c r="L487" s="22" t="b">
        <f>INDEX(Table1[Senate and President Same Party, House and President Different Party],MATCH(Table4[[#This Row],[Congress Acting]],Table1[Congress],0))</f>
        <v>1</v>
      </c>
    </row>
    <row r="488" spans="1:12" ht="141.75">
      <c r="A488" s="9" t="s">
        <v>710</v>
      </c>
      <c r="B488" t="s">
        <v>2810</v>
      </c>
      <c r="C488" s="9" t="s">
        <v>2811</v>
      </c>
      <c r="D488" s="13" t="s">
        <v>3973</v>
      </c>
      <c r="E488" s="9" t="s">
        <v>2808</v>
      </c>
      <c r="F48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8" s="9" t="s">
        <v>1013</v>
      </c>
      <c r="H488" s="9" t="s">
        <v>2812</v>
      </c>
      <c r="I488" s="12" t="str">
        <f>RIGHT(LEFT(Table4[[#This Row],[Latest Senate Action]],FIND(" Congress",Table4[[#This Row],[Latest Senate Action]])-1),LEN(LEFT(Table4[[#This Row],[Latest Senate Action]],FIND(" Congress",Table4[[#This Row],[Latest Senate Action]])-1))-FIND("-",Table4[[#This Row],[Latest Senate Action]])-1)</f>
        <v>98th</v>
      </c>
      <c r="J488" s="12" t="str">
        <f>RIGHT(Table4[[#This Row],[Latest Senate Action]],LEN(Table4[[#This Row],[Latest Senate Action]])-FIND(") - ",Table4[[#This Row],[Latest Senate Action]])-3)</f>
        <v xml:space="preserve">Treaty approved by Senate 100-0 (#172 Ex.). (All Actions) </v>
      </c>
      <c r="K488" s="12" t="str">
        <f>INDEX(Table5[type],MATCH(Table4[[#This Row],[Action]],Table5[Action],0))</f>
        <v>Passed</v>
      </c>
      <c r="L488" s="22" t="b">
        <f>INDEX(Table1[Senate and President Same Party, House and President Different Party],MATCH(Table4[[#This Row],[Congress Acting]],Table1[Congress],0))</f>
        <v>1</v>
      </c>
    </row>
    <row r="489" spans="1:12" ht="141.75">
      <c r="A489" s="9" t="s">
        <v>711</v>
      </c>
      <c r="B489" t="s">
        <v>2813</v>
      </c>
      <c r="C489" s="9" t="s">
        <v>2814</v>
      </c>
      <c r="D489" s="13" t="s">
        <v>3974</v>
      </c>
      <c r="E489" s="9" t="s">
        <v>2815</v>
      </c>
      <c r="F489"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89" s="9" t="s">
        <v>1013</v>
      </c>
      <c r="H489" s="9" t="s">
        <v>2816</v>
      </c>
      <c r="I489" s="12" t="str">
        <f>RIGHT(LEFT(Table4[[#This Row],[Latest Senate Action]],FIND(" Congress",Table4[[#This Row],[Latest Senate Action]])-1),LEN(LEFT(Table4[[#This Row],[Latest Senate Action]],FIND(" Congress",Table4[[#This Row],[Latest Senate Action]])-1))-FIND("-",Table4[[#This Row],[Latest Senate Action]])-1)</f>
        <v>98th</v>
      </c>
      <c r="J489" s="12" t="str">
        <f>RIGHT(Table4[[#This Row],[Latest Senate Action]],LEN(Table4[[#This Row],[Latest Senate Action]])-FIND(") - ",Table4[[#This Row],[Latest Senate Action]])-3)</f>
        <v xml:space="preserve">Treaty approved by Senate 100-0 (#173 Ex.). (All Actions) </v>
      </c>
      <c r="K489" s="12" t="str">
        <f>INDEX(Table5[type],MATCH(Table4[[#This Row],[Action]],Table5[Action],0))</f>
        <v>Passed</v>
      </c>
      <c r="L489" s="22" t="b">
        <f>INDEX(Table1[Senate and President Same Party, House and President Different Party],MATCH(Table4[[#This Row],[Congress Acting]],Table1[Congress],0))</f>
        <v>1</v>
      </c>
    </row>
    <row r="490" spans="1:12" ht="141.75">
      <c r="A490" s="9" t="s">
        <v>712</v>
      </c>
      <c r="B490" t="s">
        <v>2817</v>
      </c>
      <c r="C490" s="9" t="s">
        <v>2818</v>
      </c>
      <c r="D490" s="13" t="s">
        <v>3975</v>
      </c>
      <c r="E490" s="9" t="s">
        <v>2815</v>
      </c>
      <c r="F490"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0" s="9" t="s">
        <v>1013</v>
      </c>
      <c r="H490" s="9" t="s">
        <v>2819</v>
      </c>
      <c r="I490" s="12" t="str">
        <f>RIGHT(LEFT(Table4[[#This Row],[Latest Senate Action]],FIND(" Congress",Table4[[#This Row],[Latest Senate Action]])-1),LEN(LEFT(Table4[[#This Row],[Latest Senate Action]],FIND(" Congress",Table4[[#This Row],[Latest Senate Action]])-1))-FIND("-",Table4[[#This Row],[Latest Senate Action]])-1)</f>
        <v>98th</v>
      </c>
      <c r="J490" s="12" t="str">
        <f>RIGHT(Table4[[#This Row],[Latest Senate Action]],LEN(Table4[[#This Row],[Latest Senate Action]])-FIND(") - ",Table4[[#This Row],[Latest Senate Action]])-3)</f>
        <v xml:space="preserve">Treaty approved by Senate 100-0 (#174 Ex.). (All Actions) </v>
      </c>
      <c r="K490" s="12" t="str">
        <f>INDEX(Table5[type],MATCH(Table4[[#This Row],[Action]],Table5[Action],0))</f>
        <v>Passed</v>
      </c>
      <c r="L490" s="22" t="b">
        <f>INDEX(Table1[Senate and President Same Party, House and President Different Party],MATCH(Table4[[#This Row],[Congress Acting]],Table1[Congress],0))</f>
        <v>1</v>
      </c>
    </row>
    <row r="491" spans="1:12" ht="126">
      <c r="A491" s="9" t="s">
        <v>713</v>
      </c>
      <c r="B491" t="s">
        <v>2820</v>
      </c>
      <c r="C491" s="9" t="s">
        <v>2627</v>
      </c>
      <c r="D491" s="13" t="s">
        <v>3976</v>
      </c>
      <c r="E491" s="9" t="s">
        <v>2815</v>
      </c>
      <c r="F491"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1" s="9" t="s">
        <v>1063</v>
      </c>
      <c r="H491" s="9" t="s">
        <v>2821</v>
      </c>
      <c r="I491" s="12" t="str">
        <f>RIGHT(LEFT(Table4[[#This Row],[Latest Senate Action]],FIND(" Congress",Table4[[#This Row],[Latest Senate Action]])-1),LEN(LEFT(Table4[[#This Row],[Latest Senate Action]],FIND(" Congress",Table4[[#This Row],[Latest Senate Action]])-1))-FIND("-",Table4[[#This Row],[Latest Senate Action]])-1)</f>
        <v>98th</v>
      </c>
      <c r="J491" s="12" t="str">
        <f>RIGHT(Table4[[#This Row],[Latest Senate Action]],LEN(Table4[[#This Row],[Latest Senate Action]])-FIND(") - ",Table4[[#This Row],[Latest Senate Action]])-3)</f>
        <v xml:space="preserve">Treaty approved by Senate 100-0 (#166 Ex.). (All Actions) </v>
      </c>
      <c r="K491" s="12" t="str">
        <f>INDEX(Table5[type],MATCH(Table4[[#This Row],[Action]],Table5[Action],0))</f>
        <v>Passed</v>
      </c>
      <c r="L491" s="22" t="b">
        <f>INDEX(Table1[Senate and President Same Party, House and President Different Party],MATCH(Table4[[#This Row],[Congress Acting]],Table1[Congress],0))</f>
        <v>1</v>
      </c>
    </row>
    <row r="492" spans="1:12" ht="141.75">
      <c r="A492" s="9" t="s">
        <v>714</v>
      </c>
      <c r="B492" t="s">
        <v>2822</v>
      </c>
      <c r="C492" s="9" t="s">
        <v>2823</v>
      </c>
      <c r="D492" s="13" t="s">
        <v>3977</v>
      </c>
      <c r="E492" s="9" t="s">
        <v>2824</v>
      </c>
      <c r="F492"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2" s="9" t="s">
        <v>1063</v>
      </c>
      <c r="H492" s="9" t="s">
        <v>2825</v>
      </c>
      <c r="I492" s="12" t="str">
        <f>RIGHT(LEFT(Table4[[#This Row],[Latest Senate Action]],FIND(" Congress",Table4[[#This Row],[Latest Senate Action]])-1),LEN(LEFT(Table4[[#This Row],[Latest Senate Action]],FIND(" Congress",Table4[[#This Row],[Latest Senate Action]])-1))-FIND("-",Table4[[#This Row],[Latest Senate Action]])-1)</f>
        <v>98th</v>
      </c>
      <c r="J492" s="12" t="str">
        <f>RIGHT(Table4[[#This Row],[Latest Senate Action]],LEN(Table4[[#This Row],[Latest Senate Action]])-FIND(") - ",Table4[[#This Row],[Latest Senate Action]])-3)</f>
        <v xml:space="preserve">Treaty approved by Senate 100-0 (No. 165 Ex.). (All Actions) </v>
      </c>
      <c r="K492" s="12" t="str">
        <f>INDEX(Table5[type],MATCH(Table4[[#This Row],[Action]],Table5[Action],0))</f>
        <v>Passed</v>
      </c>
      <c r="L492" s="22" t="b">
        <f>INDEX(Table1[Senate and President Same Party, House and President Different Party],MATCH(Table4[[#This Row],[Congress Acting]],Table1[Congress],0))</f>
        <v>1</v>
      </c>
    </row>
    <row r="493" spans="1:12" ht="141.75">
      <c r="A493" s="9" t="s">
        <v>715</v>
      </c>
      <c r="B493" t="s">
        <v>2826</v>
      </c>
      <c r="C493" s="9" t="s">
        <v>2827</v>
      </c>
      <c r="D493" s="13" t="s">
        <v>3978</v>
      </c>
      <c r="E493" s="9" t="s">
        <v>2828</v>
      </c>
      <c r="F493"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3" s="9" t="s">
        <v>1013</v>
      </c>
      <c r="H493" s="9" t="s">
        <v>2829</v>
      </c>
      <c r="I493" s="12" t="str">
        <f>RIGHT(LEFT(Table4[[#This Row],[Latest Senate Action]],FIND(" Congress",Table4[[#This Row],[Latest Senate Action]])-1),LEN(LEFT(Table4[[#This Row],[Latest Senate Action]],FIND(" Congress",Table4[[#This Row],[Latest Senate Action]])-1))-FIND("-",Table4[[#This Row],[Latest Senate Action]])-1)</f>
        <v>98th</v>
      </c>
      <c r="J493" s="12" t="str">
        <f>RIGHT(Table4[[#This Row],[Latest Senate Action]],LEN(Table4[[#This Row],[Latest Senate Action]])-FIND(") - ",Table4[[#This Row],[Latest Senate Action]])-3)</f>
        <v xml:space="preserve">Treaty approved by Senate 100-0 vote (#175 Ex.). (All Actions) </v>
      </c>
      <c r="K493" s="12" t="str">
        <f>INDEX(Table5[type],MATCH(Table4[[#This Row],[Action]],Table5[Action],0))</f>
        <v>Passed</v>
      </c>
      <c r="L493" s="22" t="b">
        <f>INDEX(Table1[Senate and President Same Party, House and President Different Party],MATCH(Table4[[#This Row],[Congress Acting]],Table1[Congress],0))</f>
        <v>1</v>
      </c>
    </row>
    <row r="494" spans="1:12" ht="157.5">
      <c r="A494" s="9" t="s">
        <v>716</v>
      </c>
      <c r="B494" t="s">
        <v>2830</v>
      </c>
      <c r="C494" s="9" t="s">
        <v>2831</v>
      </c>
      <c r="D494" s="13" t="s">
        <v>3979</v>
      </c>
      <c r="E494" s="9" t="s">
        <v>2832</v>
      </c>
      <c r="F494"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4" s="9" t="s">
        <v>1013</v>
      </c>
      <c r="H494" s="9" t="s">
        <v>2833</v>
      </c>
      <c r="I494" s="12" t="str">
        <f>RIGHT(LEFT(Table4[[#This Row],[Latest Senate Action]],FIND(" Congress",Table4[[#This Row],[Latest Senate Action]])-1),LEN(LEFT(Table4[[#This Row],[Latest Senate Action]],FIND(" Congress",Table4[[#This Row],[Latest Senate Action]])-1))-FIND("-",Table4[[#This Row],[Latest Senate Action]])-1)</f>
        <v>98th</v>
      </c>
      <c r="J494" s="12" t="str">
        <f>RIGHT(Table4[[#This Row],[Latest Senate Action]],LEN(Table4[[#This Row],[Latest Senate Action]])-FIND(") - ",Table4[[#This Row],[Latest Senate Action]])-3)</f>
        <v xml:space="preserve">Treaty approved by the Senate 100-0 vote (#176 Ex.). (All Actions) </v>
      </c>
      <c r="K494" s="12" t="str">
        <f>INDEX(Table5[type],MATCH(Table4[[#This Row],[Action]],Table5[Action],0))</f>
        <v>Passed</v>
      </c>
      <c r="L494" s="22" t="b">
        <f>INDEX(Table1[Senate and President Same Party, House and President Different Party],MATCH(Table4[[#This Row],[Congress Acting]],Table1[Congress],0))</f>
        <v>1</v>
      </c>
    </row>
    <row r="495" spans="1:12" ht="157.5">
      <c r="A495" s="9" t="s">
        <v>717</v>
      </c>
      <c r="B495" t="s">
        <v>2834</v>
      </c>
      <c r="C495" s="9" t="s">
        <v>2835</v>
      </c>
      <c r="D495" s="13" t="s">
        <v>3980</v>
      </c>
      <c r="E495" s="9" t="s">
        <v>2836</v>
      </c>
      <c r="F495"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5" s="9" t="s">
        <v>1013</v>
      </c>
      <c r="H495" s="9" t="s">
        <v>2837</v>
      </c>
      <c r="I495" s="12" t="str">
        <f>RIGHT(LEFT(Table4[[#This Row],[Latest Senate Action]],FIND(" Congress",Table4[[#This Row],[Latest Senate Action]])-1),LEN(LEFT(Table4[[#This Row],[Latest Senate Action]],FIND(" Congress",Table4[[#This Row],[Latest Senate Action]])-1))-FIND("-",Table4[[#This Row],[Latest Senate Action]])-1)</f>
        <v>98th</v>
      </c>
      <c r="J495" s="12" t="str">
        <f>RIGHT(Table4[[#This Row],[Latest Senate Action]],LEN(Table4[[#This Row],[Latest Senate Action]])-FIND(") - ",Table4[[#This Row],[Latest Senate Action]])-3)</f>
        <v xml:space="preserve">Treaty approved by Senate 100-0 vote (#177 Ex.). (All Actions) </v>
      </c>
      <c r="K495" s="12" t="str">
        <f>INDEX(Table5[type],MATCH(Table4[[#This Row],[Action]],Table5[Action],0))</f>
        <v>Passed</v>
      </c>
      <c r="L495" s="22" t="b">
        <f>INDEX(Table1[Senate and President Same Party, House and President Different Party],MATCH(Table4[[#This Row],[Congress Acting]],Table1[Congress],0))</f>
        <v>1</v>
      </c>
    </row>
    <row r="496" spans="1:12" ht="189">
      <c r="A496" s="9" t="s">
        <v>718</v>
      </c>
      <c r="B496" t="s">
        <v>2838</v>
      </c>
      <c r="C496" s="9" t="s">
        <v>2839</v>
      </c>
      <c r="D496" s="13" t="s">
        <v>3981</v>
      </c>
      <c r="E496" s="9" t="s">
        <v>2836</v>
      </c>
      <c r="F496"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6" s="9" t="s">
        <v>1052</v>
      </c>
      <c r="H496" s="9" t="s">
        <v>2840</v>
      </c>
      <c r="I496" s="12" t="str">
        <f>RIGHT(LEFT(Table4[[#This Row],[Latest Senate Action]],FIND(" Congress",Table4[[#This Row],[Latest Senate Action]])-1),LEN(LEFT(Table4[[#This Row],[Latest Senate Action]],FIND(" Congress",Table4[[#This Row],[Latest Senate Action]])-1))-FIND("-",Table4[[#This Row],[Latest Senate Action]])-1)</f>
        <v>98th</v>
      </c>
      <c r="J496" s="12" t="str">
        <f>RIGHT(Table4[[#This Row],[Latest Senate Action]],LEN(Table4[[#This Row],[Latest Senate Action]])-FIND(") - ",Table4[[#This Row],[Latest Senate Action]])-3)</f>
        <v xml:space="preserve">Approved by the Senate 100-0 vote (#178 Ex.). (All Actions) </v>
      </c>
      <c r="K496" s="12" t="str">
        <f>INDEX(Table5[type],MATCH(Table4[[#This Row],[Action]],Table5[Action],0))</f>
        <v>Passed</v>
      </c>
      <c r="L496" s="22" t="b">
        <f>INDEX(Table1[Senate and President Same Party, House and President Different Party],MATCH(Table4[[#This Row],[Congress Acting]],Table1[Congress],0))</f>
        <v>1</v>
      </c>
    </row>
    <row r="497" spans="1:12" ht="110.25">
      <c r="A497" s="9" t="s">
        <v>719</v>
      </c>
      <c r="B497" t="s">
        <v>2841</v>
      </c>
      <c r="C497" s="9" t="s">
        <v>2842</v>
      </c>
      <c r="D497" s="13" t="s">
        <v>3982</v>
      </c>
      <c r="E497" s="9" t="s">
        <v>1562</v>
      </c>
      <c r="F49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497" s="9" t="s">
        <v>1063</v>
      </c>
      <c r="H497" s="9" t="s">
        <v>2843</v>
      </c>
      <c r="I497" s="12" t="str">
        <f>RIGHT(LEFT(Table4[[#This Row],[Latest Senate Action]],FIND(" Congress",Table4[[#This Row],[Latest Senate Action]])-1),LEN(LEFT(Table4[[#This Row],[Latest Senate Action]],FIND(" Congress",Table4[[#This Row],[Latest Senate Action]])-1))-FIND("-",Table4[[#This Row],[Latest Senate Action]])-1)</f>
        <v>98th</v>
      </c>
      <c r="J497" s="12" t="str">
        <f>RIGHT(Table4[[#This Row],[Latest Senate Action]],LEN(Table4[[#This Row],[Latest Senate Action]])-FIND(") - ",Table4[[#This Row],[Latest Senate Action]])-3)</f>
        <v xml:space="preserve">Approved by 100-0 vote. Record Vote Number 163. (All Actions) </v>
      </c>
      <c r="K497" s="12" t="str">
        <f>INDEX(Table5[type],MATCH(Table4[[#This Row],[Action]],Table5[Action],0))</f>
        <v>Passed</v>
      </c>
      <c r="L497" s="22" t="b">
        <f>INDEX(Table1[Senate and President Same Party, House and President Different Party],MATCH(Table4[[#This Row],[Congress Acting]],Table1[Congress],0))</f>
        <v>1</v>
      </c>
    </row>
    <row r="498" spans="1:12" ht="126">
      <c r="A498" s="9" t="s">
        <v>720</v>
      </c>
      <c r="B498" t="s">
        <v>2844</v>
      </c>
      <c r="C498" s="9" t="s">
        <v>2845</v>
      </c>
      <c r="D498" s="13" t="s">
        <v>3983</v>
      </c>
      <c r="E498" s="9" t="s">
        <v>2846</v>
      </c>
      <c r="F498"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8" s="9" t="s">
        <v>1052</v>
      </c>
      <c r="H498" s="9" t="s">
        <v>2847</v>
      </c>
      <c r="I498" s="12" t="str">
        <f>RIGHT(LEFT(Table4[[#This Row],[Latest Senate Action]],FIND(" Congress",Table4[[#This Row],[Latest Senate Action]])-1),LEN(LEFT(Table4[[#This Row],[Latest Senate Action]],FIND(" Congress",Table4[[#This Row],[Latest Senate Action]])-1))-FIND("-",Table4[[#This Row],[Latest Senate Action]])-1)</f>
        <v>98th</v>
      </c>
      <c r="J498" s="12" t="str">
        <f>RIGHT(Table4[[#This Row],[Latest Senate Action]],LEN(Table4[[#This Row],[Latest Senate Action]])-FIND(") - ",Table4[[#This Row],[Latest Senate Action]])-3)</f>
        <v xml:space="preserve">Treaty approved by Senate 100-0 vote (#224 Ex.). (All Actions) </v>
      </c>
      <c r="K498" s="12" t="str">
        <f>INDEX(Table5[type],MATCH(Table4[[#This Row],[Action]],Table5[Action],0))</f>
        <v>Passed</v>
      </c>
      <c r="L498" s="22" t="b">
        <f>INDEX(Table1[Senate and President Same Party, House and President Different Party],MATCH(Table4[[#This Row],[Congress Acting]],Table1[Congress],0))</f>
        <v>1</v>
      </c>
    </row>
    <row r="499" spans="1:12" ht="126">
      <c r="A499" s="9" t="s">
        <v>721</v>
      </c>
      <c r="B499" t="s">
        <v>2848</v>
      </c>
      <c r="C499" s="9" t="s">
        <v>2849</v>
      </c>
      <c r="D499" s="13" t="s">
        <v>3984</v>
      </c>
      <c r="E499" s="9" t="s">
        <v>2850</v>
      </c>
      <c r="F499"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499" s="9" t="s">
        <v>1112</v>
      </c>
      <c r="H499" s="9" t="s">
        <v>2851</v>
      </c>
      <c r="I499" s="12" t="str">
        <f>RIGHT(LEFT(Table4[[#This Row],[Latest Senate Action]],FIND(" Congress",Table4[[#This Row],[Latest Senate Action]])-1),LEN(LEFT(Table4[[#This Row],[Latest Senate Action]],FIND(" Congress",Table4[[#This Row],[Latest Senate Action]])-1))-FIND("-",Table4[[#This Row],[Latest Senate Action]])-1)</f>
        <v>98th</v>
      </c>
      <c r="J499" s="12" t="str">
        <f>RIGHT(Table4[[#This Row],[Latest Senate Action]],LEN(Table4[[#This Row],[Latest Senate Action]])-FIND(") - ",Table4[[#This Row],[Latest Senate Action]])-3)</f>
        <v xml:space="preserve">Treaty approved by Senate 100-0 vote (#226 Ex.). (All Actions) </v>
      </c>
      <c r="K499" s="12" t="str">
        <f>INDEX(Table5[type],MATCH(Table4[[#This Row],[Action]],Table5[Action],0))</f>
        <v>Passed</v>
      </c>
      <c r="L499" s="22" t="b">
        <f>INDEX(Table1[Senate and President Same Party, House and President Different Party],MATCH(Table4[[#This Row],[Congress Acting]],Table1[Congress],0))</f>
        <v>1</v>
      </c>
    </row>
    <row r="500" spans="1:12" ht="173.25">
      <c r="A500" s="9" t="s">
        <v>722</v>
      </c>
      <c r="B500" t="s">
        <v>2852</v>
      </c>
      <c r="C500" s="9" t="s">
        <v>2853</v>
      </c>
      <c r="D500" s="13" t="s">
        <v>3985</v>
      </c>
      <c r="E500" s="9" t="s">
        <v>2131</v>
      </c>
      <c r="F50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00" s="9" t="s">
        <v>1052</v>
      </c>
      <c r="H500" s="9" t="s">
        <v>2854</v>
      </c>
      <c r="I500" s="12" t="str">
        <f>RIGHT(LEFT(Table4[[#This Row],[Latest Senate Action]],FIND(" Congress",Table4[[#This Row],[Latest Senate Action]])-1),LEN(LEFT(Table4[[#This Row],[Latest Senate Action]],FIND(" Congress",Table4[[#This Row],[Latest Senate Action]])-1))-FIND("-",Table4[[#This Row],[Latest Senate Action]])-1)</f>
        <v>98th</v>
      </c>
      <c r="J500" s="12" t="str">
        <f>RIGHT(Table4[[#This Row],[Latest Senate Action]],LEN(Table4[[#This Row],[Latest Senate Action]])-FIND(") - ",Table4[[#This Row],[Latest Senate Action]])-3)</f>
        <v xml:space="preserve">Approved by 100-0 vote. Record Vote Number 223. (All Actions) </v>
      </c>
      <c r="K500" s="12" t="str">
        <f>INDEX(Table5[type],MATCH(Table4[[#This Row],[Action]],Table5[Action],0))</f>
        <v>Passed</v>
      </c>
      <c r="L500" s="22" t="b">
        <f>INDEX(Table1[Senate and President Same Party, House and President Different Party],MATCH(Table4[[#This Row],[Congress Acting]],Table1[Congress],0))</f>
        <v>1</v>
      </c>
    </row>
    <row r="501" spans="1:12" ht="157.5">
      <c r="A501" s="9" t="s">
        <v>723</v>
      </c>
      <c r="B501" t="s">
        <v>2855</v>
      </c>
      <c r="C501" s="9" t="s">
        <v>2856</v>
      </c>
      <c r="D501" s="13" t="s">
        <v>3986</v>
      </c>
      <c r="E501" s="9" t="s">
        <v>2857</v>
      </c>
      <c r="F501"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01" s="9" t="s">
        <v>1112</v>
      </c>
      <c r="H501" s="9" t="s">
        <v>2858</v>
      </c>
      <c r="I501" s="12" t="str">
        <f>RIGHT(LEFT(Table4[[#This Row],[Latest Senate Action]],FIND(" Congress",Table4[[#This Row],[Latest Senate Action]])-1),LEN(LEFT(Table4[[#This Row],[Latest Senate Action]],FIND(" Congress",Table4[[#This Row],[Latest Senate Action]])-1))-FIND("-",Table4[[#This Row],[Latest Senate Action]])-1)</f>
        <v>98th</v>
      </c>
      <c r="J501" s="12" t="str">
        <f>RIGHT(Table4[[#This Row],[Latest Senate Action]],LEN(Table4[[#This Row],[Latest Senate Action]])-FIND(") - ",Table4[[#This Row],[Latest Senate Action]])-3)</f>
        <v xml:space="preserve">Approved by 100-0 vote. Record Vote Number 225. (All Actions) </v>
      </c>
      <c r="K501" s="12" t="str">
        <f>INDEX(Table5[type],MATCH(Table4[[#This Row],[Action]],Table5[Action],0))</f>
        <v>Passed</v>
      </c>
      <c r="L501" s="22" t="b">
        <f>INDEX(Table1[Senate and President Same Party, House and President Different Party],MATCH(Table4[[#This Row],[Congress Acting]],Table1[Congress],0))</f>
        <v>1</v>
      </c>
    </row>
    <row r="502" spans="1:12" ht="173.25">
      <c r="A502" s="9" t="s">
        <v>724</v>
      </c>
      <c r="B502" t="s">
        <v>2859</v>
      </c>
      <c r="C502" s="9" t="s">
        <v>2860</v>
      </c>
      <c r="D502" s="13" t="s">
        <v>3987</v>
      </c>
      <c r="E502" s="9" t="s">
        <v>2861</v>
      </c>
      <c r="F502"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2" s="9" t="s">
        <v>1063</v>
      </c>
      <c r="H502" s="9" t="s">
        <v>2862</v>
      </c>
      <c r="I502" s="12" t="str">
        <f>RIGHT(LEFT(Table4[[#This Row],[Latest Senate Action]],FIND(" Congress",Table4[[#This Row],[Latest Senate Action]])-1),LEN(LEFT(Table4[[#This Row],[Latest Senate Action]],FIND(" Congress",Table4[[#This Row],[Latest Senate Action]])-1))-FIND("-",Table4[[#This Row],[Latest Senate Action]])-1)</f>
        <v>98th</v>
      </c>
      <c r="J502" s="12" t="str">
        <f>RIGHT(Table4[[#This Row],[Latest Senate Action]],LEN(Table4[[#This Row],[Latest Senate Action]])-FIND(") - ",Table4[[#This Row],[Latest Senate Action]])-3)</f>
        <v xml:space="preserve">Treaty approved by Senate 100-0 vote (#227 Ex.). (All Actions) </v>
      </c>
      <c r="K502" s="12" t="str">
        <f>INDEX(Table5[type],MATCH(Table4[[#This Row],[Action]],Table5[Action],0))</f>
        <v>Passed</v>
      </c>
      <c r="L502" s="22" t="b">
        <f>INDEX(Table1[Senate and President Same Party, House and President Different Party],MATCH(Table4[[#This Row],[Congress Acting]],Table1[Congress],0))</f>
        <v>1</v>
      </c>
    </row>
    <row r="503" spans="1:12" ht="126">
      <c r="A503" s="9" t="s">
        <v>725</v>
      </c>
      <c r="B503" t="s">
        <v>2863</v>
      </c>
      <c r="C503" s="9" t="s">
        <v>2864</v>
      </c>
      <c r="D503" s="13" t="s">
        <v>3988</v>
      </c>
      <c r="E503" s="9" t="s">
        <v>2865</v>
      </c>
      <c r="F503"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3" s="9" t="s">
        <v>1063</v>
      </c>
      <c r="H503" s="9" t="s">
        <v>2866</v>
      </c>
      <c r="I503" s="12" t="str">
        <f>RIGHT(LEFT(Table4[[#This Row],[Latest Senate Action]],FIND(" Congress",Table4[[#This Row],[Latest Senate Action]])-1),LEN(LEFT(Table4[[#This Row],[Latest Senate Action]],FIND(" Congress",Table4[[#This Row],[Latest Senate Action]])-1))-FIND("-",Table4[[#This Row],[Latest Senate Action]])-1)</f>
        <v>98th</v>
      </c>
      <c r="J503" s="12" t="str">
        <f>RIGHT(Table4[[#This Row],[Latest Senate Action]],LEN(Table4[[#This Row],[Latest Senate Action]])-FIND(") - ",Table4[[#This Row],[Latest Senate Action]])-3)</f>
        <v xml:space="preserve">Treaty approved by Senate 100-0 vote (#228 Ex.). (All Actions) </v>
      </c>
      <c r="K503" s="12" t="str">
        <f>INDEX(Table5[type],MATCH(Table4[[#This Row],[Action]],Table5[Action],0))</f>
        <v>Passed</v>
      </c>
      <c r="L503" s="22" t="b">
        <f>INDEX(Table1[Senate and President Same Party, House and President Different Party],MATCH(Table4[[#This Row],[Congress Acting]],Table1[Congress],0))</f>
        <v>1</v>
      </c>
    </row>
    <row r="504" spans="1:12" ht="126">
      <c r="A504" s="9" t="s">
        <v>726</v>
      </c>
      <c r="B504" t="s">
        <v>2867</v>
      </c>
      <c r="C504" s="9" t="s">
        <v>2868</v>
      </c>
      <c r="D504" s="13" t="s">
        <v>3989</v>
      </c>
      <c r="E504" s="9" t="s">
        <v>2869</v>
      </c>
      <c r="F504"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4" s="9" t="s">
        <v>1063</v>
      </c>
      <c r="H504" s="9" t="s">
        <v>2870</v>
      </c>
      <c r="I504" s="12" t="str">
        <f>RIGHT(LEFT(Table4[[#This Row],[Latest Senate Action]],FIND(" Congress",Table4[[#This Row],[Latest Senate Action]])-1),LEN(LEFT(Table4[[#This Row],[Latest Senate Action]],FIND(" Congress",Table4[[#This Row],[Latest Senate Action]])-1))-FIND("-",Table4[[#This Row],[Latest Senate Action]])-1)</f>
        <v>98th</v>
      </c>
      <c r="J504" s="12" t="str">
        <f>RIGHT(Table4[[#This Row],[Latest Senate Action]],LEN(Table4[[#This Row],[Latest Senate Action]])-FIND(") - ",Table4[[#This Row],[Latest Senate Action]])-3)</f>
        <v xml:space="preserve">Treaty approved by Senate 100-0 vote (#229 Ex.). (All Actions) </v>
      </c>
      <c r="K504" s="12" t="str">
        <f>INDEX(Table5[type],MATCH(Table4[[#This Row],[Action]],Table5[Action],0))</f>
        <v>Passed</v>
      </c>
      <c r="L504" s="22" t="b">
        <f>INDEX(Table1[Senate and President Same Party, House and President Different Party],MATCH(Table4[[#This Row],[Congress Acting]],Table1[Congress],0))</f>
        <v>1</v>
      </c>
    </row>
    <row r="505" spans="1:12" ht="173.25">
      <c r="A505" s="9" t="s">
        <v>727</v>
      </c>
      <c r="B505" t="s">
        <v>2871</v>
      </c>
      <c r="C505" s="9" t="s">
        <v>2872</v>
      </c>
      <c r="D505" s="13" t="s">
        <v>4241</v>
      </c>
      <c r="E505" s="9" t="s">
        <v>2873</v>
      </c>
      <c r="F505"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5" s="9" t="s">
        <v>1623</v>
      </c>
      <c r="H505" s="9" t="s">
        <v>2874</v>
      </c>
      <c r="I505" s="12" t="str">
        <f>RIGHT(LEFT(Table4[[#This Row],[Latest Senate Action]],FIND(" Congress",Table4[[#This Row],[Latest Senate Action]])-1),LEN(LEFT(Table4[[#This Row],[Latest Senate Action]],FIND(" Congress",Table4[[#This Row],[Latest Senate Action]])-1))-FIND("-",Table4[[#This Row],[Latest Senate Action]])-1)</f>
        <v>98th</v>
      </c>
      <c r="J505" s="12" t="str">
        <f>RIGHT(Table4[[#This Row],[Latest Senate Action]],LEN(Table4[[#This Row],[Latest Senate Action]])-FIND(") - ",Table4[[#This Row],[Latest Senate Action]])-3)</f>
        <v xml:space="preserve">Treaty moved through its parliamentary stages; treaty approved by the Senate 94-4 vote (#162 Ex.). (All Actions) </v>
      </c>
      <c r="K505" s="12" t="str">
        <f>INDEX(Table5[type],MATCH(Table4[[#This Row],[Action]],Table5[Action],0))</f>
        <v>Passed</v>
      </c>
      <c r="L505" s="22" t="b">
        <f>INDEX(Table1[Senate and President Same Party, House and President Different Party],MATCH(Table4[[#This Row],[Congress Acting]],Table1[Congress],0))</f>
        <v>1</v>
      </c>
    </row>
    <row r="506" spans="1:12" ht="189">
      <c r="A506" s="9" t="s">
        <v>728</v>
      </c>
      <c r="B506" t="s">
        <v>2875</v>
      </c>
      <c r="C506" s="9" t="s">
        <v>2876</v>
      </c>
      <c r="D506" s="13" t="s">
        <v>3990</v>
      </c>
      <c r="E506" s="9" t="s">
        <v>2877</v>
      </c>
      <c r="F506"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6" s="9" t="s">
        <v>1038</v>
      </c>
      <c r="H506" s="9" t="s">
        <v>2878</v>
      </c>
      <c r="I506" s="12" t="str">
        <f>RIGHT(LEFT(Table4[[#This Row],[Latest Senate Action]],FIND(" Congress",Table4[[#This Row],[Latest Senate Action]])-1),LEN(LEFT(Table4[[#This Row],[Latest Senate Action]],FIND(" Congress",Table4[[#This Row],[Latest Senate Action]])-1))-FIND("-",Table4[[#This Row],[Latest Senate Action]])-1)</f>
        <v>98th</v>
      </c>
      <c r="J506" s="12" t="str">
        <f>RIGHT(Table4[[#This Row],[Latest Senate Action]],LEN(Table4[[#This Row],[Latest Senate Action]])-FIND(") - ",Table4[[#This Row],[Latest Senate Action]])-3)</f>
        <v xml:space="preserve">Treaty moved through its parliamentary stages; treaty approved by the Senate, with understandings, 94-4 vote (#163 Ex.). (All Actions) </v>
      </c>
      <c r="K506" s="12" t="str">
        <f>INDEX(Table5[type],MATCH(Table4[[#This Row],[Action]],Table5[Action],0))</f>
        <v>Passed</v>
      </c>
      <c r="L506" s="22" t="b">
        <f>INDEX(Table1[Senate and President Same Party, House and President Different Party],MATCH(Table4[[#This Row],[Congress Acting]],Table1[Congress],0))</f>
        <v>1</v>
      </c>
    </row>
    <row r="507" spans="1:12" ht="141.75">
      <c r="A507" s="9" t="s">
        <v>729</v>
      </c>
      <c r="B507" t="s">
        <v>2879</v>
      </c>
      <c r="C507" s="9" t="s">
        <v>2880</v>
      </c>
      <c r="D507" s="13" t="s">
        <v>3991</v>
      </c>
      <c r="E507" s="9" t="s">
        <v>2881</v>
      </c>
      <c r="F50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07" s="9" t="s">
        <v>1623</v>
      </c>
      <c r="H507" s="9" t="s">
        <v>2882</v>
      </c>
      <c r="I507" s="12" t="str">
        <f>RIGHT(LEFT(Table4[[#This Row],[Latest Senate Action]],FIND(" Congress",Table4[[#This Row],[Latest Senate Action]])-1),LEN(LEFT(Table4[[#This Row],[Latest Senate Action]],FIND(" Congress",Table4[[#This Row],[Latest Senate Action]])-1))-FIND("-",Table4[[#This Row],[Latest Senate Action]])-1)</f>
        <v>98th</v>
      </c>
      <c r="J507" s="12" t="str">
        <f>RIGHT(Table4[[#This Row],[Latest Senate Action]],LEN(Table4[[#This Row],[Latest Senate Action]])-FIND(") - ",Table4[[#This Row],[Latest Senate Action]])-3)</f>
        <v xml:space="preserve">General debate; approved by 94-4 vote. Record Vote Number: 159. (All Actions) </v>
      </c>
      <c r="K507" s="12" t="str">
        <f>INDEX(Table5[type],MATCH(Table4[[#This Row],[Action]],Table5[Action],0))</f>
        <v>Passed</v>
      </c>
      <c r="L507" s="22" t="b">
        <f>INDEX(Table1[Senate and President Same Party, House and President Different Party],MATCH(Table4[[#This Row],[Congress Acting]],Table1[Congress],0))</f>
        <v>1</v>
      </c>
    </row>
    <row r="508" spans="1:12" ht="157.5">
      <c r="A508" s="9" t="s">
        <v>730</v>
      </c>
      <c r="B508" t="s">
        <v>180</v>
      </c>
      <c r="C508" s="9" t="s">
        <v>2883</v>
      </c>
      <c r="D508" s="13" t="s">
        <v>3992</v>
      </c>
      <c r="E508" s="9" t="s">
        <v>2884</v>
      </c>
      <c r="F508"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08" s="9" t="s">
        <v>1052</v>
      </c>
      <c r="H508" s="9" t="s">
        <v>2885</v>
      </c>
      <c r="I508" s="12" t="str">
        <f>RIGHT(LEFT(Table4[[#This Row],[Latest Senate Action]],FIND(" Congress",Table4[[#This Row],[Latest Senate Action]])-1),LEN(LEFT(Table4[[#This Row],[Latest Senate Action]],FIND(" Congress",Table4[[#This Row],[Latest Senate Action]])-1))-FIND("-",Table4[[#This Row],[Latest Senate Action]])-1)</f>
        <v>98th</v>
      </c>
      <c r="J508" s="12" t="str">
        <f>RIGHT(Table4[[#This Row],[Latest Senate Action]],LEN(Table4[[#This Row],[Latest Senate Action]])-FIND(") - ",Table4[[#This Row],[Latest Senate Action]])-3)</f>
        <v xml:space="preserve">Treaty moved through its parliamentary stages; debate; treaty approved by Senate 94-4 vote (#164 Ex.). (All Actions) </v>
      </c>
      <c r="K508" s="12" t="str">
        <f>INDEX(Table5[type],MATCH(Table4[[#This Row],[Action]],Table5[Action],0))</f>
        <v>Passed</v>
      </c>
      <c r="L508" s="22" t="b">
        <f>INDEX(Table1[Senate and President Same Party, House and President Different Party],MATCH(Table4[[#This Row],[Congress Acting]],Table1[Congress],0))</f>
        <v>1</v>
      </c>
    </row>
    <row r="509" spans="1:12" ht="141.75">
      <c r="A509" s="9" t="s">
        <v>731</v>
      </c>
      <c r="B509" t="s">
        <v>2886</v>
      </c>
      <c r="C509" s="9" t="s">
        <v>2887</v>
      </c>
      <c r="D509" s="13" t="s">
        <v>3993</v>
      </c>
      <c r="E509" s="9" t="s">
        <v>2888</v>
      </c>
      <c r="F50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09" s="9" t="s">
        <v>1623</v>
      </c>
      <c r="H509" s="9" t="s">
        <v>2889</v>
      </c>
      <c r="I509" s="12" t="str">
        <f>RIGHT(LEFT(Table4[[#This Row],[Latest Senate Action]],FIND(" Congress",Table4[[#This Row],[Latest Senate Action]])-1),LEN(LEFT(Table4[[#This Row],[Latest Senate Action]],FIND(" Congress",Table4[[#This Row],[Latest Senate Action]])-1))-FIND("-",Table4[[#This Row],[Latest Senate Action]])-1)</f>
        <v>98th</v>
      </c>
      <c r="J509" s="12" t="str">
        <f>RIGHT(Table4[[#This Row],[Latest Senate Action]],LEN(Table4[[#This Row],[Latest Senate Action]])-FIND(") - ",Table4[[#This Row],[Latest Senate Action]])-3)</f>
        <v xml:space="preserve">General debate; approved by 94-4 vote. Record Vote Number: 160. (All Actions) </v>
      </c>
      <c r="K509" s="12" t="str">
        <f>INDEX(Table5[type],MATCH(Table4[[#This Row],[Action]],Table5[Action],0))</f>
        <v>Passed</v>
      </c>
      <c r="L509" s="22" t="b">
        <f>INDEX(Table1[Senate and President Same Party, House and President Different Party],MATCH(Table4[[#This Row],[Congress Acting]],Table1[Congress],0))</f>
        <v>1</v>
      </c>
    </row>
    <row r="510" spans="1:12" ht="157.5">
      <c r="A510" s="9" t="s">
        <v>732</v>
      </c>
      <c r="B510" t="s">
        <v>2890</v>
      </c>
      <c r="C510" s="9" t="s">
        <v>2891</v>
      </c>
      <c r="D510" s="13" t="s">
        <v>3994</v>
      </c>
      <c r="E510" s="9" t="s">
        <v>2892</v>
      </c>
      <c r="F51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10" s="9" t="s">
        <v>1623</v>
      </c>
      <c r="H510" s="9" t="s">
        <v>2893</v>
      </c>
      <c r="I510" s="12" t="str">
        <f>RIGHT(LEFT(Table4[[#This Row],[Latest Senate Action]],FIND(" Congress",Table4[[#This Row],[Latest Senate Action]])-1),LEN(LEFT(Table4[[#This Row],[Latest Senate Action]],FIND(" Congress",Table4[[#This Row],[Latest Senate Action]])-1))-FIND("-",Table4[[#This Row],[Latest Senate Action]])-1)</f>
        <v>98th</v>
      </c>
      <c r="J510" s="12" t="str">
        <f>RIGHT(Table4[[#This Row],[Latest Senate Action]],LEN(Table4[[#This Row],[Latest Senate Action]])-FIND(") - ",Table4[[#This Row],[Latest Senate Action]])-3)</f>
        <v xml:space="preserve">General debate; approved by 94-4 vote. Record Vote Number: 161. (All Actions) </v>
      </c>
      <c r="K510" s="12" t="str">
        <f>INDEX(Table5[type],MATCH(Table4[[#This Row],[Action]],Table5[Action],0))</f>
        <v>Passed</v>
      </c>
      <c r="L510" s="22" t="b">
        <f>INDEX(Table1[Senate and President Same Party, House and President Different Party],MATCH(Table4[[#This Row],[Congress Acting]],Table1[Congress],0))</f>
        <v>1</v>
      </c>
    </row>
    <row r="511" spans="1:12" ht="157.5">
      <c r="A511" s="9" t="s">
        <v>733</v>
      </c>
      <c r="B511" t="s">
        <v>2894</v>
      </c>
      <c r="C511" s="9" t="s">
        <v>2895</v>
      </c>
      <c r="D511" s="13" t="s">
        <v>3995</v>
      </c>
      <c r="E511" s="9" t="s">
        <v>2896</v>
      </c>
      <c r="F511" t="str">
        <f>RIGHT(LEFT(Table4[[#This Row],[Date Received from President]],FIND(" Congress",Table4[[#This Row],[Date Received from President]])-1),LEN(LEFT(Table4[[#This Row],[Date Received from President]],FIND(" Congress",Table4[[#This Row],[Date Received from President]])-1))-FIND("-",Table4[[#This Row],[Date Received from President]])-1)</f>
        <v>98th</v>
      </c>
      <c r="G511" s="9" t="s">
        <v>1052</v>
      </c>
      <c r="H511" s="9" t="s">
        <v>2897</v>
      </c>
      <c r="I511" s="12" t="str">
        <f>RIGHT(LEFT(Table4[[#This Row],[Latest Senate Action]],FIND(" Congress",Table4[[#This Row],[Latest Senate Action]])-1),LEN(LEFT(Table4[[#This Row],[Latest Senate Action]],FIND(" Congress",Table4[[#This Row],[Latest Senate Action]])-1))-FIND("-",Table4[[#This Row],[Latest Senate Action]])-1)</f>
        <v>98th</v>
      </c>
      <c r="J511" s="12" t="str">
        <f>RIGHT(Table4[[#This Row],[Latest Senate Action]],LEN(Table4[[#This Row],[Latest Senate Action]])-FIND(") - ",Table4[[#This Row],[Latest Senate Action]])-3)</f>
        <v xml:space="preserve">Treaty approved by Senate 84-0 vote (#7 Ex.). (All Actions) </v>
      </c>
      <c r="K511" s="12" t="str">
        <f>INDEX(Table5[type],MATCH(Table4[[#This Row],[Action]],Table5[Action],0))</f>
        <v>Passed</v>
      </c>
      <c r="L511" s="22" t="b">
        <f>INDEX(Table1[Senate and President Same Party, House and President Different Party],MATCH(Table4[[#This Row],[Congress Acting]],Table1[Congress],0))</f>
        <v>1</v>
      </c>
    </row>
    <row r="512" spans="1:12" ht="189">
      <c r="A512" s="9" t="s">
        <v>734</v>
      </c>
      <c r="B512" t="s">
        <v>2898</v>
      </c>
      <c r="C512" s="9" t="s">
        <v>2899</v>
      </c>
      <c r="D512" s="13" t="s">
        <v>3996</v>
      </c>
      <c r="E512" s="9" t="s">
        <v>2900</v>
      </c>
      <c r="F512"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2" s="9" t="s">
        <v>1052</v>
      </c>
      <c r="H512" s="9" t="s">
        <v>2901</v>
      </c>
      <c r="I512" s="12" t="str">
        <f>RIGHT(LEFT(Table4[[#This Row],[Latest Senate Action]],FIND(" Congress",Table4[[#This Row],[Latest Senate Action]])-1),LEN(LEFT(Table4[[#This Row],[Latest Senate Action]],FIND(" Congress",Table4[[#This Row],[Latest Senate Action]])-1))-FIND("-",Table4[[#This Row],[Latest Senate Action]])-1)</f>
        <v>97th</v>
      </c>
      <c r="J512" s="12" t="str">
        <f>RIGHT(Table4[[#This Row],[Latest Senate Action]],LEN(Table4[[#This Row],[Latest Senate Action]])-FIND(") - ",Table4[[#This Row],[Latest Senate Action]])-3)</f>
        <v xml:space="preserve">Treaty moved through its parliamentary stages; reported condition to resolution agreed to; Schmitt proviso agreed to; resolution of advice and consent to ratification, as amended, approved by division vote. (All Actions) </v>
      </c>
      <c r="K512" s="12" t="str">
        <f>INDEX(Table5[type],MATCH(Table4[[#This Row],[Action]],Table5[Action],0))</f>
        <v>Passed</v>
      </c>
      <c r="L512" s="22" t="b">
        <f>INDEX(Table1[Senate and President Same Party, House and President Different Party],MATCH(Table4[[#This Row],[Congress Acting]],Table1[Congress],0))</f>
        <v>1</v>
      </c>
    </row>
    <row r="513" spans="1:12" ht="141.75">
      <c r="A513" s="9" t="s">
        <v>735</v>
      </c>
      <c r="B513" t="s">
        <v>2902</v>
      </c>
      <c r="C513" s="9" t="s">
        <v>2903</v>
      </c>
      <c r="D513" s="13" t="s">
        <v>3997</v>
      </c>
      <c r="E513" s="9" t="s">
        <v>2904</v>
      </c>
      <c r="F513"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3" s="9" t="s">
        <v>1164</v>
      </c>
      <c r="H513" s="9" t="s">
        <v>2905</v>
      </c>
      <c r="I513" s="12" t="str">
        <f>RIGHT(LEFT(Table4[[#This Row],[Latest Senate Action]],FIND(" Congress",Table4[[#This Row],[Latest Senate Action]])-1),LEN(LEFT(Table4[[#This Row],[Latest Senate Action]],FIND(" Congress",Table4[[#This Row],[Latest Senate Action]])-1))-FIND("-",Table4[[#This Row],[Latest Senate Action]])-1)</f>
        <v>97th</v>
      </c>
      <c r="J513" s="12" t="str">
        <f>RIGHT(Table4[[#This Row],[Latest Senate Action]],LEN(Table4[[#This Row],[Latest Senate Action]])-FIND(") - ",Table4[[#This Row],[Latest Senate Action]])-3)</f>
        <v xml:space="preserve">Entered into force. (All Actions) </v>
      </c>
      <c r="K513" s="12" t="str">
        <f>INDEX(Table5[type],MATCH(Table4[[#This Row],[Action]],Table5[Action],0))</f>
        <v>Passed</v>
      </c>
      <c r="L513" s="22" t="b">
        <f>INDEX(Table1[Senate and President Same Party, House and President Different Party],MATCH(Table4[[#This Row],[Congress Acting]],Table1[Congress],0))</f>
        <v>1</v>
      </c>
    </row>
    <row r="514" spans="1:12" ht="157.5">
      <c r="A514" s="9" t="s">
        <v>736</v>
      </c>
      <c r="B514" t="s">
        <v>2906</v>
      </c>
      <c r="C514" s="9" t="s">
        <v>2907</v>
      </c>
      <c r="D514" s="13" t="s">
        <v>3998</v>
      </c>
      <c r="E514" s="9" t="s">
        <v>2908</v>
      </c>
      <c r="F514"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4" s="9" t="s">
        <v>1013</v>
      </c>
      <c r="H514" s="9" t="s">
        <v>2909</v>
      </c>
      <c r="I514" s="12" t="str">
        <f>RIGHT(LEFT(Table4[[#This Row],[Latest Senate Action]],FIND(" Congress",Table4[[#This Row],[Latest Senate Action]])-1),LEN(LEFT(Table4[[#This Row],[Latest Senate Action]],FIND(" Congress",Table4[[#This Row],[Latest Senate Action]])-1))-FIND("-",Table4[[#This Row],[Latest Senate Action]])-1)</f>
        <v>97th</v>
      </c>
      <c r="J514" s="12" t="str">
        <f>RIGHT(Table4[[#This Row],[Latest Senate Action]],LEN(Table4[[#This Row],[Latest Senate Action]])-FIND(") - ",Table4[[#This Row],[Latest Senate Action]])-3)</f>
        <v xml:space="preserve">Treaty approved by Senate 97-0 vote (#375 Ex.). (All Actions) </v>
      </c>
      <c r="K514" s="12" t="str">
        <f>INDEX(Table5[type],MATCH(Table4[[#This Row],[Action]],Table5[Action],0))</f>
        <v>Passed</v>
      </c>
      <c r="L514" s="22" t="b">
        <f>INDEX(Table1[Senate and President Same Party, House and President Different Party],MATCH(Table4[[#This Row],[Congress Acting]],Table1[Congress],0))</f>
        <v>1</v>
      </c>
    </row>
    <row r="515" spans="1:12" ht="141.75">
      <c r="A515" s="9" t="s">
        <v>737</v>
      </c>
      <c r="B515" t="s">
        <v>2910</v>
      </c>
      <c r="C515" s="9" t="s">
        <v>2911</v>
      </c>
      <c r="D515" s="13" t="s">
        <v>3999</v>
      </c>
      <c r="E515" s="9" t="s">
        <v>2912</v>
      </c>
      <c r="F515"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5" s="9" t="s">
        <v>1112</v>
      </c>
      <c r="H515" s="9" t="s">
        <v>2913</v>
      </c>
      <c r="I515" s="12" t="str">
        <f>RIGHT(LEFT(Table4[[#This Row],[Latest Senate Action]],FIND(" Congress",Table4[[#This Row],[Latest Senate Action]])-1),LEN(LEFT(Table4[[#This Row],[Latest Senate Action]],FIND(" Congress",Table4[[#This Row],[Latest Senate Action]])-1))-FIND("-",Table4[[#This Row],[Latest Senate Action]])-1)</f>
        <v>97th</v>
      </c>
      <c r="J515" s="12" t="str">
        <f>RIGHT(Table4[[#This Row],[Latest Senate Action]],LEN(Table4[[#This Row],[Latest Senate Action]])-FIND(") - ",Table4[[#This Row],[Latest Senate Action]])-3)</f>
        <v xml:space="preserve">Treaty approved by Senate 97-0 vote (#377 Ex.). (All Actions) </v>
      </c>
      <c r="K515" s="12" t="str">
        <f>INDEX(Table5[type],MATCH(Table4[[#This Row],[Action]],Table5[Action],0))</f>
        <v>Passed</v>
      </c>
      <c r="L515" s="22" t="b">
        <f>INDEX(Table1[Senate and President Same Party, House and President Different Party],MATCH(Table4[[#This Row],[Congress Acting]],Table1[Congress],0))</f>
        <v>1</v>
      </c>
    </row>
    <row r="516" spans="1:12" ht="173.25">
      <c r="A516" s="9" t="s">
        <v>738</v>
      </c>
      <c r="B516" t="s">
        <v>2914</v>
      </c>
      <c r="C516" s="9" t="s">
        <v>2915</v>
      </c>
      <c r="D516" s="13" t="s">
        <v>4000</v>
      </c>
      <c r="E516" s="9" t="s">
        <v>2916</v>
      </c>
      <c r="F516"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516" s="9" t="s">
        <v>1200</v>
      </c>
      <c r="H516" s="9" t="s">
        <v>2917</v>
      </c>
      <c r="I516" s="12" t="str">
        <f>RIGHT(LEFT(Table4[[#This Row],[Latest Senate Action]],FIND(" Congress",Table4[[#This Row],[Latest Senate Action]])-1),LEN(LEFT(Table4[[#This Row],[Latest Senate Action]],FIND(" Congress",Table4[[#This Row],[Latest Senate Action]])-1))-FIND("-",Table4[[#This Row],[Latest Senate Action]])-1)</f>
        <v>97th</v>
      </c>
      <c r="J516" s="12" t="str">
        <f>RIGHT(Table4[[#This Row],[Latest Senate Action]],LEN(Table4[[#This Row],[Latest Senate Action]])-FIND(") - ",Table4[[#This Row],[Latest Senate Action]])-3)</f>
        <v xml:space="preserve">Resolution of advice and consent to ratification agreed to in Senate by Yea-Nay vote. 97-0. Record Vote No: 376 EX. (All Actions) </v>
      </c>
      <c r="K516" s="12" t="str">
        <f>INDEX(Table5[type],MATCH(Table4[[#This Row],[Action]],Table5[Action],0))</f>
        <v>Passed</v>
      </c>
      <c r="L516" s="22" t="b">
        <f>INDEX(Table1[Senate and President Same Party, House and President Different Party],MATCH(Table4[[#This Row],[Congress Acting]],Table1[Congress],0))</f>
        <v>1</v>
      </c>
    </row>
    <row r="517" spans="1:12" ht="110.25">
      <c r="A517" s="9" t="s">
        <v>739</v>
      </c>
      <c r="B517" t="s">
        <v>2918</v>
      </c>
      <c r="C517" s="9" t="s">
        <v>2919</v>
      </c>
      <c r="D517" s="13" t="s">
        <v>4001</v>
      </c>
      <c r="E517" s="9" t="s">
        <v>2920</v>
      </c>
      <c r="F517"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7" s="9" t="s">
        <v>1063</v>
      </c>
      <c r="H517" s="9" t="s">
        <v>2921</v>
      </c>
      <c r="I517" s="12" t="str">
        <f>RIGHT(LEFT(Table4[[#This Row],[Latest Senate Action]],FIND(" Congress",Table4[[#This Row],[Latest Senate Action]])-1),LEN(LEFT(Table4[[#This Row],[Latest Senate Action]],FIND(" Congress",Table4[[#This Row],[Latest Senate Action]])-1))-FIND("-",Table4[[#This Row],[Latest Senate Action]])-1)</f>
        <v>97th</v>
      </c>
      <c r="J517" s="12" t="str">
        <f>RIGHT(Table4[[#This Row],[Latest Senate Action]],LEN(Table4[[#This Row],[Latest Senate Action]])-FIND(") - ",Table4[[#This Row],[Latest Senate Action]])-3)</f>
        <v xml:space="preserve">Treaty approved by Senate 97-0 vote (#378 Ex.). (All Actions) </v>
      </c>
      <c r="K517" s="12" t="str">
        <f>INDEX(Table5[type],MATCH(Table4[[#This Row],[Action]],Table5[Action],0))</f>
        <v>Passed</v>
      </c>
      <c r="L517" s="22" t="b">
        <f>INDEX(Table1[Senate and President Same Party, House and President Different Party],MATCH(Table4[[#This Row],[Congress Acting]],Table1[Congress],0))</f>
        <v>1</v>
      </c>
    </row>
    <row r="518" spans="1:12" ht="126">
      <c r="A518" s="9" t="s">
        <v>740</v>
      </c>
      <c r="B518" t="s">
        <v>2922</v>
      </c>
      <c r="C518" s="9" t="s">
        <v>2923</v>
      </c>
      <c r="D518" s="13" t="s">
        <v>4002</v>
      </c>
      <c r="E518" s="9" t="s">
        <v>2924</v>
      </c>
      <c r="F518"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18" s="9" t="s">
        <v>1038</v>
      </c>
      <c r="H518" s="9" t="s">
        <v>2925</v>
      </c>
      <c r="I518" s="12" t="str">
        <f>RIGHT(LEFT(Table4[[#This Row],[Latest Senate Action]],FIND(" Congress",Table4[[#This Row],[Latest Senate Action]])-1),LEN(LEFT(Table4[[#This Row],[Latest Senate Action]],FIND(" Congress",Table4[[#This Row],[Latest Senate Action]])-1))-FIND("-",Table4[[#This Row],[Latest Senate Action]])-1)</f>
        <v>97th</v>
      </c>
      <c r="J518" s="12" t="str">
        <f>RIGHT(Table4[[#This Row],[Latest Senate Action]],LEN(Table4[[#This Row],[Latest Senate Action]])-FIND(") - ",Table4[[#This Row],[Latest Senate Action]])-3)</f>
        <v xml:space="preserve">Entered into force. (All Actions) </v>
      </c>
      <c r="K518" s="12" t="str">
        <f>INDEX(Table5[type],MATCH(Table4[[#This Row],[Action]],Table5[Action],0))</f>
        <v>Passed</v>
      </c>
      <c r="L518" s="22" t="b">
        <f>INDEX(Table1[Senate and President Same Party, House and President Different Party],MATCH(Table4[[#This Row],[Congress Acting]],Table1[Congress],0))</f>
        <v>1</v>
      </c>
    </row>
    <row r="519" spans="1:12" ht="110.25">
      <c r="A519" s="9" t="s">
        <v>741</v>
      </c>
      <c r="B519" t="s">
        <v>2926</v>
      </c>
      <c r="C519" s="9" t="s">
        <v>2927</v>
      </c>
      <c r="D519" s="13" t="s">
        <v>4003</v>
      </c>
      <c r="E519" s="9" t="s">
        <v>2928</v>
      </c>
      <c r="F51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19" s="9" t="s">
        <v>1063</v>
      </c>
      <c r="H519" s="9" t="s">
        <v>2929</v>
      </c>
      <c r="I519" s="12" t="str">
        <f>RIGHT(LEFT(Table4[[#This Row],[Latest Senate Action]],FIND(" Congress",Table4[[#This Row],[Latest Senate Action]])-1),LEN(LEFT(Table4[[#This Row],[Latest Senate Action]],FIND(" Congress",Table4[[#This Row],[Latest Senate Action]])-1))-FIND("-",Table4[[#This Row],[Latest Senate Action]])-1)</f>
        <v>97th</v>
      </c>
      <c r="J519" s="12" t="str">
        <f>RIGHT(Table4[[#This Row],[Latest Senate Action]],LEN(Table4[[#This Row],[Latest Senate Action]])-FIND(") - ",Table4[[#This Row],[Latest Senate Action]])-3)</f>
        <v xml:space="preserve">Entered into force. (All Actions) </v>
      </c>
      <c r="K519" s="12" t="str">
        <f>INDEX(Table5[type],MATCH(Table4[[#This Row],[Action]],Table5[Action],0))</f>
        <v>Passed</v>
      </c>
      <c r="L519" s="22" t="b">
        <f>INDEX(Table1[Senate and President Same Party, House and President Different Party],MATCH(Table4[[#This Row],[Congress Acting]],Table1[Congress],0))</f>
        <v>1</v>
      </c>
    </row>
    <row r="520" spans="1:12" ht="126">
      <c r="A520" s="9" t="s">
        <v>742</v>
      </c>
      <c r="B520" t="s">
        <v>2930</v>
      </c>
      <c r="C520" s="9" t="s">
        <v>2931</v>
      </c>
      <c r="D520" s="13" t="s">
        <v>4004</v>
      </c>
      <c r="E520" s="9" t="s">
        <v>2932</v>
      </c>
      <c r="F52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20" s="9" t="s">
        <v>1112</v>
      </c>
      <c r="H520" s="9" t="s">
        <v>2933</v>
      </c>
      <c r="I520" s="12" t="str">
        <f>RIGHT(LEFT(Table4[[#This Row],[Latest Senate Action]],FIND(" Congress",Table4[[#This Row],[Latest Senate Action]])-1),LEN(LEFT(Table4[[#This Row],[Latest Senate Action]],FIND(" Congress",Table4[[#This Row],[Latest Senate Action]])-1))-FIND("-",Table4[[#This Row],[Latest Senate Action]])-1)</f>
        <v>97th</v>
      </c>
      <c r="J520" s="12" t="str">
        <f>RIGHT(Table4[[#This Row],[Latest Senate Action]],LEN(Table4[[#This Row],[Latest Senate Action]])-FIND(") - ",Table4[[#This Row],[Latest Senate Action]])-3)</f>
        <v xml:space="preserve">Entered into force. (All Actions) </v>
      </c>
      <c r="K520" s="12" t="str">
        <f>INDEX(Table5[type],MATCH(Table4[[#This Row],[Action]],Table5[Action],0))</f>
        <v>Passed</v>
      </c>
      <c r="L520" s="22" t="b">
        <f>INDEX(Table1[Senate and President Same Party, House and President Different Party],MATCH(Table4[[#This Row],[Congress Acting]],Table1[Congress],0))</f>
        <v>1</v>
      </c>
    </row>
    <row r="521" spans="1:12" ht="110.25">
      <c r="A521" s="9" t="s">
        <v>743</v>
      </c>
      <c r="B521" t="s">
        <v>2934</v>
      </c>
      <c r="C521" s="9" t="s">
        <v>2935</v>
      </c>
      <c r="D521" s="13" t="s">
        <v>4005</v>
      </c>
      <c r="E521" s="9" t="s">
        <v>2936</v>
      </c>
      <c r="F521"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1" s="9" t="s">
        <v>1013</v>
      </c>
      <c r="H521" s="9" t="s">
        <v>2937</v>
      </c>
      <c r="I521" s="12" t="str">
        <f>RIGHT(LEFT(Table4[[#This Row],[Latest Senate Action]],FIND(" Congress",Table4[[#This Row],[Latest Senate Action]])-1),LEN(LEFT(Table4[[#This Row],[Latest Senate Action]],FIND(" Congress",Table4[[#This Row],[Latest Senate Action]])-1))-FIND("-",Table4[[#This Row],[Latest Senate Action]])-1)</f>
        <v>97th</v>
      </c>
      <c r="J521" s="12" t="str">
        <f>RIGHT(Table4[[#This Row],[Latest Senate Action]],LEN(Table4[[#This Row],[Latest Senate Action]])-FIND(") - ",Table4[[#This Row],[Latest Senate Action]])-3)</f>
        <v xml:space="preserve">Entered into force. (All Actions) </v>
      </c>
      <c r="K521" s="12" t="str">
        <f>INDEX(Table5[type],MATCH(Table4[[#This Row],[Action]],Table5[Action],0))</f>
        <v>Passed</v>
      </c>
      <c r="L521" s="22" t="b">
        <f>INDEX(Table1[Senate and President Same Party, House and President Different Party],MATCH(Table4[[#This Row],[Congress Acting]],Table1[Congress],0))</f>
        <v>1</v>
      </c>
    </row>
    <row r="522" spans="1:12" ht="126">
      <c r="A522" s="9" t="s">
        <v>744</v>
      </c>
      <c r="B522" t="s">
        <v>2938</v>
      </c>
      <c r="C522" s="9" t="s">
        <v>2939</v>
      </c>
      <c r="D522" s="13" t="s">
        <v>4006</v>
      </c>
      <c r="E522" s="9" t="s">
        <v>2904</v>
      </c>
      <c r="F522"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2" s="9" t="s">
        <v>1766</v>
      </c>
      <c r="H522" s="9" t="s">
        <v>2940</v>
      </c>
      <c r="I522" s="12" t="str">
        <f>RIGHT(LEFT(Table4[[#This Row],[Latest Senate Action]],FIND(" Congress",Table4[[#This Row],[Latest Senate Action]])-1),LEN(LEFT(Table4[[#This Row],[Latest Senate Action]],FIND(" Congress",Table4[[#This Row],[Latest Senate Action]])-1))-FIND("-",Table4[[#This Row],[Latest Senate Action]])-1)</f>
        <v>97th</v>
      </c>
      <c r="J522" s="12" t="str">
        <f>RIGHT(Table4[[#This Row],[Latest Senate Action]],LEN(Table4[[#This Row],[Latest Senate Action]])-FIND(") - ",Table4[[#This Row],[Latest Senate Action]])-3)</f>
        <v xml:space="preserve">Entered into force. (All Actions) </v>
      </c>
      <c r="K522" s="12" t="str">
        <f>INDEX(Table5[type],MATCH(Table4[[#This Row],[Action]],Table5[Action],0))</f>
        <v>Passed</v>
      </c>
      <c r="L522" s="22" t="b">
        <f>INDEX(Table1[Senate and President Same Party, House and President Different Party],MATCH(Table4[[#This Row],[Congress Acting]],Table1[Congress],0))</f>
        <v>1</v>
      </c>
    </row>
    <row r="523" spans="1:12" ht="126">
      <c r="A523" s="9" t="s">
        <v>745</v>
      </c>
      <c r="B523" t="s">
        <v>2941</v>
      </c>
      <c r="C523" s="9" t="s">
        <v>2942</v>
      </c>
      <c r="D523" s="13" t="s">
        <v>4007</v>
      </c>
      <c r="E523" s="9" t="s">
        <v>2943</v>
      </c>
      <c r="F523"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3" s="9" t="s">
        <v>1052</v>
      </c>
      <c r="H523" s="9" t="s">
        <v>2944</v>
      </c>
      <c r="I523" s="12" t="str">
        <f>RIGHT(LEFT(Table4[[#This Row],[Latest Senate Action]],FIND(" Congress",Table4[[#This Row],[Latest Senate Action]])-1),LEN(LEFT(Table4[[#This Row],[Latest Senate Action]],FIND(" Congress",Table4[[#This Row],[Latest Senate Action]])-1))-FIND("-",Table4[[#This Row],[Latest Senate Action]])-1)</f>
        <v>97th</v>
      </c>
      <c r="J523" s="12" t="str">
        <f>RIGHT(Table4[[#This Row],[Latest Senate Action]],LEN(Table4[[#This Row],[Latest Senate Action]])-FIND(") - ",Table4[[#This Row],[Latest Senate Action]])-3)</f>
        <v xml:space="preserve">Entered into force. (All Actions) </v>
      </c>
      <c r="K523" s="12" t="str">
        <f>INDEX(Table5[type],MATCH(Table4[[#This Row],[Action]],Table5[Action],0))</f>
        <v>Passed</v>
      </c>
      <c r="L523" s="22" t="b">
        <f>INDEX(Table1[Senate and President Same Party, House and President Different Party],MATCH(Table4[[#This Row],[Congress Acting]],Table1[Congress],0))</f>
        <v>1</v>
      </c>
    </row>
    <row r="524" spans="1:12" ht="110.25">
      <c r="A524" s="9" t="s">
        <v>746</v>
      </c>
      <c r="B524" t="s">
        <v>2945</v>
      </c>
      <c r="C524" s="9" t="s">
        <v>2946</v>
      </c>
      <c r="D524" s="13" t="s">
        <v>4008</v>
      </c>
      <c r="E524" s="9" t="s">
        <v>1562</v>
      </c>
      <c r="F52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24" s="9" t="s">
        <v>1063</v>
      </c>
      <c r="H524" s="9" t="s">
        <v>2947</v>
      </c>
      <c r="I524" s="12" t="str">
        <f>RIGHT(LEFT(Table4[[#This Row],[Latest Senate Action]],FIND(" Congress",Table4[[#This Row],[Latest Senate Action]])-1),LEN(LEFT(Table4[[#This Row],[Latest Senate Action]],FIND(" Congress",Table4[[#This Row],[Latest Senate Action]])-1))-FIND("-",Table4[[#This Row],[Latest Senate Action]])-1)</f>
        <v>97th</v>
      </c>
      <c r="J524" s="12" t="str">
        <f>RIGHT(Table4[[#This Row],[Latest Senate Action]],LEN(Table4[[#This Row],[Latest Senate Action]])-FIND(") - ",Table4[[#This Row],[Latest Senate Action]])-3)</f>
        <v xml:space="preserve">Entered into force. (All Actions) </v>
      </c>
      <c r="K524" s="12" t="str">
        <f>INDEX(Table5[type],MATCH(Table4[[#This Row],[Action]],Table5[Action],0))</f>
        <v>Passed</v>
      </c>
      <c r="L524" s="22" t="b">
        <f>INDEX(Table1[Senate and President Same Party, House and President Different Party],MATCH(Table4[[#This Row],[Congress Acting]],Table1[Congress],0))</f>
        <v>1</v>
      </c>
    </row>
    <row r="525" spans="1:12" ht="110.25">
      <c r="A525" s="9" t="s">
        <v>747</v>
      </c>
      <c r="B525" t="s">
        <v>2948</v>
      </c>
      <c r="C525" s="9" t="s">
        <v>2949</v>
      </c>
      <c r="D525" s="13" t="s">
        <v>4009</v>
      </c>
      <c r="E525" s="9" t="s">
        <v>2950</v>
      </c>
      <c r="F52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25" s="9" t="s">
        <v>1063</v>
      </c>
      <c r="H525" s="9" t="s">
        <v>2951</v>
      </c>
      <c r="I525" s="12" t="str">
        <f>RIGHT(LEFT(Table4[[#This Row],[Latest Senate Action]],FIND(" Congress",Table4[[#This Row],[Latest Senate Action]])-1),LEN(LEFT(Table4[[#This Row],[Latest Senate Action]],FIND(" Congress",Table4[[#This Row],[Latest Senate Action]])-1))-FIND("-",Table4[[#This Row],[Latest Senate Action]])-1)</f>
        <v>97th</v>
      </c>
      <c r="J525" s="12" t="str">
        <f>RIGHT(Table4[[#This Row],[Latest Senate Action]],LEN(Table4[[#This Row],[Latest Senate Action]])-FIND(") - ",Table4[[#This Row],[Latest Senate Action]])-3)</f>
        <v xml:space="preserve">Entered into force. (All Actions) </v>
      </c>
      <c r="K525" s="12" t="str">
        <f>INDEX(Table5[type],MATCH(Table4[[#This Row],[Action]],Table5[Action],0))</f>
        <v>Passed</v>
      </c>
      <c r="L525" s="22" t="b">
        <f>INDEX(Table1[Senate and President Same Party, House and President Different Party],MATCH(Table4[[#This Row],[Congress Acting]],Table1[Congress],0))</f>
        <v>1</v>
      </c>
    </row>
    <row r="526" spans="1:12" ht="141.75">
      <c r="A526" s="9" t="s">
        <v>748</v>
      </c>
      <c r="B526" t="s">
        <v>2952</v>
      </c>
      <c r="C526" s="9" t="s">
        <v>2953</v>
      </c>
      <c r="D526" s="13" t="s">
        <v>4010</v>
      </c>
      <c r="E526" s="9" t="s">
        <v>2954</v>
      </c>
      <c r="F526"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26" s="9" t="s">
        <v>1063</v>
      </c>
      <c r="H526" s="9" t="s">
        <v>2955</v>
      </c>
      <c r="I526" s="12" t="str">
        <f>RIGHT(LEFT(Table4[[#This Row],[Latest Senate Action]],FIND(" Congress",Table4[[#This Row],[Latest Senate Action]])-1),LEN(LEFT(Table4[[#This Row],[Latest Senate Action]],FIND(" Congress",Table4[[#This Row],[Latest Senate Action]])-1))-FIND("-",Table4[[#This Row],[Latest Senate Action]])-1)</f>
        <v>97th</v>
      </c>
      <c r="J526" s="12" t="str">
        <f>RIGHT(Table4[[#This Row],[Latest Senate Action]],LEN(Table4[[#This Row],[Latest Senate Action]])-FIND(") - ",Table4[[#This Row],[Latest Senate Action]])-3)</f>
        <v xml:space="preserve">General debate; reservations and understandings agreed to; approved by division vote. (All Actions) </v>
      </c>
      <c r="K526" s="12" t="str">
        <f>INDEX(Table5[type],MATCH(Table4[[#This Row],[Action]],Table5[Action],0))</f>
        <v>Passed</v>
      </c>
      <c r="L526" s="22" t="b">
        <f>INDEX(Table1[Senate and President Same Party, House and President Different Party],MATCH(Table4[[#This Row],[Congress Acting]],Table1[Congress],0))</f>
        <v>1</v>
      </c>
    </row>
    <row r="527" spans="1:12" ht="157.5">
      <c r="A527" s="9" t="s">
        <v>749</v>
      </c>
      <c r="B527" t="s">
        <v>2956</v>
      </c>
      <c r="C527" s="9" t="s">
        <v>2957</v>
      </c>
      <c r="D527" s="13" t="s">
        <v>4011</v>
      </c>
      <c r="E527" s="9" t="s">
        <v>2904</v>
      </c>
      <c r="F527"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7" s="9" t="s">
        <v>1456</v>
      </c>
      <c r="H527" s="9" t="s">
        <v>2958</v>
      </c>
      <c r="I527" s="12" t="str">
        <f>RIGHT(LEFT(Table4[[#This Row],[Latest Senate Action]],FIND(" Congress",Table4[[#This Row],[Latest Senate Action]])-1),LEN(LEFT(Table4[[#This Row],[Latest Senate Action]],FIND(" Congress",Table4[[#This Row],[Latest Senate Action]])-1))-FIND("-",Table4[[#This Row],[Latest Senate Action]])-1)</f>
        <v>97th</v>
      </c>
      <c r="J527" s="12" t="str">
        <f>RIGHT(Table4[[#This Row],[Latest Senate Action]],LEN(Table4[[#This Row],[Latest Senate Action]])-FIND(") - ",Table4[[#This Row],[Latest Senate Action]])-3)</f>
        <v xml:space="preserve">Treaty moved through its parliamentary stages; approved by the Senate by division vote. (All Actions) </v>
      </c>
      <c r="K527" s="12" t="str">
        <f>INDEX(Table5[type],MATCH(Table4[[#This Row],[Action]],Table5[Action],0))</f>
        <v>Passed</v>
      </c>
      <c r="L527" s="22" t="b">
        <f>INDEX(Table1[Senate and President Same Party, House and President Different Party],MATCH(Table4[[#This Row],[Congress Acting]],Table1[Congress],0))</f>
        <v>1</v>
      </c>
    </row>
    <row r="528" spans="1:12" ht="126">
      <c r="A528" s="9" t="s">
        <v>750</v>
      </c>
      <c r="B528" t="s">
        <v>2959</v>
      </c>
      <c r="C528" s="9" t="s">
        <v>2960</v>
      </c>
      <c r="D528" s="13" t="s">
        <v>4012</v>
      </c>
      <c r="E528" s="9" t="s">
        <v>2961</v>
      </c>
      <c r="F528"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8" s="9" t="s">
        <v>1063</v>
      </c>
      <c r="H528" s="9" t="s">
        <v>2962</v>
      </c>
      <c r="I528" s="12" t="str">
        <f>RIGHT(LEFT(Table4[[#This Row],[Latest Senate Action]],FIND(" Congress",Table4[[#This Row],[Latest Senate Action]])-1),LEN(LEFT(Table4[[#This Row],[Latest Senate Action]],FIND(" Congress",Table4[[#This Row],[Latest Senate Action]])-1))-FIND("-",Table4[[#This Row],[Latest Senate Action]])-1)</f>
        <v>97th</v>
      </c>
      <c r="J528" s="12" t="str">
        <f>RIGHT(Table4[[#This Row],[Latest Senate Action]],LEN(Table4[[#This Row],[Latest Senate Action]])-FIND(") - ",Table4[[#This Row],[Latest Senate Action]])-3)</f>
        <v xml:space="preserve">S. Ex. Res. 4 agreed to; treaty returned to President. (All Actions) </v>
      </c>
      <c r="K528" s="12" t="str">
        <f>INDEX(Table5[type],MATCH(Table4[[#This Row],[Action]],Table5[Action],0))</f>
        <v>Passed</v>
      </c>
      <c r="L528" s="22" t="b">
        <f>INDEX(Table1[Senate and President Same Party, House and President Different Party],MATCH(Table4[[#This Row],[Congress Acting]],Table1[Congress],0))</f>
        <v>1</v>
      </c>
    </row>
    <row r="529" spans="1:12" ht="157.5">
      <c r="A529" s="9" t="s">
        <v>751</v>
      </c>
      <c r="B529" t="s">
        <v>2963</v>
      </c>
      <c r="C529" s="9" t="s">
        <v>2964</v>
      </c>
      <c r="D529" s="13" t="s">
        <v>4013</v>
      </c>
      <c r="E529" s="9" t="s">
        <v>2943</v>
      </c>
      <c r="F529"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29" s="9" t="s">
        <v>1063</v>
      </c>
      <c r="H529" s="9" t="s">
        <v>2965</v>
      </c>
      <c r="I529" s="12" t="str">
        <f>RIGHT(LEFT(Table4[[#This Row],[Latest Senate Action]],FIND(" Congress",Table4[[#This Row],[Latest Senate Action]])-1),LEN(LEFT(Table4[[#This Row],[Latest Senate Action]],FIND(" Congress",Table4[[#This Row],[Latest Senate Action]])-1))-FIND("-",Table4[[#This Row],[Latest Senate Action]])-1)</f>
        <v>97th</v>
      </c>
      <c r="J529" s="12" t="str">
        <f>RIGHT(Table4[[#This Row],[Latest Senate Action]],LEN(Table4[[#This Row],[Latest Senate Action]])-FIND(") - ",Table4[[#This Row],[Latest Senate Action]])-3)</f>
        <v xml:space="preserve">Treaty moved through its parliamentary stages; treaty approved, with two reservations and an understanding, by division vote. (All Actions) </v>
      </c>
      <c r="K529" s="12" t="str">
        <f>INDEX(Table5[type],MATCH(Table4[[#This Row],[Action]],Table5[Action],0))</f>
        <v>Passed</v>
      </c>
      <c r="L529" s="22" t="b">
        <f>INDEX(Table1[Senate and President Same Party, House and President Different Party],MATCH(Table4[[#This Row],[Congress Acting]],Table1[Congress],0))</f>
        <v>1</v>
      </c>
    </row>
    <row r="530" spans="1:12" ht="141.75">
      <c r="A530" s="9" t="s">
        <v>752</v>
      </c>
      <c r="B530" t="s">
        <v>2966</v>
      </c>
      <c r="C530" s="9" t="s">
        <v>2967</v>
      </c>
      <c r="D530" s="13" t="s">
        <v>4014</v>
      </c>
      <c r="E530" s="9" t="s">
        <v>2968</v>
      </c>
      <c r="F53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30" s="9" t="s">
        <v>1456</v>
      </c>
      <c r="H530" s="9" t="s">
        <v>2969</v>
      </c>
      <c r="I530" s="12" t="str">
        <f>RIGHT(LEFT(Table4[[#This Row],[Latest Senate Action]],FIND(" Congress",Table4[[#This Row],[Latest Senate Action]])-1),LEN(LEFT(Table4[[#This Row],[Latest Senate Action]],FIND(" Congress",Table4[[#This Row],[Latest Senate Action]])-1))-FIND("-",Table4[[#This Row],[Latest Senate Action]])-1)</f>
        <v>97th</v>
      </c>
      <c r="J530" s="12" t="str">
        <f>RIGHT(Table4[[#This Row],[Latest Senate Action]],LEN(Table4[[#This Row],[Latest Senate Action]])-FIND(") - ",Table4[[#This Row],[Latest Senate Action]])-3)</f>
        <v xml:space="preserve">Approved by division vote. (All Actions) </v>
      </c>
      <c r="K530" s="12" t="str">
        <f>INDEX(Table5[type],MATCH(Table4[[#This Row],[Action]],Table5[Action],0))</f>
        <v>Passed</v>
      </c>
      <c r="L530" s="22" t="b">
        <f>INDEX(Table1[Senate and President Same Party, House and President Different Party],MATCH(Table4[[#This Row],[Congress Acting]],Table1[Congress],0))</f>
        <v>1</v>
      </c>
    </row>
    <row r="531" spans="1:12" ht="141.75">
      <c r="A531" s="9" t="s">
        <v>753</v>
      </c>
      <c r="B531" t="s">
        <v>2970</v>
      </c>
      <c r="C531" s="9" t="s">
        <v>2971</v>
      </c>
      <c r="D531" s="13" t="s">
        <v>4015</v>
      </c>
      <c r="E531" s="9" t="s">
        <v>2968</v>
      </c>
      <c r="F531"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31" s="9" t="s">
        <v>1456</v>
      </c>
      <c r="H531" s="9" t="s">
        <v>2969</v>
      </c>
      <c r="I531" s="12" t="str">
        <f>RIGHT(LEFT(Table4[[#This Row],[Latest Senate Action]],FIND(" Congress",Table4[[#This Row],[Latest Senate Action]])-1),LEN(LEFT(Table4[[#This Row],[Latest Senate Action]],FIND(" Congress",Table4[[#This Row],[Latest Senate Action]])-1))-FIND("-",Table4[[#This Row],[Latest Senate Action]])-1)</f>
        <v>97th</v>
      </c>
      <c r="J531" s="12" t="str">
        <f>RIGHT(Table4[[#This Row],[Latest Senate Action]],LEN(Table4[[#This Row],[Latest Senate Action]])-FIND(") - ",Table4[[#This Row],[Latest Senate Action]])-3)</f>
        <v xml:space="preserve">Approved by division vote. (All Actions) </v>
      </c>
      <c r="K531" s="12" t="str">
        <f>INDEX(Table5[type],MATCH(Table4[[#This Row],[Action]],Table5[Action],0))</f>
        <v>Passed</v>
      </c>
      <c r="L531" s="22" t="b">
        <f>INDEX(Table1[Senate and President Same Party, House and President Different Party],MATCH(Table4[[#This Row],[Congress Acting]],Table1[Congress],0))</f>
        <v>1</v>
      </c>
    </row>
    <row r="532" spans="1:12" ht="157.5">
      <c r="A532" s="9" t="s">
        <v>754</v>
      </c>
      <c r="B532" t="s">
        <v>2972</v>
      </c>
      <c r="C532" s="9" t="s">
        <v>2973</v>
      </c>
      <c r="D532" s="13" t="s">
        <v>4016</v>
      </c>
      <c r="E532" s="9" t="s">
        <v>2974</v>
      </c>
      <c r="F532"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32" s="9" t="s">
        <v>1063</v>
      </c>
      <c r="H532" s="9" t="s">
        <v>2975</v>
      </c>
      <c r="I532" s="12" t="str">
        <f>RIGHT(LEFT(Table4[[#This Row],[Latest Senate Action]],FIND(" Congress",Table4[[#This Row],[Latest Senate Action]])-1),LEN(LEFT(Table4[[#This Row],[Latest Senate Action]],FIND(" Congress",Table4[[#This Row],[Latest Senate Action]])-1))-FIND("-",Table4[[#This Row],[Latest Senate Action]])-1)</f>
        <v>97th</v>
      </c>
      <c r="J532" s="12" t="str">
        <f>RIGHT(Table4[[#This Row],[Latest Senate Action]],LEN(Table4[[#This Row],[Latest Senate Action]])-FIND(") - ",Table4[[#This Row],[Latest Senate Action]])-3)</f>
        <v xml:space="preserve">Treaty moved through its parliamentary stages; approved by the Senate, with reservation and understanding to the treaty, by division vote. (All Actions) </v>
      </c>
      <c r="K532" s="12" t="str">
        <f>INDEX(Table5[type],MATCH(Table4[[#This Row],[Action]],Table5[Action],0))</f>
        <v>Passed</v>
      </c>
      <c r="L532" s="22" t="b">
        <f>INDEX(Table1[Senate and President Same Party, House and President Different Party],MATCH(Table4[[#This Row],[Congress Acting]],Table1[Congress],0))</f>
        <v>1</v>
      </c>
    </row>
    <row r="533" spans="1:12" ht="126">
      <c r="A533" s="9" t="s">
        <v>755</v>
      </c>
      <c r="B533" t="s">
        <v>191</v>
      </c>
      <c r="C533" s="9" t="s">
        <v>2976</v>
      </c>
      <c r="D533" s="13" t="s">
        <v>4017</v>
      </c>
      <c r="E533" s="9" t="s">
        <v>2977</v>
      </c>
      <c r="F53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33" s="9" t="s">
        <v>1063</v>
      </c>
      <c r="H533" s="9" t="s">
        <v>2978</v>
      </c>
      <c r="I533" s="12" t="str">
        <f>RIGHT(LEFT(Table4[[#This Row],[Latest Senate Action]],FIND(" Congress",Table4[[#This Row],[Latest Senate Action]])-1),LEN(LEFT(Table4[[#This Row],[Latest Senate Action]],FIND(" Congress",Table4[[#This Row],[Latest Senate Action]])-1))-FIND("-",Table4[[#This Row],[Latest Senate Action]])-1)</f>
        <v>97th</v>
      </c>
      <c r="J533" s="12" t="str">
        <f>RIGHT(Table4[[#This Row],[Latest Senate Action]],LEN(Table4[[#This Row],[Latest Senate Action]])-FIND(") - ",Table4[[#This Row],[Latest Senate Action]])-3)</f>
        <v xml:space="preserve">Returned to the President under agreement of S. Ex. Res. 4. (All Actions) </v>
      </c>
      <c r="K533" s="12" t="str">
        <f>INDEX(Table5[type],MATCH(Table4[[#This Row],[Action]],Table5[Action],0))</f>
        <v>Passed</v>
      </c>
      <c r="L533" s="22" t="b">
        <f>INDEX(Table1[Senate and President Same Party, House and President Different Party],MATCH(Table4[[#This Row],[Congress Acting]],Table1[Congress],0))</f>
        <v>1</v>
      </c>
    </row>
    <row r="534" spans="1:12" ht="126">
      <c r="A534" s="9" t="s">
        <v>756</v>
      </c>
      <c r="B534" t="s">
        <v>2979</v>
      </c>
      <c r="C534" s="9" t="s">
        <v>2980</v>
      </c>
      <c r="D534" s="13" t="s">
        <v>4018</v>
      </c>
      <c r="E534" s="9" t="s">
        <v>2981</v>
      </c>
      <c r="F53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34" s="9" t="s">
        <v>1112</v>
      </c>
      <c r="H534" s="9" t="s">
        <v>2969</v>
      </c>
      <c r="I534" s="12" t="str">
        <f>RIGHT(LEFT(Table4[[#This Row],[Latest Senate Action]],FIND(" Congress",Table4[[#This Row],[Latest Senate Action]])-1),LEN(LEFT(Table4[[#This Row],[Latest Senate Action]],FIND(" Congress",Table4[[#This Row],[Latest Senate Action]])-1))-FIND("-",Table4[[#This Row],[Latest Senate Action]])-1)</f>
        <v>97th</v>
      </c>
      <c r="J534" s="12" t="str">
        <f>RIGHT(Table4[[#This Row],[Latest Senate Action]],LEN(Table4[[#This Row],[Latest Senate Action]])-FIND(") - ",Table4[[#This Row],[Latest Senate Action]])-3)</f>
        <v xml:space="preserve">Approved by division vote. (All Actions) </v>
      </c>
      <c r="K534" s="12" t="str">
        <f>INDEX(Table5[type],MATCH(Table4[[#This Row],[Action]],Table5[Action],0))</f>
        <v>Passed</v>
      </c>
      <c r="L534" s="22" t="b">
        <f>INDEX(Table1[Senate and President Same Party, House and President Different Party],MATCH(Table4[[#This Row],[Congress Acting]],Table1[Congress],0))</f>
        <v>1</v>
      </c>
    </row>
    <row r="535" spans="1:12" ht="126">
      <c r="A535" s="9" t="s">
        <v>757</v>
      </c>
      <c r="B535" t="s">
        <v>2982</v>
      </c>
      <c r="C535" s="9" t="s">
        <v>2983</v>
      </c>
      <c r="D535" s="13" t="s">
        <v>4019</v>
      </c>
      <c r="E535" s="9" t="s">
        <v>2932</v>
      </c>
      <c r="F53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35" s="9" t="s">
        <v>1063</v>
      </c>
      <c r="H535" s="9" t="s">
        <v>2984</v>
      </c>
      <c r="I535" s="12" t="str">
        <f>RIGHT(LEFT(Table4[[#This Row],[Latest Senate Action]],FIND(" Congress",Table4[[#This Row],[Latest Senate Action]])-1),LEN(LEFT(Table4[[#This Row],[Latest Senate Action]],FIND(" Congress",Table4[[#This Row],[Latest Senate Action]])-1))-FIND("-",Table4[[#This Row],[Latest Senate Action]])-1)</f>
        <v>97th</v>
      </c>
      <c r="J535" s="12" t="str">
        <f>RIGHT(Table4[[#This Row],[Latest Senate Action]],LEN(Table4[[#This Row],[Latest Senate Action]])-FIND(") - ",Table4[[#This Row],[Latest Senate Action]])-3)</f>
        <v xml:space="preserve">Entered into force. (All Actions) </v>
      </c>
      <c r="K535" s="12" t="str">
        <f>INDEX(Table5[type],MATCH(Table4[[#This Row],[Action]],Table5[Action],0))</f>
        <v>Passed</v>
      </c>
      <c r="L535" s="22" t="b">
        <f>INDEX(Table1[Senate and President Same Party, House and President Different Party],MATCH(Table4[[#This Row],[Congress Acting]],Table1[Congress],0))</f>
        <v>1</v>
      </c>
    </row>
    <row r="536" spans="1:12" ht="141.75">
      <c r="A536" s="9" t="s">
        <v>758</v>
      </c>
      <c r="B536" t="s">
        <v>2985</v>
      </c>
      <c r="C536" s="9" t="s">
        <v>2986</v>
      </c>
      <c r="D536" s="13" t="s">
        <v>4020</v>
      </c>
      <c r="E536" s="9" t="s">
        <v>2936</v>
      </c>
      <c r="F536"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36" s="9" t="s">
        <v>1013</v>
      </c>
      <c r="H536" s="9" t="s">
        <v>2987</v>
      </c>
      <c r="I536" s="12" t="str">
        <f>RIGHT(LEFT(Table4[[#This Row],[Latest Senate Action]],FIND(" Congress",Table4[[#This Row],[Latest Senate Action]])-1),LEN(LEFT(Table4[[#This Row],[Latest Senate Action]],FIND(" Congress",Table4[[#This Row],[Latest Senate Action]])-1))-FIND("-",Table4[[#This Row],[Latest Senate Action]])-1)</f>
        <v>97th</v>
      </c>
      <c r="J536" s="12" t="str">
        <f>RIGHT(Table4[[#This Row],[Latest Senate Action]],LEN(Table4[[#This Row],[Latest Senate Action]])-FIND(") - ",Table4[[#This Row],[Latest Senate Action]])-3)</f>
        <v xml:space="preserve">Treaty approved by the Senate 96-0 vote (#438 Ex.). (All Actions) </v>
      </c>
      <c r="K536" s="12" t="str">
        <f>INDEX(Table5[type],MATCH(Table4[[#This Row],[Action]],Table5[Action],0))</f>
        <v>Passed</v>
      </c>
      <c r="L536" s="22" t="b">
        <f>INDEX(Table1[Senate and President Same Party, House and President Different Party],MATCH(Table4[[#This Row],[Congress Acting]],Table1[Congress],0))</f>
        <v>1</v>
      </c>
    </row>
    <row r="537" spans="1:12" ht="141.75">
      <c r="A537" s="9" t="s">
        <v>759</v>
      </c>
      <c r="B537" t="s">
        <v>2988</v>
      </c>
      <c r="C537" s="9" t="s">
        <v>2989</v>
      </c>
      <c r="D537" s="13" t="s">
        <v>4021</v>
      </c>
      <c r="E537" s="9" t="s">
        <v>2943</v>
      </c>
      <c r="F537"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37" s="9" t="s">
        <v>1013</v>
      </c>
      <c r="H537" s="9" t="s">
        <v>2990</v>
      </c>
      <c r="I537" s="12" t="str">
        <f>RIGHT(LEFT(Table4[[#This Row],[Latest Senate Action]],FIND(" Congress",Table4[[#This Row],[Latest Senate Action]])-1),LEN(LEFT(Table4[[#This Row],[Latest Senate Action]],FIND(" Congress",Table4[[#This Row],[Latest Senate Action]])-1))-FIND("-",Table4[[#This Row],[Latest Senate Action]])-1)</f>
        <v>97th</v>
      </c>
      <c r="J537" s="12" t="str">
        <f>RIGHT(Table4[[#This Row],[Latest Senate Action]],LEN(Table4[[#This Row],[Latest Senate Action]])-FIND(") - ",Table4[[#This Row],[Latest Senate Action]])-3)</f>
        <v xml:space="preserve">Treaty approved by Senate 96-0 vote (#440 Ex.). (All Actions) </v>
      </c>
      <c r="K537" s="12" t="str">
        <f>INDEX(Table5[type],MATCH(Table4[[#This Row],[Action]],Table5[Action],0))</f>
        <v>Passed</v>
      </c>
      <c r="L537" s="22" t="b">
        <f>INDEX(Table1[Senate and President Same Party, House and President Different Party],MATCH(Table4[[#This Row],[Congress Acting]],Table1[Congress],0))</f>
        <v>1</v>
      </c>
    </row>
    <row r="538" spans="1:12" ht="141.75">
      <c r="A538" s="9" t="s">
        <v>760</v>
      </c>
      <c r="B538" t="s">
        <v>2991</v>
      </c>
      <c r="C538" s="9" t="s">
        <v>2992</v>
      </c>
      <c r="D538" s="13" t="s">
        <v>4022</v>
      </c>
      <c r="E538" s="9" t="s">
        <v>2993</v>
      </c>
      <c r="F538"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38" s="9" t="s">
        <v>1013</v>
      </c>
      <c r="H538" s="9" t="s">
        <v>2994</v>
      </c>
      <c r="I538" s="12" t="str">
        <f>RIGHT(LEFT(Table4[[#This Row],[Latest Senate Action]],FIND(" Congress",Table4[[#This Row],[Latest Senate Action]])-1),LEN(LEFT(Table4[[#This Row],[Latest Senate Action]],FIND(" Congress",Table4[[#This Row],[Latest Senate Action]])-1))-FIND("-",Table4[[#This Row],[Latest Senate Action]])-1)</f>
        <v>97th</v>
      </c>
      <c r="J538" s="12" t="str">
        <f>RIGHT(Table4[[#This Row],[Latest Senate Action]],LEN(Table4[[#This Row],[Latest Senate Action]])-FIND(") - ",Table4[[#This Row],[Latest Senate Action]])-3)</f>
        <v xml:space="preserve">Treaty approved by Senate 96-0 (#441 Ex.). (All Actions) </v>
      </c>
      <c r="K538" s="12" t="str">
        <f>INDEX(Table5[type],MATCH(Table4[[#This Row],[Action]],Table5[Action],0))</f>
        <v>Passed</v>
      </c>
      <c r="L538" s="22" t="b">
        <f>INDEX(Table1[Senate and President Same Party, House and President Different Party],MATCH(Table4[[#This Row],[Congress Acting]],Table1[Congress],0))</f>
        <v>1</v>
      </c>
    </row>
    <row r="539" spans="1:12" ht="141.75">
      <c r="A539" s="9" t="s">
        <v>761</v>
      </c>
      <c r="B539" t="s">
        <v>2995</v>
      </c>
      <c r="C539" s="9" t="s">
        <v>2996</v>
      </c>
      <c r="D539" s="13" t="s">
        <v>4023</v>
      </c>
      <c r="E539" s="9" t="s">
        <v>2997</v>
      </c>
      <c r="F539"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539" s="9" t="s">
        <v>1063</v>
      </c>
      <c r="H539" s="9" t="s">
        <v>2998</v>
      </c>
      <c r="I539" s="12" t="str">
        <f>RIGHT(LEFT(Table4[[#This Row],[Latest Senate Action]],FIND(" Congress",Table4[[#This Row],[Latest Senate Action]])-1),LEN(LEFT(Table4[[#This Row],[Latest Senate Action]],FIND(" Congress",Table4[[#This Row],[Latest Senate Action]])-1))-FIND("-",Table4[[#This Row],[Latest Senate Action]])-1)</f>
        <v>97th</v>
      </c>
      <c r="J539" s="12" t="str">
        <f>RIGHT(Table4[[#This Row],[Latest Senate Action]],LEN(Table4[[#This Row],[Latest Senate Action]])-FIND(") - ",Table4[[#This Row],[Latest Senate Action]])-3)</f>
        <v xml:space="preserve">Returned to the President pursuant to S. Exec. Res. 2 agreed to on December 1, 1981. (All Actions) </v>
      </c>
      <c r="K539" s="12" t="str">
        <f>INDEX(Table5[type],MATCH(Table4[[#This Row],[Action]],Table5[Action],0))</f>
        <v>Passed</v>
      </c>
      <c r="L539" s="22" t="b">
        <f>INDEX(Table1[Senate and President Same Party, House and President Different Party],MATCH(Table4[[#This Row],[Congress Acting]],Table1[Congress],0))</f>
        <v>1</v>
      </c>
    </row>
    <row r="540" spans="1:12" ht="126">
      <c r="A540" s="9" t="s">
        <v>762</v>
      </c>
      <c r="B540" t="s">
        <v>2999</v>
      </c>
      <c r="C540" s="9" t="s">
        <v>3000</v>
      </c>
      <c r="D540" s="13" t="s">
        <v>4024</v>
      </c>
      <c r="E540" s="9" t="s">
        <v>2997</v>
      </c>
      <c r="F540"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540" s="9" t="s">
        <v>1063</v>
      </c>
      <c r="H540" s="9" t="s">
        <v>3001</v>
      </c>
      <c r="I540" s="12" t="str">
        <f>RIGHT(LEFT(Table4[[#This Row],[Latest Senate Action]],FIND(" Congress",Table4[[#This Row],[Latest Senate Action]])-1),LEN(LEFT(Table4[[#This Row],[Latest Senate Action]],FIND(" Congress",Table4[[#This Row],[Latest Senate Action]])-1))-FIND("-",Table4[[#This Row],[Latest Senate Action]])-1)</f>
        <v>97th</v>
      </c>
      <c r="J540" s="12" t="str">
        <f>RIGHT(Table4[[#This Row],[Latest Senate Action]],LEN(Table4[[#This Row],[Latest Senate Action]])-FIND(") - ",Table4[[#This Row],[Latest Senate Action]])-3)</f>
        <v xml:space="preserve">Returned to the President pursuant to S. Exec. Res. 97-2 agreed to on December 1, 1981. (All Actions) </v>
      </c>
      <c r="K540" s="12" t="str">
        <f>INDEX(Table5[type],MATCH(Table4[[#This Row],[Action]],Table5[Action],0))</f>
        <v>Passed</v>
      </c>
      <c r="L540" s="22" t="b">
        <f>INDEX(Table1[Senate and President Same Party, House and President Different Party],MATCH(Table4[[#This Row],[Congress Acting]],Table1[Congress],0))</f>
        <v>1</v>
      </c>
    </row>
    <row r="541" spans="1:12" ht="126">
      <c r="A541" s="9" t="s">
        <v>763</v>
      </c>
      <c r="B541" t="s">
        <v>3002</v>
      </c>
      <c r="C541" s="9" t="s">
        <v>2946</v>
      </c>
      <c r="D541" s="13" t="s">
        <v>4025</v>
      </c>
      <c r="E541" s="9" t="s">
        <v>3003</v>
      </c>
      <c r="F541"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541" s="9" t="s">
        <v>1063</v>
      </c>
      <c r="H541" s="9" t="s">
        <v>3004</v>
      </c>
      <c r="I541" s="12" t="str">
        <f>RIGHT(LEFT(Table4[[#This Row],[Latest Senate Action]],FIND(" Congress",Table4[[#This Row],[Latest Senate Action]])-1),LEN(LEFT(Table4[[#This Row],[Latest Senate Action]],FIND(" Congress",Table4[[#This Row],[Latest Senate Action]])-1))-FIND("-",Table4[[#This Row],[Latest Senate Action]])-1)</f>
        <v>97th</v>
      </c>
      <c r="J541" s="12" t="str">
        <f>RIGHT(Table4[[#This Row],[Latest Senate Action]],LEN(Table4[[#This Row],[Latest Senate Action]])-FIND(") - ",Table4[[#This Row],[Latest Senate Action]])-3)</f>
        <v xml:space="preserve">Ex. Res. No. 97 -2 agreed to; treaty returned to President. (All Actions) </v>
      </c>
      <c r="K541" s="12" t="str">
        <f>INDEX(Table5[type],MATCH(Table4[[#This Row],[Action]],Table5[Action],0))</f>
        <v>Passed</v>
      </c>
      <c r="L541" s="22" t="b">
        <f>INDEX(Table1[Senate and President Same Party, House and President Different Party],MATCH(Table4[[#This Row],[Congress Acting]],Table1[Congress],0))</f>
        <v>1</v>
      </c>
    </row>
    <row r="542" spans="1:12" ht="141.75">
      <c r="A542" s="9" t="s">
        <v>764</v>
      </c>
      <c r="B542" t="s">
        <v>3005</v>
      </c>
      <c r="C542" s="9" t="s">
        <v>2565</v>
      </c>
      <c r="D542" s="13" t="s">
        <v>4026</v>
      </c>
      <c r="E542" s="9" t="s">
        <v>3006</v>
      </c>
      <c r="F542"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42" s="9" t="s">
        <v>1063</v>
      </c>
      <c r="H542" s="9" t="s">
        <v>3007</v>
      </c>
      <c r="I542" s="12" t="str">
        <f>RIGHT(LEFT(Table4[[#This Row],[Latest Senate Action]],FIND(" Congress",Table4[[#This Row],[Latest Senate Action]])-1),LEN(LEFT(Table4[[#This Row],[Latest Senate Action]],FIND(" Congress",Table4[[#This Row],[Latest Senate Action]])-1))-FIND("-",Table4[[#This Row],[Latest Senate Action]])-1)</f>
        <v>97th</v>
      </c>
      <c r="J542" s="12" t="str">
        <f>RIGHT(Table4[[#This Row],[Latest Senate Action]],LEN(Table4[[#This Row],[Latest Senate Action]])-FIND(") - ",Table4[[#This Row],[Latest Senate Action]])-3)</f>
        <v xml:space="preserve">Treaty approved, with understanding, by the Senate 97-0 vote (#387 Ex.). (All Actions) </v>
      </c>
      <c r="K542" s="12" t="str">
        <f>INDEX(Table5[type],MATCH(Table4[[#This Row],[Action]],Table5[Action],0))</f>
        <v>Passed</v>
      </c>
      <c r="L542" s="22" t="b">
        <f>INDEX(Table1[Senate and President Same Party, House and President Different Party],MATCH(Table4[[#This Row],[Congress Acting]],Table1[Congress],0))</f>
        <v>1</v>
      </c>
    </row>
    <row r="543" spans="1:12" ht="126">
      <c r="A543" s="9" t="s">
        <v>765</v>
      </c>
      <c r="B543" t="s">
        <v>3008</v>
      </c>
      <c r="C543" s="9" t="s">
        <v>3000</v>
      </c>
      <c r="D543" s="13" t="s">
        <v>4027</v>
      </c>
      <c r="E543" s="9" t="s">
        <v>3003</v>
      </c>
      <c r="F543"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543" s="9" t="s">
        <v>1063</v>
      </c>
      <c r="H543" s="9" t="s">
        <v>3009</v>
      </c>
      <c r="I543" s="12" t="str">
        <f>RIGHT(LEFT(Table4[[#This Row],[Latest Senate Action]],FIND(" Congress",Table4[[#This Row],[Latest Senate Action]])-1),LEN(LEFT(Table4[[#This Row],[Latest Senate Action]],FIND(" Congress",Table4[[#This Row],[Latest Senate Action]])-1))-FIND("-",Table4[[#This Row],[Latest Senate Action]])-1)</f>
        <v>97th</v>
      </c>
      <c r="J543" s="12" t="str">
        <f>RIGHT(Table4[[#This Row],[Latest Senate Action]],LEN(Table4[[#This Row],[Latest Senate Action]])-FIND(") - ",Table4[[#This Row],[Latest Senate Action]])-3)</f>
        <v xml:space="preserve">General debate; approved by 97-0 vote. Record Vote Number 388. (All Actions) </v>
      </c>
      <c r="K543" s="12" t="str">
        <f>INDEX(Table5[type],MATCH(Table4[[#This Row],[Action]],Table5[Action],0))</f>
        <v>Passed</v>
      </c>
      <c r="L543" s="22" t="b">
        <f>INDEX(Table1[Senate and President Same Party, House and President Different Party],MATCH(Table4[[#This Row],[Congress Acting]],Table1[Congress],0))</f>
        <v>1</v>
      </c>
    </row>
    <row r="544" spans="1:12" ht="157.5">
      <c r="A544" s="9" t="s">
        <v>766</v>
      </c>
      <c r="B544" t="s">
        <v>3010</v>
      </c>
      <c r="C544" s="9" t="s">
        <v>3011</v>
      </c>
      <c r="D544" s="13" t="s">
        <v>4028</v>
      </c>
      <c r="E544" s="9" t="s">
        <v>3012</v>
      </c>
      <c r="F544"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44" s="9" t="s">
        <v>1052</v>
      </c>
      <c r="H544" s="9" t="s">
        <v>3013</v>
      </c>
      <c r="I544" s="12" t="str">
        <f>RIGHT(LEFT(Table4[[#This Row],[Latest Senate Action]],FIND(" Congress",Table4[[#This Row],[Latest Senate Action]])-1),LEN(LEFT(Table4[[#This Row],[Latest Senate Action]],FIND(" Congress",Table4[[#This Row],[Latest Senate Action]])-1))-FIND("-",Table4[[#This Row],[Latest Senate Action]])-1)</f>
        <v>97th</v>
      </c>
      <c r="J544" s="12" t="str">
        <f>RIGHT(Table4[[#This Row],[Latest Senate Action]],LEN(Table4[[#This Row],[Latest Senate Action]])-FIND(") - ",Table4[[#This Row],[Latest Senate Action]])-3)</f>
        <v xml:space="preserve">Treaty approved by Senate 97-0 vote (#384 Ex.). (All Actions) </v>
      </c>
      <c r="K544" s="12" t="str">
        <f>INDEX(Table5[type],MATCH(Table4[[#This Row],[Action]],Table5[Action],0))</f>
        <v>Passed</v>
      </c>
      <c r="L544" s="22" t="b">
        <f>INDEX(Table1[Senate and President Same Party, House and President Different Party],MATCH(Table4[[#This Row],[Congress Acting]],Table1[Congress],0))</f>
        <v>1</v>
      </c>
    </row>
    <row r="545" spans="1:12" ht="141.75">
      <c r="A545" s="9" t="s">
        <v>767</v>
      </c>
      <c r="B545" t="s">
        <v>3014</v>
      </c>
      <c r="C545" s="9" t="s">
        <v>3015</v>
      </c>
      <c r="D545" s="13" t="s">
        <v>4029</v>
      </c>
      <c r="E545" s="9" t="s">
        <v>3016</v>
      </c>
      <c r="F545"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45" s="9" t="s">
        <v>1063</v>
      </c>
      <c r="H545" s="9" t="s">
        <v>3017</v>
      </c>
      <c r="I545" s="12" t="str">
        <f>RIGHT(LEFT(Table4[[#This Row],[Latest Senate Action]],FIND(" Congress",Table4[[#This Row],[Latest Senate Action]])-1),LEN(LEFT(Table4[[#This Row],[Latest Senate Action]],FIND(" Congress",Table4[[#This Row],[Latest Senate Action]])-1))-FIND("-",Table4[[#This Row],[Latest Senate Action]])-1)</f>
        <v>97th</v>
      </c>
      <c r="J545" s="12" t="str">
        <f>RIGHT(Table4[[#This Row],[Latest Senate Action]],LEN(Table4[[#This Row],[Latest Senate Action]])-FIND(") - ",Table4[[#This Row],[Latest Senate Action]])-3)</f>
        <v xml:space="preserve">General debate; reservation and understanding agreed to; approved by 97-0 vote. Record Vote Number 391. (All Actions) </v>
      </c>
      <c r="K545" s="12" t="str">
        <f>INDEX(Table5[type],MATCH(Table4[[#This Row],[Action]],Table5[Action],0))</f>
        <v>Passed</v>
      </c>
      <c r="L545" s="22" t="b">
        <f>INDEX(Table1[Senate and President Same Party, House and President Different Party],MATCH(Table4[[#This Row],[Congress Acting]],Table1[Congress],0))</f>
        <v>1</v>
      </c>
    </row>
    <row r="546" spans="1:12" ht="141.75">
      <c r="A546" s="9" t="s">
        <v>768</v>
      </c>
      <c r="B546" t="s">
        <v>3018</v>
      </c>
      <c r="C546" s="9" t="s">
        <v>3019</v>
      </c>
      <c r="D546" s="13" t="s">
        <v>4030</v>
      </c>
      <c r="E546" s="9" t="s">
        <v>3020</v>
      </c>
      <c r="F54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46" s="9" t="s">
        <v>1063</v>
      </c>
      <c r="H546" s="9" t="s">
        <v>3021</v>
      </c>
      <c r="I546" s="12" t="str">
        <f>RIGHT(LEFT(Table4[[#This Row],[Latest Senate Action]],FIND(" Congress",Table4[[#This Row],[Latest Senate Action]])-1),LEN(LEFT(Table4[[#This Row],[Latest Senate Action]],FIND(" Congress",Table4[[#This Row],[Latest Senate Action]])-1))-FIND("-",Table4[[#This Row],[Latest Senate Action]])-1)</f>
        <v>97th</v>
      </c>
      <c r="J546" s="12" t="str">
        <f>RIGHT(Table4[[#This Row],[Latest Senate Action]],LEN(Table4[[#This Row],[Latest Senate Action]])-FIND(") - ",Table4[[#This Row],[Latest Senate Action]])-3)</f>
        <v xml:space="preserve">Approved by 97-0 vote. Record Vote Number 389. (All Actions) </v>
      </c>
      <c r="K546" s="12" t="str">
        <f>INDEX(Table5[type],MATCH(Table4[[#This Row],[Action]],Table5[Action],0))</f>
        <v>Passed</v>
      </c>
      <c r="L546" s="22" t="b">
        <f>INDEX(Table1[Senate and President Same Party, House and President Different Party],MATCH(Table4[[#This Row],[Congress Acting]],Table1[Congress],0))</f>
        <v>1</v>
      </c>
    </row>
    <row r="547" spans="1:12" ht="126">
      <c r="A547" s="9" t="s">
        <v>769</v>
      </c>
      <c r="B547" t="s">
        <v>3022</v>
      </c>
      <c r="C547" s="9" t="s">
        <v>3023</v>
      </c>
      <c r="D547" s="13" t="s">
        <v>4031</v>
      </c>
      <c r="E547" s="9" t="s">
        <v>2932</v>
      </c>
      <c r="F54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47" s="9" t="s">
        <v>1063</v>
      </c>
      <c r="H547" s="9" t="s">
        <v>3024</v>
      </c>
      <c r="I547" s="12" t="str">
        <f>RIGHT(LEFT(Table4[[#This Row],[Latest Senate Action]],FIND(" Congress",Table4[[#This Row],[Latest Senate Action]])-1),LEN(LEFT(Table4[[#This Row],[Latest Senate Action]],FIND(" Congress",Table4[[#This Row],[Latest Senate Action]])-1))-FIND("-",Table4[[#This Row],[Latest Senate Action]])-1)</f>
        <v>97th</v>
      </c>
      <c r="J547" s="12" t="str">
        <f>RIGHT(Table4[[#This Row],[Latest Senate Action]],LEN(Table4[[#This Row],[Latest Senate Action]])-FIND(") - ",Table4[[#This Row],[Latest Senate Action]])-3)</f>
        <v xml:space="preserve">Approved with 2 understandings by 97-0 vote. Record Vote Number 385. (All Actions) </v>
      </c>
      <c r="K547" s="12" t="str">
        <f>INDEX(Table5[type],MATCH(Table4[[#This Row],[Action]],Table5[Action],0))</f>
        <v>Passed</v>
      </c>
      <c r="L547" s="22" t="b">
        <f>INDEX(Table1[Senate and President Same Party, House and President Different Party],MATCH(Table4[[#This Row],[Congress Acting]],Table1[Congress],0))</f>
        <v>1</v>
      </c>
    </row>
    <row r="548" spans="1:12" ht="157.5">
      <c r="A548" s="9" t="s">
        <v>770</v>
      </c>
      <c r="B548" t="s">
        <v>3025</v>
      </c>
      <c r="C548" s="9" t="s">
        <v>3026</v>
      </c>
      <c r="D548" s="13" t="s">
        <v>4032</v>
      </c>
      <c r="E548" s="9" t="s">
        <v>3027</v>
      </c>
      <c r="F548"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48" s="9" t="s">
        <v>1101</v>
      </c>
      <c r="H548" s="9" t="s">
        <v>3028</v>
      </c>
      <c r="I548" s="12" t="str">
        <f>RIGHT(LEFT(Table4[[#This Row],[Latest Senate Action]],FIND(" Congress",Table4[[#This Row],[Latest Senate Action]])-1),LEN(LEFT(Table4[[#This Row],[Latest Senate Action]],FIND(" Congress",Table4[[#This Row],[Latest Senate Action]])-1))-FIND("-",Table4[[#This Row],[Latest Senate Action]])-1)</f>
        <v>97th</v>
      </c>
      <c r="J548" s="12" t="str">
        <f>RIGHT(Table4[[#This Row],[Latest Senate Action]],LEN(Table4[[#This Row],[Latest Senate Action]])-FIND(") - ",Table4[[#This Row],[Latest Senate Action]])-3)</f>
        <v xml:space="preserve">General debate; 3 understandings agreed to; approved by 79-0 vote. Record Vote Number 374. (All Actions) </v>
      </c>
      <c r="K548" s="12" t="str">
        <f>INDEX(Table5[type],MATCH(Table4[[#This Row],[Action]],Table5[Action],0))</f>
        <v>Passed</v>
      </c>
      <c r="L548" s="22" t="b">
        <f>INDEX(Table1[Senate and President Same Party, House and President Different Party],MATCH(Table4[[#This Row],[Congress Acting]],Table1[Congress],0))</f>
        <v>1</v>
      </c>
    </row>
    <row r="549" spans="1:12" ht="173.25">
      <c r="A549" s="9" t="s">
        <v>771</v>
      </c>
      <c r="B549" t="s">
        <v>3029</v>
      </c>
      <c r="C549" s="9" t="s">
        <v>3030</v>
      </c>
      <c r="D549" s="13" t="s">
        <v>4033</v>
      </c>
      <c r="E549" s="9" t="s">
        <v>3031</v>
      </c>
      <c r="F54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549" s="9" t="s">
        <v>1164</v>
      </c>
      <c r="H549" s="9" t="s">
        <v>3032</v>
      </c>
      <c r="I549" s="12" t="str">
        <f>RIGHT(LEFT(Table4[[#This Row],[Latest Senate Action]],FIND(" Congress",Table4[[#This Row],[Latest Senate Action]])-1),LEN(LEFT(Table4[[#This Row],[Latest Senate Action]],FIND(" Congress",Table4[[#This Row],[Latest Senate Action]])-1))-FIND("-",Table4[[#This Row],[Latest Senate Action]])-1)</f>
        <v>97th</v>
      </c>
      <c r="J549" s="12" t="str">
        <f>RIGHT(Table4[[#This Row],[Latest Senate Action]],LEN(Table4[[#This Row],[Latest Senate Action]])-FIND(") - ",Table4[[#This Row],[Latest Senate Action]])-3)</f>
        <v xml:space="preserve">Consideration and general debate; understanding to resolution agreed to; treaty approved by division vote. (All Actions) </v>
      </c>
      <c r="K549" s="12" t="str">
        <f>INDEX(Table5[type],MATCH(Table4[[#This Row],[Action]],Table5[Action],0))</f>
        <v>Passed</v>
      </c>
      <c r="L549" s="22" t="b">
        <f>INDEX(Table1[Senate and President Same Party, House and President Different Party],MATCH(Table4[[#This Row],[Congress Acting]],Table1[Congress],0))</f>
        <v>1</v>
      </c>
    </row>
    <row r="550" spans="1:12" ht="157.5">
      <c r="A550" s="9" t="s">
        <v>772</v>
      </c>
      <c r="B550" t="s">
        <v>3033</v>
      </c>
      <c r="C550" s="9" t="s">
        <v>3034</v>
      </c>
      <c r="D550" s="13" t="s">
        <v>4034</v>
      </c>
      <c r="E550" s="9" t="s">
        <v>3035</v>
      </c>
      <c r="F550"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50" s="9" t="s">
        <v>1052</v>
      </c>
      <c r="H550" s="9" t="s">
        <v>3036</v>
      </c>
      <c r="I550" s="12" t="str">
        <f>RIGHT(LEFT(Table4[[#This Row],[Latest Senate Action]],FIND(" Congress",Table4[[#This Row],[Latest Senate Action]])-1),LEN(LEFT(Table4[[#This Row],[Latest Senate Action]],FIND(" Congress",Table4[[#This Row],[Latest Senate Action]])-1))-FIND("-",Table4[[#This Row],[Latest Senate Action]])-1)</f>
        <v>97th</v>
      </c>
      <c r="J550" s="12" t="str">
        <f>RIGHT(Table4[[#This Row],[Latest Senate Action]],LEN(Table4[[#This Row],[Latest Senate Action]])-FIND(") - ",Table4[[#This Row],[Latest Senate Action]])-3)</f>
        <v xml:space="preserve">General debate; approved by 98-0 vote. Record Vote Number 243. (All Actions) </v>
      </c>
      <c r="K550" s="12" t="str">
        <f>INDEX(Table5[type],MATCH(Table4[[#This Row],[Action]],Table5[Action],0))</f>
        <v>Passed</v>
      </c>
      <c r="L550" s="22" t="b">
        <f>INDEX(Table1[Senate and President Same Party, House and President Different Party],MATCH(Table4[[#This Row],[Congress Acting]],Table1[Congress],0))</f>
        <v>1</v>
      </c>
    </row>
    <row r="551" spans="1:12" ht="141.75">
      <c r="A551" s="9" t="s">
        <v>773</v>
      </c>
      <c r="B551" t="s">
        <v>3037</v>
      </c>
      <c r="C551" s="9" t="s">
        <v>3038</v>
      </c>
      <c r="D551" s="13" t="s">
        <v>4035</v>
      </c>
      <c r="E551" s="9" t="s">
        <v>3039</v>
      </c>
      <c r="F551"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1" s="9" t="s">
        <v>1038</v>
      </c>
      <c r="H551" s="9" t="s">
        <v>3040</v>
      </c>
      <c r="I551" s="12" t="str">
        <f>RIGHT(LEFT(Table4[[#This Row],[Latest Senate Action]],FIND(" Congress",Table4[[#This Row],[Latest Senate Action]])-1),LEN(LEFT(Table4[[#This Row],[Latest Senate Action]],FIND(" Congress",Table4[[#This Row],[Latest Senate Action]])-1))-FIND("-",Table4[[#This Row],[Latest Senate Action]])-1)</f>
        <v>97th</v>
      </c>
      <c r="J551" s="12" t="str">
        <f>RIGHT(Table4[[#This Row],[Latest Senate Action]],LEN(Table4[[#This Row],[Latest Senate Action]])-FIND(") - ",Table4[[#This Row],[Latest Senate Action]])-3)</f>
        <v xml:space="preserve">Approved by vote of 98-0. Record Vote Number 242. (All Actions) </v>
      </c>
      <c r="K551" s="12" t="str">
        <f>INDEX(Table5[type],MATCH(Table4[[#This Row],[Action]],Table5[Action],0))</f>
        <v>Passed</v>
      </c>
      <c r="L551" s="22" t="b">
        <f>INDEX(Table1[Senate and President Same Party, House and President Different Party],MATCH(Table4[[#This Row],[Congress Acting]],Table1[Congress],0))</f>
        <v>1</v>
      </c>
    </row>
    <row r="552" spans="1:12" ht="157.5">
      <c r="A552" s="9" t="s">
        <v>774</v>
      </c>
      <c r="B552" t="s">
        <v>3041</v>
      </c>
      <c r="C552" s="9" t="s">
        <v>3042</v>
      </c>
      <c r="D552" s="13" t="s">
        <v>4251</v>
      </c>
      <c r="E552" s="9" t="s">
        <v>3043</v>
      </c>
      <c r="F552"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2" s="9" t="s">
        <v>1038</v>
      </c>
      <c r="H552" s="9" t="s">
        <v>3044</v>
      </c>
      <c r="I552" s="12" t="str">
        <f>RIGHT(LEFT(Table4[[#This Row],[Latest Senate Action]],FIND(" Congress",Table4[[#This Row],[Latest Senate Action]])-1),LEN(LEFT(Table4[[#This Row],[Latest Senate Action]],FIND(" Congress",Table4[[#This Row],[Latest Senate Action]])-1))-FIND("-",Table4[[#This Row],[Latest Senate Action]])-1)</f>
        <v>97th</v>
      </c>
      <c r="J552" s="12" t="str">
        <f>RIGHT(Table4[[#This Row],[Latest Senate Action]],LEN(Table4[[#This Row],[Latest Senate Action]])-FIND(") - ",Table4[[#This Row],[Latest Senate Action]])-3)</f>
        <v xml:space="preserve">Approved by 98-0 vote. Record Vote Number: 244. (All Actions) </v>
      </c>
      <c r="K552" s="12" t="str">
        <f>INDEX(Table5[type],MATCH(Table4[[#This Row],[Action]],Table5[Action],0))</f>
        <v>Passed</v>
      </c>
      <c r="L552" s="22" t="b">
        <f>INDEX(Table1[Senate and President Same Party, House and President Different Party],MATCH(Table4[[#This Row],[Congress Acting]],Table1[Congress],0))</f>
        <v>1</v>
      </c>
    </row>
    <row r="553" spans="1:12" ht="141.75">
      <c r="A553" s="9" t="s">
        <v>775</v>
      </c>
      <c r="B553" t="s">
        <v>3045</v>
      </c>
      <c r="C553" s="9" t="s">
        <v>3046</v>
      </c>
      <c r="D553" s="13" t="s">
        <v>4036</v>
      </c>
      <c r="E553" s="9" t="s">
        <v>2950</v>
      </c>
      <c r="F55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3" s="9" t="s">
        <v>1013</v>
      </c>
      <c r="H553" s="9" t="s">
        <v>3047</v>
      </c>
      <c r="I553" s="12" t="str">
        <f>RIGHT(LEFT(Table4[[#This Row],[Latest Senate Action]],FIND(" Congress",Table4[[#This Row],[Latest Senate Action]])-1),LEN(LEFT(Table4[[#This Row],[Latest Senate Action]],FIND(" Congress",Table4[[#This Row],[Latest Senate Action]])-1))-FIND("-",Table4[[#This Row],[Latest Senate Action]])-1)</f>
        <v>97th</v>
      </c>
      <c r="J553" s="12" t="str">
        <f>RIGHT(Table4[[#This Row],[Latest Senate Action]],LEN(Table4[[#This Row],[Latest Senate Action]])-FIND(") - ",Table4[[#This Row],[Latest Senate Action]])-3)</f>
        <v xml:space="preserve">Approved by 98-0 vote. Record Vote Number 241. (All Actions) </v>
      </c>
      <c r="K553" s="12" t="str">
        <f>INDEX(Table5[type],MATCH(Table4[[#This Row],[Action]],Table5[Action],0))</f>
        <v>Passed</v>
      </c>
      <c r="L553" s="22" t="b">
        <f>INDEX(Table1[Senate and President Same Party, House and President Different Party],MATCH(Table4[[#This Row],[Congress Acting]],Table1[Congress],0))</f>
        <v>1</v>
      </c>
    </row>
    <row r="554" spans="1:12" ht="141.75">
      <c r="A554" s="9" t="s">
        <v>776</v>
      </c>
      <c r="B554" t="s">
        <v>3048</v>
      </c>
      <c r="C554" s="9" t="s">
        <v>3049</v>
      </c>
      <c r="D554" s="13" t="s">
        <v>4037</v>
      </c>
      <c r="E554" s="9" t="s">
        <v>3050</v>
      </c>
      <c r="F554" t="str">
        <f>RIGHT(LEFT(Table4[[#This Row],[Date Received from President]],FIND(" Congress",Table4[[#This Row],[Date Received from President]])-1),LEN(LEFT(Table4[[#This Row],[Date Received from President]],FIND(" Congress",Table4[[#This Row],[Date Received from President]])-1))-FIND("-",Table4[[#This Row],[Date Received from President]])-1)</f>
        <v>97th</v>
      </c>
      <c r="G554" s="9" t="s">
        <v>1112</v>
      </c>
      <c r="H554" s="9" t="s">
        <v>3051</v>
      </c>
      <c r="I554" s="12" t="str">
        <f>RIGHT(LEFT(Table4[[#This Row],[Latest Senate Action]],FIND(" Congress",Table4[[#This Row],[Latest Senate Action]])-1),LEN(LEFT(Table4[[#This Row],[Latest Senate Action]],FIND(" Congress",Table4[[#This Row],[Latest Senate Action]])-1))-FIND("-",Table4[[#This Row],[Latest Senate Action]])-1)</f>
        <v>97th</v>
      </c>
      <c r="J554" s="12" t="str">
        <f>RIGHT(Table4[[#This Row],[Latest Senate Action]],LEN(Table4[[#This Row],[Latest Senate Action]])-FIND(") - ",Table4[[#This Row],[Latest Senate Action]])-3)</f>
        <v xml:space="preserve">Treaty approved by Senate 97-0 vote (#202 Ex.). (All Actions) </v>
      </c>
      <c r="K554" s="12" t="str">
        <f>INDEX(Table5[type],MATCH(Table4[[#This Row],[Action]],Table5[Action],0))</f>
        <v>Passed</v>
      </c>
      <c r="L554" s="22" t="b">
        <f>INDEX(Table1[Senate and President Same Party, House and President Different Party],MATCH(Table4[[#This Row],[Congress Acting]],Table1[Congress],0))</f>
        <v>1</v>
      </c>
    </row>
    <row r="555" spans="1:12" ht="126">
      <c r="A555" s="9" t="s">
        <v>777</v>
      </c>
      <c r="B555" t="s">
        <v>3052</v>
      </c>
      <c r="C555" s="9" t="s">
        <v>3053</v>
      </c>
      <c r="D555" s="13" t="s">
        <v>4038</v>
      </c>
      <c r="E555" s="9" t="s">
        <v>1562</v>
      </c>
      <c r="F55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5" s="9" t="s">
        <v>1112</v>
      </c>
      <c r="H555" s="9" t="s">
        <v>3054</v>
      </c>
      <c r="I555" s="12" t="str">
        <f>RIGHT(LEFT(Table4[[#This Row],[Latest Senate Action]],FIND(" Congress",Table4[[#This Row],[Latest Senate Action]])-1),LEN(LEFT(Table4[[#This Row],[Latest Senate Action]],FIND(" Congress",Table4[[#This Row],[Latest Senate Action]])-1))-FIND("-",Table4[[#This Row],[Latest Senate Action]])-1)</f>
        <v>97th</v>
      </c>
      <c r="J555" s="12" t="str">
        <f>RIGHT(Table4[[#This Row],[Latest Senate Action]],LEN(Table4[[#This Row],[Latest Senate Action]])-FIND(") - ",Table4[[#This Row],[Latest Senate Action]])-3)</f>
        <v xml:space="preserve">Entered into force. (All Actions) </v>
      </c>
      <c r="K555" s="12" t="str">
        <f>INDEX(Table5[type],MATCH(Table4[[#This Row],[Action]],Table5[Action],0))</f>
        <v>Passed</v>
      </c>
      <c r="L555" s="22" t="b">
        <f>INDEX(Table1[Senate and President Same Party, House and President Different Party],MATCH(Table4[[#This Row],[Congress Acting]],Table1[Congress],0))</f>
        <v>1</v>
      </c>
    </row>
    <row r="556" spans="1:12" ht="126">
      <c r="A556" s="9" t="s">
        <v>778</v>
      </c>
      <c r="B556" t="s">
        <v>3055</v>
      </c>
      <c r="C556" s="9" t="s">
        <v>3056</v>
      </c>
      <c r="D556" s="13" t="s">
        <v>4039</v>
      </c>
      <c r="E556" s="9" t="s">
        <v>2857</v>
      </c>
      <c r="F55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6" s="9" t="s">
        <v>1112</v>
      </c>
      <c r="H556" s="9" t="s">
        <v>3057</v>
      </c>
      <c r="I556" s="12" t="str">
        <f>RIGHT(LEFT(Table4[[#This Row],[Latest Senate Action]],FIND(" Congress",Table4[[#This Row],[Latest Senate Action]])-1),LEN(LEFT(Table4[[#This Row],[Latest Senate Action]],FIND(" Congress",Table4[[#This Row],[Latest Senate Action]])-1))-FIND("-",Table4[[#This Row],[Latest Senate Action]])-1)</f>
        <v>97th</v>
      </c>
      <c r="J556" s="12" t="str">
        <f>RIGHT(Table4[[#This Row],[Latest Senate Action]],LEN(Table4[[#This Row],[Latest Senate Action]])-FIND(") - ",Table4[[#This Row],[Latest Senate Action]])-3)</f>
        <v xml:space="preserve">Treaty returned to President. (All Actions) </v>
      </c>
      <c r="K556" s="12" t="str">
        <f>INDEX(Table5[type],MATCH(Table4[[#This Row],[Action]],Table5[Action],0))</f>
        <v>Passed</v>
      </c>
      <c r="L556" s="22" t="b">
        <f>INDEX(Table1[Senate and President Same Party, House and President Different Party],MATCH(Table4[[#This Row],[Congress Acting]],Table1[Congress],0))</f>
        <v>1</v>
      </c>
    </row>
    <row r="557" spans="1:12" ht="141.75">
      <c r="A557" s="9" t="s">
        <v>779</v>
      </c>
      <c r="B557" t="s">
        <v>3058</v>
      </c>
      <c r="C557" s="9" t="s">
        <v>3059</v>
      </c>
      <c r="D557" s="13" t="s">
        <v>4040</v>
      </c>
      <c r="E557" s="9" t="s">
        <v>2857</v>
      </c>
      <c r="F55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7" s="9" t="s">
        <v>1623</v>
      </c>
      <c r="H557" s="9" t="s">
        <v>3060</v>
      </c>
      <c r="I557" s="12" t="str">
        <f>RIGHT(LEFT(Table4[[#This Row],[Latest Senate Action]],FIND(" Congress",Table4[[#This Row],[Latest Senate Action]])-1),LEN(LEFT(Table4[[#This Row],[Latest Senate Action]],FIND(" Congress",Table4[[#This Row],[Latest Senate Action]])-1))-FIND("-",Table4[[#This Row],[Latest Senate Action]])-1)</f>
        <v>97th</v>
      </c>
      <c r="J557" s="12" t="str">
        <f>RIGHT(Table4[[#This Row],[Latest Senate Action]],LEN(Table4[[#This Row],[Latest Senate Action]])-FIND(") - ",Table4[[#This Row],[Latest Senate Action]])-3)</f>
        <v xml:space="preserve">Approved with amendments by 91-0 vote. Record Vote Number 84. (All Actions) </v>
      </c>
      <c r="K557" s="12" t="str">
        <f>INDEX(Table5[type],MATCH(Table4[[#This Row],[Action]],Table5[Action],0))</f>
        <v>Passed</v>
      </c>
      <c r="L557" s="22" t="b">
        <f>INDEX(Table1[Senate and President Same Party, House and President Different Party],MATCH(Table4[[#This Row],[Congress Acting]],Table1[Congress],0))</f>
        <v>1</v>
      </c>
    </row>
    <row r="558" spans="1:12" ht="189">
      <c r="A558" s="9" t="s">
        <v>780</v>
      </c>
      <c r="B558" t="s">
        <v>3061</v>
      </c>
      <c r="C558" s="9" t="s">
        <v>3062</v>
      </c>
      <c r="D558" s="13" t="s">
        <v>4041</v>
      </c>
      <c r="E558" s="9" t="s">
        <v>2131</v>
      </c>
      <c r="F558"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8" s="9" t="s">
        <v>1623</v>
      </c>
      <c r="H558" s="9" t="s">
        <v>3063</v>
      </c>
      <c r="I558" s="12" t="str">
        <f>RIGHT(LEFT(Table4[[#This Row],[Latest Senate Action]],FIND(" Congress",Table4[[#This Row],[Latest Senate Action]])-1),LEN(LEFT(Table4[[#This Row],[Latest Senate Action]],FIND(" Congress",Table4[[#This Row],[Latest Senate Action]])-1))-FIND("-",Table4[[#This Row],[Latest Senate Action]])-1)</f>
        <v>96th</v>
      </c>
      <c r="J558" s="12" t="str">
        <f>RIGHT(Table4[[#This Row],[Latest Senate Action]],LEN(Table4[[#This Row],[Latest Senate Action]])-FIND(") - ",Table4[[#This Row],[Latest Senate Action]])-3)</f>
        <v xml:space="preserve">No further action at sine die adjournment of the 96 Congress; automatically rereferred to the Committee on Foreign Relations under the provisions of Rule XXX, section 2, of the Standing Rules of the Senate. (All Actions) </v>
      </c>
      <c r="K558" s="12" t="str">
        <f>INDEX(Table5[type],MATCH(Table4[[#This Row],[Action]],Table5[Action],0))</f>
        <v>Passed</v>
      </c>
      <c r="L558" s="22" t="b">
        <f>INDEX(Table1[Senate and President Same Party, House and President Different Party],MATCH(Table4[[#This Row],[Congress Acting]],Table1[Congress],0))</f>
        <v>1</v>
      </c>
    </row>
    <row r="559" spans="1:12" ht="126">
      <c r="A559" s="9" t="s">
        <v>781</v>
      </c>
      <c r="B559" t="s">
        <v>3064</v>
      </c>
      <c r="C559" s="9" t="s">
        <v>3065</v>
      </c>
      <c r="D559" s="13" t="s">
        <v>4042</v>
      </c>
      <c r="E559" s="9" t="s">
        <v>2131</v>
      </c>
      <c r="F55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59" s="9" t="s">
        <v>1623</v>
      </c>
      <c r="H559" s="9" t="s">
        <v>3066</v>
      </c>
      <c r="I559" s="12" t="str">
        <f>RIGHT(LEFT(Table4[[#This Row],[Latest Senate Action]],FIND(" Congress",Table4[[#This Row],[Latest Senate Action]])-1),LEN(LEFT(Table4[[#This Row],[Latest Senate Action]],FIND(" Congress",Table4[[#This Row],[Latest Senate Action]])-1))-FIND("-",Table4[[#This Row],[Latest Senate Action]])-1)</f>
        <v>96th</v>
      </c>
      <c r="J559" s="12" t="str">
        <f>RIGHT(Table4[[#This Row],[Latest Senate Action]],LEN(Table4[[#This Row],[Latest Senate Action]])-FIND(") - ",Table4[[#This Row],[Latest Senate Action]])-3)</f>
        <v xml:space="preserve">Approved by 94-0 vote. Record Vote Number 414. (All Actions) </v>
      </c>
      <c r="K559" s="12" t="str">
        <f>INDEX(Table5[type],MATCH(Table4[[#This Row],[Action]],Table5[Action],0))</f>
        <v>Passed</v>
      </c>
      <c r="L559" s="22" t="b">
        <f>INDEX(Table1[Senate and President Same Party, House and President Different Party],MATCH(Table4[[#This Row],[Congress Acting]],Table1[Congress],0))</f>
        <v>1</v>
      </c>
    </row>
    <row r="560" spans="1:12" ht="157.5">
      <c r="A560" s="9" t="s">
        <v>782</v>
      </c>
      <c r="B560" t="s">
        <v>3067</v>
      </c>
      <c r="C560" s="9" t="s">
        <v>3068</v>
      </c>
      <c r="D560" s="13" t="s">
        <v>4043</v>
      </c>
      <c r="E560" s="9" t="s">
        <v>3069</v>
      </c>
      <c r="F56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0" s="9" t="s">
        <v>1200</v>
      </c>
      <c r="H560" s="9" t="s">
        <v>3070</v>
      </c>
      <c r="I560" s="12" t="str">
        <f>RIGHT(LEFT(Table4[[#This Row],[Latest Senate Action]],FIND(" Congress",Table4[[#This Row],[Latest Senate Action]])-1),LEN(LEFT(Table4[[#This Row],[Latest Senate Action]],FIND(" Congress",Table4[[#This Row],[Latest Senate Action]])-1))-FIND("-",Table4[[#This Row],[Latest Senate Action]])-1)</f>
        <v>96th</v>
      </c>
      <c r="J560" s="12" t="str">
        <f>RIGHT(Table4[[#This Row],[Latest Senate Action]],LEN(Table4[[#This Row],[Latest Senate Action]])-FIND(") - ",Table4[[#This Row],[Latest Senate Action]])-3)</f>
        <v xml:space="preserve">Approved by 94-0 vote. Record Vote Number 412. (All Actions) </v>
      </c>
      <c r="K560" s="12" t="str">
        <f>INDEX(Table5[type],MATCH(Table4[[#This Row],[Action]],Table5[Action],0))</f>
        <v>Passed</v>
      </c>
      <c r="L560" s="22" t="b">
        <f>INDEX(Table1[Senate and President Same Party, House and President Different Party],MATCH(Table4[[#This Row],[Congress Acting]],Table1[Congress],0))</f>
        <v>1</v>
      </c>
    </row>
    <row r="561" spans="1:12" ht="141.75">
      <c r="A561" s="9" t="s">
        <v>783</v>
      </c>
      <c r="B561" t="s">
        <v>3071</v>
      </c>
      <c r="C561" s="9" t="s">
        <v>3072</v>
      </c>
      <c r="D561" s="13" t="s">
        <v>4044</v>
      </c>
      <c r="E561" s="9" t="s">
        <v>3073</v>
      </c>
      <c r="F561"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1" s="9" t="s">
        <v>1052</v>
      </c>
      <c r="H561" s="9" t="s">
        <v>3074</v>
      </c>
      <c r="I561" s="12" t="str">
        <f>RIGHT(LEFT(Table4[[#This Row],[Latest Senate Action]],FIND(" Congress",Table4[[#This Row],[Latest Senate Action]])-1),LEN(LEFT(Table4[[#This Row],[Latest Senate Action]],FIND(" Congress",Table4[[#This Row],[Latest Senate Action]])-1))-FIND("-",Table4[[#This Row],[Latest Senate Action]])-1)</f>
        <v>96th</v>
      </c>
      <c r="J561" s="12" t="str">
        <f>RIGHT(Table4[[#This Row],[Latest Senate Action]],LEN(Table4[[#This Row],[Latest Senate Action]])-FIND(") - ",Table4[[#This Row],[Latest Senate Action]])-3)</f>
        <v xml:space="preserve">Approved by 94-0 vote. Record Vote Number 409. (All Actions) </v>
      </c>
      <c r="K561" s="12" t="str">
        <f>INDEX(Table5[type],MATCH(Table4[[#This Row],[Action]],Table5[Action],0))</f>
        <v>Passed</v>
      </c>
      <c r="L561" s="22" t="b">
        <f>INDEX(Table1[Senate and President Same Party, House and President Different Party],MATCH(Table4[[#This Row],[Congress Acting]],Table1[Congress],0))</f>
        <v>1</v>
      </c>
    </row>
    <row r="562" spans="1:12" ht="157.5">
      <c r="A562" s="9" t="s">
        <v>784</v>
      </c>
      <c r="B562" t="s">
        <v>3075</v>
      </c>
      <c r="C562" s="9" t="s">
        <v>3076</v>
      </c>
      <c r="D562" s="13" t="s">
        <v>4252</v>
      </c>
      <c r="E562" s="9" t="s">
        <v>3077</v>
      </c>
      <c r="F562"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2" s="9" t="s">
        <v>1038</v>
      </c>
      <c r="H562" s="9" t="s">
        <v>3078</v>
      </c>
      <c r="I562" s="12" t="str">
        <f>RIGHT(LEFT(Table4[[#This Row],[Latest Senate Action]],FIND(" Congress",Table4[[#This Row],[Latest Senate Action]])-1),LEN(LEFT(Table4[[#This Row],[Latest Senate Action]],FIND(" Congress",Table4[[#This Row],[Latest Senate Action]])-1))-FIND("-",Table4[[#This Row],[Latest Senate Action]])-1)</f>
        <v>96th</v>
      </c>
      <c r="J562" s="12" t="str">
        <f>RIGHT(Table4[[#This Row],[Latest Senate Action]],LEN(Table4[[#This Row],[Latest Senate Action]])-FIND(") - ",Table4[[#This Row],[Latest Senate Action]])-3)</f>
        <v xml:space="preserve">Approved by 94-0 vote. Record Vote Number 413. (All Actions) </v>
      </c>
      <c r="K562" s="12" t="str">
        <f>INDEX(Table5[type],MATCH(Table4[[#This Row],[Action]],Table5[Action],0))</f>
        <v>Passed</v>
      </c>
      <c r="L562" s="22" t="b">
        <f>INDEX(Table1[Senate and President Same Party, House and President Different Party],MATCH(Table4[[#This Row],[Congress Acting]],Table1[Congress],0))</f>
        <v>1</v>
      </c>
    </row>
    <row r="563" spans="1:12" ht="141.75">
      <c r="A563" s="9" t="s">
        <v>785</v>
      </c>
      <c r="B563" t="s">
        <v>3079</v>
      </c>
      <c r="C563" s="9" t="s">
        <v>3080</v>
      </c>
      <c r="D563" s="13" t="s">
        <v>4045</v>
      </c>
      <c r="E563" s="9" t="s">
        <v>2888</v>
      </c>
      <c r="F56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3" s="9" t="s">
        <v>1052</v>
      </c>
      <c r="H563" s="9" t="s">
        <v>3081</v>
      </c>
      <c r="I563" s="12" t="str">
        <f>RIGHT(LEFT(Table4[[#This Row],[Latest Senate Action]],FIND(" Congress",Table4[[#This Row],[Latest Senate Action]])-1),LEN(LEFT(Table4[[#This Row],[Latest Senate Action]],FIND(" Congress",Table4[[#This Row],[Latest Senate Action]])-1))-FIND("-",Table4[[#This Row],[Latest Senate Action]])-1)</f>
        <v>96th</v>
      </c>
      <c r="J563" s="12" t="str">
        <f>RIGHT(Table4[[#This Row],[Latest Senate Action]],LEN(Table4[[#This Row],[Latest Senate Action]])-FIND(") - ",Table4[[#This Row],[Latest Senate Action]])-3)</f>
        <v xml:space="preserve">Approved by 94-0 vote. Record Vote Number 410. (All Actions) </v>
      </c>
      <c r="K563" s="12" t="str">
        <f>INDEX(Table5[type],MATCH(Table4[[#This Row],[Action]],Table5[Action],0))</f>
        <v>Passed</v>
      </c>
      <c r="L563" s="22" t="b">
        <f>INDEX(Table1[Senate and President Same Party, House and President Different Party],MATCH(Table4[[#This Row],[Congress Acting]],Table1[Congress],0))</f>
        <v>1</v>
      </c>
    </row>
    <row r="564" spans="1:12" ht="157.5">
      <c r="A564" s="9" t="s">
        <v>786</v>
      </c>
      <c r="B564" t="s">
        <v>3082</v>
      </c>
      <c r="C564" s="9" t="s">
        <v>3083</v>
      </c>
      <c r="D564" s="13" t="s">
        <v>4046</v>
      </c>
      <c r="E564" s="9" t="s">
        <v>3084</v>
      </c>
      <c r="F56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4" s="9" t="s">
        <v>1112</v>
      </c>
      <c r="H564" s="9" t="s">
        <v>3085</v>
      </c>
      <c r="I564" s="12" t="str">
        <f>RIGHT(LEFT(Table4[[#This Row],[Latest Senate Action]],FIND(" Congress",Table4[[#This Row],[Latest Senate Action]])-1),LEN(LEFT(Table4[[#This Row],[Latest Senate Action]],FIND(" Congress",Table4[[#This Row],[Latest Senate Action]])-1))-FIND("-",Table4[[#This Row],[Latest Senate Action]])-1)</f>
        <v>96th</v>
      </c>
      <c r="J564" s="12" t="str">
        <f>RIGHT(Table4[[#This Row],[Latest Senate Action]],LEN(Table4[[#This Row],[Latest Senate Action]])-FIND(") - ",Table4[[#This Row],[Latest Senate Action]])-3)</f>
        <v xml:space="preserve">Approved by 94-0 vote. Record Vote Number 411. (All Actions) </v>
      </c>
      <c r="K564" s="12" t="str">
        <f>INDEX(Table5[type],MATCH(Table4[[#This Row],[Action]],Table5[Action],0))</f>
        <v>Passed</v>
      </c>
      <c r="L564" s="22" t="b">
        <f>INDEX(Table1[Senate and President Same Party, House and President Different Party],MATCH(Table4[[#This Row],[Congress Acting]],Table1[Congress],0))</f>
        <v>1</v>
      </c>
    </row>
    <row r="565" spans="1:12" ht="126">
      <c r="A565" s="9" t="s">
        <v>787</v>
      </c>
      <c r="B565" t="s">
        <v>3086</v>
      </c>
      <c r="C565" s="9" t="s">
        <v>3087</v>
      </c>
      <c r="D565" s="13" t="s">
        <v>4047</v>
      </c>
      <c r="E565" s="9" t="s">
        <v>3039</v>
      </c>
      <c r="F56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5" s="9" t="s">
        <v>1052</v>
      </c>
      <c r="H565" s="9" t="s">
        <v>3088</v>
      </c>
      <c r="I565" s="12" t="str">
        <f>RIGHT(LEFT(Table4[[#This Row],[Latest Senate Action]],FIND(" Congress",Table4[[#This Row],[Latest Senate Action]])-1),LEN(LEFT(Table4[[#This Row],[Latest Senate Action]],FIND(" Congress",Table4[[#This Row],[Latest Senate Action]])-1))-FIND("-",Table4[[#This Row],[Latest Senate Action]])-1)</f>
        <v>96th</v>
      </c>
      <c r="J565" s="12" t="str">
        <f>RIGHT(Table4[[#This Row],[Latest Senate Action]],LEN(Table4[[#This Row],[Latest Senate Action]])-FIND(") - ",Table4[[#This Row],[Latest Senate Action]])-3)</f>
        <v xml:space="preserve">Approved by 94-0 vote. Record Vote Number 408. (All Actions) </v>
      </c>
      <c r="K565" s="12" t="str">
        <f>INDEX(Table5[type],MATCH(Table4[[#This Row],[Action]],Table5[Action],0))</f>
        <v>Passed</v>
      </c>
      <c r="L565" s="22" t="b">
        <f>INDEX(Table1[Senate and President Same Party, House and President Different Party],MATCH(Table4[[#This Row],[Congress Acting]],Table1[Congress],0))</f>
        <v>1</v>
      </c>
    </row>
    <row r="566" spans="1:12" ht="157.5">
      <c r="A566" s="9" t="s">
        <v>788</v>
      </c>
      <c r="B566" t="s">
        <v>3089</v>
      </c>
      <c r="C566" s="9" t="s">
        <v>3090</v>
      </c>
      <c r="D566" s="13" t="s">
        <v>4048</v>
      </c>
      <c r="E566" s="9" t="s">
        <v>2131</v>
      </c>
      <c r="F56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6" s="9" t="s">
        <v>1200</v>
      </c>
      <c r="H566" s="9" t="s">
        <v>3091</v>
      </c>
      <c r="I566" s="12" t="str">
        <f>RIGHT(LEFT(Table4[[#This Row],[Latest Senate Action]],FIND(" Congress",Table4[[#This Row],[Latest Senate Action]])-1),LEN(LEFT(Table4[[#This Row],[Latest Senate Action]],FIND(" Congress",Table4[[#This Row],[Latest Senate Action]])-1))-FIND("-",Table4[[#This Row],[Latest Senate Action]])-1)</f>
        <v>96th</v>
      </c>
      <c r="J566" s="12" t="str">
        <f>RIGHT(Table4[[#This Row],[Latest Senate Action]],LEN(Table4[[#This Row],[Latest Senate Action]])-FIND(") - ",Table4[[#This Row],[Latest Senate Action]])-3)</f>
        <v xml:space="preserve">General debate; approved by 90-0 vote. Record Vote Number 296. (All Actions) </v>
      </c>
      <c r="K566" s="12" t="str">
        <f>INDEX(Table5[type],MATCH(Table4[[#This Row],[Action]],Table5[Action],0))</f>
        <v>Passed</v>
      </c>
      <c r="L566" s="22" t="b">
        <f>INDEX(Table1[Senate and President Same Party, House and President Different Party],MATCH(Table4[[#This Row],[Congress Acting]],Table1[Congress],0))</f>
        <v>1</v>
      </c>
    </row>
    <row r="567" spans="1:12" ht="157.5">
      <c r="A567" s="9" t="s">
        <v>789</v>
      </c>
      <c r="B567" t="s">
        <v>3092</v>
      </c>
      <c r="C567" s="9" t="s">
        <v>3093</v>
      </c>
      <c r="D567" s="13" t="s">
        <v>4049</v>
      </c>
      <c r="E567" s="9" t="s">
        <v>3094</v>
      </c>
      <c r="F567"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7" s="9" t="s">
        <v>1200</v>
      </c>
      <c r="H567" s="9" t="s">
        <v>3095</v>
      </c>
      <c r="I567" s="12" t="str">
        <f>RIGHT(LEFT(Table4[[#This Row],[Latest Senate Action]],FIND(" Congress",Table4[[#This Row],[Latest Senate Action]])-1),LEN(LEFT(Table4[[#This Row],[Latest Senate Action]],FIND(" Congress",Table4[[#This Row],[Latest Senate Action]])-1))-FIND("-",Table4[[#This Row],[Latest Senate Action]])-1)</f>
        <v>96th</v>
      </c>
      <c r="J567" s="12" t="str">
        <f>RIGHT(Table4[[#This Row],[Latest Senate Action]],LEN(Table4[[#This Row],[Latest Senate Action]])-FIND(") - ",Table4[[#This Row],[Latest Senate Action]])-3)</f>
        <v xml:space="preserve">General debate; approved by 90-0 vote. Record Vote Number 297. (All Actions) </v>
      </c>
      <c r="K567" s="12" t="str">
        <f>INDEX(Table5[type],MATCH(Table4[[#This Row],[Action]],Table5[Action],0))</f>
        <v>Passed</v>
      </c>
      <c r="L567" s="22" t="b">
        <f>INDEX(Table1[Senate and President Same Party, House and President Different Party],MATCH(Table4[[#This Row],[Congress Acting]],Table1[Congress],0))</f>
        <v>1</v>
      </c>
    </row>
    <row r="568" spans="1:12" ht="204.75">
      <c r="A568" s="9" t="s">
        <v>790</v>
      </c>
      <c r="B568" t="s">
        <v>3096</v>
      </c>
      <c r="C568" s="9" t="s">
        <v>3097</v>
      </c>
      <c r="D568" s="13" t="s">
        <v>4050</v>
      </c>
      <c r="E568" s="9" t="s">
        <v>3098</v>
      </c>
      <c r="F568"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68" s="9" t="s">
        <v>1038</v>
      </c>
      <c r="H568" s="9" t="s">
        <v>3099</v>
      </c>
      <c r="I568" s="12" t="str">
        <f>RIGHT(LEFT(Table4[[#This Row],[Latest Senate Action]],FIND(" Congress",Table4[[#This Row],[Latest Senate Action]])-1),LEN(LEFT(Table4[[#This Row],[Latest Senate Action]],FIND(" Congress",Table4[[#This Row],[Latest Senate Action]])-1))-FIND("-",Table4[[#This Row],[Latest Senate Action]])-1)</f>
        <v>96th</v>
      </c>
      <c r="J568" s="12" t="str">
        <f>RIGHT(Table4[[#This Row],[Latest Senate Action]],LEN(Table4[[#This Row],[Latest Senate Action]])-FIND(") - ",Table4[[#This Row],[Latest Senate Action]])-3)</f>
        <v xml:space="preserve">General debate; 5 understandings agreed to; approved by 90-0 vote. Record Vote Number 302. (All Actions) </v>
      </c>
      <c r="K568" s="12" t="str">
        <f>INDEX(Table5[type],MATCH(Table4[[#This Row],[Action]],Table5[Action],0))</f>
        <v>Passed</v>
      </c>
      <c r="L568" s="22" t="b">
        <f>INDEX(Table1[Senate and President Same Party, House and President Different Party],MATCH(Table4[[#This Row],[Congress Acting]],Table1[Congress],0))</f>
        <v>1</v>
      </c>
    </row>
    <row r="569" spans="1:12" ht="173.25">
      <c r="A569" s="9" t="s">
        <v>791</v>
      </c>
      <c r="B569" t="s">
        <v>3100</v>
      </c>
      <c r="C569" s="9" t="s">
        <v>3101</v>
      </c>
      <c r="D569" s="13" t="s">
        <v>4051</v>
      </c>
      <c r="E569" s="9" t="s">
        <v>2857</v>
      </c>
      <c r="F56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69" s="9" t="s">
        <v>1200</v>
      </c>
      <c r="H569" s="9" t="s">
        <v>3102</v>
      </c>
      <c r="I569" s="12" t="str">
        <f>RIGHT(LEFT(Table4[[#This Row],[Latest Senate Action]],FIND(" Congress",Table4[[#This Row],[Latest Senate Action]])-1),LEN(LEFT(Table4[[#This Row],[Latest Senate Action]],FIND(" Congress",Table4[[#This Row],[Latest Senate Action]])-1))-FIND("-",Table4[[#This Row],[Latest Senate Action]])-1)</f>
        <v>96th</v>
      </c>
      <c r="J569" s="12" t="str">
        <f>RIGHT(Table4[[#This Row],[Latest Senate Action]],LEN(Table4[[#This Row],[Latest Senate Action]])-FIND(") - ",Table4[[#This Row],[Latest Senate Action]])-3)</f>
        <v xml:space="preserve">General debate; approved by 90-0 vote. Record Vote Number 298. (All Actions) </v>
      </c>
      <c r="K569" s="12" t="str">
        <f>INDEX(Table5[type],MATCH(Table4[[#This Row],[Action]],Table5[Action],0))</f>
        <v>Passed</v>
      </c>
      <c r="L569" s="22" t="b">
        <f>INDEX(Table1[Senate and President Same Party, House and President Different Party],MATCH(Table4[[#This Row],[Congress Acting]],Table1[Congress],0))</f>
        <v>1</v>
      </c>
    </row>
    <row r="570" spans="1:12" ht="157.5">
      <c r="A570" s="9" t="s">
        <v>792</v>
      </c>
      <c r="B570" t="s">
        <v>3103</v>
      </c>
      <c r="C570" s="9" t="s">
        <v>3104</v>
      </c>
      <c r="D570" s="13" t="s">
        <v>4052</v>
      </c>
      <c r="E570" s="9" t="s">
        <v>3105</v>
      </c>
      <c r="F57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0" s="9" t="s">
        <v>1200</v>
      </c>
      <c r="H570" s="9" t="s">
        <v>3106</v>
      </c>
      <c r="I570" s="12" t="str">
        <f>RIGHT(LEFT(Table4[[#This Row],[Latest Senate Action]],FIND(" Congress",Table4[[#This Row],[Latest Senate Action]])-1),LEN(LEFT(Table4[[#This Row],[Latest Senate Action]],FIND(" Congress",Table4[[#This Row],[Latest Senate Action]])-1))-FIND("-",Table4[[#This Row],[Latest Senate Action]])-1)</f>
        <v>96th</v>
      </c>
      <c r="J570" s="12" t="str">
        <f>RIGHT(Table4[[#This Row],[Latest Senate Action]],LEN(Table4[[#This Row],[Latest Senate Action]])-FIND(") - ",Table4[[#This Row],[Latest Senate Action]])-3)</f>
        <v xml:space="preserve">General debate; approved by 90-0 vote. Record Vote Number 299. (All Actions) </v>
      </c>
      <c r="K570" s="12" t="str">
        <f>INDEX(Table5[type],MATCH(Table4[[#This Row],[Action]],Table5[Action],0))</f>
        <v>Passed</v>
      </c>
      <c r="L570" s="22" t="b">
        <f>INDEX(Table1[Senate and President Same Party, House and President Different Party],MATCH(Table4[[#This Row],[Congress Acting]],Table1[Congress],0))</f>
        <v>1</v>
      </c>
    </row>
    <row r="571" spans="1:12" ht="141.75">
      <c r="A571" s="9" t="s">
        <v>793</v>
      </c>
      <c r="B571" t="s">
        <v>3107</v>
      </c>
      <c r="C571" s="9" t="s">
        <v>3108</v>
      </c>
      <c r="D571" s="13" t="s">
        <v>4053</v>
      </c>
      <c r="E571" s="9" t="s">
        <v>3109</v>
      </c>
      <c r="F571"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1" s="9" t="s">
        <v>1766</v>
      </c>
      <c r="H571" s="9" t="s">
        <v>3110</v>
      </c>
      <c r="I571" s="12" t="str">
        <f>RIGHT(LEFT(Table4[[#This Row],[Latest Senate Action]],FIND(" Congress",Table4[[#This Row],[Latest Senate Action]])-1),LEN(LEFT(Table4[[#This Row],[Latest Senate Action]],FIND(" Congress",Table4[[#This Row],[Latest Senate Action]])-1))-FIND("-",Table4[[#This Row],[Latest Senate Action]])-1)</f>
        <v>96th</v>
      </c>
      <c r="J571" s="12" t="str">
        <f>RIGHT(Table4[[#This Row],[Latest Senate Action]],LEN(Table4[[#This Row],[Latest Senate Action]])-FIND(") - ",Table4[[#This Row],[Latest Senate Action]])-3)</f>
        <v xml:space="preserve">General debate; approved by 90-0 vote. Record Vote Number 301. (All Actions) </v>
      </c>
      <c r="K571" s="12" t="str">
        <f>INDEX(Table5[type],MATCH(Table4[[#This Row],[Action]],Table5[Action],0))</f>
        <v>Passed</v>
      </c>
      <c r="L571" s="22" t="b">
        <f>INDEX(Table1[Senate and President Same Party, House and President Different Party],MATCH(Table4[[#This Row],[Congress Acting]],Table1[Congress],0))</f>
        <v>1</v>
      </c>
    </row>
    <row r="572" spans="1:12" ht="141.75">
      <c r="A572" s="9" t="s">
        <v>794</v>
      </c>
      <c r="B572" t="s">
        <v>3111</v>
      </c>
      <c r="C572" s="9" t="s">
        <v>3112</v>
      </c>
      <c r="D572" s="13" t="s">
        <v>4054</v>
      </c>
      <c r="E572" s="9" t="s">
        <v>3113</v>
      </c>
      <c r="F572"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2" s="9" t="s">
        <v>1038</v>
      </c>
      <c r="H572" s="9" t="s">
        <v>3114</v>
      </c>
      <c r="I572" s="12" t="str">
        <f>RIGHT(LEFT(Table4[[#This Row],[Latest Senate Action]],FIND(" Congress",Table4[[#This Row],[Latest Senate Action]])-1),LEN(LEFT(Table4[[#This Row],[Latest Senate Action]],FIND(" Congress",Table4[[#This Row],[Latest Senate Action]])-1))-FIND("-",Table4[[#This Row],[Latest Senate Action]])-1)</f>
        <v>96th</v>
      </c>
      <c r="J572" s="12" t="str">
        <f>RIGHT(Table4[[#This Row],[Latest Senate Action]],LEN(Table4[[#This Row],[Latest Senate Action]])-FIND(") - ",Table4[[#This Row],[Latest Senate Action]])-3)</f>
        <v xml:space="preserve">General debate; approved by 90-0 vote. Record Vote Number 300. (All Actions) </v>
      </c>
      <c r="K572" s="12" t="str">
        <f>INDEX(Table5[type],MATCH(Table4[[#This Row],[Action]],Table5[Action],0))</f>
        <v>Passed</v>
      </c>
      <c r="L572" s="22" t="b">
        <f>INDEX(Table1[Senate and President Same Party, House and President Different Party],MATCH(Table4[[#This Row],[Congress Acting]],Table1[Congress],0))</f>
        <v>1</v>
      </c>
    </row>
    <row r="573" spans="1:12" ht="126">
      <c r="A573" s="9" t="s">
        <v>795</v>
      </c>
      <c r="B573" t="s">
        <v>3115</v>
      </c>
      <c r="C573" s="9" t="s">
        <v>3116</v>
      </c>
      <c r="D573" s="13" t="s">
        <v>4055</v>
      </c>
      <c r="E573" s="9" t="s">
        <v>3084</v>
      </c>
      <c r="F57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3" s="9" t="s">
        <v>1052</v>
      </c>
      <c r="H573" s="9" t="s">
        <v>3117</v>
      </c>
      <c r="I573" s="12" t="str">
        <f>RIGHT(LEFT(Table4[[#This Row],[Latest Senate Action]],FIND(" Congress",Table4[[#This Row],[Latest Senate Action]])-1),LEN(LEFT(Table4[[#This Row],[Latest Senate Action]],FIND(" Congress",Table4[[#This Row],[Latest Senate Action]])-1))-FIND("-",Table4[[#This Row],[Latest Senate Action]])-1)</f>
        <v>96th</v>
      </c>
      <c r="J573" s="12" t="str">
        <f>RIGHT(Table4[[#This Row],[Latest Senate Action]],LEN(Table4[[#This Row],[Latest Senate Action]])-FIND(") - ",Table4[[#This Row],[Latest Senate Action]])-3)</f>
        <v xml:space="preserve">Approved by 90-1 vote. Record Vote Number 156. (All Actions) </v>
      </c>
      <c r="K573" s="12" t="str">
        <f>INDEX(Table5[type],MATCH(Table4[[#This Row],[Action]],Table5[Action],0))</f>
        <v>Passed</v>
      </c>
      <c r="L573" s="22" t="b">
        <f>INDEX(Table1[Senate and President Same Party, House and President Different Party],MATCH(Table4[[#This Row],[Congress Acting]],Table1[Congress],0))</f>
        <v>1</v>
      </c>
    </row>
    <row r="574" spans="1:12" ht="173.25">
      <c r="A574" s="9" t="s">
        <v>796</v>
      </c>
      <c r="B574" t="s">
        <v>3118</v>
      </c>
      <c r="C574" s="9" t="s">
        <v>3119</v>
      </c>
      <c r="D574" s="13" t="s">
        <v>4056</v>
      </c>
      <c r="E574" s="9" t="s">
        <v>3120</v>
      </c>
      <c r="F57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4" s="9" t="s">
        <v>1013</v>
      </c>
      <c r="H574" s="9" t="s">
        <v>3121</v>
      </c>
      <c r="I574" s="12" t="str">
        <f>RIGHT(LEFT(Table4[[#This Row],[Latest Senate Action]],FIND(" Congress",Table4[[#This Row],[Latest Senate Action]])-1),LEN(LEFT(Table4[[#This Row],[Latest Senate Action]],FIND(" Congress",Table4[[#This Row],[Latest Senate Action]])-1))-FIND("-",Table4[[#This Row],[Latest Senate Action]])-1)</f>
        <v>96th</v>
      </c>
      <c r="J574" s="12" t="str">
        <f>RIGHT(Table4[[#This Row],[Latest Senate Action]],LEN(Table4[[#This Row],[Latest Senate Action]])-FIND(") - ",Table4[[#This Row],[Latest Senate Action]])-3)</f>
        <v xml:space="preserve">Resolution of advice and consent to ratification agreed to in Senate by Yea-Nay Vote. 96 - 0. Record Vote Number: 61. (All Actions) </v>
      </c>
      <c r="K574" s="12" t="str">
        <f>INDEX(Table5[type],MATCH(Table4[[#This Row],[Action]],Table5[Action],0))</f>
        <v>Passed</v>
      </c>
      <c r="L574" s="22" t="b">
        <f>INDEX(Table1[Senate and President Same Party, House and President Different Party],MATCH(Table4[[#This Row],[Congress Acting]],Table1[Congress],0))</f>
        <v>1</v>
      </c>
    </row>
    <row r="575" spans="1:12" ht="141.75">
      <c r="A575" s="9" t="s">
        <v>797</v>
      </c>
      <c r="B575" t="s">
        <v>3122</v>
      </c>
      <c r="C575" s="9" t="s">
        <v>3123</v>
      </c>
      <c r="D575" s="13" t="s">
        <v>4057</v>
      </c>
      <c r="E575" s="9" t="s">
        <v>2131</v>
      </c>
      <c r="F57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5" s="9" t="s">
        <v>1052</v>
      </c>
      <c r="H575" s="9" t="s">
        <v>3124</v>
      </c>
      <c r="I575" s="12" t="str">
        <f>RIGHT(LEFT(Table4[[#This Row],[Latest Senate Action]],FIND(" Congress",Table4[[#This Row],[Latest Senate Action]])-1),LEN(LEFT(Table4[[#This Row],[Latest Senate Action]],FIND(" Congress",Table4[[#This Row],[Latest Senate Action]])-1))-FIND("-",Table4[[#This Row],[Latest Senate Action]])-1)</f>
        <v>96th</v>
      </c>
      <c r="J575" s="12" t="str">
        <f>RIGHT(Table4[[#This Row],[Latest Senate Action]],LEN(Table4[[#This Row],[Latest Senate Action]])-FIND(") - ",Table4[[#This Row],[Latest Senate Action]])-3)</f>
        <v xml:space="preserve">Approved by 92-0 vote. Record Vote Number 60. (All Actions) </v>
      </c>
      <c r="K575" s="12" t="str">
        <f>INDEX(Table5[type],MATCH(Table4[[#This Row],[Action]],Table5[Action],0))</f>
        <v>Passed</v>
      </c>
      <c r="L575" s="22" t="b">
        <f>INDEX(Table1[Senate and President Same Party, House and President Different Party],MATCH(Table4[[#This Row],[Congress Acting]],Table1[Congress],0))</f>
        <v>1</v>
      </c>
    </row>
    <row r="576" spans="1:12" ht="189">
      <c r="A576" s="9" t="s">
        <v>798</v>
      </c>
      <c r="B576" t="s">
        <v>3125</v>
      </c>
      <c r="C576" s="9" t="s">
        <v>3126</v>
      </c>
      <c r="D576" s="13" t="s">
        <v>4058</v>
      </c>
      <c r="E576" s="9" t="s">
        <v>3127</v>
      </c>
      <c r="F576"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76" s="9" t="s">
        <v>1112</v>
      </c>
      <c r="H576" s="9" t="s">
        <v>3128</v>
      </c>
      <c r="I576" s="12" t="str">
        <f>RIGHT(LEFT(Table4[[#This Row],[Latest Senate Action]],FIND(" Congress",Table4[[#This Row],[Latest Senate Action]])-1),LEN(LEFT(Table4[[#This Row],[Latest Senate Action]],FIND(" Congress",Table4[[#This Row],[Latest Senate Action]])-1))-FIND("-",Table4[[#This Row],[Latest Senate Action]])-1)</f>
        <v>96th</v>
      </c>
      <c r="J576" s="12" t="str">
        <f>RIGHT(Table4[[#This Row],[Latest Senate Action]],LEN(Table4[[#This Row],[Latest Senate Action]])-FIND(") - ",Table4[[#This Row],[Latest Senate Action]])-3)</f>
        <v xml:space="preserve">General debate; approved by 92-0 vote. Record Vote Number 58. (All Actions) </v>
      </c>
      <c r="K576" s="12" t="str">
        <f>INDEX(Table5[type],MATCH(Table4[[#This Row],[Action]],Table5[Action],0))</f>
        <v>Passed</v>
      </c>
      <c r="L576" s="22" t="b">
        <f>INDEX(Table1[Senate and President Same Party, House and President Different Party],MATCH(Table4[[#This Row],[Congress Acting]],Table1[Congress],0))</f>
        <v>1</v>
      </c>
    </row>
    <row r="577" spans="1:12" ht="141.75">
      <c r="A577" s="9" t="s">
        <v>799</v>
      </c>
      <c r="B577" t="s">
        <v>3129</v>
      </c>
      <c r="C577" s="9" t="s">
        <v>3130</v>
      </c>
      <c r="D577" s="13" t="s">
        <v>4059</v>
      </c>
      <c r="E577" s="9" t="s">
        <v>4258</v>
      </c>
      <c r="F577"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577" s="9" t="s">
        <v>3131</v>
      </c>
      <c r="I577" s="12" t="str">
        <f>RIGHT(LEFT(Table4[[#This Row],[Latest Senate Action]],FIND(" Congress",Table4[[#This Row],[Latest Senate Action]])-1),LEN(LEFT(Table4[[#This Row],[Latest Senate Action]],FIND(" Congress",Table4[[#This Row],[Latest Senate Action]])-1))-FIND("-",Table4[[#This Row],[Latest Senate Action]])-1)</f>
        <v>96th</v>
      </c>
      <c r="J577" s="12" t="str">
        <f>RIGHT(Table4[[#This Row],[Latest Senate Action]],LEN(Table4[[#This Row],[Latest Senate Action]])-FIND(") - ",Table4[[#This Row],[Latest Senate Action]])-3)</f>
        <v xml:space="preserve">Resolution of advice and consent to ratification agreed to in Senate by Yea-Nay vote. 92-0. Record Vote No: 58 EX. (All Actions) </v>
      </c>
      <c r="K577" s="12" t="str">
        <f>INDEX(Table5[type],MATCH(Table4[[#This Row],[Action]],Table5[Action],0))</f>
        <v>Passed</v>
      </c>
      <c r="L577" s="22" t="b">
        <f>INDEX(Table1[Senate and President Same Party, House and President Different Party],MATCH(Table4[[#This Row],[Congress Acting]],Table1[Congress],0))</f>
        <v>1</v>
      </c>
    </row>
    <row r="578" spans="1:12" ht="141.75">
      <c r="A578" s="9" t="s">
        <v>800</v>
      </c>
      <c r="B578" t="s">
        <v>3132</v>
      </c>
      <c r="C578" s="9" t="s">
        <v>3133</v>
      </c>
      <c r="D578" s="13" t="s">
        <v>4060</v>
      </c>
      <c r="E578" s="9" t="s">
        <v>3134</v>
      </c>
      <c r="F578"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8" s="9" t="s">
        <v>1112</v>
      </c>
      <c r="H578" s="9" t="s">
        <v>3135</v>
      </c>
      <c r="I578" s="12" t="str">
        <f>RIGHT(LEFT(Table4[[#This Row],[Latest Senate Action]],FIND(" Congress",Table4[[#This Row],[Latest Senate Action]])-1),LEN(LEFT(Table4[[#This Row],[Latest Senate Action]],FIND(" Congress",Table4[[#This Row],[Latest Senate Action]])-1))-FIND("-",Table4[[#This Row],[Latest Senate Action]])-1)</f>
        <v>96th</v>
      </c>
      <c r="J578" s="12" t="str">
        <f>RIGHT(Table4[[#This Row],[Latest Senate Action]],LEN(Table4[[#This Row],[Latest Senate Action]])-FIND(") - ",Table4[[#This Row],[Latest Senate Action]])-3)</f>
        <v xml:space="preserve">Approved by 92-0 vote. Record Vote Number: 57. (All Actions) </v>
      </c>
      <c r="K578" s="12" t="str">
        <f>INDEX(Table5[type],MATCH(Table4[[#This Row],[Action]],Table5[Action],0))</f>
        <v>Passed</v>
      </c>
      <c r="L578" s="22" t="b">
        <f>INDEX(Table1[Senate and President Same Party, House and President Different Party],MATCH(Table4[[#This Row],[Congress Acting]],Table1[Congress],0))</f>
        <v>1</v>
      </c>
    </row>
    <row r="579" spans="1:12" ht="141.75">
      <c r="A579" s="9" t="s">
        <v>801</v>
      </c>
      <c r="B579" t="s">
        <v>3136</v>
      </c>
      <c r="C579" s="9" t="s">
        <v>3137</v>
      </c>
      <c r="D579" s="13" t="s">
        <v>4061</v>
      </c>
      <c r="E579" s="9" t="s">
        <v>2968</v>
      </c>
      <c r="F57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79" s="9" t="s">
        <v>1013</v>
      </c>
      <c r="H579" s="9" t="s">
        <v>3138</v>
      </c>
      <c r="I579" s="12" t="str">
        <f>RIGHT(LEFT(Table4[[#This Row],[Latest Senate Action]],FIND(" Congress",Table4[[#This Row],[Latest Senate Action]])-1),LEN(LEFT(Table4[[#This Row],[Latest Senate Action]],FIND(" Congress",Table4[[#This Row],[Latest Senate Action]])-1))-FIND("-",Table4[[#This Row],[Latest Senate Action]])-1)</f>
        <v>96th</v>
      </c>
      <c r="J579" s="12" t="str">
        <f>RIGHT(Table4[[#This Row],[Latest Senate Action]],LEN(Table4[[#This Row],[Latest Senate Action]])-FIND(") - ",Table4[[#This Row],[Latest Senate Action]])-3)</f>
        <v xml:space="preserve">General debate; approved by 91-0 vote. Record Vote Number 442. (All Actions) </v>
      </c>
      <c r="K579" s="12" t="str">
        <f>INDEX(Table5[type],MATCH(Table4[[#This Row],[Action]],Table5[Action],0))</f>
        <v>Passed</v>
      </c>
      <c r="L579" s="22" t="b">
        <f>INDEX(Table1[Senate and President Same Party, House and President Different Party],MATCH(Table4[[#This Row],[Congress Acting]],Table1[Congress],0))</f>
        <v>1</v>
      </c>
    </row>
    <row r="580" spans="1:12" ht="126">
      <c r="A580" s="9" t="s">
        <v>802</v>
      </c>
      <c r="B580" t="s">
        <v>3139</v>
      </c>
      <c r="C580" s="9" t="s">
        <v>3140</v>
      </c>
      <c r="D580" s="13" t="s">
        <v>4062</v>
      </c>
      <c r="E580" s="9" t="s">
        <v>3141</v>
      </c>
      <c r="F580"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0" s="9" t="s">
        <v>1013</v>
      </c>
      <c r="H580" s="9" t="s">
        <v>3142</v>
      </c>
      <c r="I580" s="12" t="str">
        <f>RIGHT(LEFT(Table4[[#This Row],[Latest Senate Action]],FIND(" Congress",Table4[[#This Row],[Latest Senate Action]])-1),LEN(LEFT(Table4[[#This Row],[Latest Senate Action]],FIND(" Congress",Table4[[#This Row],[Latest Senate Action]])-1))-FIND("-",Table4[[#This Row],[Latest Senate Action]])-1)</f>
        <v>96th</v>
      </c>
      <c r="J580" s="12" t="str">
        <f>RIGHT(Table4[[#This Row],[Latest Senate Action]],LEN(Table4[[#This Row],[Latest Senate Action]])-FIND(") - ",Table4[[#This Row],[Latest Senate Action]])-3)</f>
        <v xml:space="preserve">Approved by 91-0 vote. Record Vote Number 443. (All Actions) </v>
      </c>
      <c r="K580" s="12" t="str">
        <f>INDEX(Table5[type],MATCH(Table4[[#This Row],[Action]],Table5[Action],0))</f>
        <v>Passed</v>
      </c>
      <c r="L580" s="22" t="b">
        <f>INDEX(Table1[Senate and President Same Party, House and President Different Party],MATCH(Table4[[#This Row],[Congress Acting]],Table1[Congress],0))</f>
        <v>1</v>
      </c>
    </row>
    <row r="581" spans="1:12" ht="141.75">
      <c r="A581" s="9" t="s">
        <v>803</v>
      </c>
      <c r="B581" t="s">
        <v>3143</v>
      </c>
      <c r="C581" s="9" t="s">
        <v>3144</v>
      </c>
      <c r="D581" s="13" t="s">
        <v>4063</v>
      </c>
      <c r="E581" s="9" t="s">
        <v>3145</v>
      </c>
      <c r="F581"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81" s="9" t="s">
        <v>1052</v>
      </c>
      <c r="H581" s="9" t="s">
        <v>3146</v>
      </c>
      <c r="I581" s="12" t="str">
        <f>RIGHT(LEFT(Table4[[#This Row],[Latest Senate Action]],FIND(" Congress",Table4[[#This Row],[Latest Senate Action]])-1),LEN(LEFT(Table4[[#This Row],[Latest Senate Action]],FIND(" Congress",Table4[[#This Row],[Latest Senate Action]])-1))-FIND("-",Table4[[#This Row],[Latest Senate Action]])-1)</f>
        <v>96th</v>
      </c>
      <c r="J581" s="12" t="str">
        <f>RIGHT(Table4[[#This Row],[Latest Senate Action]],LEN(Table4[[#This Row],[Latest Senate Action]])-FIND(") - ",Table4[[#This Row],[Latest Senate Action]])-3)</f>
        <v xml:space="preserve">General debate; approved by 80-11 vote. Record Vote Number 447. (All Actions) </v>
      </c>
      <c r="K581" s="12" t="str">
        <f>INDEX(Table5[type],MATCH(Table4[[#This Row],[Action]],Table5[Action],0))</f>
        <v>Passed</v>
      </c>
      <c r="L581" s="22" t="b">
        <f>INDEX(Table1[Senate and President Same Party, House and President Different Party],MATCH(Table4[[#This Row],[Congress Acting]],Table1[Congress],0))</f>
        <v>1</v>
      </c>
    </row>
    <row r="582" spans="1:12" ht="141.75">
      <c r="A582" s="9" t="s">
        <v>804</v>
      </c>
      <c r="B582" t="s">
        <v>3147</v>
      </c>
      <c r="C582" s="9" t="s">
        <v>3148</v>
      </c>
      <c r="D582" s="13" t="s">
        <v>4064</v>
      </c>
      <c r="E582" s="9" t="s">
        <v>3149</v>
      </c>
      <c r="F582"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2" s="9" t="s">
        <v>1013</v>
      </c>
      <c r="H582" s="9" t="s">
        <v>3150</v>
      </c>
      <c r="I582" s="12" t="str">
        <f>RIGHT(LEFT(Table4[[#This Row],[Latest Senate Action]],FIND(" Congress",Table4[[#This Row],[Latest Senate Action]])-1),LEN(LEFT(Table4[[#This Row],[Latest Senate Action]],FIND(" Congress",Table4[[#This Row],[Latest Senate Action]])-1))-FIND("-",Table4[[#This Row],[Latest Senate Action]])-1)</f>
        <v>96th</v>
      </c>
      <c r="J582" s="12" t="str">
        <f>RIGHT(Table4[[#This Row],[Latest Senate Action]],LEN(Table4[[#This Row],[Latest Senate Action]])-FIND(") - ",Table4[[#This Row],[Latest Senate Action]])-3)</f>
        <v xml:space="preserve">Approved by 91-0 vote. Record Vote Number 446. (All Actions) </v>
      </c>
      <c r="K582" s="12" t="str">
        <f>INDEX(Table5[type],MATCH(Table4[[#This Row],[Action]],Table5[Action],0))</f>
        <v>Passed</v>
      </c>
      <c r="L582" s="22" t="b">
        <f>INDEX(Table1[Senate and President Same Party, House and President Different Party],MATCH(Table4[[#This Row],[Congress Acting]],Table1[Congress],0))</f>
        <v>1</v>
      </c>
    </row>
    <row r="583" spans="1:12" ht="141.75">
      <c r="A583" s="9" t="s">
        <v>805</v>
      </c>
      <c r="B583" t="s">
        <v>3151</v>
      </c>
      <c r="C583" s="9" t="s">
        <v>3152</v>
      </c>
      <c r="D583" s="13" t="s">
        <v>4065</v>
      </c>
      <c r="E583" s="9" t="s">
        <v>3153</v>
      </c>
      <c r="F58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3" s="9" t="s">
        <v>1013</v>
      </c>
      <c r="H583" s="9" t="s">
        <v>3154</v>
      </c>
      <c r="I583" s="12" t="str">
        <f>RIGHT(LEFT(Table4[[#This Row],[Latest Senate Action]],FIND(" Congress",Table4[[#This Row],[Latest Senate Action]])-1),LEN(LEFT(Table4[[#This Row],[Latest Senate Action]],FIND(" Congress",Table4[[#This Row],[Latest Senate Action]])-1))-FIND("-",Table4[[#This Row],[Latest Senate Action]])-1)</f>
        <v>96th</v>
      </c>
      <c r="J583" s="12" t="str">
        <f>RIGHT(Table4[[#This Row],[Latest Senate Action]],LEN(Table4[[#This Row],[Latest Senate Action]])-FIND(") - ",Table4[[#This Row],[Latest Senate Action]])-3)</f>
        <v xml:space="preserve">Approved by 91-0 vote. Record Vote Number 445. (All Actions) </v>
      </c>
      <c r="K583" s="12" t="str">
        <f>INDEX(Table5[type],MATCH(Table4[[#This Row],[Action]],Table5[Action],0))</f>
        <v>Passed</v>
      </c>
      <c r="L583" s="22" t="b">
        <f>INDEX(Table1[Senate and President Same Party, House and President Different Party],MATCH(Table4[[#This Row],[Congress Acting]],Table1[Congress],0))</f>
        <v>1</v>
      </c>
    </row>
    <row r="584" spans="1:12" ht="126">
      <c r="A584" s="9" t="s">
        <v>806</v>
      </c>
      <c r="B584" t="s">
        <v>3155</v>
      </c>
      <c r="C584" s="9" t="s">
        <v>3156</v>
      </c>
      <c r="D584" s="13" t="s">
        <v>4066</v>
      </c>
      <c r="E584" s="9" t="s">
        <v>3134</v>
      </c>
      <c r="F58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4" s="9" t="s">
        <v>1013</v>
      </c>
      <c r="H584" s="9" t="s">
        <v>3157</v>
      </c>
      <c r="I584" s="12" t="str">
        <f>RIGHT(LEFT(Table4[[#This Row],[Latest Senate Action]],FIND(" Congress",Table4[[#This Row],[Latest Senate Action]])-1),LEN(LEFT(Table4[[#This Row],[Latest Senate Action]],FIND(" Congress",Table4[[#This Row],[Latest Senate Action]])-1))-FIND("-",Table4[[#This Row],[Latest Senate Action]])-1)</f>
        <v>96th</v>
      </c>
      <c r="J584" s="12" t="str">
        <f>RIGHT(Table4[[#This Row],[Latest Senate Action]],LEN(Table4[[#This Row],[Latest Senate Action]])-FIND(") - ",Table4[[#This Row],[Latest Senate Action]])-3)</f>
        <v xml:space="preserve">Approved by 91-0 vote. Record Vote Number 444. (All Actions) </v>
      </c>
      <c r="K584" s="12" t="str">
        <f>INDEX(Table5[type],MATCH(Table4[[#This Row],[Action]],Table5[Action],0))</f>
        <v>Passed</v>
      </c>
      <c r="L584" s="22" t="b">
        <f>INDEX(Table1[Senate and President Same Party, House and President Different Party],MATCH(Table4[[#This Row],[Congress Acting]],Table1[Congress],0))</f>
        <v>1</v>
      </c>
    </row>
    <row r="585" spans="1:12" ht="141.75">
      <c r="A585" s="9" t="s">
        <v>807</v>
      </c>
      <c r="B585" t="s">
        <v>3158</v>
      </c>
      <c r="C585" s="9" t="s">
        <v>3159</v>
      </c>
      <c r="D585" s="13" t="s">
        <v>4067</v>
      </c>
      <c r="E585" s="9" t="s">
        <v>2131</v>
      </c>
      <c r="F58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5" s="9" t="s">
        <v>1013</v>
      </c>
      <c r="H585" s="9" t="s">
        <v>3160</v>
      </c>
      <c r="I585" s="12" t="str">
        <f>RIGHT(LEFT(Table4[[#This Row],[Latest Senate Action]],FIND(" Congress",Table4[[#This Row],[Latest Senate Action]])-1),LEN(LEFT(Table4[[#This Row],[Latest Senate Action]],FIND(" Congress",Table4[[#This Row],[Latest Senate Action]])-1))-FIND("-",Table4[[#This Row],[Latest Senate Action]])-1)</f>
        <v>96th</v>
      </c>
      <c r="J585" s="12" t="str">
        <f>RIGHT(Table4[[#This Row],[Latest Senate Action]],LEN(Table4[[#This Row],[Latest Senate Action]])-FIND(") - ",Table4[[#This Row],[Latest Senate Action]])-3)</f>
        <v xml:space="preserve">Approved by 93-0 vote. Record Vote Number 441. (All Actions) </v>
      </c>
      <c r="K585" s="12" t="str">
        <f>INDEX(Table5[type],MATCH(Table4[[#This Row],[Action]],Table5[Action],0))</f>
        <v>Passed</v>
      </c>
      <c r="L585" s="22" t="b">
        <f>INDEX(Table1[Senate and President Same Party, House and President Different Party],MATCH(Table4[[#This Row],[Congress Acting]],Table1[Congress],0))</f>
        <v>1</v>
      </c>
    </row>
    <row r="586" spans="1:12" ht="126">
      <c r="A586" s="9" t="s">
        <v>808</v>
      </c>
      <c r="B586" t="s">
        <v>3161</v>
      </c>
      <c r="C586" s="9" t="s">
        <v>3162</v>
      </c>
      <c r="D586" s="13" t="s">
        <v>4068</v>
      </c>
      <c r="E586" s="9" t="s">
        <v>3163</v>
      </c>
      <c r="F586"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86" s="9" t="s">
        <v>1013</v>
      </c>
      <c r="H586" s="9" t="s">
        <v>3164</v>
      </c>
      <c r="I586" s="12" t="str">
        <f>RIGHT(LEFT(Table4[[#This Row],[Latest Senate Action]],FIND(" Congress",Table4[[#This Row],[Latest Senate Action]])-1),LEN(LEFT(Table4[[#This Row],[Latest Senate Action]],FIND(" Congress",Table4[[#This Row],[Latest Senate Action]])-1))-FIND("-",Table4[[#This Row],[Latest Senate Action]])-1)</f>
        <v>96th</v>
      </c>
      <c r="J586" s="12" t="str">
        <f>RIGHT(Table4[[#This Row],[Latest Senate Action]],LEN(Table4[[#This Row],[Latest Senate Action]])-FIND(") - ",Table4[[#This Row],[Latest Senate Action]])-3)</f>
        <v xml:space="preserve">General debate; approved by 93-0 vote. Record Vote Number 440. (All Actions) </v>
      </c>
      <c r="K586" s="12" t="str">
        <f>INDEX(Table5[type],MATCH(Table4[[#This Row],[Action]],Table5[Action],0))</f>
        <v>Passed</v>
      </c>
      <c r="L586" s="22" t="b">
        <f>INDEX(Table1[Senate and President Same Party, House and President Different Party],MATCH(Table4[[#This Row],[Congress Acting]],Table1[Congress],0))</f>
        <v>1</v>
      </c>
    </row>
    <row r="587" spans="1:12" ht="157.5">
      <c r="A587" s="9" t="s">
        <v>809</v>
      </c>
      <c r="B587" t="s">
        <v>3165</v>
      </c>
      <c r="C587" s="9" t="s">
        <v>3166</v>
      </c>
      <c r="D587" s="13" t="s">
        <v>4069</v>
      </c>
      <c r="E587" s="9" t="s">
        <v>3167</v>
      </c>
      <c r="F587"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587" s="9" t="s">
        <v>1164</v>
      </c>
      <c r="H587" s="9" t="s">
        <v>3168</v>
      </c>
      <c r="I587" s="12" t="str">
        <f>RIGHT(LEFT(Table4[[#This Row],[Latest Senate Action]],FIND(" Congress",Table4[[#This Row],[Latest Senate Action]])-1),LEN(LEFT(Table4[[#This Row],[Latest Senate Action]],FIND(" Congress",Table4[[#This Row],[Latest Senate Action]])-1))-FIND("-",Table4[[#This Row],[Latest Senate Action]])-1)</f>
        <v>96th</v>
      </c>
      <c r="J587" s="12" t="str">
        <f>RIGHT(Table4[[#This Row],[Latest Senate Action]],LEN(Table4[[#This Row],[Latest Senate Action]])-FIND(") - ",Table4[[#This Row],[Latest Senate Action]])-3)</f>
        <v xml:space="preserve">General debate; approved by 98-0 vote. Record Vote Number 435. (All Actions) </v>
      </c>
      <c r="K587" s="12" t="str">
        <f>INDEX(Table5[type],MATCH(Table4[[#This Row],[Action]],Table5[Action],0))</f>
        <v>Passed</v>
      </c>
      <c r="L587" s="22" t="b">
        <f>INDEX(Table1[Senate and President Same Party, House and President Different Party],MATCH(Table4[[#This Row],[Congress Acting]],Table1[Congress],0))</f>
        <v>1</v>
      </c>
    </row>
    <row r="588" spans="1:12" ht="157.5">
      <c r="A588" s="9" t="s">
        <v>810</v>
      </c>
      <c r="B588" t="s">
        <v>3169</v>
      </c>
      <c r="C588" s="9" t="s">
        <v>3170</v>
      </c>
      <c r="D588" s="13" t="s">
        <v>4070</v>
      </c>
      <c r="E588" s="9" t="s">
        <v>3171</v>
      </c>
      <c r="F588"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88" s="9" t="s">
        <v>1164</v>
      </c>
      <c r="H588" s="9" t="s">
        <v>3172</v>
      </c>
      <c r="I588" s="12" t="str">
        <f>RIGHT(LEFT(Table4[[#This Row],[Latest Senate Action]],FIND(" Congress",Table4[[#This Row],[Latest Senate Action]])-1),LEN(LEFT(Table4[[#This Row],[Latest Senate Action]],FIND(" Congress",Table4[[#This Row],[Latest Senate Action]])-1))-FIND("-",Table4[[#This Row],[Latest Senate Action]])-1)</f>
        <v>96th</v>
      </c>
      <c r="J588" s="12" t="str">
        <f>RIGHT(Table4[[#This Row],[Latest Senate Action]],LEN(Table4[[#This Row],[Latest Senate Action]])-FIND(") - ",Table4[[#This Row],[Latest Senate Action]])-3)</f>
        <v xml:space="preserve">General debate; approved by 98-0 vote. Record Vote Number 434. (All Actions) </v>
      </c>
      <c r="K588" s="12" t="str">
        <f>INDEX(Table5[type],MATCH(Table4[[#This Row],[Action]],Table5[Action],0))</f>
        <v>Passed</v>
      </c>
      <c r="L588" s="22" t="b">
        <f>INDEX(Table1[Senate and President Same Party, House and President Different Party],MATCH(Table4[[#This Row],[Congress Acting]],Table1[Congress],0))</f>
        <v>1</v>
      </c>
    </row>
    <row r="589" spans="1:12" ht="141.75">
      <c r="A589" s="9" t="s">
        <v>811</v>
      </c>
      <c r="B589" t="s">
        <v>3173</v>
      </c>
      <c r="C589" s="9" t="s">
        <v>3174</v>
      </c>
      <c r="D589" s="13" t="s">
        <v>4071</v>
      </c>
      <c r="E589" s="9" t="s">
        <v>3153</v>
      </c>
      <c r="F589"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89" s="9" t="s">
        <v>1013</v>
      </c>
      <c r="H589" s="9" t="s">
        <v>3175</v>
      </c>
      <c r="I589" s="12" t="str">
        <f>RIGHT(LEFT(Table4[[#This Row],[Latest Senate Action]],FIND(" Congress",Table4[[#This Row],[Latest Senate Action]])-1),LEN(LEFT(Table4[[#This Row],[Latest Senate Action]],FIND(" Congress",Table4[[#This Row],[Latest Senate Action]])-1))-FIND("-",Table4[[#This Row],[Latest Senate Action]])-1)</f>
        <v>96th</v>
      </c>
      <c r="J589" s="12" t="str">
        <f>RIGHT(Table4[[#This Row],[Latest Senate Action]],LEN(Table4[[#This Row],[Latest Senate Action]])-FIND(") - ",Table4[[#This Row],[Latest Senate Action]])-3)</f>
        <v xml:space="preserve">Approved by 98-0 vote. Record Vote Number 436. (All Actions) </v>
      </c>
      <c r="K589" s="12" t="str">
        <f>INDEX(Table5[type],MATCH(Table4[[#This Row],[Action]],Table5[Action],0))</f>
        <v>Passed</v>
      </c>
      <c r="L589" s="22" t="b">
        <f>INDEX(Table1[Senate and President Same Party, House and President Different Party],MATCH(Table4[[#This Row],[Congress Acting]],Table1[Congress],0))</f>
        <v>1</v>
      </c>
    </row>
    <row r="590" spans="1:12" ht="126">
      <c r="A590" s="9" t="s">
        <v>812</v>
      </c>
      <c r="B590" t="s">
        <v>3176</v>
      </c>
      <c r="C590" s="9" t="s">
        <v>3177</v>
      </c>
      <c r="D590" s="13" t="s">
        <v>4072</v>
      </c>
      <c r="E590" s="9" t="s">
        <v>2308</v>
      </c>
      <c r="F590"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90" s="9" t="s">
        <v>1106</v>
      </c>
      <c r="H590" s="9" t="s">
        <v>3178</v>
      </c>
      <c r="I590" s="12" t="str">
        <f>RIGHT(LEFT(Table4[[#This Row],[Latest Senate Action]],FIND(" Congress",Table4[[#This Row],[Latest Senate Action]])-1),LEN(LEFT(Table4[[#This Row],[Latest Senate Action]],FIND(" Congress",Table4[[#This Row],[Latest Senate Action]])-1))-FIND("-",Table4[[#This Row],[Latest Senate Action]])-1)</f>
        <v>96th</v>
      </c>
      <c r="J590" s="12" t="str">
        <f>RIGHT(Table4[[#This Row],[Latest Senate Action]],LEN(Table4[[#This Row],[Latest Senate Action]])-FIND(") - ",Table4[[#This Row],[Latest Senate Action]])-3)</f>
        <v xml:space="preserve">Hearings held. (All Actions) </v>
      </c>
      <c r="K590" s="12" t="str">
        <f>INDEX(Table5[type],MATCH(Table4[[#This Row],[Action]],Table5[Action],0))</f>
        <v>Passed</v>
      </c>
      <c r="L590" s="22" t="b">
        <f>INDEX(Table1[Senate and President Same Party, House and President Different Party],MATCH(Table4[[#This Row],[Congress Acting]],Table1[Congress],0))</f>
        <v>1</v>
      </c>
    </row>
    <row r="591" spans="1:12" ht="110.25">
      <c r="A591" s="9" t="s">
        <v>813</v>
      </c>
      <c r="B591" t="s">
        <v>3179</v>
      </c>
      <c r="C591" s="9" t="s">
        <v>3180</v>
      </c>
      <c r="D591" s="13" t="s">
        <v>4073</v>
      </c>
      <c r="E591" s="9" t="s">
        <v>2308</v>
      </c>
      <c r="F591"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91" s="9" t="s">
        <v>1106</v>
      </c>
      <c r="H591" s="9" t="s">
        <v>3178</v>
      </c>
      <c r="I591" s="12" t="str">
        <f>RIGHT(LEFT(Table4[[#This Row],[Latest Senate Action]],FIND(" Congress",Table4[[#This Row],[Latest Senate Action]])-1),LEN(LEFT(Table4[[#This Row],[Latest Senate Action]],FIND(" Congress",Table4[[#This Row],[Latest Senate Action]])-1))-FIND("-",Table4[[#This Row],[Latest Senate Action]])-1)</f>
        <v>96th</v>
      </c>
      <c r="J591" s="12" t="str">
        <f>RIGHT(Table4[[#This Row],[Latest Senate Action]],LEN(Table4[[#This Row],[Latest Senate Action]])-FIND(") - ",Table4[[#This Row],[Latest Senate Action]])-3)</f>
        <v xml:space="preserve">Hearings held. (All Actions) </v>
      </c>
      <c r="K591" s="12" t="str">
        <f>INDEX(Table5[type],MATCH(Table4[[#This Row],[Action]],Table5[Action],0))</f>
        <v>Passed</v>
      </c>
      <c r="L591" s="22" t="b">
        <f>INDEX(Table1[Senate and President Same Party, House and President Different Party],MATCH(Table4[[#This Row],[Congress Acting]],Table1[Congress],0))</f>
        <v>1</v>
      </c>
    </row>
    <row r="592" spans="1:12" ht="126">
      <c r="A592" s="9" t="s">
        <v>814</v>
      </c>
      <c r="B592" t="s">
        <v>3181</v>
      </c>
      <c r="C592" s="9" t="s">
        <v>3182</v>
      </c>
      <c r="D592" s="13" t="s">
        <v>4074</v>
      </c>
      <c r="E592" s="9" t="s">
        <v>3183</v>
      </c>
      <c r="F592"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2" s="9" t="s">
        <v>1063</v>
      </c>
      <c r="H592" s="9" t="s">
        <v>3184</v>
      </c>
      <c r="I592" s="12" t="str">
        <f>RIGHT(LEFT(Table4[[#This Row],[Latest Senate Action]],FIND(" Congress",Table4[[#This Row],[Latest Senate Action]])-1),LEN(LEFT(Table4[[#This Row],[Latest Senate Action]],FIND(" Congress",Table4[[#This Row],[Latest Senate Action]])-1))-FIND("-",Table4[[#This Row],[Latest Senate Action]])-1)</f>
        <v>96th</v>
      </c>
      <c r="J592" s="12" t="str">
        <f>RIGHT(Table4[[#This Row],[Latest Senate Action]],LEN(Table4[[#This Row],[Latest Senate Action]])-FIND(") - ",Table4[[#This Row],[Latest Senate Action]])-3)</f>
        <v xml:space="preserve">Approved by 98-0 vote. Record Vote Number 154. (All Actions) </v>
      </c>
      <c r="K592" s="12" t="str">
        <f>INDEX(Table5[type],MATCH(Table4[[#This Row],[Action]],Table5[Action],0))</f>
        <v>Passed</v>
      </c>
      <c r="L592" s="22" t="b">
        <f>INDEX(Table1[Senate and President Same Party, House and President Different Party],MATCH(Table4[[#This Row],[Congress Acting]],Table1[Congress],0))</f>
        <v>1</v>
      </c>
    </row>
    <row r="593" spans="1:12" ht="141.75">
      <c r="A593" s="9" t="s">
        <v>815</v>
      </c>
      <c r="B593" t="s">
        <v>3185</v>
      </c>
      <c r="C593" s="9" t="s">
        <v>3186</v>
      </c>
      <c r="D593" s="13" t="s">
        <v>4075</v>
      </c>
      <c r="E593" s="9" t="s">
        <v>3183</v>
      </c>
      <c r="F593"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3" s="9" t="s">
        <v>1063</v>
      </c>
      <c r="H593" s="9" t="s">
        <v>3187</v>
      </c>
      <c r="I593" s="12" t="str">
        <f>RIGHT(LEFT(Table4[[#This Row],[Latest Senate Action]],FIND(" Congress",Table4[[#This Row],[Latest Senate Action]])-1),LEN(LEFT(Table4[[#This Row],[Latest Senate Action]],FIND(" Congress",Table4[[#This Row],[Latest Senate Action]])-1))-FIND("-",Table4[[#This Row],[Latest Senate Action]])-1)</f>
        <v>96th</v>
      </c>
      <c r="J593" s="12" t="str">
        <f>RIGHT(Table4[[#This Row],[Latest Senate Action]],LEN(Table4[[#This Row],[Latest Senate Action]])-FIND(") - ",Table4[[#This Row],[Latest Senate Action]])-3)</f>
        <v xml:space="preserve">Approved by 98-0 vote. Record Vote Number 155. (All Actions) </v>
      </c>
      <c r="K593" s="12" t="str">
        <f>INDEX(Table5[type],MATCH(Table4[[#This Row],[Action]],Table5[Action],0))</f>
        <v>Passed</v>
      </c>
      <c r="L593" s="22" t="b">
        <f>INDEX(Table1[Senate and President Same Party, House and President Different Party],MATCH(Table4[[#This Row],[Congress Acting]],Table1[Congress],0))</f>
        <v>1</v>
      </c>
    </row>
    <row r="594" spans="1:12" ht="141.75">
      <c r="A594" s="9" t="s">
        <v>816</v>
      </c>
      <c r="B594" t="s">
        <v>3188</v>
      </c>
      <c r="C594" s="9" t="s">
        <v>3189</v>
      </c>
      <c r="D594" s="13" t="s">
        <v>4076</v>
      </c>
      <c r="E594" s="9" t="s">
        <v>3190</v>
      </c>
      <c r="F594"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4" s="9" t="s">
        <v>1063</v>
      </c>
      <c r="H594" s="9" t="s">
        <v>3191</v>
      </c>
      <c r="I594" s="12" t="str">
        <f>RIGHT(LEFT(Table4[[#This Row],[Latest Senate Action]],FIND(" Congress",Table4[[#This Row],[Latest Senate Action]])-1),LEN(LEFT(Table4[[#This Row],[Latest Senate Action]],FIND(" Congress",Table4[[#This Row],[Latest Senate Action]])-1))-FIND("-",Table4[[#This Row],[Latest Senate Action]])-1)</f>
        <v>96th</v>
      </c>
      <c r="J594" s="12" t="str">
        <f>RIGHT(Table4[[#This Row],[Latest Senate Action]],LEN(Table4[[#This Row],[Latest Senate Action]])-FIND(") - ",Table4[[#This Row],[Latest Senate Action]])-3)</f>
        <v xml:space="preserve">Approved by 98-0 vote. Record Vote Number 156. (All Actions) </v>
      </c>
      <c r="K594" s="12" t="str">
        <f>INDEX(Table5[type],MATCH(Table4[[#This Row],[Action]],Table5[Action],0))</f>
        <v>Passed</v>
      </c>
      <c r="L594" s="22" t="b">
        <f>INDEX(Table1[Senate and President Same Party, House and President Different Party],MATCH(Table4[[#This Row],[Congress Acting]],Table1[Congress],0))</f>
        <v>1</v>
      </c>
    </row>
    <row r="595" spans="1:12" ht="126">
      <c r="A595" s="9" t="s">
        <v>817</v>
      </c>
      <c r="B595" t="s">
        <v>3192</v>
      </c>
      <c r="C595" s="9" t="s">
        <v>3193</v>
      </c>
      <c r="D595" s="13" t="s">
        <v>4077</v>
      </c>
      <c r="E595" s="9" t="s">
        <v>2857</v>
      </c>
      <c r="F595"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5" s="9" t="s">
        <v>1063</v>
      </c>
      <c r="H595" s="9" t="s">
        <v>3194</v>
      </c>
      <c r="I595" s="12" t="str">
        <f>RIGHT(LEFT(Table4[[#This Row],[Latest Senate Action]],FIND(" Congress",Table4[[#This Row],[Latest Senate Action]])-1),LEN(LEFT(Table4[[#This Row],[Latest Senate Action]],FIND(" Congress",Table4[[#This Row],[Latest Senate Action]])-1))-FIND("-",Table4[[#This Row],[Latest Senate Action]])-1)</f>
        <v>96th</v>
      </c>
      <c r="J595" s="12" t="str">
        <f>RIGHT(Table4[[#This Row],[Latest Senate Action]],LEN(Table4[[#This Row],[Latest Senate Action]])-FIND(") - ",Table4[[#This Row],[Latest Senate Action]])-3)</f>
        <v xml:space="preserve">Approved by 98-0 vote. Record Vote Number 157. (All Actions) </v>
      </c>
      <c r="K595" s="12" t="str">
        <f>INDEX(Table5[type],MATCH(Table4[[#This Row],[Action]],Table5[Action],0))</f>
        <v>Passed</v>
      </c>
      <c r="L595" s="22" t="b">
        <f>INDEX(Table1[Senate and President Same Party, House and President Different Party],MATCH(Table4[[#This Row],[Congress Acting]],Table1[Congress],0))</f>
        <v>1</v>
      </c>
    </row>
    <row r="596" spans="1:12" ht="126">
      <c r="A596" s="9" t="s">
        <v>818</v>
      </c>
      <c r="B596" t="s">
        <v>3195</v>
      </c>
      <c r="C596" s="9" t="s">
        <v>3196</v>
      </c>
      <c r="D596" s="13" t="s">
        <v>4078</v>
      </c>
      <c r="E596" s="9" t="s">
        <v>2881</v>
      </c>
      <c r="F596"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6" s="9" t="s">
        <v>1063</v>
      </c>
      <c r="H596" s="9" t="s">
        <v>3197</v>
      </c>
      <c r="I596" s="12" t="str">
        <f>RIGHT(LEFT(Table4[[#This Row],[Latest Senate Action]],FIND(" Congress",Table4[[#This Row],[Latest Senate Action]])-1),LEN(LEFT(Table4[[#This Row],[Latest Senate Action]],FIND(" Congress",Table4[[#This Row],[Latest Senate Action]])-1))-FIND("-",Table4[[#This Row],[Latest Senate Action]])-1)</f>
        <v>96th</v>
      </c>
      <c r="J596" s="12" t="str">
        <f>RIGHT(Table4[[#This Row],[Latest Senate Action]],LEN(Table4[[#This Row],[Latest Senate Action]])-FIND(") - ",Table4[[#This Row],[Latest Senate Action]])-3)</f>
        <v xml:space="preserve">Approved by 98-0 vote. Record Vote Number 159. (All Actions) </v>
      </c>
      <c r="K596" s="12" t="str">
        <f>INDEX(Table5[type],MATCH(Table4[[#This Row],[Action]],Table5[Action],0))</f>
        <v>Passed</v>
      </c>
      <c r="L596" s="22" t="b">
        <f>INDEX(Table1[Senate and President Same Party, House and President Different Party],MATCH(Table4[[#This Row],[Congress Acting]],Table1[Congress],0))</f>
        <v>1</v>
      </c>
    </row>
    <row r="597" spans="1:12" ht="126">
      <c r="A597" s="9" t="s">
        <v>819</v>
      </c>
      <c r="B597" t="s">
        <v>3198</v>
      </c>
      <c r="C597" s="9" t="s">
        <v>3199</v>
      </c>
      <c r="D597" s="13" t="s">
        <v>4079</v>
      </c>
      <c r="E597" s="9" t="s">
        <v>3200</v>
      </c>
      <c r="F597"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597" s="9" t="s">
        <v>1063</v>
      </c>
      <c r="H597" s="9" t="s">
        <v>3201</v>
      </c>
      <c r="I597" s="12" t="str">
        <f>RIGHT(LEFT(Table4[[#This Row],[Latest Senate Action]],FIND(" Congress",Table4[[#This Row],[Latest Senate Action]])-1),LEN(LEFT(Table4[[#This Row],[Latest Senate Action]],FIND(" Congress",Table4[[#This Row],[Latest Senate Action]])-1))-FIND("-",Table4[[#This Row],[Latest Senate Action]])-1)</f>
        <v>96th</v>
      </c>
      <c r="J597" s="12" t="str">
        <f>RIGHT(Table4[[#This Row],[Latest Senate Action]],LEN(Table4[[#This Row],[Latest Senate Action]])-FIND(") - ",Table4[[#This Row],[Latest Senate Action]])-3)</f>
        <v xml:space="preserve">General debate; approved by 98-0 vote. Record Vote Number 158. (All Actions) </v>
      </c>
      <c r="K597" s="12" t="str">
        <f>INDEX(Table5[type],MATCH(Table4[[#This Row],[Action]],Table5[Action],0))</f>
        <v>Passed</v>
      </c>
      <c r="L597" s="22" t="b">
        <f>INDEX(Table1[Senate and President Same Party, House and President Different Party],MATCH(Table4[[#This Row],[Congress Acting]],Table1[Congress],0))</f>
        <v>1</v>
      </c>
    </row>
    <row r="598" spans="1:12" ht="141.75">
      <c r="A598" s="9" t="s">
        <v>820</v>
      </c>
      <c r="B598" t="s">
        <v>3202</v>
      </c>
      <c r="C598" s="9" t="s">
        <v>3203</v>
      </c>
      <c r="D598" s="13" t="s">
        <v>4080</v>
      </c>
      <c r="E598" s="9" t="s">
        <v>3204</v>
      </c>
      <c r="F598" t="str">
        <f>RIGHT(LEFT(Table4[[#This Row],[Date Received from President]],FIND(" Congress",Table4[[#This Row],[Date Received from President]])-1),LEN(LEFT(Table4[[#This Row],[Date Received from President]],FIND(" Congress",Table4[[#This Row],[Date Received from President]])-1))-FIND("-",Table4[[#This Row],[Date Received from President]])-1)</f>
        <v>96th</v>
      </c>
      <c r="G598" s="9" t="s">
        <v>1052</v>
      </c>
      <c r="H598" s="9" t="s">
        <v>3205</v>
      </c>
      <c r="I598" s="12" t="str">
        <f>RIGHT(LEFT(Table4[[#This Row],[Latest Senate Action]],FIND(" Congress",Table4[[#This Row],[Latest Senate Action]])-1),LEN(LEFT(Table4[[#This Row],[Latest Senate Action]],FIND(" Congress",Table4[[#This Row],[Latest Senate Action]])-1))-FIND("-",Table4[[#This Row],[Latest Senate Action]])-1)</f>
        <v>96th</v>
      </c>
      <c r="J598" s="12" t="str">
        <f>RIGHT(Table4[[#This Row],[Latest Senate Action]],LEN(Table4[[#This Row],[Latest Senate Action]])-FIND(") - ",Table4[[#This Row],[Latest Senate Action]])-3)</f>
        <v xml:space="preserve">General debate; approved by 89-6 vote. Record Vote Number 153. (All Actions) </v>
      </c>
      <c r="K598" s="12" t="str">
        <f>INDEX(Table5[type],MATCH(Table4[[#This Row],[Action]],Table5[Action],0))</f>
        <v>Passed</v>
      </c>
      <c r="L598" s="22" t="b">
        <f>INDEX(Table1[Senate and President Same Party, House and President Different Party],MATCH(Table4[[#This Row],[Congress Acting]],Table1[Congress],0))</f>
        <v>1</v>
      </c>
    </row>
    <row r="599" spans="1:12" ht="173.25">
      <c r="A599" s="9" t="s">
        <v>821</v>
      </c>
      <c r="B599" t="s">
        <v>3206</v>
      </c>
      <c r="C599" s="9" t="s">
        <v>3207</v>
      </c>
      <c r="D599" s="13" t="s">
        <v>4081</v>
      </c>
      <c r="E599" s="9" t="s">
        <v>3208</v>
      </c>
      <c r="F599"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599" s="9" t="s">
        <v>1200</v>
      </c>
      <c r="H599" s="9" t="s">
        <v>3209</v>
      </c>
      <c r="I599" s="12" t="str">
        <f>RIGHT(LEFT(Table4[[#This Row],[Latest Senate Action]],FIND(" Congress",Table4[[#This Row],[Latest Senate Action]])-1),LEN(LEFT(Table4[[#This Row],[Latest Senate Action]],FIND(" Congress",Table4[[#This Row],[Latest Senate Action]])-1))-FIND("-",Table4[[#This Row],[Latest Senate Action]])-1)</f>
        <v>96th</v>
      </c>
      <c r="J599" s="12" t="str">
        <f>RIGHT(Table4[[#This Row],[Latest Senate Action]],LEN(Table4[[#This Row],[Latest Senate Action]])-FIND(") - ",Table4[[#This Row],[Latest Senate Action]])-3)</f>
        <v xml:space="preserve">Treaty incorporated into Treaty Doc. 96-3 per transmittal letter from the President dated January 19, 1979. (All Actions) </v>
      </c>
      <c r="K599" s="12" t="str">
        <f>INDEX(Table5[type],MATCH(Table4[[#This Row],[Action]],Table5[Action],0))</f>
        <v>Passed</v>
      </c>
      <c r="L599" s="22" t="b">
        <f>INDEX(Table1[Senate and President Same Party, House and President Different Party],MATCH(Table4[[#This Row],[Congress Acting]],Table1[Congress],0))</f>
        <v>1</v>
      </c>
    </row>
    <row r="600" spans="1:12" ht="173.25">
      <c r="A600" s="9" t="s">
        <v>822</v>
      </c>
      <c r="B600" t="s">
        <v>3210</v>
      </c>
      <c r="C600" s="9" t="s">
        <v>3211</v>
      </c>
      <c r="D600" s="13" t="s">
        <v>4082</v>
      </c>
      <c r="E600" s="9" t="s">
        <v>3212</v>
      </c>
      <c r="F600"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0" s="9" t="s">
        <v>1112</v>
      </c>
      <c r="H600" s="9" t="s">
        <v>3213</v>
      </c>
      <c r="I600" s="12" t="str">
        <f>RIGHT(LEFT(Table4[[#This Row],[Latest Senate Action]],FIND(" Congress",Table4[[#This Row],[Latest Senate Action]])-1),LEN(LEFT(Table4[[#This Row],[Latest Senate Action]],FIND(" Congress",Table4[[#This Row],[Latest Senate Action]])-1))-FIND("-",Table4[[#This Row],[Latest Senate Action]])-1)</f>
        <v>95th</v>
      </c>
      <c r="J600" s="12" t="str">
        <f>RIGHT(Table4[[#This Row],[Latest Senate Action]],LEN(Table4[[#This Row],[Latest Senate Action]])-FIND(") - ",Table4[[#This Row],[Latest Senate Action]])-3)</f>
        <v xml:space="preserve">General debate; approved by 86-0 vote. Record Vote Number: 480. (All Actions) </v>
      </c>
      <c r="K600" s="12" t="str">
        <f>INDEX(Table5[type],MATCH(Table4[[#This Row],[Action]],Table5[Action],0))</f>
        <v>Passed</v>
      </c>
      <c r="L600" s="22" t="b">
        <f>INDEX(Table1[Senate and President Same Party, House and President Different Party],MATCH(Table4[[#This Row],[Congress Acting]],Table1[Congress],0))</f>
        <v>1</v>
      </c>
    </row>
    <row r="601" spans="1:12" ht="173.25">
      <c r="A601" s="9" t="s">
        <v>823</v>
      </c>
      <c r="B601" t="s">
        <v>3214</v>
      </c>
      <c r="C601" s="9" t="s">
        <v>3215</v>
      </c>
      <c r="D601" s="13" t="s">
        <v>4083</v>
      </c>
      <c r="E601" s="9" t="s">
        <v>3216</v>
      </c>
      <c r="F601"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1" s="9" t="s">
        <v>1112</v>
      </c>
      <c r="H601" s="9" t="s">
        <v>3217</v>
      </c>
      <c r="I601" s="12" t="str">
        <f>RIGHT(LEFT(Table4[[#This Row],[Latest Senate Action]],FIND(" Congress",Table4[[#This Row],[Latest Senate Action]])-1),LEN(LEFT(Table4[[#This Row],[Latest Senate Action]],FIND(" Congress",Table4[[#This Row],[Latest Senate Action]])-1))-FIND("-",Table4[[#This Row],[Latest Senate Action]])-1)</f>
        <v>95th</v>
      </c>
      <c r="J601" s="12" t="str">
        <f>RIGHT(Table4[[#This Row],[Latest Senate Action]],LEN(Table4[[#This Row],[Latest Senate Action]])-FIND(") - ",Table4[[#This Row],[Latest Senate Action]])-3)</f>
        <v xml:space="preserve">General debate; approved by 95-0 vote. Record Vote Number 208. (All Actions) </v>
      </c>
      <c r="K601" s="12" t="str">
        <f>INDEX(Table5[type],MATCH(Table4[[#This Row],[Action]],Table5[Action],0))</f>
        <v>Passed</v>
      </c>
      <c r="L601" s="22" t="b">
        <f>INDEX(Table1[Senate and President Same Party, House and President Different Party],MATCH(Table4[[#This Row],[Congress Acting]],Table1[Congress],0))</f>
        <v>1</v>
      </c>
    </row>
    <row r="602" spans="1:12" ht="173.25">
      <c r="A602" s="9" t="s">
        <v>824</v>
      </c>
      <c r="B602" t="s">
        <v>3218</v>
      </c>
      <c r="C602" s="9" t="s">
        <v>3219</v>
      </c>
      <c r="D602" s="13" t="s">
        <v>4084</v>
      </c>
      <c r="E602" s="9" t="s">
        <v>3220</v>
      </c>
      <c r="F602"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2" s="9" t="s">
        <v>1200</v>
      </c>
      <c r="H602" s="9" t="s">
        <v>3221</v>
      </c>
      <c r="I602" s="12" t="str">
        <f>RIGHT(LEFT(Table4[[#This Row],[Latest Senate Action]],FIND(" Congress",Table4[[#This Row],[Latest Senate Action]])-1),LEN(LEFT(Table4[[#This Row],[Latest Senate Action]],FIND(" Congress",Table4[[#This Row],[Latest Senate Action]])-1))-FIND("-",Table4[[#This Row],[Latest Senate Action]])-1)</f>
        <v>95th</v>
      </c>
      <c r="J602" s="12" t="str">
        <f>RIGHT(Table4[[#This Row],[Latest Senate Action]],LEN(Table4[[#This Row],[Latest Senate Action]])-FIND(") - ",Table4[[#This Row],[Latest Senate Action]])-3)</f>
        <v xml:space="preserve">General debate; approved by 95-0 vote. Record Vote Number 206. (All Actions) </v>
      </c>
      <c r="K602" s="12" t="str">
        <f>INDEX(Table5[type],MATCH(Table4[[#This Row],[Action]],Table5[Action],0))</f>
        <v>Passed</v>
      </c>
      <c r="L602" s="22" t="b">
        <f>INDEX(Table1[Senate and President Same Party, House and President Different Party],MATCH(Table4[[#This Row],[Congress Acting]],Table1[Congress],0))</f>
        <v>1</v>
      </c>
    </row>
    <row r="603" spans="1:12" ht="141.75">
      <c r="A603" s="9" t="s">
        <v>825</v>
      </c>
      <c r="B603" t="s">
        <v>3222</v>
      </c>
      <c r="C603" s="9" t="s">
        <v>3223</v>
      </c>
      <c r="D603" s="13" t="s">
        <v>4085</v>
      </c>
      <c r="E603" s="9" t="s">
        <v>3224</v>
      </c>
      <c r="F603"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3" s="9" t="s">
        <v>1112</v>
      </c>
      <c r="H603" s="9" t="s">
        <v>3225</v>
      </c>
      <c r="I603" s="12" t="str">
        <f>RIGHT(LEFT(Table4[[#This Row],[Latest Senate Action]],FIND(" Congress",Table4[[#This Row],[Latest Senate Action]])-1),LEN(LEFT(Table4[[#This Row],[Latest Senate Action]],FIND(" Congress",Table4[[#This Row],[Latest Senate Action]])-1))-FIND("-",Table4[[#This Row],[Latest Senate Action]])-1)</f>
        <v>95th</v>
      </c>
      <c r="J603" s="12" t="str">
        <f>RIGHT(Table4[[#This Row],[Latest Senate Action]],LEN(Table4[[#This Row],[Latest Senate Action]])-FIND(") - ",Table4[[#This Row],[Latest Senate Action]])-3)</f>
        <v xml:space="preserve">General debate; approved by 95-0 vote. Record Vote Number 207. (All Actions) </v>
      </c>
      <c r="K603" s="12" t="str">
        <f>INDEX(Table5[type],MATCH(Table4[[#This Row],[Action]],Table5[Action],0))</f>
        <v>Passed</v>
      </c>
      <c r="L603" s="22" t="b">
        <f>INDEX(Table1[Senate and President Same Party, House and President Different Party],MATCH(Table4[[#This Row],[Congress Acting]],Table1[Congress],0))</f>
        <v>1</v>
      </c>
    </row>
    <row r="604" spans="1:12" ht="141.75">
      <c r="A604" s="9" t="s">
        <v>826</v>
      </c>
      <c r="B604" t="s">
        <v>3226</v>
      </c>
      <c r="C604" s="9" t="s">
        <v>3227</v>
      </c>
      <c r="D604" s="13" t="s">
        <v>4086</v>
      </c>
      <c r="E604" s="9" t="s">
        <v>3228</v>
      </c>
      <c r="F604"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4" s="9" t="s">
        <v>1013</v>
      </c>
      <c r="H604" s="9" t="s">
        <v>3229</v>
      </c>
      <c r="I604" s="12" t="str">
        <f>RIGHT(LEFT(Table4[[#This Row],[Latest Senate Action]],FIND(" Congress",Table4[[#This Row],[Latest Senate Action]])-1),LEN(LEFT(Table4[[#This Row],[Latest Senate Action]],FIND(" Congress",Table4[[#This Row],[Latest Senate Action]])-1))-FIND("-",Table4[[#This Row],[Latest Senate Action]])-1)</f>
        <v>95th</v>
      </c>
      <c r="J604" s="12" t="str">
        <f>RIGHT(Table4[[#This Row],[Latest Senate Action]],LEN(Table4[[#This Row],[Latest Senate Action]])-FIND(") - ",Table4[[#This Row],[Latest Senate Action]])-3)</f>
        <v xml:space="preserve">General debate; approved by 95-0 vote. Record Vote Number 204. (All Actions) </v>
      </c>
      <c r="K604" s="12" t="str">
        <f>INDEX(Table5[type],MATCH(Table4[[#This Row],[Action]],Table5[Action],0))</f>
        <v>Passed</v>
      </c>
      <c r="L604" s="22" t="b">
        <f>INDEX(Table1[Senate and President Same Party, House and President Different Party],MATCH(Table4[[#This Row],[Congress Acting]],Table1[Congress],0))</f>
        <v>1</v>
      </c>
    </row>
    <row r="605" spans="1:12" ht="141.75">
      <c r="A605" s="9" t="s">
        <v>827</v>
      </c>
      <c r="B605" t="s">
        <v>3230</v>
      </c>
      <c r="C605" s="9" t="s">
        <v>3231</v>
      </c>
      <c r="D605" s="13" t="s">
        <v>4087</v>
      </c>
      <c r="E605" s="9" t="s">
        <v>3232</v>
      </c>
      <c r="F60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05" s="9" t="s">
        <v>1200</v>
      </c>
      <c r="H605" s="9" t="s">
        <v>3233</v>
      </c>
      <c r="I605" s="12" t="str">
        <f>RIGHT(LEFT(Table4[[#This Row],[Latest Senate Action]],FIND(" Congress",Table4[[#This Row],[Latest Senate Action]])-1),LEN(LEFT(Table4[[#This Row],[Latest Senate Action]],FIND(" Congress",Table4[[#This Row],[Latest Senate Action]])-1))-FIND("-",Table4[[#This Row],[Latest Senate Action]])-1)</f>
        <v>95th</v>
      </c>
      <c r="J605" s="12" t="str">
        <f>RIGHT(Table4[[#This Row],[Latest Senate Action]],LEN(Table4[[#This Row],[Latest Senate Action]])-FIND(") - ",Table4[[#This Row],[Latest Senate Action]])-3)</f>
        <v xml:space="preserve">General debate; approved by 95-0 vote. Record Vote Number 205. (All Actions) </v>
      </c>
      <c r="K605" s="12" t="str">
        <f>INDEX(Table5[type],MATCH(Table4[[#This Row],[Action]],Table5[Action],0))</f>
        <v>Passed</v>
      </c>
      <c r="L605" s="22" t="b">
        <f>INDEX(Table1[Senate and President Same Party, House and President Different Party],MATCH(Table4[[#This Row],[Congress Acting]],Table1[Congress],0))</f>
        <v>1</v>
      </c>
    </row>
    <row r="606" spans="1:12" ht="141.75">
      <c r="A606" s="9" t="s">
        <v>828</v>
      </c>
      <c r="B606" t="s">
        <v>3234</v>
      </c>
      <c r="C606" s="9" t="s">
        <v>3235</v>
      </c>
      <c r="D606" s="13" t="s">
        <v>4088</v>
      </c>
      <c r="E606" s="9" t="s">
        <v>3236</v>
      </c>
      <c r="F606"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6" s="9" t="s">
        <v>1063</v>
      </c>
      <c r="H606" s="9" t="s">
        <v>3237</v>
      </c>
      <c r="I606" s="12" t="str">
        <f>RIGHT(LEFT(Table4[[#This Row],[Latest Senate Action]],FIND(" Congress",Table4[[#This Row],[Latest Senate Action]])-1),LEN(LEFT(Table4[[#This Row],[Latest Senate Action]],FIND(" Congress",Table4[[#This Row],[Latest Senate Action]])-1))-FIND("-",Table4[[#This Row],[Latest Senate Action]])-1)</f>
        <v>95th</v>
      </c>
      <c r="J606" s="12" t="str">
        <f>RIGHT(Table4[[#This Row],[Latest Senate Action]],LEN(Table4[[#This Row],[Latest Senate Action]])-FIND(") - ",Table4[[#This Row],[Latest Senate Action]])-3)</f>
        <v xml:space="preserve">General debate; approved by 82-5 vote. Record Vote Number: 178. (All Actions) </v>
      </c>
      <c r="K606" s="12" t="str">
        <f>INDEX(Table5[type],MATCH(Table4[[#This Row],[Action]],Table5[Action],0))</f>
        <v>Passed</v>
      </c>
      <c r="L606" s="22" t="b">
        <f>INDEX(Table1[Senate and President Same Party, House and President Different Party],MATCH(Table4[[#This Row],[Congress Acting]],Table1[Congress],0))</f>
        <v>1</v>
      </c>
    </row>
    <row r="607" spans="1:12" ht="126">
      <c r="A607" s="9" t="s">
        <v>829</v>
      </c>
      <c r="B607" t="s">
        <v>3238</v>
      </c>
      <c r="C607" s="9" t="s">
        <v>3239</v>
      </c>
      <c r="D607" s="13" t="s">
        <v>4089</v>
      </c>
      <c r="E607" s="9" t="s">
        <v>3240</v>
      </c>
      <c r="F607"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07" s="9" t="s">
        <v>1063</v>
      </c>
      <c r="H607" s="9" t="s">
        <v>3237</v>
      </c>
      <c r="I607" s="12" t="str">
        <f>RIGHT(LEFT(Table4[[#This Row],[Latest Senate Action]],FIND(" Congress",Table4[[#This Row],[Latest Senate Action]])-1),LEN(LEFT(Table4[[#This Row],[Latest Senate Action]],FIND(" Congress",Table4[[#This Row],[Latest Senate Action]])-1))-FIND("-",Table4[[#This Row],[Latest Senate Action]])-1)</f>
        <v>95th</v>
      </c>
      <c r="J607" s="12" t="str">
        <f>RIGHT(Table4[[#This Row],[Latest Senate Action]],LEN(Table4[[#This Row],[Latest Senate Action]])-FIND(") - ",Table4[[#This Row],[Latest Senate Action]])-3)</f>
        <v xml:space="preserve">General debate; approved by 82-5 vote. Record Vote Number: 178. (All Actions) </v>
      </c>
      <c r="K607" s="12" t="str">
        <f>INDEX(Table5[type],MATCH(Table4[[#This Row],[Action]],Table5[Action],0))</f>
        <v>Passed</v>
      </c>
      <c r="L607" s="22" t="b">
        <f>INDEX(Table1[Senate and President Same Party, House and President Different Party],MATCH(Table4[[#This Row],[Congress Acting]],Table1[Congress],0))</f>
        <v>1</v>
      </c>
    </row>
    <row r="608" spans="1:12" ht="141.75">
      <c r="A608" s="9" t="s">
        <v>830</v>
      </c>
      <c r="B608" t="s">
        <v>182</v>
      </c>
      <c r="C608" s="9" t="s">
        <v>3241</v>
      </c>
      <c r="D608" s="13" t="s">
        <v>4090</v>
      </c>
      <c r="E608" s="9" t="s">
        <v>3242</v>
      </c>
      <c r="F608"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08" s="9" t="s">
        <v>1063</v>
      </c>
      <c r="H608" s="9" t="s">
        <v>3237</v>
      </c>
      <c r="I608" s="12" t="str">
        <f>RIGHT(LEFT(Table4[[#This Row],[Latest Senate Action]],FIND(" Congress",Table4[[#This Row],[Latest Senate Action]])-1),LEN(LEFT(Table4[[#This Row],[Latest Senate Action]],FIND(" Congress",Table4[[#This Row],[Latest Senate Action]])-1))-FIND("-",Table4[[#This Row],[Latest Senate Action]])-1)</f>
        <v>95th</v>
      </c>
      <c r="J608" s="12" t="str">
        <f>RIGHT(Table4[[#This Row],[Latest Senate Action]],LEN(Table4[[#This Row],[Latest Senate Action]])-FIND(") - ",Table4[[#This Row],[Latest Senate Action]])-3)</f>
        <v xml:space="preserve">General debate; approved by 82-5 vote. Record Vote Number: 178. (All Actions) </v>
      </c>
      <c r="K608" s="12" t="str">
        <f>INDEX(Table5[type],MATCH(Table4[[#This Row],[Action]],Table5[Action],0))</f>
        <v>Passed</v>
      </c>
      <c r="L608" s="22" t="b">
        <f>INDEX(Table1[Senate and President Same Party, House and President Different Party],MATCH(Table4[[#This Row],[Congress Acting]],Table1[Congress],0))</f>
        <v>1</v>
      </c>
    </row>
    <row r="609" spans="1:12" ht="141.75">
      <c r="A609" s="9" t="s">
        <v>831</v>
      </c>
      <c r="B609" t="s">
        <v>3243</v>
      </c>
      <c r="C609" s="9" t="s">
        <v>3244</v>
      </c>
      <c r="D609" s="13" t="s">
        <v>4091</v>
      </c>
      <c r="E609" s="9" t="s">
        <v>3245</v>
      </c>
      <c r="F609"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09" s="9" t="s">
        <v>1052</v>
      </c>
      <c r="H609" s="9" t="s">
        <v>3246</v>
      </c>
      <c r="I609" s="12" t="str">
        <f>RIGHT(LEFT(Table4[[#This Row],[Latest Senate Action]],FIND(" Congress",Table4[[#This Row],[Latest Senate Action]])-1),LEN(LEFT(Table4[[#This Row],[Latest Senate Action]],FIND(" Congress",Table4[[#This Row],[Latest Senate Action]])-1))-FIND("-",Table4[[#This Row],[Latest Senate Action]])-1)</f>
        <v>95th</v>
      </c>
      <c r="J609" s="12" t="str">
        <f>RIGHT(Table4[[#This Row],[Latest Senate Action]],LEN(Table4[[#This Row],[Latest Senate Action]])-FIND(") - ",Table4[[#This Row],[Latest Senate Action]])-3)</f>
        <v xml:space="preserve">Resolution of ratification agreed to with reservations and understandings by 68-32 vote. Record Vote Number: 119. (All Actions) </v>
      </c>
      <c r="K609" s="12" t="str">
        <f>INDEX(Table5[type],MATCH(Table4[[#This Row],[Action]],Table5[Action],0))</f>
        <v>Passed</v>
      </c>
      <c r="L609" s="22" t="b">
        <f>INDEX(Table1[Senate and President Same Party, House and President Different Party],MATCH(Table4[[#This Row],[Congress Acting]],Table1[Congress],0))</f>
        <v>1</v>
      </c>
    </row>
    <row r="610" spans="1:12" ht="173.25">
      <c r="A610" s="9" t="s">
        <v>832</v>
      </c>
      <c r="B610" t="s">
        <v>3247</v>
      </c>
      <c r="C610" s="9" t="s">
        <v>3248</v>
      </c>
      <c r="D610" s="13" t="s">
        <v>4091</v>
      </c>
      <c r="E610" s="9" t="s">
        <v>3245</v>
      </c>
      <c r="F610"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10" s="9" t="s">
        <v>1052</v>
      </c>
      <c r="H610" s="9" t="s">
        <v>3249</v>
      </c>
      <c r="I610" s="12" t="str">
        <f>RIGHT(LEFT(Table4[[#This Row],[Latest Senate Action]],FIND(" Congress",Table4[[#This Row],[Latest Senate Action]])-1),LEN(LEFT(Table4[[#This Row],[Latest Senate Action]],FIND(" Congress",Table4[[#This Row],[Latest Senate Action]])-1))-FIND("-",Table4[[#This Row],[Latest Senate Action]])-1)</f>
        <v>95th</v>
      </c>
      <c r="J610" s="12" t="str">
        <f>RIGHT(Table4[[#This Row],[Latest Senate Action]],LEN(Table4[[#This Row],[Latest Senate Action]])-FIND(") - ",Table4[[#This Row],[Latest Senate Action]])-3)</f>
        <v xml:space="preserve">Resolution of ratification with amendments, conditions, reservations and understandings agreed to by 68-32 vote. Record Vote Number: 66. (All Actions) </v>
      </c>
      <c r="K610" s="12" t="str">
        <f>INDEX(Table5[type],MATCH(Table4[[#This Row],[Action]],Table5[Action],0))</f>
        <v>Passed</v>
      </c>
      <c r="L610" s="22" t="b">
        <f>INDEX(Table1[Senate and President Same Party, House and President Different Party],MATCH(Table4[[#This Row],[Congress Acting]],Table1[Congress],0))</f>
        <v>1</v>
      </c>
    </row>
    <row r="611" spans="1:12" ht="141.75">
      <c r="A611" s="9" t="s">
        <v>833</v>
      </c>
      <c r="B611" t="s">
        <v>3250</v>
      </c>
      <c r="C611" s="9" t="s">
        <v>3251</v>
      </c>
      <c r="D611" s="13" t="s">
        <v>4092</v>
      </c>
      <c r="E611" s="9" t="s">
        <v>3252</v>
      </c>
      <c r="F611"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11" s="9" t="s">
        <v>1456</v>
      </c>
      <c r="H611" s="9" t="s">
        <v>3253</v>
      </c>
      <c r="I611" s="12" t="str">
        <f>RIGHT(LEFT(Table4[[#This Row],[Latest Senate Action]],FIND(" Congress",Table4[[#This Row],[Latest Senate Action]])-1),LEN(LEFT(Table4[[#This Row],[Latest Senate Action]],FIND(" Congress",Table4[[#This Row],[Latest Senate Action]])-1))-FIND("-",Table4[[#This Row],[Latest Senate Action]])-1)</f>
        <v>95th</v>
      </c>
      <c r="J611" s="12" t="str">
        <f>RIGHT(Table4[[#This Row],[Latest Senate Action]],LEN(Table4[[#This Row],[Latest Senate Action]])-FIND(") - ",Table4[[#This Row],[Latest Senate Action]])-3)</f>
        <v xml:space="preserve">General debate; approved by 90-0 vote. Record Vote Number 407. (All Actions) </v>
      </c>
      <c r="K611" s="12" t="str">
        <f>INDEX(Table5[type],MATCH(Table4[[#This Row],[Action]],Table5[Action],0))</f>
        <v>Passed</v>
      </c>
      <c r="L611" s="22" t="b">
        <f>INDEX(Table1[Senate and President Same Party, House and President Different Party],MATCH(Table4[[#This Row],[Congress Acting]],Table1[Congress],0))</f>
        <v>1</v>
      </c>
    </row>
    <row r="612" spans="1:12" ht="157.5">
      <c r="A612" s="9" t="s">
        <v>834</v>
      </c>
      <c r="B612" t="s">
        <v>3254</v>
      </c>
      <c r="C612" s="9" t="s">
        <v>3255</v>
      </c>
      <c r="D612" s="13" t="s">
        <v>4093</v>
      </c>
      <c r="E612" s="9" t="s">
        <v>3256</v>
      </c>
      <c r="F612"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12" s="9" t="s">
        <v>1052</v>
      </c>
      <c r="H612" s="9" t="s">
        <v>3257</v>
      </c>
      <c r="I612" s="12" t="str">
        <f>RIGHT(LEFT(Table4[[#This Row],[Latest Senate Action]],FIND(" Congress",Table4[[#This Row],[Latest Senate Action]])-1),LEN(LEFT(Table4[[#This Row],[Latest Senate Action]],FIND(" Congress",Table4[[#This Row],[Latest Senate Action]])-1))-FIND("-",Table4[[#This Row],[Latest Senate Action]])-1)</f>
        <v>95th</v>
      </c>
      <c r="J612" s="12" t="str">
        <f>RIGHT(Table4[[#This Row],[Latest Senate Action]],LEN(Table4[[#This Row],[Latest Senate Action]])-FIND(") - ",Table4[[#This Row],[Latest Senate Action]])-3)</f>
        <v xml:space="preserve">General debate; approved by voice vote; vote vitiated; approved by 92-1 vote. Record Vote Number 324. (All Actions) </v>
      </c>
      <c r="K612" s="12" t="str">
        <f>INDEX(Table5[type],MATCH(Table4[[#This Row],[Action]],Table5[Action],0))</f>
        <v>Passed</v>
      </c>
      <c r="L612" s="22" t="b">
        <f>INDEX(Table1[Senate and President Same Party, House and President Different Party],MATCH(Table4[[#This Row],[Congress Acting]],Table1[Congress],0))</f>
        <v>1</v>
      </c>
    </row>
    <row r="613" spans="1:12" ht="157.5">
      <c r="A613" s="9" t="s">
        <v>835</v>
      </c>
      <c r="B613" t="s">
        <v>3258</v>
      </c>
      <c r="C613" s="9" t="s">
        <v>3259</v>
      </c>
      <c r="D613" s="13" t="s">
        <v>4094</v>
      </c>
      <c r="E613" s="9" t="s">
        <v>3260</v>
      </c>
      <c r="F613"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13" s="9" t="s">
        <v>1013</v>
      </c>
      <c r="H613" s="9" t="s">
        <v>3261</v>
      </c>
      <c r="I613" s="12" t="str">
        <f>RIGHT(LEFT(Table4[[#This Row],[Latest Senate Action]],FIND(" Congress",Table4[[#This Row],[Latest Senate Action]])-1),LEN(LEFT(Table4[[#This Row],[Latest Senate Action]],FIND(" Congress",Table4[[#This Row],[Latest Senate Action]])-1))-FIND("-",Table4[[#This Row],[Latest Senate Action]])-1)</f>
        <v>95th</v>
      </c>
      <c r="J613" s="12" t="str">
        <f>RIGHT(Table4[[#This Row],[Latest Senate Action]],LEN(Table4[[#This Row],[Latest Senate Action]])-FIND(") - ",Table4[[#This Row],[Latest Senate Action]])-3)</f>
        <v xml:space="preserve">General debate; declaration agreed to; approved by 90-0 vote. Record Vote Number: 316. (All Actions) </v>
      </c>
      <c r="K613" s="12" t="str">
        <f>INDEX(Table5[type],MATCH(Table4[[#This Row],[Action]],Table5[Action],0))</f>
        <v>Passed</v>
      </c>
      <c r="L613" s="22" t="b">
        <f>INDEX(Table1[Senate and President Same Party, House and President Different Party],MATCH(Table4[[#This Row],[Congress Acting]],Table1[Congress],0))</f>
        <v>1</v>
      </c>
    </row>
    <row r="614" spans="1:12" ht="157.5">
      <c r="A614" s="9" t="s">
        <v>836</v>
      </c>
      <c r="B614" t="s">
        <v>186</v>
      </c>
      <c r="C614" s="9" t="s">
        <v>3262</v>
      </c>
      <c r="D614" s="13" t="s">
        <v>4095</v>
      </c>
      <c r="E614" s="9" t="s">
        <v>3163</v>
      </c>
      <c r="F614" t="str">
        <f>RIGHT(LEFT(Table4[[#This Row],[Date Received from President]],FIND(" Congress",Table4[[#This Row],[Date Received from President]])-1),LEN(LEFT(Table4[[#This Row],[Date Received from President]],FIND(" Congress",Table4[[#This Row],[Date Received from President]])-1))-FIND("-",Table4[[#This Row],[Date Received from President]])-1)</f>
        <v>95th</v>
      </c>
      <c r="G614" s="9" t="s">
        <v>1112</v>
      </c>
      <c r="H614" s="9" t="s">
        <v>3263</v>
      </c>
      <c r="I614" s="12" t="str">
        <f>RIGHT(LEFT(Table4[[#This Row],[Latest Senate Action]],FIND(" Congress",Table4[[#This Row],[Latest Senate Action]])-1),LEN(LEFT(Table4[[#This Row],[Latest Senate Action]],FIND(" Congress",Table4[[#This Row],[Latest Senate Action]])-1))-FIND("-",Table4[[#This Row],[Latest Senate Action]])-1)</f>
        <v>95th</v>
      </c>
      <c r="J614" s="12" t="str">
        <f>RIGHT(Table4[[#This Row],[Latest Senate Action]],LEN(Table4[[#This Row],[Latest Senate Action]])-FIND(") - ",Table4[[#This Row],[Latest Senate Action]])-3)</f>
        <v xml:space="preserve">General debate; declaration agreed to; approved by 95-0 vote. Record Vote Number: 301. (All Actions) </v>
      </c>
      <c r="K614" s="12" t="str">
        <f>INDEX(Table5[type],MATCH(Table4[[#This Row],[Action]],Table5[Action],0))</f>
        <v>Passed</v>
      </c>
      <c r="L614" s="22" t="b">
        <f>INDEX(Table1[Senate and President Same Party, House and President Different Party],MATCH(Table4[[#This Row],[Congress Acting]],Table1[Congress],0))</f>
        <v>1</v>
      </c>
    </row>
    <row r="615" spans="1:12" ht="173.25">
      <c r="A615" s="9" t="s">
        <v>837</v>
      </c>
      <c r="B615" t="s">
        <v>3264</v>
      </c>
      <c r="C615" s="9" t="s">
        <v>3265</v>
      </c>
      <c r="D615" s="13" t="s">
        <v>4253</v>
      </c>
      <c r="E615" s="9" t="s">
        <v>3266</v>
      </c>
      <c r="F61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15" s="9" t="s">
        <v>1164</v>
      </c>
      <c r="H615" s="9" t="s">
        <v>3267</v>
      </c>
      <c r="I615" s="12" t="str">
        <f>RIGHT(LEFT(Table4[[#This Row],[Latest Senate Action]],FIND(" Congress",Table4[[#This Row],[Latest Senate Action]])-1),LEN(LEFT(Table4[[#This Row],[Latest Senate Action]],FIND(" Congress",Table4[[#This Row],[Latest Senate Action]])-1))-FIND("-",Table4[[#This Row],[Latest Senate Action]])-1)</f>
        <v>95th</v>
      </c>
      <c r="J615" s="12" t="str">
        <f>RIGHT(Table4[[#This Row],[Latest Senate Action]],LEN(Table4[[#This Row],[Latest Senate Action]])-FIND(") - ",Table4[[#This Row],[Latest Senate Action]])-3)</f>
        <v xml:space="preserve">General debate; reservation agreed to; approved by 95-0 vote. Record Vote Number 300. (All Actions) </v>
      </c>
      <c r="K615" s="12" t="str">
        <f>INDEX(Table5[type],MATCH(Table4[[#This Row],[Action]],Table5[Action],0))</f>
        <v>Passed</v>
      </c>
      <c r="L615" s="22" t="b">
        <f>INDEX(Table1[Senate and President Same Party, House and President Different Party],MATCH(Table4[[#This Row],[Congress Acting]],Table1[Congress],0))</f>
        <v>1</v>
      </c>
    </row>
    <row r="616" spans="1:12" ht="141.75">
      <c r="A616" s="9" t="s">
        <v>838</v>
      </c>
      <c r="B616" t="s">
        <v>3268</v>
      </c>
      <c r="C616" s="9" t="s">
        <v>3269</v>
      </c>
      <c r="D616" s="13" t="s">
        <v>4096</v>
      </c>
      <c r="E616" s="9" t="s">
        <v>3270</v>
      </c>
      <c r="F616"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16" s="9" t="s">
        <v>1112</v>
      </c>
      <c r="H616" s="9" t="s">
        <v>3271</v>
      </c>
      <c r="I616" s="12" t="str">
        <f>RIGHT(LEFT(Table4[[#This Row],[Latest Senate Action]],FIND(" Congress",Table4[[#This Row],[Latest Senate Action]])-1),LEN(LEFT(Table4[[#This Row],[Latest Senate Action]],FIND(" Congress",Table4[[#This Row],[Latest Senate Action]])-1))-FIND("-",Table4[[#This Row],[Latest Senate Action]])-1)</f>
        <v>94th</v>
      </c>
      <c r="J616" s="12" t="str">
        <f>RIGHT(Table4[[#This Row],[Latest Senate Action]],LEN(Table4[[#This Row],[Latest Senate Action]])-FIND(") - ",Table4[[#This Row],[Latest Senate Action]])-3)</f>
        <v xml:space="preserve">General debate; approved by 88-0 vote. Record Vote Number: 595. (All Actions) </v>
      </c>
      <c r="K616" s="12" t="str">
        <f>INDEX(Table5[type],MATCH(Table4[[#This Row],[Action]],Table5[Action],0))</f>
        <v>Passed</v>
      </c>
      <c r="L616" s="22" t="b">
        <f>INDEX(Table1[Senate and President Same Party, House and President Different Party],MATCH(Table4[[#This Row],[Congress Acting]],Table1[Congress],0))</f>
        <v>0</v>
      </c>
    </row>
    <row r="617" spans="1:12" ht="141.75">
      <c r="A617" s="9" t="s">
        <v>839</v>
      </c>
      <c r="B617" t="s">
        <v>3272</v>
      </c>
      <c r="C617" s="9" t="s">
        <v>3273</v>
      </c>
      <c r="D617" s="13" t="s">
        <v>4097</v>
      </c>
      <c r="E617" s="9" t="s">
        <v>3274</v>
      </c>
      <c r="F617"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17" s="9" t="s">
        <v>1112</v>
      </c>
      <c r="H617" s="9" t="s">
        <v>3275</v>
      </c>
      <c r="I617" s="12" t="str">
        <f>RIGHT(LEFT(Table4[[#This Row],[Latest Senate Action]],FIND(" Congress",Table4[[#This Row],[Latest Senate Action]])-1),LEN(LEFT(Table4[[#This Row],[Latest Senate Action]],FIND(" Congress",Table4[[#This Row],[Latest Senate Action]])-1))-FIND("-",Table4[[#This Row],[Latest Senate Action]])-1)</f>
        <v>94th</v>
      </c>
      <c r="J617" s="12" t="str">
        <f>RIGHT(Table4[[#This Row],[Latest Senate Action]],LEN(Table4[[#This Row],[Latest Senate Action]])-FIND(") - ",Table4[[#This Row],[Latest Senate Action]])-3)</f>
        <v xml:space="preserve">General debate; approved by 88-0 vote. Record Vote Number: 596. (All Actions) </v>
      </c>
      <c r="K617" s="12" t="str">
        <f>INDEX(Table5[type],MATCH(Table4[[#This Row],[Action]],Table5[Action],0))</f>
        <v>Passed</v>
      </c>
      <c r="L617" s="22" t="b">
        <f>INDEX(Table1[Senate and President Same Party, House and President Different Party],MATCH(Table4[[#This Row],[Congress Acting]],Table1[Congress],0))</f>
        <v>0</v>
      </c>
    </row>
    <row r="618" spans="1:12" ht="126">
      <c r="A618" s="9" t="s">
        <v>840</v>
      </c>
      <c r="B618" t="s">
        <v>3276</v>
      </c>
      <c r="C618" s="9" t="s">
        <v>3277</v>
      </c>
      <c r="D618" s="13" t="s">
        <v>4098</v>
      </c>
      <c r="E618" s="9" t="s">
        <v>3278</v>
      </c>
      <c r="F618"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18" s="9" t="s">
        <v>1052</v>
      </c>
      <c r="H618" s="9" t="s">
        <v>3279</v>
      </c>
      <c r="I618" s="12" t="str">
        <f>RIGHT(LEFT(Table4[[#This Row],[Latest Senate Action]],FIND(" Congress",Table4[[#This Row],[Latest Senate Action]])-1),LEN(LEFT(Table4[[#This Row],[Latest Senate Action]],FIND(" Congress",Table4[[#This Row],[Latest Senate Action]])-1))-FIND("-",Table4[[#This Row],[Latest Senate Action]])-1)</f>
        <v>94th</v>
      </c>
      <c r="J618" s="12" t="str">
        <f>RIGHT(Table4[[#This Row],[Latest Senate Action]],LEN(Table4[[#This Row],[Latest Senate Action]])-FIND(") - ",Table4[[#This Row],[Latest Senate Action]])-3)</f>
        <v xml:space="preserve">General debate; approved by 71-17 vote. Record Vote Number: 598. (All Actions) </v>
      </c>
      <c r="K618" s="12" t="str">
        <f>INDEX(Table5[type],MATCH(Table4[[#This Row],[Action]],Table5[Action],0))</f>
        <v>Passed</v>
      </c>
      <c r="L618" s="22" t="b">
        <f>INDEX(Table1[Senate and President Same Party, House and President Different Party],MATCH(Table4[[#This Row],[Congress Acting]],Table1[Congress],0))</f>
        <v>0</v>
      </c>
    </row>
    <row r="619" spans="1:12" ht="173.25">
      <c r="A619" s="9" t="s">
        <v>841</v>
      </c>
      <c r="B619" t="s">
        <v>3280</v>
      </c>
      <c r="C619" s="9" t="s">
        <v>3281</v>
      </c>
      <c r="D619" s="13" t="s">
        <v>4099</v>
      </c>
      <c r="E619" s="9" t="s">
        <v>4259</v>
      </c>
      <c r="F61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19" s="9" t="s">
        <v>3282</v>
      </c>
      <c r="I619" s="12" t="str">
        <f>RIGHT(LEFT(Table4[[#This Row],[Latest Senate Action]],FIND(" Congress",Table4[[#This Row],[Latest Senate Action]])-1),LEN(LEFT(Table4[[#This Row],[Latest Senate Action]],FIND(" Congress",Table4[[#This Row],[Latest Senate Action]])-1))-FIND("-",Table4[[#This Row],[Latest Senate Action]])-1)</f>
        <v>94th</v>
      </c>
      <c r="J619" s="12" t="str">
        <f>RIGHT(Table4[[#This Row],[Latest Senate Action]],LEN(Table4[[#This Row],[Latest Senate Action]])-FIND(") - ",Table4[[#This Row],[Latest Senate Action]])-3)</f>
        <v xml:space="preserve">Resolution of advice and consent to ratification agreed to in Senate by Yea-Nay vote. 88-0. Record Vote No: 594 EX. (All Actions) </v>
      </c>
      <c r="K619" s="12" t="str">
        <f>INDEX(Table5[type],MATCH(Table4[[#This Row],[Action]],Table5[Action],0))</f>
        <v>Passed</v>
      </c>
      <c r="L619" s="22" t="b">
        <f>INDEX(Table1[Senate and President Same Party, House and President Different Party],MATCH(Table4[[#This Row],[Congress Acting]],Table1[Congress],0))</f>
        <v>0</v>
      </c>
    </row>
    <row r="620" spans="1:12" ht="157.5">
      <c r="A620" s="9" t="s">
        <v>842</v>
      </c>
      <c r="B620" t="s">
        <v>3283</v>
      </c>
      <c r="C620" s="9" t="s">
        <v>3284</v>
      </c>
      <c r="D620" s="13" t="s">
        <v>4100</v>
      </c>
      <c r="E620" s="9" t="s">
        <v>3167</v>
      </c>
      <c r="F620"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0" s="9" t="s">
        <v>1112</v>
      </c>
      <c r="H620" s="9" t="s">
        <v>3285</v>
      </c>
      <c r="I620" s="12" t="str">
        <f>RIGHT(LEFT(Table4[[#This Row],[Latest Senate Action]],FIND(" Congress",Table4[[#This Row],[Latest Senate Action]])-1),LEN(LEFT(Table4[[#This Row],[Latest Senate Action]],FIND(" Congress",Table4[[#This Row],[Latest Senate Action]])-1))-FIND("-",Table4[[#This Row],[Latest Senate Action]])-1)</f>
        <v>94th</v>
      </c>
      <c r="J620" s="12" t="str">
        <f>RIGHT(Table4[[#This Row],[Latest Senate Action]],LEN(Table4[[#This Row],[Latest Senate Action]])-FIND(") - ",Table4[[#This Row],[Latest Senate Action]])-3)</f>
        <v xml:space="preserve">General debate; approved by 88-0 vote. Record Vote Number: 597. (All Actions) </v>
      </c>
      <c r="K620" s="12" t="str">
        <f>INDEX(Table5[type],MATCH(Table4[[#This Row],[Action]],Table5[Action],0))</f>
        <v>Passed</v>
      </c>
      <c r="L620" s="22" t="b">
        <f>INDEX(Table1[Senate and President Same Party, House and President Different Party],MATCH(Table4[[#This Row],[Congress Acting]],Table1[Congress],0))</f>
        <v>0</v>
      </c>
    </row>
    <row r="621" spans="1:12" ht="141.75">
      <c r="A621" s="9" t="s">
        <v>843</v>
      </c>
      <c r="B621" t="s">
        <v>3286</v>
      </c>
      <c r="C621" s="9" t="s">
        <v>3287</v>
      </c>
      <c r="D621" s="13" t="s">
        <v>4101</v>
      </c>
      <c r="E621" s="9" t="s">
        <v>3288</v>
      </c>
      <c r="F621"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1" s="9" t="s">
        <v>1052</v>
      </c>
      <c r="H621" s="9" t="s">
        <v>3289</v>
      </c>
      <c r="I621" s="12" t="str">
        <f>RIGHT(LEFT(Table4[[#This Row],[Latest Senate Action]],FIND(" Congress",Table4[[#This Row],[Latest Senate Action]])-1),LEN(LEFT(Table4[[#This Row],[Latest Senate Action]],FIND(" Congress",Table4[[#This Row],[Latest Senate Action]])-1))-FIND("-",Table4[[#This Row],[Latest Senate Action]])-1)</f>
        <v>94th</v>
      </c>
      <c r="J621" s="12" t="str">
        <f>RIGHT(Table4[[#This Row],[Latest Senate Action]],LEN(Table4[[#This Row],[Latest Senate Action]])-FIND(") - ",Table4[[#This Row],[Latest Senate Action]])-3)</f>
        <v xml:space="preserve">Reported without reservation (Ex. Rept. 94-30); general debate; approved by 75-0 vote. (All Actions) </v>
      </c>
      <c r="K621" s="12" t="str">
        <f>INDEX(Table5[type],MATCH(Table4[[#This Row],[Action]],Table5[Action],0))</f>
        <v>Passed</v>
      </c>
      <c r="L621" s="22" t="b">
        <f>INDEX(Table1[Senate and President Same Party, House and President Different Party],MATCH(Table4[[#This Row],[Congress Acting]],Table1[Congress],0))</f>
        <v>0</v>
      </c>
    </row>
    <row r="622" spans="1:12" ht="157.5">
      <c r="A622" s="9" t="s">
        <v>844</v>
      </c>
      <c r="B622" t="s">
        <v>3290</v>
      </c>
      <c r="C622" s="9" t="s">
        <v>3291</v>
      </c>
      <c r="D622" s="13" t="s">
        <v>4102</v>
      </c>
      <c r="E622" s="9" t="s">
        <v>3292</v>
      </c>
      <c r="F622"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2" s="9" t="s">
        <v>1052</v>
      </c>
      <c r="H622" s="9" t="s">
        <v>3293</v>
      </c>
      <c r="I622" s="12" t="str">
        <f>RIGHT(LEFT(Table4[[#This Row],[Latest Senate Action]],FIND(" Congress",Table4[[#This Row],[Latest Senate Action]])-1),LEN(LEFT(Table4[[#This Row],[Latest Senate Action]],FIND(" Congress",Table4[[#This Row],[Latest Senate Action]])-1))-FIND("-",Table4[[#This Row],[Latest Senate Action]])-1)</f>
        <v>94th</v>
      </c>
      <c r="J622" s="12" t="str">
        <f>RIGHT(Table4[[#This Row],[Latest Senate Action]],LEN(Table4[[#This Row],[Latest Senate Action]])-FIND(") - ",Table4[[#This Row],[Latest Senate Action]])-3)</f>
        <v xml:space="preserve">Reported without reservation (Ex. Rept. 94-31); general debate; approved by 75-0 vote. (All Actions) </v>
      </c>
      <c r="K622" s="12" t="str">
        <f>INDEX(Table5[type],MATCH(Table4[[#This Row],[Action]],Table5[Action],0))</f>
        <v>Passed</v>
      </c>
      <c r="L622" s="22" t="b">
        <f>INDEX(Table1[Senate and President Same Party, House and President Different Party],MATCH(Table4[[#This Row],[Congress Acting]],Table1[Congress],0))</f>
        <v>0</v>
      </c>
    </row>
    <row r="623" spans="1:12" ht="141.75">
      <c r="A623" s="9" t="s">
        <v>845</v>
      </c>
      <c r="B623" t="s">
        <v>3294</v>
      </c>
      <c r="C623" s="9" t="s">
        <v>3295</v>
      </c>
      <c r="D623" s="13" t="s">
        <v>4103</v>
      </c>
      <c r="E623" s="9" t="s">
        <v>3296</v>
      </c>
      <c r="F623"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3" s="9" t="s">
        <v>1013</v>
      </c>
      <c r="H623" s="9" t="s">
        <v>3297</v>
      </c>
      <c r="I623" s="12" t="str">
        <f>RIGHT(LEFT(Table4[[#This Row],[Latest Senate Action]],FIND(" Congress",Table4[[#This Row],[Latest Senate Action]])-1),LEN(LEFT(Table4[[#This Row],[Latest Senate Action]],FIND(" Congress",Table4[[#This Row],[Latest Senate Action]])-1))-FIND("-",Table4[[#This Row],[Latest Senate Action]])-1)</f>
        <v>94th</v>
      </c>
      <c r="J623" s="12" t="str">
        <f>RIGHT(Table4[[#This Row],[Latest Senate Action]],LEN(Table4[[#This Row],[Latest Senate Action]])-FIND(") - ",Table4[[#This Row],[Latest Senate Action]])-3)</f>
        <v xml:space="preserve">General debate; approved by 88-0 vote. Record Vote Number 305. (All Actions) </v>
      </c>
      <c r="K623" s="12" t="str">
        <f>INDEX(Table5[type],MATCH(Table4[[#This Row],[Action]],Table5[Action],0))</f>
        <v>Passed</v>
      </c>
      <c r="L623" s="22" t="b">
        <f>INDEX(Table1[Senate and President Same Party, House and President Different Party],MATCH(Table4[[#This Row],[Congress Acting]],Table1[Congress],0))</f>
        <v>0</v>
      </c>
    </row>
    <row r="624" spans="1:12" ht="141.75">
      <c r="A624" s="9" t="s">
        <v>846</v>
      </c>
      <c r="B624" t="s">
        <v>3298</v>
      </c>
      <c r="C624" s="9" t="s">
        <v>3299</v>
      </c>
      <c r="D624" s="13" t="s">
        <v>4104</v>
      </c>
      <c r="E624" s="9" t="s">
        <v>3296</v>
      </c>
      <c r="F624"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4" s="9" t="s">
        <v>1013</v>
      </c>
      <c r="H624" s="9" t="s">
        <v>3300</v>
      </c>
      <c r="I624" s="12" t="str">
        <f>RIGHT(LEFT(Table4[[#This Row],[Latest Senate Action]],FIND(" Congress",Table4[[#This Row],[Latest Senate Action]])-1),LEN(LEFT(Table4[[#This Row],[Latest Senate Action]],FIND(" Congress",Table4[[#This Row],[Latest Senate Action]])-1))-FIND("-",Table4[[#This Row],[Latest Senate Action]])-1)</f>
        <v>94th</v>
      </c>
      <c r="J624" s="12" t="str">
        <f>RIGHT(Table4[[#This Row],[Latest Senate Action]],LEN(Table4[[#This Row],[Latest Senate Action]])-FIND(") - ",Table4[[#This Row],[Latest Senate Action]])-3)</f>
        <v xml:space="preserve">General debate; approved by 88-0 vote. Record Vote Number 304. (All Actions) </v>
      </c>
      <c r="K624" s="12" t="str">
        <f>INDEX(Table5[type],MATCH(Table4[[#This Row],[Action]],Table5[Action],0))</f>
        <v>Passed</v>
      </c>
      <c r="L624" s="22" t="b">
        <f>INDEX(Table1[Senate and President Same Party, House and President Different Party],MATCH(Table4[[#This Row],[Congress Acting]],Table1[Congress],0))</f>
        <v>0</v>
      </c>
    </row>
    <row r="625" spans="1:12" ht="157.5">
      <c r="A625" s="9" t="s">
        <v>847</v>
      </c>
      <c r="B625" t="s">
        <v>3301</v>
      </c>
      <c r="C625" s="9" t="s">
        <v>3302</v>
      </c>
      <c r="D625" s="13" t="s">
        <v>4105</v>
      </c>
      <c r="E625" s="9" t="s">
        <v>3303</v>
      </c>
      <c r="F62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5" s="9" t="s">
        <v>1052</v>
      </c>
      <c r="H625" s="9" t="s">
        <v>3304</v>
      </c>
      <c r="I625" s="12" t="str">
        <f>RIGHT(LEFT(Table4[[#This Row],[Latest Senate Action]],FIND(" Congress",Table4[[#This Row],[Latest Senate Action]])-1),LEN(LEFT(Table4[[#This Row],[Latest Senate Action]],FIND(" Congress",Table4[[#This Row],[Latest Senate Action]])-1))-FIND("-",Table4[[#This Row],[Latest Senate Action]])-1)</f>
        <v>94th</v>
      </c>
      <c r="J625" s="12" t="str">
        <f>RIGHT(Table4[[#This Row],[Latest Senate Action]],LEN(Table4[[#This Row],[Latest Senate Action]])-FIND(") - ",Table4[[#This Row],[Latest Senate Action]])-3)</f>
        <v xml:space="preserve">General debate; declaration approved by 91-4 vote; treaty approved by 84-11 vote. Record Vote Number 309. (All Actions) </v>
      </c>
      <c r="K625" s="12" t="str">
        <f>INDEX(Table5[type],MATCH(Table4[[#This Row],[Action]],Table5[Action],0))</f>
        <v>Passed</v>
      </c>
      <c r="L625" s="22" t="b">
        <f>INDEX(Table1[Senate and President Same Party, House and President Different Party],MATCH(Table4[[#This Row],[Congress Acting]],Table1[Congress],0))</f>
        <v>0</v>
      </c>
    </row>
    <row r="626" spans="1:12" ht="157.5">
      <c r="A626" s="9" t="s">
        <v>848</v>
      </c>
      <c r="B626" t="s">
        <v>3305</v>
      </c>
      <c r="C626" s="9" t="s">
        <v>3306</v>
      </c>
      <c r="D626" s="13" t="s">
        <v>4106</v>
      </c>
      <c r="E626" s="9" t="s">
        <v>3303</v>
      </c>
      <c r="F626"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6" s="9" t="s">
        <v>1013</v>
      </c>
      <c r="H626" s="9" t="s">
        <v>3307</v>
      </c>
      <c r="I626" s="12" t="str">
        <f>RIGHT(LEFT(Table4[[#This Row],[Latest Senate Action]],FIND(" Congress",Table4[[#This Row],[Latest Senate Action]])-1),LEN(LEFT(Table4[[#This Row],[Latest Senate Action]],FIND(" Congress",Table4[[#This Row],[Latest Senate Action]])-1))-FIND("-",Table4[[#This Row],[Latest Senate Action]])-1)</f>
        <v>94th</v>
      </c>
      <c r="J626" s="12" t="str">
        <f>RIGHT(Table4[[#This Row],[Latest Senate Action]],LEN(Table4[[#This Row],[Latest Senate Action]])-FIND(") - ",Table4[[#This Row],[Latest Senate Action]])-3)</f>
        <v xml:space="preserve">General debate; approved by 88-0 vote. Record Vote Number 307. (All Actions) </v>
      </c>
      <c r="K626" s="12" t="str">
        <f>INDEX(Table5[type],MATCH(Table4[[#This Row],[Action]],Table5[Action],0))</f>
        <v>Passed</v>
      </c>
      <c r="L626" s="22" t="b">
        <f>INDEX(Table1[Senate and President Same Party, House and President Different Party],MATCH(Table4[[#This Row],[Congress Acting]],Table1[Congress],0))</f>
        <v>0</v>
      </c>
    </row>
    <row r="627" spans="1:12" ht="141.75">
      <c r="A627" s="9" t="s">
        <v>849</v>
      </c>
      <c r="B627" t="s">
        <v>3308</v>
      </c>
      <c r="C627" s="9" t="s">
        <v>3309</v>
      </c>
      <c r="D627" s="13" t="s">
        <v>4107</v>
      </c>
      <c r="E627" s="9" t="s">
        <v>3310</v>
      </c>
      <c r="F627"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7" s="9" t="s">
        <v>1164</v>
      </c>
      <c r="H627" s="9" t="s">
        <v>3311</v>
      </c>
      <c r="I627" s="12" t="str">
        <f>RIGHT(LEFT(Table4[[#This Row],[Latest Senate Action]],FIND(" Congress",Table4[[#This Row],[Latest Senate Action]])-1),LEN(LEFT(Table4[[#This Row],[Latest Senate Action]],FIND(" Congress",Table4[[#This Row],[Latest Senate Action]])-1))-FIND("-",Table4[[#This Row],[Latest Senate Action]])-1)</f>
        <v>94th</v>
      </c>
      <c r="J627" s="12" t="str">
        <f>RIGHT(Table4[[#This Row],[Latest Senate Action]],LEN(Table4[[#This Row],[Latest Senate Action]])-FIND(") - ",Table4[[#This Row],[Latest Senate Action]])-3)</f>
        <v xml:space="preserve">General debate; approved by 88-0 vote. Record Vote Number 306. (All Actions) </v>
      </c>
      <c r="K627" s="12" t="str">
        <f>INDEX(Table5[type],MATCH(Table4[[#This Row],[Action]],Table5[Action],0))</f>
        <v>Passed</v>
      </c>
      <c r="L627" s="22" t="b">
        <f>INDEX(Table1[Senate and President Same Party, House and President Different Party],MATCH(Table4[[#This Row],[Congress Acting]],Table1[Congress],0))</f>
        <v>0</v>
      </c>
    </row>
    <row r="628" spans="1:12" ht="141.75">
      <c r="A628" s="9" t="s">
        <v>850</v>
      </c>
      <c r="B628" t="s">
        <v>3312</v>
      </c>
      <c r="C628" s="9" t="s">
        <v>3313</v>
      </c>
      <c r="D628" s="13" t="s">
        <v>4108</v>
      </c>
      <c r="E628" s="9" t="s">
        <v>3314</v>
      </c>
      <c r="F628"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28" s="9" t="s">
        <v>1052</v>
      </c>
      <c r="H628" s="9" t="s">
        <v>3315</v>
      </c>
      <c r="I628" s="12" t="str">
        <f>RIGHT(LEFT(Table4[[#This Row],[Latest Senate Action]],FIND(" Congress",Table4[[#This Row],[Latest Senate Action]])-1),LEN(LEFT(Table4[[#This Row],[Latest Senate Action]],FIND(" Congress",Table4[[#This Row],[Latest Senate Action]])-1))-FIND("-",Table4[[#This Row],[Latest Senate Action]])-1)</f>
        <v>94th</v>
      </c>
      <c r="J628" s="12" t="str">
        <f>RIGHT(Table4[[#This Row],[Latest Senate Action]],LEN(Table4[[#This Row],[Latest Senate Action]])-FIND(") - ",Table4[[#This Row],[Latest Senate Action]])-3)</f>
        <v xml:space="preserve">General debate; approved by 88-0 vote. Record Vote Number 6. (All Actions) </v>
      </c>
      <c r="K628" s="12" t="str">
        <f>INDEX(Table5[type],MATCH(Table4[[#This Row],[Action]],Table5[Action],0))</f>
        <v>Passed</v>
      </c>
      <c r="L628" s="22" t="b">
        <f>INDEX(Table1[Senate and President Same Party, House and President Different Party],MATCH(Table4[[#This Row],[Congress Acting]],Table1[Congress],0))</f>
        <v>0</v>
      </c>
    </row>
    <row r="629" spans="1:12" ht="141.75">
      <c r="A629" s="9" t="s">
        <v>851</v>
      </c>
      <c r="B629" t="s">
        <v>3316</v>
      </c>
      <c r="C629" s="9" t="s">
        <v>3317</v>
      </c>
      <c r="D629" s="13" t="s">
        <v>4109</v>
      </c>
      <c r="E629" s="9" t="s">
        <v>4260</v>
      </c>
      <c r="F62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29" s="9" t="s">
        <v>3318</v>
      </c>
      <c r="I629" s="12" t="str">
        <f>RIGHT(LEFT(Table4[[#This Row],[Latest Senate Action]],FIND(" Congress",Table4[[#This Row],[Latest Senate Action]])-1),LEN(LEFT(Table4[[#This Row],[Latest Senate Action]],FIND(" Congress",Table4[[#This Row],[Latest Senate Action]])-1))-FIND("-",Table4[[#This Row],[Latest Senate Action]])-1)</f>
        <v>94th</v>
      </c>
      <c r="J629" s="12" t="str">
        <f>RIGHT(Table4[[#This Row],[Latest Senate Action]],LEN(Table4[[#This Row],[Latest Senate Action]])-FIND(") - ",Table4[[#This Row],[Latest Senate Action]])-3)</f>
        <v xml:space="preserve">Resolution of advice and consent to ratification agreed to in Senate by Yea-Nay vote. 88-0. Record Vote No: 5 EX. (All Actions) </v>
      </c>
      <c r="K629" s="12" t="str">
        <f>INDEX(Table5[type],MATCH(Table4[[#This Row],[Action]],Table5[Action],0))</f>
        <v>Passed</v>
      </c>
      <c r="L629" s="22" t="b">
        <f>INDEX(Table1[Senate and President Same Party, House and President Different Party],MATCH(Table4[[#This Row],[Congress Acting]],Table1[Congress],0))</f>
        <v>0</v>
      </c>
    </row>
    <row r="630" spans="1:12" ht="157.5">
      <c r="A630" s="9" t="s">
        <v>852</v>
      </c>
      <c r="B630" t="s">
        <v>3319</v>
      </c>
      <c r="C630" s="9" t="s">
        <v>3320</v>
      </c>
      <c r="D630" s="13" t="s">
        <v>4110</v>
      </c>
      <c r="E630" s="9" t="s">
        <v>3371</v>
      </c>
      <c r="F630"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30" s="9" t="s">
        <v>3321</v>
      </c>
      <c r="I630" s="12" t="str">
        <f>RIGHT(LEFT(Table4[[#This Row],[Latest Senate Action]],FIND(" Congress",Table4[[#This Row],[Latest Senate Action]])-1),LEN(LEFT(Table4[[#This Row],[Latest Senate Action]],FIND(" Congress",Table4[[#This Row],[Latest Senate Action]])-1))-FIND("-",Table4[[#This Row],[Latest Senate Action]])-1)</f>
        <v>94th</v>
      </c>
      <c r="J630" s="12" t="str">
        <f>RIGHT(Table4[[#This Row],[Latest Senate Action]],LEN(Table4[[#This Row],[Latest Senate Action]])-FIND(") - ",Table4[[#This Row],[Latest Senate Action]])-3)</f>
        <v xml:space="preserve">Resolution of advice and consent to ratification agreed to in Senate by Yea-Nay vote. 88-0. Record Vote No: 4 EX. (All Actions) </v>
      </c>
      <c r="K630" s="12" t="str">
        <f>INDEX(Table5[type],MATCH(Table4[[#This Row],[Action]],Table5[Action],0))</f>
        <v>Passed</v>
      </c>
      <c r="L630" s="22" t="b">
        <f>INDEX(Table1[Senate and President Same Party, House and President Different Party],MATCH(Table4[[#This Row],[Congress Acting]],Table1[Congress],0))</f>
        <v>0</v>
      </c>
    </row>
    <row r="631" spans="1:12" ht="173.25">
      <c r="A631" s="9" t="s">
        <v>853</v>
      </c>
      <c r="B631" t="s">
        <v>3322</v>
      </c>
      <c r="C631" s="9" t="s">
        <v>3323</v>
      </c>
      <c r="D631" s="13" t="s">
        <v>4111</v>
      </c>
      <c r="E631" s="9" t="s">
        <v>3324</v>
      </c>
      <c r="F631"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31" s="9" t="s">
        <v>1063</v>
      </c>
      <c r="H631" s="9" t="s">
        <v>3325</v>
      </c>
      <c r="I631" s="12" t="str">
        <f>RIGHT(LEFT(Table4[[#This Row],[Latest Senate Action]],FIND(" Congress",Table4[[#This Row],[Latest Senate Action]])-1),LEN(LEFT(Table4[[#This Row],[Latest Senate Action]],FIND(" Congress",Table4[[#This Row],[Latest Senate Action]])-1))-FIND("-",Table4[[#This Row],[Latest Senate Action]])-1)</f>
        <v>94th</v>
      </c>
      <c r="J631" s="12" t="str">
        <f>RIGHT(Table4[[#This Row],[Latest Senate Action]],LEN(Table4[[#This Row],[Latest Senate Action]])-FIND(") - ",Table4[[#This Row],[Latest Senate Action]])-3)</f>
        <v xml:space="preserve">Resolution of advice and consent to ratification agreed to in Senate by Yea-Nay vote. 82-4. Record Vote No: 590 EX. (All Actions) </v>
      </c>
      <c r="K631" s="12" t="str">
        <f>INDEX(Table5[type],MATCH(Table4[[#This Row],[Action]],Table5[Action],0))</f>
        <v>Passed</v>
      </c>
      <c r="L631" s="22" t="b">
        <f>INDEX(Table1[Senate and President Same Party, House and President Different Party],MATCH(Table4[[#This Row],[Congress Acting]],Table1[Congress],0))</f>
        <v>0</v>
      </c>
    </row>
    <row r="632" spans="1:12" ht="141.75">
      <c r="A632" s="9" t="s">
        <v>854</v>
      </c>
      <c r="B632" t="s">
        <v>3326</v>
      </c>
      <c r="C632" s="9" t="s">
        <v>3327</v>
      </c>
      <c r="D632" s="13" t="s">
        <v>4112</v>
      </c>
      <c r="E632" s="9" t="s">
        <v>3328</v>
      </c>
      <c r="F632"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32" s="9" t="s">
        <v>1052</v>
      </c>
      <c r="H632" s="9" t="s">
        <v>3329</v>
      </c>
      <c r="I632" s="12" t="str">
        <f>RIGHT(LEFT(Table4[[#This Row],[Latest Senate Action]],FIND(" Congress",Table4[[#This Row],[Latest Senate Action]])-1),LEN(LEFT(Table4[[#This Row],[Latest Senate Action]],FIND(" Congress",Table4[[#This Row],[Latest Senate Action]])-1))-FIND("-",Table4[[#This Row],[Latest Senate Action]])-1)</f>
        <v>94th</v>
      </c>
      <c r="J632" s="12" t="str">
        <f>RIGHT(Table4[[#This Row],[Latest Senate Action]],LEN(Table4[[#This Row],[Latest Senate Action]])-FIND(") - ",Table4[[#This Row],[Latest Senate Action]])-3)</f>
        <v xml:space="preserve">General debate; approved by 79-0 vote. Record Vote Number 531. (All Actions) </v>
      </c>
      <c r="K632" s="12" t="str">
        <f>INDEX(Table5[type],MATCH(Table4[[#This Row],[Action]],Table5[Action],0))</f>
        <v>Passed</v>
      </c>
      <c r="L632" s="22" t="b">
        <f>INDEX(Table1[Senate and President Same Party, House and President Different Party],MATCH(Table4[[#This Row],[Congress Acting]],Table1[Congress],0))</f>
        <v>0</v>
      </c>
    </row>
    <row r="633" spans="1:12" ht="157.5">
      <c r="A633" s="9" t="s">
        <v>855</v>
      </c>
      <c r="B633" t="s">
        <v>3330</v>
      </c>
      <c r="C633" s="9" t="s">
        <v>3331</v>
      </c>
      <c r="D633" s="13" t="s">
        <v>4113</v>
      </c>
      <c r="E633" s="9" t="s">
        <v>3332</v>
      </c>
      <c r="F633"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33" s="9" t="s">
        <v>1013</v>
      </c>
      <c r="H633" s="9" t="s">
        <v>3333</v>
      </c>
      <c r="I633" s="12" t="str">
        <f>RIGHT(LEFT(Table4[[#This Row],[Latest Senate Action]],FIND(" Congress",Table4[[#This Row],[Latest Senate Action]])-1),LEN(LEFT(Table4[[#This Row],[Latest Senate Action]],FIND(" Congress",Table4[[#This Row],[Latest Senate Action]])-1))-FIND("-",Table4[[#This Row],[Latest Senate Action]])-1)</f>
        <v>94th</v>
      </c>
      <c r="J633" s="12" t="str">
        <f>RIGHT(Table4[[#This Row],[Latest Senate Action]],LEN(Table4[[#This Row],[Latest Senate Action]])-FIND(") - ",Table4[[#This Row],[Latest Senate Action]])-3)</f>
        <v xml:space="preserve">Resolution of advice and consent to ratification agreed to in Senate by Yea-Nay vote. 79-0. Record Vote No: 592 EX. (All Actions) </v>
      </c>
      <c r="K633" s="12" t="str">
        <f>INDEX(Table5[type],MATCH(Table4[[#This Row],[Action]],Table5[Action],0))</f>
        <v>Passed</v>
      </c>
      <c r="L633" s="22" t="b">
        <f>INDEX(Table1[Senate and President Same Party, House and President Different Party],MATCH(Table4[[#This Row],[Congress Acting]],Table1[Congress],0))</f>
        <v>0</v>
      </c>
    </row>
    <row r="634" spans="1:12" ht="157.5">
      <c r="A634" s="9" t="s">
        <v>856</v>
      </c>
      <c r="B634" t="s">
        <v>3334</v>
      </c>
      <c r="C634" s="9" t="s">
        <v>3335</v>
      </c>
      <c r="D634" s="13" t="s">
        <v>4114</v>
      </c>
      <c r="E634" s="9" t="s">
        <v>3336</v>
      </c>
      <c r="F634"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34" s="9" t="s">
        <v>1013</v>
      </c>
      <c r="H634" s="9" t="s">
        <v>3337</v>
      </c>
      <c r="I634" s="12" t="str">
        <f>RIGHT(LEFT(Table4[[#This Row],[Latest Senate Action]],FIND(" Congress",Table4[[#This Row],[Latest Senate Action]])-1),LEN(LEFT(Table4[[#This Row],[Latest Senate Action]],FIND(" Congress",Table4[[#This Row],[Latest Senate Action]])-1))-FIND("-",Table4[[#This Row],[Latest Senate Action]])-1)</f>
        <v>94th</v>
      </c>
      <c r="J634" s="12" t="str">
        <f>RIGHT(Table4[[#This Row],[Latest Senate Action]],LEN(Table4[[#This Row],[Latest Senate Action]])-FIND(") - ",Table4[[#This Row],[Latest Senate Action]])-3)</f>
        <v xml:space="preserve">Resolution of advice and consent to ratification agreed to in Senate by Yea-Nay vote. 79-0. Record Vote No: 530 EX. (All Actions) </v>
      </c>
      <c r="K634" s="12" t="str">
        <f>INDEX(Table5[type],MATCH(Table4[[#This Row],[Action]],Table5[Action],0))</f>
        <v>Passed</v>
      </c>
      <c r="L634" s="22" t="b">
        <f>INDEX(Table1[Senate and President Same Party, House and President Different Party],MATCH(Table4[[#This Row],[Congress Acting]],Table1[Congress],0))</f>
        <v>0</v>
      </c>
    </row>
    <row r="635" spans="1:12" ht="126">
      <c r="A635" s="9" t="s">
        <v>857</v>
      </c>
      <c r="B635" t="s">
        <v>3338</v>
      </c>
      <c r="C635" s="9" t="s">
        <v>3339</v>
      </c>
      <c r="D635" s="13" t="s">
        <v>4115</v>
      </c>
      <c r="E635" s="9" t="s">
        <v>3340</v>
      </c>
      <c r="F635"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35" s="9" t="s">
        <v>1063</v>
      </c>
      <c r="H635" s="9" t="s">
        <v>3341</v>
      </c>
      <c r="I635" s="12" t="str">
        <f>RIGHT(LEFT(Table4[[#This Row],[Latest Senate Action]],FIND(" Congress",Table4[[#This Row],[Latest Senate Action]])-1),LEN(LEFT(Table4[[#This Row],[Latest Senate Action]],FIND(" Congress",Table4[[#This Row],[Latest Senate Action]])-1))-FIND("-",Table4[[#This Row],[Latest Senate Action]])-1)</f>
        <v>94th</v>
      </c>
      <c r="J635" s="12" t="str">
        <f>RIGHT(Table4[[#This Row],[Latest Senate Action]],LEN(Table4[[#This Row],[Latest Senate Action]])-FIND(") - ",Table4[[#This Row],[Latest Senate Action]])-3)</f>
        <v xml:space="preserve">General debate; approved by 97-0 vote. Record Vote Number 502. (All Actions) </v>
      </c>
      <c r="K635" s="12" t="str">
        <f>INDEX(Table5[type],MATCH(Table4[[#This Row],[Action]],Table5[Action],0))</f>
        <v>Passed</v>
      </c>
      <c r="L635" s="22" t="b">
        <f>INDEX(Table1[Senate and President Same Party, House and President Different Party],MATCH(Table4[[#This Row],[Congress Acting]],Table1[Congress],0))</f>
        <v>0</v>
      </c>
    </row>
    <row r="636" spans="1:12" ht="126">
      <c r="A636" s="9" t="s">
        <v>858</v>
      </c>
      <c r="B636" t="s">
        <v>3342</v>
      </c>
      <c r="C636" s="9" t="s">
        <v>3343</v>
      </c>
      <c r="D636" s="13" t="s">
        <v>4116</v>
      </c>
      <c r="E636" s="9" t="s">
        <v>3344</v>
      </c>
      <c r="F636"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36" s="9" t="s">
        <v>1063</v>
      </c>
      <c r="H636" s="9" t="s">
        <v>3345</v>
      </c>
      <c r="I636" s="12" t="str">
        <f>RIGHT(LEFT(Table4[[#This Row],[Latest Senate Action]],FIND(" Congress",Table4[[#This Row],[Latest Senate Action]])-1),LEN(LEFT(Table4[[#This Row],[Latest Senate Action]],FIND(" Congress",Table4[[#This Row],[Latest Senate Action]])-1))-FIND("-",Table4[[#This Row],[Latest Senate Action]])-1)</f>
        <v>94th</v>
      </c>
      <c r="J636" s="12" t="str">
        <f>RIGHT(Table4[[#This Row],[Latest Senate Action]],LEN(Table4[[#This Row],[Latest Senate Action]])-FIND(") - ",Table4[[#This Row],[Latest Senate Action]])-3)</f>
        <v xml:space="preserve">General debate; approved by 97-0 vote. Record Vote Number 501. (All Actions) </v>
      </c>
      <c r="K636" s="12" t="str">
        <f>INDEX(Table5[type],MATCH(Table4[[#This Row],[Action]],Table5[Action],0))</f>
        <v>Passed</v>
      </c>
      <c r="L636" s="22" t="b">
        <f>INDEX(Table1[Senate and President Same Party, House and President Different Party],MATCH(Table4[[#This Row],[Congress Acting]],Table1[Congress],0))</f>
        <v>0</v>
      </c>
    </row>
    <row r="637" spans="1:12" ht="157.5">
      <c r="A637" s="9" t="s">
        <v>859</v>
      </c>
      <c r="B637" t="s">
        <v>3346</v>
      </c>
      <c r="C637" s="9" t="s">
        <v>3347</v>
      </c>
      <c r="D637" s="13" t="s">
        <v>4117</v>
      </c>
      <c r="E637" s="9" t="s">
        <v>3348</v>
      </c>
      <c r="F637"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37" s="9" t="s">
        <v>1063</v>
      </c>
      <c r="H637" s="9" t="s">
        <v>3349</v>
      </c>
      <c r="I637" s="12" t="str">
        <f>RIGHT(LEFT(Table4[[#This Row],[Latest Senate Action]],FIND(" Congress",Table4[[#This Row],[Latest Senate Action]])-1),LEN(LEFT(Table4[[#This Row],[Latest Senate Action]],FIND(" Congress",Table4[[#This Row],[Latest Senate Action]])-1))-FIND("-",Table4[[#This Row],[Latest Senate Action]])-1)</f>
        <v>94th</v>
      </c>
      <c r="J637" s="12" t="str">
        <f>RIGHT(Table4[[#This Row],[Latest Senate Action]],LEN(Table4[[#This Row],[Latest Senate Action]])-FIND(") - ",Table4[[#This Row],[Latest Senate Action]])-3)</f>
        <v xml:space="preserve">Resolution of advice and consent to ratification agreed to in Senate by Yea-Nay vote. 97-0. Record Vote No: 503 EX. (All Actions) </v>
      </c>
      <c r="K637" s="12" t="str">
        <f>INDEX(Table5[type],MATCH(Table4[[#This Row],[Action]],Table5[Action],0))</f>
        <v>Passed</v>
      </c>
      <c r="L637" s="22" t="b">
        <f>INDEX(Table1[Senate and President Same Party, House and President Different Party],MATCH(Table4[[#This Row],[Congress Acting]],Table1[Congress],0))</f>
        <v>0</v>
      </c>
    </row>
    <row r="638" spans="1:12" ht="189">
      <c r="A638" s="9" t="s">
        <v>860</v>
      </c>
      <c r="B638" t="s">
        <v>3350</v>
      </c>
      <c r="C638" s="9" t="s">
        <v>3351</v>
      </c>
      <c r="D638" s="13" t="s">
        <v>4118</v>
      </c>
      <c r="E638" s="9" t="s">
        <v>3352</v>
      </c>
      <c r="F638"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38" s="9" t="s">
        <v>1101</v>
      </c>
      <c r="H638" s="9" t="s">
        <v>3353</v>
      </c>
      <c r="I638" s="12" t="str">
        <f>RIGHT(LEFT(Table4[[#This Row],[Latest Senate Action]],FIND(" Congress",Table4[[#This Row],[Latest Senate Action]])-1),LEN(LEFT(Table4[[#This Row],[Latest Senate Action]],FIND(" Congress",Table4[[#This Row],[Latest Senate Action]])-1))-FIND("-",Table4[[#This Row],[Latest Senate Action]])-1)</f>
        <v>94th</v>
      </c>
      <c r="J638" s="12" t="str">
        <f>RIGHT(Table4[[#This Row],[Latest Senate Action]],LEN(Table4[[#This Row],[Latest Senate Action]])-FIND(") - ",Table4[[#This Row],[Latest Senate Action]])-3)</f>
        <v xml:space="preserve">Resolution of advice and consent to ratification agreed to in Senate by Yea-Nay vote. 63-15. Record Vote No: 475 EX. (All Actions) </v>
      </c>
      <c r="K638" s="12" t="str">
        <f>INDEX(Table5[type],MATCH(Table4[[#This Row],[Action]],Table5[Action],0))</f>
        <v>Passed</v>
      </c>
      <c r="L638" s="22" t="b">
        <f>INDEX(Table1[Senate and President Same Party, House and President Different Party],MATCH(Table4[[#This Row],[Congress Acting]],Table1[Congress],0))</f>
        <v>0</v>
      </c>
    </row>
    <row r="639" spans="1:12" ht="141.75">
      <c r="A639" s="9" t="s">
        <v>861</v>
      </c>
      <c r="B639" t="s">
        <v>3354</v>
      </c>
      <c r="C639" s="9" t="s">
        <v>3355</v>
      </c>
      <c r="D639" s="13" t="s">
        <v>4119</v>
      </c>
      <c r="E639" s="9" t="s">
        <v>3356</v>
      </c>
      <c r="F639"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39" s="9" t="s">
        <v>1052</v>
      </c>
      <c r="H639" s="9" t="s">
        <v>3357</v>
      </c>
      <c r="I639" s="12" t="str">
        <f>RIGHT(LEFT(Table4[[#This Row],[Latest Senate Action]],FIND(" Congress",Table4[[#This Row],[Latest Senate Action]])-1),LEN(LEFT(Table4[[#This Row],[Latest Senate Action]],FIND(" Congress",Table4[[#This Row],[Latest Senate Action]])-1))-FIND("-",Table4[[#This Row],[Latest Senate Action]])-1)</f>
        <v>94th</v>
      </c>
      <c r="J639" s="12" t="str">
        <f>RIGHT(Table4[[#This Row],[Latest Senate Action]],LEN(Table4[[#This Row],[Latest Senate Action]])-FIND(") - ",Table4[[#This Row],[Latest Senate Action]])-3)</f>
        <v xml:space="preserve">General debate; approved by 94-0 vote. Record Vote Number 456. (All Actions) </v>
      </c>
      <c r="K639" s="12" t="str">
        <f>INDEX(Table5[type],MATCH(Table4[[#This Row],[Action]],Table5[Action],0))</f>
        <v>Passed</v>
      </c>
      <c r="L639" s="22" t="b">
        <f>INDEX(Table1[Senate and President Same Party, House and President Different Party],MATCH(Table4[[#This Row],[Congress Acting]],Table1[Congress],0))</f>
        <v>0</v>
      </c>
    </row>
    <row r="640" spans="1:12" ht="126">
      <c r="A640" s="9" t="s">
        <v>862</v>
      </c>
      <c r="B640" t="s">
        <v>3358</v>
      </c>
      <c r="C640" s="9" t="s">
        <v>3359</v>
      </c>
      <c r="D640" s="13" t="s">
        <v>4120</v>
      </c>
      <c r="E640" s="9" t="s">
        <v>3328</v>
      </c>
      <c r="F640"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40" s="9" t="s">
        <v>1052</v>
      </c>
      <c r="H640" s="9" t="s">
        <v>3360</v>
      </c>
      <c r="I640" s="12" t="str">
        <f>RIGHT(LEFT(Table4[[#This Row],[Latest Senate Action]],FIND(" Congress",Table4[[#This Row],[Latest Senate Action]])-1),LEN(LEFT(Table4[[#This Row],[Latest Senate Action]],FIND(" Congress",Table4[[#This Row],[Latest Senate Action]])-1))-FIND("-",Table4[[#This Row],[Latest Senate Action]])-1)</f>
        <v>94th</v>
      </c>
      <c r="J640" s="12" t="str">
        <f>RIGHT(Table4[[#This Row],[Latest Senate Action]],LEN(Table4[[#This Row],[Latest Senate Action]])-FIND(") - ",Table4[[#This Row],[Latest Senate Action]])-3)</f>
        <v xml:space="preserve">General debate; approved by 94-0 vote. Record Vote Number: 457. (All Actions) </v>
      </c>
      <c r="K640" s="12" t="str">
        <f>INDEX(Table5[type],MATCH(Table4[[#This Row],[Action]],Table5[Action],0))</f>
        <v>Passed</v>
      </c>
      <c r="L640" s="22" t="b">
        <f>INDEX(Table1[Senate and President Same Party, House and President Different Party],MATCH(Table4[[#This Row],[Congress Acting]],Table1[Congress],0))</f>
        <v>0</v>
      </c>
    </row>
    <row r="641" spans="1:12" ht="173.25">
      <c r="A641" s="9" t="s">
        <v>863</v>
      </c>
      <c r="B641" t="s">
        <v>3361</v>
      </c>
      <c r="C641" s="9" t="s">
        <v>3362</v>
      </c>
      <c r="D641" s="13" t="s">
        <v>4121</v>
      </c>
      <c r="E641" s="9" t="s">
        <v>3363</v>
      </c>
      <c r="F641" t="str">
        <f>RIGHT(LEFT(Table4[[#This Row],[Date Received from President]],FIND(" Congress",Table4[[#This Row],[Date Received from President]])-1),LEN(LEFT(Table4[[#This Row],[Date Received from President]],FIND(" Congress",Table4[[#This Row],[Date Received from President]])-1))-FIND("-",Table4[[#This Row],[Date Received from President]])-1)</f>
        <v>94th</v>
      </c>
      <c r="G641" s="9" t="s">
        <v>1200</v>
      </c>
      <c r="H641" s="9" t="s">
        <v>3364</v>
      </c>
      <c r="I641" s="12" t="str">
        <f>RIGHT(LEFT(Table4[[#This Row],[Latest Senate Action]],FIND(" Congress",Table4[[#This Row],[Latest Senate Action]])-1),LEN(LEFT(Table4[[#This Row],[Latest Senate Action]],FIND(" Congress",Table4[[#This Row],[Latest Senate Action]])-1))-FIND("-",Table4[[#This Row],[Latest Senate Action]])-1)</f>
        <v>94th</v>
      </c>
      <c r="J641" s="12" t="str">
        <f>RIGHT(Table4[[#This Row],[Latest Senate Action]],LEN(Table4[[#This Row],[Latest Senate Action]])-FIND(") - ",Table4[[#This Row],[Latest Senate Action]])-3)</f>
        <v xml:space="preserve">General debate; approved by 94-0 vote. Record Vote Number 458. (All Actions) </v>
      </c>
      <c r="K641" s="12" t="str">
        <f>INDEX(Table5[type],MATCH(Table4[[#This Row],[Action]],Table5[Action],0))</f>
        <v>Passed</v>
      </c>
      <c r="L641" s="22" t="b">
        <f>INDEX(Table1[Senate and President Same Party, House and President Different Party],MATCH(Table4[[#This Row],[Congress Acting]],Table1[Congress],0))</f>
        <v>0</v>
      </c>
    </row>
    <row r="642" spans="1:12" ht="173.25">
      <c r="A642" s="9" t="s">
        <v>864</v>
      </c>
      <c r="B642" t="s">
        <v>3365</v>
      </c>
      <c r="C642" s="9" t="s">
        <v>3366</v>
      </c>
      <c r="D642" s="13" t="s">
        <v>4122</v>
      </c>
      <c r="E642" s="9" t="s">
        <v>3367</v>
      </c>
      <c r="F642"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42" s="9" t="s">
        <v>1200</v>
      </c>
      <c r="H642" s="9" t="s">
        <v>3368</v>
      </c>
      <c r="I642" s="12" t="str">
        <f>RIGHT(LEFT(Table4[[#This Row],[Latest Senate Action]],FIND(" Congress",Table4[[#This Row],[Latest Senate Action]])-1),LEN(LEFT(Table4[[#This Row],[Latest Senate Action]],FIND(" Congress",Table4[[#This Row],[Latest Senate Action]])-1))-FIND("-",Table4[[#This Row],[Latest Senate Action]])-1)</f>
        <v>94th</v>
      </c>
      <c r="J642" s="12" t="str">
        <f>RIGHT(Table4[[#This Row],[Latest Senate Action]],LEN(Table4[[#This Row],[Latest Senate Action]])-FIND(") - ",Table4[[#This Row],[Latest Senate Action]])-3)</f>
        <v xml:space="preserve">Resolution of advice and consent to ratification agreed to in Senate by Yea-Nay vote. 94-0. Record Vote No: 453 EX. (All Actions) </v>
      </c>
      <c r="K642" s="12" t="str">
        <f>INDEX(Table5[type],MATCH(Table4[[#This Row],[Action]],Table5[Action],0))</f>
        <v>Passed</v>
      </c>
      <c r="L642" s="22" t="b">
        <f>INDEX(Table1[Senate and President Same Party, House and President Different Party],MATCH(Table4[[#This Row],[Congress Acting]],Table1[Congress],0))</f>
        <v>0</v>
      </c>
    </row>
    <row r="643" spans="1:12" ht="173.25">
      <c r="A643" s="9" t="s">
        <v>865</v>
      </c>
      <c r="B643" t="s">
        <v>3369</v>
      </c>
      <c r="C643" s="9" t="s">
        <v>3370</v>
      </c>
      <c r="D643" s="13" t="s">
        <v>4123</v>
      </c>
      <c r="E643" s="9" t="s">
        <v>3371</v>
      </c>
      <c r="F643"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43" s="9" t="s">
        <v>1200</v>
      </c>
      <c r="H643" s="9" t="s">
        <v>3372</v>
      </c>
      <c r="I643" s="12" t="str">
        <f>RIGHT(LEFT(Table4[[#This Row],[Latest Senate Action]],FIND(" Congress",Table4[[#This Row],[Latest Senate Action]])-1),LEN(LEFT(Table4[[#This Row],[Latest Senate Action]],FIND(" Congress",Table4[[#This Row],[Latest Senate Action]])-1))-FIND("-",Table4[[#This Row],[Latest Senate Action]])-1)</f>
        <v>94th</v>
      </c>
      <c r="J643" s="12" t="str">
        <f>RIGHT(Table4[[#This Row],[Latest Senate Action]],LEN(Table4[[#This Row],[Latest Senate Action]])-FIND(") - ",Table4[[#This Row],[Latest Senate Action]])-3)</f>
        <v xml:space="preserve">Resolution of advice and consent to ratification agreed to in Senate by Yea-Nay vote. 94-0. Record Vote No: 454 EX. (All Actions) </v>
      </c>
      <c r="K643" s="12" t="str">
        <f>INDEX(Table5[type],MATCH(Table4[[#This Row],[Action]],Table5[Action],0))</f>
        <v>Passed</v>
      </c>
      <c r="L643" s="22" t="b">
        <f>INDEX(Table1[Senate and President Same Party, House and President Different Party],MATCH(Table4[[#This Row],[Congress Acting]],Table1[Congress],0))</f>
        <v>0</v>
      </c>
    </row>
    <row r="644" spans="1:12" ht="173.25">
      <c r="A644" s="9" t="s">
        <v>866</v>
      </c>
      <c r="B644" t="s">
        <v>3373</v>
      </c>
      <c r="C644" s="9" t="s">
        <v>3374</v>
      </c>
      <c r="D644" s="13" t="s">
        <v>4124</v>
      </c>
      <c r="E644" s="9" t="s">
        <v>4261</v>
      </c>
      <c r="F644"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44" s="9" t="s">
        <v>3375</v>
      </c>
      <c r="I644" s="12" t="str">
        <f>RIGHT(LEFT(Table4[[#This Row],[Latest Senate Action]],FIND(" Congress",Table4[[#This Row],[Latest Senate Action]])-1),LEN(LEFT(Table4[[#This Row],[Latest Senate Action]],FIND(" Congress",Table4[[#This Row],[Latest Senate Action]])-1))-FIND("-",Table4[[#This Row],[Latest Senate Action]])-1)</f>
        <v>94th</v>
      </c>
      <c r="J644" s="12" t="str">
        <f>RIGHT(Table4[[#This Row],[Latest Senate Action]],LEN(Table4[[#This Row],[Latest Senate Action]])-FIND(") - ",Table4[[#This Row],[Latest Senate Action]])-3)</f>
        <v xml:space="preserve">Resolution of advice and consent to ratification agreed to in Senate by Yea-Nay vote. 94-0. Record Vote No: 455 EX. (All Actions) </v>
      </c>
      <c r="K644" s="12" t="str">
        <f>INDEX(Table5[type],MATCH(Table4[[#This Row],[Action]],Table5[Action],0))</f>
        <v>Passed</v>
      </c>
      <c r="L644" s="22" t="b">
        <f>INDEX(Table1[Senate and President Same Party, House and President Different Party],MATCH(Table4[[#This Row],[Congress Acting]],Table1[Congress],0))</f>
        <v>0</v>
      </c>
    </row>
    <row r="645" spans="1:12" ht="157.5">
      <c r="A645" s="9" t="s">
        <v>867</v>
      </c>
      <c r="B645" t="s">
        <v>3376</v>
      </c>
      <c r="C645" s="9" t="s">
        <v>3377</v>
      </c>
      <c r="D645" s="13" t="s">
        <v>4125</v>
      </c>
      <c r="E645" s="9" t="s">
        <v>4262</v>
      </c>
      <c r="F645"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45" s="9" t="s">
        <v>3378</v>
      </c>
      <c r="I645" s="12" t="str">
        <f>RIGHT(LEFT(Table4[[#This Row],[Latest Senate Action]],FIND(" Congress",Table4[[#This Row],[Latest Senate Action]])-1),LEN(LEFT(Table4[[#This Row],[Latest Senate Action]],FIND(" Congress",Table4[[#This Row],[Latest Senate Action]])-1))-FIND("-",Table4[[#This Row],[Latest Senate Action]])-1)</f>
        <v>94th</v>
      </c>
      <c r="J645" s="12" t="str">
        <f>RIGHT(Table4[[#This Row],[Latest Senate Action]],LEN(Table4[[#This Row],[Latest Senate Action]])-FIND(") - ",Table4[[#This Row],[Latest Senate Action]])-3)</f>
        <v xml:space="preserve">Resolution of advice and consent to ratification agreed to in Senate by Yea-Nay vote. 82-0. Record Vote No: 162 EX. (All Actions) </v>
      </c>
      <c r="K645" s="12" t="str">
        <f>INDEX(Table5[type],MATCH(Table4[[#This Row],[Action]],Table5[Action],0))</f>
        <v>Passed</v>
      </c>
      <c r="L645" s="22" t="b">
        <f>INDEX(Table1[Senate and President Same Party, House and President Different Party],MATCH(Table4[[#This Row],[Congress Acting]],Table1[Congress],0))</f>
        <v>0</v>
      </c>
    </row>
    <row r="646" spans="1:12" ht="204.75">
      <c r="A646" s="9" t="s">
        <v>868</v>
      </c>
      <c r="B646" t="s">
        <v>3379</v>
      </c>
      <c r="C646" s="9" t="s">
        <v>3380</v>
      </c>
      <c r="D646" s="13" t="s">
        <v>4126</v>
      </c>
      <c r="E646" s="9" t="s">
        <v>3381</v>
      </c>
      <c r="F646"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646" s="9" t="s">
        <v>1101</v>
      </c>
      <c r="H646" s="9" t="s">
        <v>3382</v>
      </c>
      <c r="I646" s="12" t="str">
        <f>RIGHT(LEFT(Table4[[#This Row],[Latest Senate Action]],FIND(" Congress",Table4[[#This Row],[Latest Senate Action]])-1),LEN(LEFT(Table4[[#This Row],[Latest Senate Action]],FIND(" Congress",Table4[[#This Row],[Latest Senate Action]])-1))-FIND("-",Table4[[#This Row],[Latest Senate Action]])-1)</f>
        <v>93rd</v>
      </c>
      <c r="J646" s="12" t="str">
        <f>RIGHT(Table4[[#This Row],[Latest Senate Action]],LEN(Table4[[#This Row],[Latest Senate Action]])-FIND(") - ",Table4[[#This Row],[Latest Senate Action]])-3)</f>
        <v xml:space="preserve">Resolution of advice and consent to ratification agreed to in Senate by Yea-Nay vote. 90-0. Record Vote No: 552 EX. (All Actions) </v>
      </c>
      <c r="K646" s="12" t="str">
        <f>INDEX(Table5[type],MATCH(Table4[[#This Row],[Action]],Table5[Action],0))</f>
        <v>Passed</v>
      </c>
      <c r="L646" s="22" t="b">
        <f>INDEX(Table1[Senate and President Same Party, House and President Different Party],MATCH(Table4[[#This Row],[Congress Acting]],Table1[Congress],0))</f>
        <v>0</v>
      </c>
    </row>
    <row r="647" spans="1:12" ht="189">
      <c r="A647" s="9" t="s">
        <v>869</v>
      </c>
      <c r="B647" t="s">
        <v>3383</v>
      </c>
      <c r="C647" s="9" t="s">
        <v>3384</v>
      </c>
      <c r="D647" s="13" t="s">
        <v>4127</v>
      </c>
      <c r="E647" s="9" t="s">
        <v>3385</v>
      </c>
      <c r="F647"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47" s="9" t="s">
        <v>1200</v>
      </c>
      <c r="H647" s="9" t="s">
        <v>3386</v>
      </c>
      <c r="I647" s="12" t="str">
        <f>RIGHT(LEFT(Table4[[#This Row],[Latest Senate Action]],FIND(" Congress",Table4[[#This Row],[Latest Senate Action]])-1),LEN(LEFT(Table4[[#This Row],[Latest Senate Action]],FIND(" Congress",Table4[[#This Row],[Latest Senate Action]])-1))-FIND("-",Table4[[#This Row],[Latest Senate Action]])-1)</f>
        <v>93rd</v>
      </c>
      <c r="J647" s="12" t="str">
        <f>RIGHT(Table4[[#This Row],[Latest Senate Action]],LEN(Table4[[#This Row],[Latest Senate Action]])-FIND(") - ",Table4[[#This Row],[Latest Senate Action]])-3)</f>
        <v xml:space="preserve">Resolution of advice and consent to ratification agreed to in Senate by Yea-Nay vote. 90-0. Record Vote No: 554 EX. (All Actions) </v>
      </c>
      <c r="K647" s="12" t="str">
        <f>INDEX(Table5[type],MATCH(Table4[[#This Row],[Action]],Table5[Action],0))</f>
        <v>Passed</v>
      </c>
      <c r="L647" s="22" t="b">
        <f>INDEX(Table1[Senate and President Same Party, House and President Different Party],MATCH(Table4[[#This Row],[Congress Acting]],Table1[Congress],0))</f>
        <v>0</v>
      </c>
    </row>
    <row r="648" spans="1:12" ht="157.5">
      <c r="A648" s="9" t="s">
        <v>870</v>
      </c>
      <c r="B648" t="s">
        <v>3387</v>
      </c>
      <c r="C648" s="9" t="s">
        <v>3388</v>
      </c>
      <c r="D648" s="13" t="s">
        <v>4128</v>
      </c>
      <c r="E648" s="9" t="s">
        <v>4263</v>
      </c>
      <c r="F648"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48" s="9" t="s">
        <v>3389</v>
      </c>
      <c r="I648" s="12" t="str">
        <f>RIGHT(LEFT(Table4[[#This Row],[Latest Senate Action]],FIND(" Congress",Table4[[#This Row],[Latest Senate Action]])-1),LEN(LEFT(Table4[[#This Row],[Latest Senate Action]],FIND(" Congress",Table4[[#This Row],[Latest Senate Action]])-1))-FIND("-",Table4[[#This Row],[Latest Senate Action]])-1)</f>
        <v>93rd</v>
      </c>
      <c r="J648" s="12" t="str">
        <f>RIGHT(Table4[[#This Row],[Latest Senate Action]],LEN(Table4[[#This Row],[Latest Senate Action]])-FIND(") - ",Table4[[#This Row],[Latest Senate Action]])-3)</f>
        <v xml:space="preserve">Resolution of advice and consent to ratification agreed to in Senate by Yea-Nay vote. 90-0. Record Vote No: 553 EX. (All Actions) </v>
      </c>
      <c r="K648" s="12" t="str">
        <f>INDEX(Table5[type],MATCH(Table4[[#This Row],[Action]],Table5[Action],0))</f>
        <v>Passed</v>
      </c>
      <c r="L648" s="22" t="b">
        <f>INDEX(Table1[Senate and President Same Party, House and President Different Party],MATCH(Table4[[#This Row],[Congress Acting]],Table1[Congress],0))</f>
        <v>0</v>
      </c>
    </row>
    <row r="649" spans="1:12" ht="157.5">
      <c r="A649" s="9" t="s">
        <v>871</v>
      </c>
      <c r="B649" t="s">
        <v>3390</v>
      </c>
      <c r="C649" s="9" t="s">
        <v>3391</v>
      </c>
      <c r="D649" s="13" t="s">
        <v>4129</v>
      </c>
      <c r="E649" s="9" t="s">
        <v>3336</v>
      </c>
      <c r="F64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49" s="9" t="s">
        <v>1766</v>
      </c>
      <c r="H649" s="9" t="s">
        <v>3392</v>
      </c>
      <c r="I649" s="12" t="str">
        <f>RIGHT(LEFT(Table4[[#This Row],[Latest Senate Action]],FIND(" Congress",Table4[[#This Row],[Latest Senate Action]])-1),LEN(LEFT(Table4[[#This Row],[Latest Senate Action]],FIND(" Congress",Table4[[#This Row],[Latest Senate Action]])-1))-FIND("-",Table4[[#This Row],[Latest Senate Action]])-1)</f>
        <v>93rd</v>
      </c>
      <c r="J649" s="12" t="str">
        <f>RIGHT(Table4[[#This Row],[Latest Senate Action]],LEN(Table4[[#This Row],[Latest Senate Action]])-FIND(") - ",Table4[[#This Row],[Latest Senate Action]])-3)</f>
        <v xml:space="preserve">Resolution of advice and consent to ratification agreed to in Senate by Yea-Nay vote. 90-0. Record Vote No: 555 EX. (All Actions) </v>
      </c>
      <c r="K649" s="12" t="str">
        <f>INDEX(Table5[type],MATCH(Table4[[#This Row],[Action]],Table5[Action],0))</f>
        <v>Passed</v>
      </c>
      <c r="L649" s="22" t="b">
        <f>INDEX(Table1[Senate and President Same Party, House and President Different Party],MATCH(Table4[[#This Row],[Congress Acting]],Table1[Congress],0))</f>
        <v>0</v>
      </c>
    </row>
    <row r="650" spans="1:12" ht="157.5">
      <c r="A650" s="9" t="s">
        <v>872</v>
      </c>
      <c r="B650" t="s">
        <v>3393</v>
      </c>
      <c r="C650" s="9" t="s">
        <v>3394</v>
      </c>
      <c r="D650" s="13" t="s">
        <v>4130</v>
      </c>
      <c r="E650" s="9" t="s">
        <v>3395</v>
      </c>
      <c r="F650"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50" s="9" t="s">
        <v>1766</v>
      </c>
      <c r="H650" s="9" t="s">
        <v>3396</v>
      </c>
      <c r="I650" s="12" t="str">
        <f>RIGHT(LEFT(Table4[[#This Row],[Latest Senate Action]],FIND(" Congress",Table4[[#This Row],[Latest Senate Action]])-1),LEN(LEFT(Table4[[#This Row],[Latest Senate Action]],FIND(" Congress",Table4[[#This Row],[Latest Senate Action]])-1))-FIND("-",Table4[[#This Row],[Latest Senate Action]])-1)</f>
        <v>93rd</v>
      </c>
      <c r="J650" s="12" t="str">
        <f>RIGHT(Table4[[#This Row],[Latest Senate Action]],LEN(Table4[[#This Row],[Latest Senate Action]])-FIND(") - ",Table4[[#This Row],[Latest Senate Action]])-3)</f>
        <v xml:space="preserve">Resolution of advice and consent to ratification agreed to in Senate by Yea-Nay vote. 78-0. Record Vote No: 427 EX. (All Actions) </v>
      </c>
      <c r="K650" s="12" t="str">
        <f>INDEX(Table5[type],MATCH(Table4[[#This Row],[Action]],Table5[Action],0))</f>
        <v>Passed</v>
      </c>
      <c r="L650" s="22" t="b">
        <f>INDEX(Table1[Senate and President Same Party, House and President Different Party],MATCH(Table4[[#This Row],[Congress Acting]],Table1[Congress],0))</f>
        <v>0</v>
      </c>
    </row>
    <row r="651" spans="1:12" ht="173.25">
      <c r="A651" s="9" t="s">
        <v>873</v>
      </c>
      <c r="B651" t="s">
        <v>3397</v>
      </c>
      <c r="C651" s="9" t="s">
        <v>3398</v>
      </c>
      <c r="D651" s="13" t="s">
        <v>4131</v>
      </c>
      <c r="E651" s="9" t="s">
        <v>3367</v>
      </c>
      <c r="F651"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51" s="9" t="s">
        <v>3399</v>
      </c>
      <c r="I651" s="12" t="str">
        <f>RIGHT(LEFT(Table4[[#This Row],[Latest Senate Action]],FIND(" Congress",Table4[[#This Row],[Latest Senate Action]])-1),LEN(LEFT(Table4[[#This Row],[Latest Senate Action]],FIND(" Congress",Table4[[#This Row],[Latest Senate Action]])-1))-FIND("-",Table4[[#This Row],[Latest Senate Action]])-1)</f>
        <v>93rd</v>
      </c>
      <c r="J651" s="12" t="str">
        <f>RIGHT(Table4[[#This Row],[Latest Senate Action]],LEN(Table4[[#This Row],[Latest Senate Action]])-FIND(") - ",Table4[[#This Row],[Latest Senate Action]])-3)</f>
        <v xml:space="preserve">Resolution of advice and consent to ratification agreed to in Senate by Yea-Nay vote. 65-0. Record Vote No: 361 EX. (All Actions) </v>
      </c>
      <c r="K651" s="12" t="str">
        <f>INDEX(Table5[type],MATCH(Table4[[#This Row],[Action]],Table5[Action],0))</f>
        <v>Passed</v>
      </c>
      <c r="L651" s="22" t="b">
        <f>INDEX(Table1[Senate and President Same Party, House and President Different Party],MATCH(Table4[[#This Row],[Congress Acting]],Table1[Congress],0))</f>
        <v>0</v>
      </c>
    </row>
    <row r="652" spans="1:12" ht="173.25">
      <c r="A652" s="9" t="s">
        <v>874</v>
      </c>
      <c r="B652" t="s">
        <v>3400</v>
      </c>
      <c r="C652" s="9" t="s">
        <v>3401</v>
      </c>
      <c r="D652" s="13" t="s">
        <v>4132</v>
      </c>
      <c r="E652" s="9" t="s">
        <v>3402</v>
      </c>
      <c r="F652"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52" s="9" t="s">
        <v>1052</v>
      </c>
      <c r="H652" s="9" t="s">
        <v>3403</v>
      </c>
      <c r="I652" s="12" t="str">
        <f>RIGHT(LEFT(Table4[[#This Row],[Latest Senate Action]],FIND(" Congress",Table4[[#This Row],[Latest Senate Action]])-1),LEN(LEFT(Table4[[#This Row],[Latest Senate Action]],FIND(" Congress",Table4[[#This Row],[Latest Senate Action]])-1))-FIND("-",Table4[[#This Row],[Latest Senate Action]])-1)</f>
        <v>93rd</v>
      </c>
      <c r="J652" s="12" t="str">
        <f>RIGHT(Table4[[#This Row],[Latest Senate Action]],LEN(Table4[[#This Row],[Latest Senate Action]])-FIND(") - ",Table4[[#This Row],[Latest Senate Action]])-3)</f>
        <v xml:space="preserve">Resolution of advice and consent to ratification agreed to in Senate by Yea-Nay vote. 75-0. Record Vote No: 217 EX. (All Actions) </v>
      </c>
      <c r="K652" s="12" t="str">
        <f>INDEX(Table5[type],MATCH(Table4[[#This Row],[Action]],Table5[Action],0))</f>
        <v>Passed</v>
      </c>
      <c r="L652" s="22" t="b">
        <f>INDEX(Table1[Senate and President Same Party, House and President Different Party],MATCH(Table4[[#This Row],[Congress Acting]],Table1[Congress],0))</f>
        <v>0</v>
      </c>
    </row>
    <row r="653" spans="1:12" ht="141.75">
      <c r="A653" s="9" t="s">
        <v>875</v>
      </c>
      <c r="B653" t="s">
        <v>3404</v>
      </c>
      <c r="C653" s="9" t="s">
        <v>3405</v>
      </c>
      <c r="D653" s="13" t="s">
        <v>4133</v>
      </c>
      <c r="E653" s="9" t="s">
        <v>3406</v>
      </c>
      <c r="F653"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53" s="9" t="s">
        <v>1038</v>
      </c>
      <c r="H653" s="9" t="s">
        <v>3407</v>
      </c>
      <c r="I653" s="12" t="str">
        <f>RIGHT(LEFT(Table4[[#This Row],[Latest Senate Action]],FIND(" Congress",Table4[[#This Row],[Latest Senate Action]])-1),LEN(LEFT(Table4[[#This Row],[Latest Senate Action]],FIND(" Congress",Table4[[#This Row],[Latest Senate Action]])-1))-FIND("-",Table4[[#This Row],[Latest Senate Action]])-1)</f>
        <v>93rd</v>
      </c>
      <c r="J653" s="12" t="str">
        <f>RIGHT(Table4[[#This Row],[Latest Senate Action]],LEN(Table4[[#This Row],[Latest Senate Action]])-FIND(") - ",Table4[[#This Row],[Latest Senate Action]])-3)</f>
        <v xml:space="preserve">Committee on Foreign Relations. Committee consideration held. (All Actions) </v>
      </c>
      <c r="K653" s="12" t="str">
        <f>INDEX(Table5[type],MATCH(Table4[[#This Row],[Action]],Table5[Action],0))</f>
        <v>In Process</v>
      </c>
      <c r="L653" s="22" t="b">
        <f>INDEX(Table1[Senate and President Same Party, House and President Different Party],MATCH(Table4[[#This Row],[Congress Acting]],Table1[Congress],0))</f>
        <v>0</v>
      </c>
    </row>
    <row r="654" spans="1:12" ht="157.5">
      <c r="A654" s="9" t="s">
        <v>876</v>
      </c>
      <c r="B654" t="s">
        <v>3408</v>
      </c>
      <c r="C654" s="9" t="s">
        <v>3409</v>
      </c>
      <c r="D654" s="13" t="s">
        <v>4134</v>
      </c>
      <c r="E654" s="9" t="s">
        <v>3410</v>
      </c>
      <c r="F654"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54" s="9" t="s">
        <v>1013</v>
      </c>
      <c r="H654" s="9" t="s">
        <v>3411</v>
      </c>
      <c r="I654" s="12" t="str">
        <f>RIGHT(LEFT(Table4[[#This Row],[Latest Senate Action]],FIND(" Congress",Table4[[#This Row],[Latest Senate Action]])-1),LEN(LEFT(Table4[[#This Row],[Latest Senate Action]],FIND(" Congress",Table4[[#This Row],[Latest Senate Action]])-1))-FIND("-",Table4[[#This Row],[Latest Senate Action]])-1)</f>
        <v>93rd</v>
      </c>
      <c r="J654" s="12" t="str">
        <f>RIGHT(Table4[[#This Row],[Latest Senate Action]],LEN(Table4[[#This Row],[Latest Senate Action]])-FIND(") - ",Table4[[#This Row],[Latest Senate Action]])-3)</f>
        <v xml:space="preserve">Resolution of advice and consent to ratification agreed to in Senate by Yea-Nay vote. 63-0. Record Vote No: 92 EX. (All Actions) </v>
      </c>
      <c r="K654" s="12" t="str">
        <f>INDEX(Table5[type],MATCH(Table4[[#This Row],[Action]],Table5[Action],0))</f>
        <v>Passed</v>
      </c>
      <c r="L654" s="22" t="b">
        <f>INDEX(Table1[Senate and President Same Party, House and President Different Party],MATCH(Table4[[#This Row],[Congress Acting]],Table1[Congress],0))</f>
        <v>0</v>
      </c>
    </row>
    <row r="655" spans="1:12" ht="141.75">
      <c r="A655" s="9" t="s">
        <v>877</v>
      </c>
      <c r="B655" t="s">
        <v>3412</v>
      </c>
      <c r="C655" s="9" t="s">
        <v>3413</v>
      </c>
      <c r="D655" s="13" t="s">
        <v>4135</v>
      </c>
      <c r="E655" s="9" t="s">
        <v>4264</v>
      </c>
      <c r="F655"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55" s="9" t="s">
        <v>3414</v>
      </c>
      <c r="I655" s="12" t="str">
        <f>RIGHT(LEFT(Table4[[#This Row],[Latest Senate Action]],FIND(" Congress",Table4[[#This Row],[Latest Senate Action]])-1),LEN(LEFT(Table4[[#This Row],[Latest Senate Action]],FIND(" Congress",Table4[[#This Row],[Latest Senate Action]])-1))-FIND("-",Table4[[#This Row],[Latest Senate Action]])-1)</f>
        <v>93rd</v>
      </c>
      <c r="J655" s="12" t="str">
        <f>RIGHT(Table4[[#This Row],[Latest Senate Action]],LEN(Table4[[#This Row],[Latest Senate Action]])-FIND(") - ",Table4[[#This Row],[Latest Senate Action]])-3)</f>
        <v xml:space="preserve">Resolution of advice and consent to ratification agreed to in Senate by Yea-Nay vote. 82-0. Record Vote No: 2 EX. (All Actions) </v>
      </c>
      <c r="K655" s="12" t="str">
        <f>INDEX(Table5[type],MATCH(Table4[[#This Row],[Action]],Table5[Action],0))</f>
        <v>Passed</v>
      </c>
      <c r="L655" s="22" t="b">
        <f>INDEX(Table1[Senate and President Same Party, House and President Different Party],MATCH(Table4[[#This Row],[Congress Acting]],Table1[Congress],0))</f>
        <v>0</v>
      </c>
    </row>
    <row r="656" spans="1:12" ht="157.5">
      <c r="A656" s="9" t="s">
        <v>878</v>
      </c>
      <c r="B656" t="s">
        <v>3415</v>
      </c>
      <c r="C656" s="9" t="s">
        <v>3416</v>
      </c>
      <c r="D656" s="13" t="s">
        <v>4136</v>
      </c>
      <c r="E656" s="9" t="s">
        <v>4265</v>
      </c>
      <c r="F656"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56" s="9" t="s">
        <v>3417</v>
      </c>
      <c r="I656" s="12" t="str">
        <f>RIGHT(LEFT(Table4[[#This Row],[Latest Senate Action]],FIND(" Congress",Table4[[#This Row],[Latest Senate Action]])-1),LEN(LEFT(Table4[[#This Row],[Latest Senate Action]],FIND(" Congress",Table4[[#This Row],[Latest Senate Action]])-1))-FIND("-",Table4[[#This Row],[Latest Senate Action]])-1)</f>
        <v>93rd</v>
      </c>
      <c r="J656" s="12" t="str">
        <f>RIGHT(Table4[[#This Row],[Latest Senate Action]],LEN(Table4[[#This Row],[Latest Senate Action]])-FIND(") - ",Table4[[#This Row],[Latest Senate Action]])-3)</f>
        <v xml:space="preserve">Resolution of advice and consent to ratification agreed to in Senate by Yea-Nay vote. 76-0. Record Vote No: 495 EX. (All Actions) </v>
      </c>
      <c r="K656" s="12" t="str">
        <f>INDEX(Table5[type],MATCH(Table4[[#This Row],[Action]],Table5[Action],0))</f>
        <v>Passed</v>
      </c>
      <c r="L656" s="22" t="b">
        <f>INDEX(Table1[Senate and President Same Party, House and President Different Party],MATCH(Table4[[#This Row],[Congress Acting]],Table1[Congress],0))</f>
        <v>0</v>
      </c>
    </row>
    <row r="657" spans="1:12" ht="157.5">
      <c r="A657" s="9" t="s">
        <v>879</v>
      </c>
      <c r="B657" t="s">
        <v>3418</v>
      </c>
      <c r="C657" s="9" t="s">
        <v>3419</v>
      </c>
      <c r="D657" s="13" t="s">
        <v>4137</v>
      </c>
      <c r="E657" s="9" t="s">
        <v>3420</v>
      </c>
      <c r="F657"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57" s="9" t="s">
        <v>1456</v>
      </c>
      <c r="H657" s="9" t="s">
        <v>3421</v>
      </c>
      <c r="I657" s="12" t="str">
        <f>RIGHT(LEFT(Table4[[#This Row],[Latest Senate Action]],FIND(" Congress",Table4[[#This Row],[Latest Senate Action]])-1),LEN(LEFT(Table4[[#This Row],[Latest Senate Action]],FIND(" Congress",Table4[[#This Row],[Latest Senate Action]])-1))-FIND("-",Table4[[#This Row],[Latest Senate Action]])-1)</f>
        <v>93rd</v>
      </c>
      <c r="J657" s="12" t="str">
        <f>RIGHT(Table4[[#This Row],[Latest Senate Action]],LEN(Table4[[#This Row],[Latest Senate Action]])-FIND(") - ",Table4[[#This Row],[Latest Senate Action]])-3)</f>
        <v xml:space="preserve">Resolution of advice and consent to ratification agreed to in Senate by Yea-Nay vote. 76-0. Record Vote No: 496 EX. (All Actions) </v>
      </c>
      <c r="K657" s="12" t="str">
        <f>INDEX(Table5[type],MATCH(Table4[[#This Row],[Action]],Table5[Action],0))</f>
        <v>Passed</v>
      </c>
      <c r="L657" s="22" t="b">
        <f>INDEX(Table1[Senate and President Same Party, House and President Different Party],MATCH(Table4[[#This Row],[Congress Acting]],Table1[Congress],0))</f>
        <v>0</v>
      </c>
    </row>
    <row r="658" spans="1:12" ht="141.75">
      <c r="A658" s="9" t="s">
        <v>880</v>
      </c>
      <c r="B658" t="s">
        <v>3422</v>
      </c>
      <c r="C658" s="9" t="s">
        <v>3423</v>
      </c>
      <c r="D658" s="13" t="s">
        <v>4138</v>
      </c>
      <c r="E658" s="9" t="s">
        <v>3424</v>
      </c>
      <c r="F658"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58" s="9" t="s">
        <v>1052</v>
      </c>
      <c r="H658" s="9" t="s">
        <v>3425</v>
      </c>
      <c r="I658" s="12" t="str">
        <f>RIGHT(LEFT(Table4[[#This Row],[Latest Senate Action]],FIND(" Congress",Table4[[#This Row],[Latest Senate Action]])-1),LEN(LEFT(Table4[[#This Row],[Latest Senate Action]],FIND(" Congress",Table4[[#This Row],[Latest Senate Action]])-1))-FIND("-",Table4[[#This Row],[Latest Senate Action]])-1)</f>
        <v>93rd</v>
      </c>
      <c r="J658" s="12" t="str">
        <f>RIGHT(Table4[[#This Row],[Latest Senate Action]],LEN(Table4[[#This Row],[Latest Senate Action]])-FIND(") - ",Table4[[#This Row],[Latest Senate Action]])-3)</f>
        <v xml:space="preserve">Approved by 95-0 vote (No. 456 Ex.). (All Actions) </v>
      </c>
      <c r="K658" s="12" t="str">
        <f>INDEX(Table5[type],MATCH(Table4[[#This Row],[Action]],Table5[Action],0))</f>
        <v>Passed</v>
      </c>
      <c r="L658" s="22" t="b">
        <f>INDEX(Table1[Senate and President Same Party, House and President Different Party],MATCH(Table4[[#This Row],[Congress Acting]],Table1[Congress],0))</f>
        <v>0</v>
      </c>
    </row>
    <row r="659" spans="1:12" ht="126">
      <c r="A659" s="9" t="s">
        <v>881</v>
      </c>
      <c r="B659" t="s">
        <v>3426</v>
      </c>
      <c r="C659" s="9" t="s">
        <v>3427</v>
      </c>
      <c r="D659" s="13" t="s">
        <v>4139</v>
      </c>
      <c r="E659" s="9" t="s">
        <v>4266</v>
      </c>
      <c r="F65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59" s="9" t="s">
        <v>3428</v>
      </c>
      <c r="I659" s="12" t="str">
        <f>RIGHT(LEFT(Table4[[#This Row],[Latest Senate Action]],FIND(" Congress",Table4[[#This Row],[Latest Senate Action]])-1),LEN(LEFT(Table4[[#This Row],[Latest Senate Action]],FIND(" Congress",Table4[[#This Row],[Latest Senate Action]])-1))-FIND("-",Table4[[#This Row],[Latest Senate Action]])-1)</f>
        <v>93rd</v>
      </c>
      <c r="J659" s="12" t="str">
        <f>RIGHT(Table4[[#This Row],[Latest Senate Action]],LEN(Table4[[#This Row],[Latest Senate Action]])-FIND(") - ",Table4[[#This Row],[Latest Senate Action]])-3)</f>
        <v xml:space="preserve">Approved 95-0 vote (No. 458 Ex.). (All Actions) </v>
      </c>
      <c r="K659" s="12" t="str">
        <f>INDEX(Table5[type],MATCH(Table4[[#This Row],[Action]],Table5[Action],0))</f>
        <v>Passed</v>
      </c>
      <c r="L659" s="22" t="b">
        <f>INDEX(Table1[Senate and President Same Party, House and President Different Party],MATCH(Table4[[#This Row],[Congress Acting]],Table1[Congress],0))</f>
        <v>0</v>
      </c>
    </row>
    <row r="660" spans="1:12" ht="110.25">
      <c r="A660" s="9" t="s">
        <v>882</v>
      </c>
      <c r="B660" t="s">
        <v>3429</v>
      </c>
      <c r="C660" s="9" t="s">
        <v>3430</v>
      </c>
      <c r="D660" s="13" t="s">
        <v>4140</v>
      </c>
      <c r="E660" s="9" t="s">
        <v>3420</v>
      </c>
      <c r="F660"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60" s="9" t="s">
        <v>3431</v>
      </c>
      <c r="I660" s="12" t="str">
        <f>RIGHT(LEFT(Table4[[#This Row],[Latest Senate Action]],FIND(" Congress",Table4[[#This Row],[Latest Senate Action]])-1),LEN(LEFT(Table4[[#This Row],[Latest Senate Action]],FIND(" Congress",Table4[[#This Row],[Latest Senate Action]])-1))-FIND("-",Table4[[#This Row],[Latest Senate Action]])-1)</f>
        <v>93rd</v>
      </c>
      <c r="J660" s="12" t="str">
        <f>RIGHT(Table4[[#This Row],[Latest Senate Action]],LEN(Table4[[#This Row],[Latest Senate Action]])-FIND(") - ",Table4[[#This Row],[Latest Senate Action]])-3)</f>
        <v xml:space="preserve">Approved by 95-0 vote (No. 457 Ex.). (All Actions) </v>
      </c>
      <c r="K660" s="12" t="str">
        <f>INDEX(Table5[type],MATCH(Table4[[#This Row],[Action]],Table5[Action],0))</f>
        <v>Passed</v>
      </c>
      <c r="L660" s="22" t="b">
        <f>INDEX(Table1[Senate and President Same Party, House and President Different Party],MATCH(Table4[[#This Row],[Congress Acting]],Table1[Congress],0))</f>
        <v>0</v>
      </c>
    </row>
    <row r="661" spans="1:12" ht="157.5">
      <c r="A661" s="9" t="s">
        <v>883</v>
      </c>
      <c r="B661" t="s">
        <v>3432</v>
      </c>
      <c r="C661" s="9" t="s">
        <v>3433</v>
      </c>
      <c r="D661" s="13" t="s">
        <v>4141</v>
      </c>
      <c r="E661" s="9" t="s">
        <v>4267</v>
      </c>
      <c r="F661"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61" s="9" t="s">
        <v>3434</v>
      </c>
      <c r="I661" s="12" t="str">
        <f>RIGHT(LEFT(Table4[[#This Row],[Latest Senate Action]],FIND(" Congress",Table4[[#This Row],[Latest Senate Action]])-1),LEN(LEFT(Table4[[#This Row],[Latest Senate Action]],FIND(" Congress",Table4[[#This Row],[Latest Senate Action]])-1))-FIND("-",Table4[[#This Row],[Latest Senate Action]])-1)</f>
        <v>93rd</v>
      </c>
      <c r="J661" s="12" t="str">
        <f>RIGHT(Table4[[#This Row],[Latest Senate Action]],LEN(Table4[[#This Row],[Latest Senate Action]])-FIND(") - ",Table4[[#This Row],[Latest Senate Action]])-3)</f>
        <v xml:space="preserve">Resolution of advice and consent to ratification agreed to in Senate by Yea-Nay vote. 95-0. Record Vote No: 455 EX. (All Actions) </v>
      </c>
      <c r="K661" s="12" t="str">
        <f>INDEX(Table5[type],MATCH(Table4[[#This Row],[Action]],Table5[Action],0))</f>
        <v>Passed</v>
      </c>
      <c r="L661" s="22" t="b">
        <f>INDEX(Table1[Senate and President Same Party, House and President Different Party],MATCH(Table4[[#This Row],[Congress Acting]],Table1[Congress],0))</f>
        <v>0</v>
      </c>
    </row>
    <row r="662" spans="1:12" ht="157.5">
      <c r="A662" s="9" t="s">
        <v>884</v>
      </c>
      <c r="B662" t="s">
        <v>3435</v>
      </c>
      <c r="C662" s="9" t="s">
        <v>3436</v>
      </c>
      <c r="D662" s="13" t="s">
        <v>4142</v>
      </c>
      <c r="E662" s="9" t="s">
        <v>4268</v>
      </c>
      <c r="F662"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62" s="9" t="s">
        <v>3437</v>
      </c>
      <c r="I662" s="12" t="str">
        <f>RIGHT(LEFT(Table4[[#This Row],[Latest Senate Action]],FIND(" Congress",Table4[[#This Row],[Latest Senate Action]])-1),LEN(LEFT(Table4[[#This Row],[Latest Senate Action]],FIND(" Congress",Table4[[#This Row],[Latest Senate Action]])-1))-FIND("-",Table4[[#This Row],[Latest Senate Action]])-1)</f>
        <v>93rd</v>
      </c>
      <c r="J662" s="12" t="str">
        <f>RIGHT(Table4[[#This Row],[Latest Senate Action]],LEN(Table4[[#This Row],[Latest Senate Action]])-FIND(") - ",Table4[[#This Row],[Latest Senate Action]])-3)</f>
        <v xml:space="preserve">Resolution of advice and consent to ratification agreed to in Senate by Yea-Nay vote. 95-0. Record Vote No: 429 EX. (All Actions) </v>
      </c>
      <c r="K662" s="12" t="str">
        <f>INDEX(Table5[type],MATCH(Table4[[#This Row],[Action]],Table5[Action],0))</f>
        <v>Passed</v>
      </c>
      <c r="L662" s="22" t="b">
        <f>INDEX(Table1[Senate and President Same Party, House and President Different Party],MATCH(Table4[[#This Row],[Congress Acting]],Table1[Congress],0))</f>
        <v>0</v>
      </c>
    </row>
    <row r="663" spans="1:12" ht="173.25">
      <c r="A663" s="9" t="s">
        <v>885</v>
      </c>
      <c r="B663" t="s">
        <v>3438</v>
      </c>
      <c r="C663" s="9" t="s">
        <v>3439</v>
      </c>
      <c r="D663" s="13" t="s">
        <v>4143</v>
      </c>
      <c r="E663" s="9" t="s">
        <v>4269</v>
      </c>
      <c r="F663"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63" s="9" t="s">
        <v>3440</v>
      </c>
      <c r="I663" s="12" t="str">
        <f>RIGHT(LEFT(Table4[[#This Row],[Latest Senate Action]],FIND(" Congress",Table4[[#This Row],[Latest Senate Action]])-1),LEN(LEFT(Table4[[#This Row],[Latest Senate Action]],FIND(" Congress",Table4[[#This Row],[Latest Senate Action]])-1))-FIND("-",Table4[[#This Row],[Latest Senate Action]])-1)</f>
        <v>93rd</v>
      </c>
      <c r="J663" s="12" t="str">
        <f>RIGHT(Table4[[#This Row],[Latest Senate Action]],LEN(Table4[[#This Row],[Latest Senate Action]])-FIND(") - ",Table4[[#This Row],[Latest Senate Action]])-3)</f>
        <v xml:space="preserve">Resolution of advice and consent to ratification agreed to in Senate by Yea-Nay vote. 95-0. Record Vote No: 428 EX. (All Actions) </v>
      </c>
      <c r="K663" s="12" t="str">
        <f>INDEX(Table5[type],MATCH(Table4[[#This Row],[Action]],Table5[Action],0))</f>
        <v>Passed</v>
      </c>
      <c r="L663" s="22" t="b">
        <f>INDEX(Table1[Senate and President Same Party, House and President Different Party],MATCH(Table4[[#This Row],[Congress Acting]],Table1[Congress],0))</f>
        <v>0</v>
      </c>
    </row>
    <row r="664" spans="1:12" ht="157.5">
      <c r="A664" s="9" t="s">
        <v>886</v>
      </c>
      <c r="B664" t="s">
        <v>3441</v>
      </c>
      <c r="C664" s="9" t="s">
        <v>3442</v>
      </c>
      <c r="D664" s="13" t="s">
        <v>4144</v>
      </c>
      <c r="E664" s="9" t="s">
        <v>3443</v>
      </c>
      <c r="F664"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64" s="9" t="s">
        <v>1013</v>
      </c>
      <c r="H664" s="9" t="s">
        <v>3444</v>
      </c>
      <c r="I664" s="12" t="str">
        <f>RIGHT(LEFT(Table4[[#This Row],[Latest Senate Action]],FIND(" Congress",Table4[[#This Row],[Latest Senate Action]])-1),LEN(LEFT(Table4[[#This Row],[Latest Senate Action]],FIND(" Congress",Table4[[#This Row],[Latest Senate Action]])-1))-FIND("-",Table4[[#This Row],[Latest Senate Action]])-1)</f>
        <v>93rd</v>
      </c>
      <c r="J664" s="12" t="str">
        <f>RIGHT(Table4[[#This Row],[Latest Senate Action]],LEN(Table4[[#This Row],[Latest Senate Action]])-FIND(") - ",Table4[[#This Row],[Latest Senate Action]])-3)</f>
        <v xml:space="preserve">Resolution of advice and consent to ratification agreed to in Senate by Yea-Nay vote. 95-0. Record Vote No: 432. (All Actions) </v>
      </c>
      <c r="K664" s="12" t="str">
        <f>INDEX(Table5[type],MATCH(Table4[[#This Row],[Action]],Table5[Action],0))</f>
        <v>Passed</v>
      </c>
      <c r="L664" s="22" t="b">
        <f>INDEX(Table1[Senate and President Same Party, House and President Different Party],MATCH(Table4[[#This Row],[Congress Acting]],Table1[Congress],0))</f>
        <v>0</v>
      </c>
    </row>
    <row r="665" spans="1:12" ht="157.5">
      <c r="A665" s="9" t="s">
        <v>887</v>
      </c>
      <c r="B665" t="s">
        <v>3445</v>
      </c>
      <c r="C665" s="9" t="s">
        <v>2818</v>
      </c>
      <c r="D665" s="13" t="s">
        <v>4145</v>
      </c>
      <c r="E665" s="9" t="s">
        <v>3446</v>
      </c>
      <c r="F665"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65" s="9" t="s">
        <v>1013</v>
      </c>
      <c r="H665" s="9" t="s">
        <v>3447</v>
      </c>
      <c r="I665" s="12" t="str">
        <f>RIGHT(LEFT(Table4[[#This Row],[Latest Senate Action]],FIND(" Congress",Table4[[#This Row],[Latest Senate Action]])-1),LEN(LEFT(Table4[[#This Row],[Latest Senate Action]],FIND(" Congress",Table4[[#This Row],[Latest Senate Action]])-1))-FIND("-",Table4[[#This Row],[Latest Senate Action]])-1)</f>
        <v>93rd</v>
      </c>
      <c r="J665" s="12" t="str">
        <f>RIGHT(Table4[[#This Row],[Latest Senate Action]],LEN(Table4[[#This Row],[Latest Senate Action]])-FIND(") - ",Table4[[#This Row],[Latest Senate Action]])-3)</f>
        <v xml:space="preserve">Resolution of advice and consent to ratification agreed to in Senate by Yea-Nay vote. 95-0. Record Vote No: 430 EX. (All Actions) </v>
      </c>
      <c r="K665" s="12" t="str">
        <f>INDEX(Table5[type],MATCH(Table4[[#This Row],[Action]],Table5[Action],0))</f>
        <v>Passed</v>
      </c>
      <c r="L665" s="22" t="b">
        <f>INDEX(Table1[Senate and President Same Party, House and President Different Party],MATCH(Table4[[#This Row],[Congress Acting]],Table1[Congress],0))</f>
        <v>0</v>
      </c>
    </row>
    <row r="666" spans="1:12" ht="141.75">
      <c r="A666" s="9" t="s">
        <v>888</v>
      </c>
      <c r="B666" t="s">
        <v>3448</v>
      </c>
      <c r="C666" s="9" t="s">
        <v>3449</v>
      </c>
      <c r="D666" s="13" t="s">
        <v>4146</v>
      </c>
      <c r="E666" s="9" t="s">
        <v>4264</v>
      </c>
      <c r="F666"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66" s="9" t="s">
        <v>3450</v>
      </c>
      <c r="I666" s="12" t="str">
        <f>RIGHT(LEFT(Table4[[#This Row],[Latest Senate Action]],FIND(" Congress",Table4[[#This Row],[Latest Senate Action]])-1),LEN(LEFT(Table4[[#This Row],[Latest Senate Action]],FIND(" Congress",Table4[[#This Row],[Latest Senate Action]])-1))-FIND("-",Table4[[#This Row],[Latest Senate Action]])-1)</f>
        <v>93rd</v>
      </c>
      <c r="J666" s="12" t="str">
        <f>RIGHT(Table4[[#This Row],[Latest Senate Action]],LEN(Table4[[#This Row],[Latest Senate Action]])-FIND(") - ",Table4[[#This Row],[Latest Senate Action]])-3)</f>
        <v xml:space="preserve">Resolution of advice and consent to ratification agreed to in Senate by Yea-Nay vote. 95-0. Record Vote No: 427 EX. (All Actions) </v>
      </c>
      <c r="K666" s="12" t="str">
        <f>INDEX(Table5[type],MATCH(Table4[[#This Row],[Action]],Table5[Action],0))</f>
        <v>Passed</v>
      </c>
      <c r="L666" s="22" t="b">
        <f>INDEX(Table1[Senate and President Same Party, House and President Different Party],MATCH(Table4[[#This Row],[Congress Acting]],Table1[Congress],0))</f>
        <v>0</v>
      </c>
    </row>
    <row r="667" spans="1:12" ht="157.5">
      <c r="A667" s="9" t="s">
        <v>889</v>
      </c>
      <c r="B667" t="s">
        <v>3451</v>
      </c>
      <c r="C667" s="9" t="s">
        <v>3452</v>
      </c>
      <c r="D667" s="13" t="s">
        <v>4147</v>
      </c>
      <c r="E667" s="9" t="s">
        <v>3420</v>
      </c>
      <c r="F667"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67" s="9" t="s">
        <v>1013</v>
      </c>
      <c r="H667" s="9" t="s">
        <v>3453</v>
      </c>
      <c r="I667" s="12" t="str">
        <f>RIGHT(LEFT(Table4[[#This Row],[Latest Senate Action]],FIND(" Congress",Table4[[#This Row],[Latest Senate Action]])-1),LEN(LEFT(Table4[[#This Row],[Latest Senate Action]],FIND(" Congress",Table4[[#This Row],[Latest Senate Action]])-1))-FIND("-",Table4[[#This Row],[Latest Senate Action]])-1)</f>
        <v>93rd</v>
      </c>
      <c r="J667" s="12" t="str">
        <f>RIGHT(Table4[[#This Row],[Latest Senate Action]],LEN(Table4[[#This Row],[Latest Senate Action]])-FIND(") - ",Table4[[#This Row],[Latest Senate Action]])-3)</f>
        <v xml:space="preserve">Resolution of advice and consent to ratification agreed to in Senate by Yea-Nay vote. 95-0. Record Vote No: 431 EX. (All Actions) </v>
      </c>
      <c r="K667" s="12" t="str">
        <f>INDEX(Table5[type],MATCH(Table4[[#This Row],[Action]],Table5[Action],0))</f>
        <v>Passed</v>
      </c>
      <c r="L667" s="22" t="b">
        <f>INDEX(Table1[Senate and President Same Party, House and President Different Party],MATCH(Table4[[#This Row],[Congress Acting]],Table1[Congress],0))</f>
        <v>0</v>
      </c>
    </row>
    <row r="668" spans="1:12" ht="157.5">
      <c r="A668" s="9" t="s">
        <v>890</v>
      </c>
      <c r="B668" t="s">
        <v>3454</v>
      </c>
      <c r="C668" s="9" t="s">
        <v>3455</v>
      </c>
      <c r="D668" s="13" t="s">
        <v>4148</v>
      </c>
      <c r="E668" s="9" t="s">
        <v>3456</v>
      </c>
      <c r="F668"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68" s="9" t="s">
        <v>1164</v>
      </c>
      <c r="H668" s="9" t="s">
        <v>3457</v>
      </c>
      <c r="I668" s="12" t="str">
        <f>RIGHT(LEFT(Table4[[#This Row],[Latest Senate Action]],FIND(" Congress",Table4[[#This Row],[Latest Senate Action]])-1),LEN(LEFT(Table4[[#This Row],[Latest Senate Action]],FIND(" Congress",Table4[[#This Row],[Latest Senate Action]])-1))-FIND("-",Table4[[#This Row],[Latest Senate Action]])-1)</f>
        <v>93rd</v>
      </c>
      <c r="J668" s="12" t="str">
        <f>RIGHT(Table4[[#This Row],[Latest Senate Action]],LEN(Table4[[#This Row],[Latest Senate Action]])-FIND(") - ",Table4[[#This Row],[Latest Senate Action]])-3)</f>
        <v xml:space="preserve">Resolution of advice and consent to ratification agreed to in Senate by Yea-Nay vote. 80-7. Record Vote No: 366. (All Actions) </v>
      </c>
      <c r="K668" s="12" t="str">
        <f>INDEX(Table5[type],MATCH(Table4[[#This Row],[Action]],Table5[Action],0))</f>
        <v>Passed</v>
      </c>
      <c r="L668" s="22" t="b">
        <f>INDEX(Table1[Senate and President Same Party, House and President Different Party],MATCH(Table4[[#This Row],[Congress Acting]],Table1[Congress],0))</f>
        <v>0</v>
      </c>
    </row>
    <row r="669" spans="1:12" ht="126">
      <c r="A669" s="9" t="s">
        <v>891</v>
      </c>
      <c r="B669" t="s">
        <v>187</v>
      </c>
      <c r="C669" s="9" t="s">
        <v>3458</v>
      </c>
      <c r="D669" s="13" t="s">
        <v>4149</v>
      </c>
      <c r="E669" s="9" t="s">
        <v>3459</v>
      </c>
      <c r="F669"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69" s="9" t="s">
        <v>1200</v>
      </c>
      <c r="H669" s="9" t="s">
        <v>3460</v>
      </c>
      <c r="I669" s="12" t="str">
        <f>RIGHT(LEFT(Table4[[#This Row],[Latest Senate Action]],FIND(" Congress",Table4[[#This Row],[Latest Senate Action]])-1),LEN(LEFT(Table4[[#This Row],[Latest Senate Action]],FIND(" Congress",Table4[[#This Row],[Latest Senate Action]])-1))-FIND("-",Table4[[#This Row],[Latest Senate Action]])-1)</f>
        <v>93rd</v>
      </c>
      <c r="J669" s="12" t="str">
        <f>RIGHT(Table4[[#This Row],[Latest Senate Action]],LEN(Table4[[#This Row],[Latest Senate Action]])-FIND(") - ",Table4[[#This Row],[Latest Senate Action]])-3)</f>
        <v xml:space="preserve">Approved by 86-0 vote. Record Vote Number 359. (All Actions) </v>
      </c>
      <c r="K669" s="12" t="str">
        <f>INDEX(Table5[type],MATCH(Table4[[#This Row],[Action]],Table5[Action],0))</f>
        <v>Passed</v>
      </c>
      <c r="L669" s="22" t="b">
        <f>INDEX(Table1[Senate and President Same Party, House and President Different Party],MATCH(Table4[[#This Row],[Congress Acting]],Table1[Congress],0))</f>
        <v>0</v>
      </c>
    </row>
    <row r="670" spans="1:12" ht="141.75">
      <c r="A670" s="9" t="s">
        <v>892</v>
      </c>
      <c r="B670" t="s">
        <v>3461</v>
      </c>
      <c r="C670" s="9" t="s">
        <v>3462</v>
      </c>
      <c r="D670" s="13" t="s">
        <v>4150</v>
      </c>
      <c r="E670" s="9" t="s">
        <v>3424</v>
      </c>
      <c r="F670"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70" s="9" t="s">
        <v>1200</v>
      </c>
      <c r="H670" s="9" t="s">
        <v>3463</v>
      </c>
      <c r="I670" s="12" t="str">
        <f>RIGHT(LEFT(Table4[[#This Row],[Latest Senate Action]],FIND(" Congress",Table4[[#This Row],[Latest Senate Action]])-1),LEN(LEFT(Table4[[#This Row],[Latest Senate Action]],FIND(" Congress",Table4[[#This Row],[Latest Senate Action]])-1))-FIND("-",Table4[[#This Row],[Latest Senate Action]])-1)</f>
        <v>93rd</v>
      </c>
      <c r="J670" s="12" t="str">
        <f>RIGHT(Table4[[#This Row],[Latest Senate Action]],LEN(Table4[[#This Row],[Latest Senate Action]])-FIND(") - ",Table4[[#This Row],[Latest Senate Action]])-3)</f>
        <v xml:space="preserve">Approved by 86-0 vote (No. 361 Ex). (All Actions) </v>
      </c>
      <c r="K670" s="12" t="str">
        <f>INDEX(Table5[type],MATCH(Table4[[#This Row],[Action]],Table5[Action],0))</f>
        <v>Passed</v>
      </c>
      <c r="L670" s="22" t="b">
        <f>INDEX(Table1[Senate and President Same Party, House and President Different Party],MATCH(Table4[[#This Row],[Congress Acting]],Table1[Congress],0))</f>
        <v>0</v>
      </c>
    </row>
    <row r="671" spans="1:12" ht="157.5">
      <c r="A671" s="9" t="s">
        <v>893</v>
      </c>
      <c r="B671" t="s">
        <v>3464</v>
      </c>
      <c r="C671" s="9" t="s">
        <v>3465</v>
      </c>
      <c r="D671" s="13" t="s">
        <v>4151</v>
      </c>
      <c r="E671" s="9" t="s">
        <v>4270</v>
      </c>
      <c r="F671"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H671" s="9" t="s">
        <v>3466</v>
      </c>
      <c r="I671" s="12" t="str">
        <f>RIGHT(LEFT(Table4[[#This Row],[Latest Senate Action]],FIND(" Congress",Table4[[#This Row],[Latest Senate Action]])-1),LEN(LEFT(Table4[[#This Row],[Latest Senate Action]],FIND(" Congress",Table4[[#This Row],[Latest Senate Action]])-1))-FIND("-",Table4[[#This Row],[Latest Senate Action]])-1)</f>
        <v>93rd</v>
      </c>
      <c r="J671" s="12" t="str">
        <f>RIGHT(Table4[[#This Row],[Latest Senate Action]],LEN(Table4[[#This Row],[Latest Senate Action]])-FIND(") - ",Table4[[#This Row],[Latest Senate Action]])-3)</f>
        <v xml:space="preserve">Resolution of advice and consent to ratification agreed to in Senate by Yea-Nay vote. 86-0. Record Vote No: 360 EX. (All Actions) </v>
      </c>
      <c r="K671" s="12" t="str">
        <f>INDEX(Table5[type],MATCH(Table4[[#This Row],[Action]],Table5[Action],0))</f>
        <v>Passed</v>
      </c>
      <c r="L671" s="22" t="b">
        <f>INDEX(Table1[Senate and President Same Party, House and President Different Party],MATCH(Table4[[#This Row],[Congress Acting]],Table1[Congress],0))</f>
        <v>0</v>
      </c>
    </row>
    <row r="672" spans="1:12" ht="173.25">
      <c r="A672" s="9" t="s">
        <v>894</v>
      </c>
      <c r="B672" t="s">
        <v>3467</v>
      </c>
      <c r="C672" s="9" t="s">
        <v>3468</v>
      </c>
      <c r="D672" s="13" t="s">
        <v>4152</v>
      </c>
      <c r="E672" s="9" t="s">
        <v>3469</v>
      </c>
      <c r="F672"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72" s="9" t="s">
        <v>1200</v>
      </c>
      <c r="H672" s="9" t="s">
        <v>3470</v>
      </c>
      <c r="I672" s="12" t="str">
        <f>RIGHT(LEFT(Table4[[#This Row],[Latest Senate Action]],FIND(" Congress",Table4[[#This Row],[Latest Senate Action]])-1),LEN(LEFT(Table4[[#This Row],[Latest Senate Action]],FIND(" Congress",Table4[[#This Row],[Latest Senate Action]])-1))-FIND("-",Table4[[#This Row],[Latest Senate Action]])-1)</f>
        <v>93rd</v>
      </c>
      <c r="J672" s="12" t="str">
        <f>RIGHT(Table4[[#This Row],[Latest Senate Action]],LEN(Table4[[#This Row],[Latest Senate Action]])-FIND(") - ",Table4[[#This Row],[Latest Senate Action]])-3)</f>
        <v xml:space="preserve">Resolution of advice and consent to ratification agreed to in Senate by Yea-Nay vote. 89-0. Record Vote No: 362 EX. (All Actions) </v>
      </c>
      <c r="K672" s="12" t="str">
        <f>INDEX(Table5[type],MATCH(Table4[[#This Row],[Action]],Table5[Action],0))</f>
        <v>Passed</v>
      </c>
      <c r="L672" s="22" t="b">
        <f>INDEX(Table1[Senate and President Same Party, House and President Different Party],MATCH(Table4[[#This Row],[Congress Acting]],Table1[Congress],0))</f>
        <v>0</v>
      </c>
    </row>
    <row r="673" spans="1:12" ht="157.5">
      <c r="A673" s="9" t="s">
        <v>895</v>
      </c>
      <c r="B673" t="s">
        <v>3471</v>
      </c>
      <c r="C673" s="9" t="s">
        <v>3472</v>
      </c>
      <c r="D673" s="13" t="s">
        <v>4153</v>
      </c>
      <c r="E673" s="9" t="s">
        <v>3473</v>
      </c>
      <c r="F673" t="str">
        <f>RIGHT(LEFT(Table4[[#This Row],[Date Received from President]],FIND(" Congress",Table4[[#This Row],[Date Received from President]])-1),LEN(LEFT(Table4[[#This Row],[Date Received from President]],FIND(" Congress",Table4[[#This Row],[Date Received from President]])-1))-FIND("-",Table4[[#This Row],[Date Received from President]])-1)</f>
        <v>93rd</v>
      </c>
      <c r="G673" s="9" t="s">
        <v>1013</v>
      </c>
      <c r="H673" s="9" t="s">
        <v>3474</v>
      </c>
      <c r="I673" s="12" t="str">
        <f>RIGHT(LEFT(Table4[[#This Row],[Latest Senate Action]],FIND(" Congress",Table4[[#This Row],[Latest Senate Action]])-1),LEN(LEFT(Table4[[#This Row],[Latest Senate Action]],FIND(" Congress",Table4[[#This Row],[Latest Senate Action]])-1))-FIND("-",Table4[[#This Row],[Latest Senate Action]])-1)</f>
        <v>93rd</v>
      </c>
      <c r="J673" s="12" t="str">
        <f>RIGHT(Table4[[#This Row],[Latest Senate Action]],LEN(Table4[[#This Row],[Latest Senate Action]])-FIND(") - ",Table4[[#This Row],[Latest Senate Action]])-3)</f>
        <v xml:space="preserve">Consideration and general debate; approved by 92-0 vote. Record Vote Number 59. (All Actions) </v>
      </c>
      <c r="K673" s="12" t="str">
        <f>INDEX(Table5[type],MATCH(Table4[[#This Row],[Action]],Table5[Action],0))</f>
        <v>Passed</v>
      </c>
      <c r="L673" s="22" t="b">
        <f>INDEX(Table1[Senate and President Same Party, House and President Different Party],MATCH(Table4[[#This Row],[Congress Acting]],Table1[Congress],0))</f>
        <v>0</v>
      </c>
    </row>
    <row r="674" spans="1:12" ht="173.25">
      <c r="A674" s="9" t="s">
        <v>896</v>
      </c>
      <c r="B674" t="s">
        <v>3475</v>
      </c>
      <c r="C674" s="9" t="s">
        <v>3476</v>
      </c>
      <c r="D674" s="13" t="s">
        <v>4154</v>
      </c>
      <c r="E674" s="9" t="s">
        <v>3477</v>
      </c>
      <c r="F674"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74" s="9" t="s">
        <v>1112</v>
      </c>
      <c r="H674" s="9" t="s">
        <v>3478</v>
      </c>
      <c r="I674" s="12" t="str">
        <f>RIGHT(LEFT(Table4[[#This Row],[Latest Senate Action]],FIND(" Congress",Table4[[#This Row],[Latest Senate Action]])-1),LEN(LEFT(Table4[[#This Row],[Latest Senate Action]],FIND(" Congress",Table4[[#This Row],[Latest Senate Action]])-1))-FIND("-",Table4[[#This Row],[Latest Senate Action]])-1)</f>
        <v>93rd</v>
      </c>
      <c r="J674" s="12" t="str">
        <f>RIGHT(Table4[[#This Row],[Latest Senate Action]],LEN(Table4[[#This Row],[Latest Senate Action]])-FIND(") - ",Table4[[#This Row],[Latest Senate Action]])-3)</f>
        <v xml:space="preserve">Resolution of advice and consent to ratification agreed to in Senate by Yea-Nay vote. 92-0. Record Vote No: 60 EX. (All Actions) </v>
      </c>
      <c r="K674" s="12" t="str">
        <f>INDEX(Table5[type],MATCH(Table4[[#This Row],[Action]],Table5[Action],0))</f>
        <v>Passed</v>
      </c>
      <c r="L674" s="22" t="b">
        <f>INDEX(Table1[Senate and President Same Party, House and President Different Party],MATCH(Table4[[#This Row],[Congress Acting]],Table1[Congress],0))</f>
        <v>0</v>
      </c>
    </row>
    <row r="675" spans="1:12" ht="157.5">
      <c r="A675" s="9" t="s">
        <v>897</v>
      </c>
      <c r="B675" t="s">
        <v>3479</v>
      </c>
      <c r="C675" s="9" t="s">
        <v>3480</v>
      </c>
      <c r="D675" s="13" t="s">
        <v>4155</v>
      </c>
      <c r="E675" s="9" t="s">
        <v>3481</v>
      </c>
      <c r="F675"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75" s="9" t="s">
        <v>1766</v>
      </c>
      <c r="H675" s="9" t="s">
        <v>3482</v>
      </c>
      <c r="I675" s="12" t="str">
        <f>RIGHT(LEFT(Table4[[#This Row],[Latest Senate Action]],FIND(" Congress",Table4[[#This Row],[Latest Senate Action]])-1),LEN(LEFT(Table4[[#This Row],[Latest Senate Action]],FIND(" Congress",Table4[[#This Row],[Latest Senate Action]])-1))-FIND("-",Table4[[#This Row],[Latest Senate Action]])-1)</f>
        <v>93rd</v>
      </c>
      <c r="J675" s="12" t="str">
        <f>RIGHT(Table4[[#This Row],[Latest Senate Action]],LEN(Table4[[#This Row],[Latest Senate Action]])-FIND(") - ",Table4[[#This Row],[Latest Senate Action]])-3)</f>
        <v xml:space="preserve">Resolution of advice and consent to ratification agreed to in Senate by Yea-Nay vote. 90-0. Record Vote No: 56 EX. (All Actions) </v>
      </c>
      <c r="K675" s="12" t="str">
        <f>INDEX(Table5[type],MATCH(Table4[[#This Row],[Action]],Table5[Action],0))</f>
        <v>Passed</v>
      </c>
      <c r="L675" s="22" t="b">
        <f>INDEX(Table1[Senate and President Same Party, House and President Different Party],MATCH(Table4[[#This Row],[Congress Acting]],Table1[Congress],0))</f>
        <v>0</v>
      </c>
    </row>
    <row r="676" spans="1:12" ht="157.5">
      <c r="A676" s="9" t="s">
        <v>898</v>
      </c>
      <c r="B676" t="s">
        <v>3483</v>
      </c>
      <c r="C676" s="9" t="s">
        <v>3484</v>
      </c>
      <c r="D676" s="13" t="s">
        <v>4156</v>
      </c>
      <c r="E676" s="9" t="s">
        <v>3481</v>
      </c>
      <c r="F676"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76" s="9" t="s">
        <v>1766</v>
      </c>
      <c r="H676" s="9" t="s">
        <v>3485</v>
      </c>
      <c r="I676" s="12" t="str">
        <f>RIGHT(LEFT(Table4[[#This Row],[Latest Senate Action]],FIND(" Congress",Table4[[#This Row],[Latest Senate Action]])-1),LEN(LEFT(Table4[[#This Row],[Latest Senate Action]],FIND(" Congress",Table4[[#This Row],[Latest Senate Action]])-1))-FIND("-",Table4[[#This Row],[Latest Senate Action]])-1)</f>
        <v>93rd</v>
      </c>
      <c r="J676" s="12" t="str">
        <f>RIGHT(Table4[[#This Row],[Latest Senate Action]],LEN(Table4[[#This Row],[Latest Senate Action]])-FIND(") - ",Table4[[#This Row],[Latest Senate Action]])-3)</f>
        <v xml:space="preserve">Resolution of advice and consent to ratification agreed to in Senate by Yea-Nay vote. 92-0. Record Vote No: 57 EX. (All Actions) </v>
      </c>
      <c r="K676" s="12" t="str">
        <f>INDEX(Table5[type],MATCH(Table4[[#This Row],[Action]],Table5[Action],0))</f>
        <v>Passed</v>
      </c>
      <c r="L676" s="22" t="b">
        <f>INDEX(Table1[Senate and President Same Party, House and President Different Party],MATCH(Table4[[#This Row],[Congress Acting]],Table1[Congress],0))</f>
        <v>0</v>
      </c>
    </row>
    <row r="677" spans="1:12" ht="157.5">
      <c r="A677" s="9" t="s">
        <v>899</v>
      </c>
      <c r="B677" t="s">
        <v>3486</v>
      </c>
      <c r="C677" s="9" t="s">
        <v>3487</v>
      </c>
      <c r="D677" s="13" t="s">
        <v>4157</v>
      </c>
      <c r="E677" s="9" t="s">
        <v>3481</v>
      </c>
      <c r="F677"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77" s="9" t="s">
        <v>1766</v>
      </c>
      <c r="H677" s="9" t="s">
        <v>3488</v>
      </c>
      <c r="I677" s="12" t="str">
        <f>RIGHT(LEFT(Table4[[#This Row],[Latest Senate Action]],FIND(" Congress",Table4[[#This Row],[Latest Senate Action]])-1),LEN(LEFT(Table4[[#This Row],[Latest Senate Action]],FIND(" Congress",Table4[[#This Row],[Latest Senate Action]])-1))-FIND("-",Table4[[#This Row],[Latest Senate Action]])-1)</f>
        <v>93rd</v>
      </c>
      <c r="J677" s="12" t="str">
        <f>RIGHT(Table4[[#This Row],[Latest Senate Action]],LEN(Table4[[#This Row],[Latest Senate Action]])-FIND(") - ",Table4[[#This Row],[Latest Senate Action]])-3)</f>
        <v xml:space="preserve">Resolution of advice and consent to ratification agreed to in Senate by Yea-Nay vote. 92-0. Record Vote No: 58 EX. (All Actions) </v>
      </c>
      <c r="K677" s="12" t="str">
        <f>INDEX(Table5[type],MATCH(Table4[[#This Row],[Action]],Table5[Action],0))</f>
        <v>Passed</v>
      </c>
      <c r="L677" s="22" t="b">
        <f>INDEX(Table1[Senate and President Same Party, House and President Different Party],MATCH(Table4[[#This Row],[Congress Acting]],Table1[Congress],0))</f>
        <v>0</v>
      </c>
    </row>
    <row r="678" spans="1:12" ht="157.5">
      <c r="A678" s="9" t="s">
        <v>900</v>
      </c>
      <c r="B678" t="s">
        <v>3489</v>
      </c>
      <c r="C678" s="9" t="s">
        <v>3490</v>
      </c>
      <c r="D678" s="13" t="s">
        <v>4158</v>
      </c>
      <c r="E678" s="9" t="s">
        <v>2916</v>
      </c>
      <c r="F678"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78" s="9" t="s">
        <v>3491</v>
      </c>
      <c r="I678" s="12" t="str">
        <f>RIGHT(LEFT(Table4[[#This Row],[Latest Senate Action]],FIND(" Congress",Table4[[#This Row],[Latest Senate Action]])-1),LEN(LEFT(Table4[[#This Row],[Latest Senate Action]],FIND(" Congress",Table4[[#This Row],[Latest Senate Action]])-1))-FIND("-",Table4[[#This Row],[Latest Senate Action]])-1)</f>
        <v>92nd</v>
      </c>
      <c r="J678" s="12" t="str">
        <f>RIGHT(Table4[[#This Row],[Latest Senate Action]],LEN(Table4[[#This Row],[Latest Senate Action]])-FIND(") - ",Table4[[#This Row],[Latest Senate Action]])-3)</f>
        <v xml:space="preserve">Resolution of advice and consent to ratification agreed to in Senate by Yea-Nay vote. 67-0. Record Vote No: 537 EX. (All Actions) </v>
      </c>
      <c r="K678" s="12" t="str">
        <f>INDEX(Table5[type],MATCH(Table4[[#This Row],[Action]],Table5[Action],0))</f>
        <v>Passed</v>
      </c>
      <c r="L678" s="22" t="b">
        <f>INDEX(Table1[Senate and President Same Party, House and President Different Party],MATCH(Table4[[#This Row],[Congress Acting]],Table1[Congress],0))</f>
        <v>0</v>
      </c>
    </row>
    <row r="679" spans="1:12" ht="204.75">
      <c r="A679" s="9" t="s">
        <v>901</v>
      </c>
      <c r="B679" t="s">
        <v>3492</v>
      </c>
      <c r="C679" s="9" t="s">
        <v>3493</v>
      </c>
      <c r="D679" s="13" t="s">
        <v>4159</v>
      </c>
      <c r="E679" s="9" t="s">
        <v>3494</v>
      </c>
      <c r="F679"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79" s="9" t="s">
        <v>1112</v>
      </c>
      <c r="H679" s="9" t="s">
        <v>3495</v>
      </c>
      <c r="I679" s="12" t="str">
        <f>RIGHT(LEFT(Table4[[#This Row],[Latest Senate Action]],FIND(" Congress",Table4[[#This Row],[Latest Senate Action]])-1),LEN(LEFT(Table4[[#This Row],[Latest Senate Action]],FIND(" Congress",Table4[[#This Row],[Latest Senate Action]])-1))-FIND("-",Table4[[#This Row],[Latest Senate Action]])-1)</f>
        <v>92nd</v>
      </c>
      <c r="J679" s="12" t="str">
        <f>RIGHT(Table4[[#This Row],[Latest Senate Action]],LEN(Table4[[#This Row],[Latest Senate Action]])-FIND(") - ",Table4[[#This Row],[Latest Senate Action]])-3)</f>
        <v xml:space="preserve">Resolution of advice and consent to ratification agreed to in Senate by Yea-Nay vote. 89-0. Record Vote No: 499 EX. (All Actions) </v>
      </c>
      <c r="K679" s="12" t="str">
        <f>INDEX(Table5[type],MATCH(Table4[[#This Row],[Action]],Table5[Action],0))</f>
        <v>Passed</v>
      </c>
      <c r="L679" s="22" t="b">
        <f>INDEX(Table1[Senate and President Same Party, House and President Different Party],MATCH(Table4[[#This Row],[Congress Acting]],Table1[Congress],0))</f>
        <v>0</v>
      </c>
    </row>
    <row r="680" spans="1:12" ht="173.25">
      <c r="A680" s="9" t="s">
        <v>902</v>
      </c>
      <c r="B680" t="s">
        <v>3496</v>
      </c>
      <c r="C680" s="9" t="s">
        <v>3370</v>
      </c>
      <c r="D680" s="13" t="s">
        <v>4160</v>
      </c>
      <c r="E680" s="9" t="s">
        <v>3497</v>
      </c>
      <c r="F680"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80" s="9" t="s">
        <v>1200</v>
      </c>
      <c r="H680" s="9" t="s">
        <v>3498</v>
      </c>
      <c r="I680" s="12" t="str">
        <f>RIGHT(LEFT(Table4[[#This Row],[Latest Senate Action]],FIND(" Congress",Table4[[#This Row],[Latest Senate Action]])-1),LEN(LEFT(Table4[[#This Row],[Latest Senate Action]],FIND(" Congress",Table4[[#This Row],[Latest Senate Action]])-1))-FIND("-",Table4[[#This Row],[Latest Senate Action]])-1)</f>
        <v>92nd</v>
      </c>
      <c r="J680" s="12" t="str">
        <f>RIGHT(Table4[[#This Row],[Latest Senate Action]],LEN(Table4[[#This Row],[Latest Senate Action]])-FIND(") - ",Table4[[#This Row],[Latest Senate Action]])-3)</f>
        <v xml:space="preserve">Resolution of advice and consent to ratification agreed to in Senate by Yea-Nay vote. 89-0. Record Vote No: 500 EX. (All Actions) </v>
      </c>
      <c r="K680" s="12" t="str">
        <f>INDEX(Table5[type],MATCH(Table4[[#This Row],[Action]],Table5[Action],0))</f>
        <v>Passed</v>
      </c>
      <c r="L680" s="22" t="b">
        <f>INDEX(Table1[Senate and President Same Party, House and President Different Party],MATCH(Table4[[#This Row],[Congress Acting]],Table1[Congress],0))</f>
        <v>0</v>
      </c>
    </row>
    <row r="681" spans="1:12" ht="141.75">
      <c r="A681" s="9" t="s">
        <v>903</v>
      </c>
      <c r="B681" t="s">
        <v>190</v>
      </c>
      <c r="C681" s="9" t="s">
        <v>3359</v>
      </c>
      <c r="D681" s="13" t="s">
        <v>4161</v>
      </c>
      <c r="E681" s="9" t="s">
        <v>4271</v>
      </c>
      <c r="F681"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1" s="9" t="s">
        <v>3499</v>
      </c>
      <c r="I681" s="12" t="str">
        <f>RIGHT(LEFT(Table4[[#This Row],[Latest Senate Action]],FIND(" Congress",Table4[[#This Row],[Latest Senate Action]])-1),LEN(LEFT(Table4[[#This Row],[Latest Senate Action]],FIND(" Congress",Table4[[#This Row],[Latest Senate Action]])-1))-FIND("-",Table4[[#This Row],[Latest Senate Action]])-1)</f>
        <v>92nd</v>
      </c>
      <c r="J681" s="12" t="str">
        <f>RIGHT(Table4[[#This Row],[Latest Senate Action]],LEN(Table4[[#This Row],[Latest Senate Action]])-FIND(") - ",Table4[[#This Row],[Latest Senate Action]])-3)</f>
        <v xml:space="preserve">Resolution of advice and consent to ratification agreed to in Senate by Yea-Nay vote. 89-0. Record Vote No: 501 EX. (All Actions) </v>
      </c>
      <c r="K681" s="12" t="str">
        <f>INDEX(Table5[type],MATCH(Table4[[#This Row],[Action]],Table5[Action],0))</f>
        <v>Passed</v>
      </c>
      <c r="L681" s="22" t="b">
        <f>INDEX(Table1[Senate and President Same Party, House and President Different Party],MATCH(Table4[[#This Row],[Congress Acting]],Table1[Congress],0))</f>
        <v>0</v>
      </c>
    </row>
    <row r="682" spans="1:12" ht="173.25">
      <c r="A682" s="9" t="s">
        <v>904</v>
      </c>
      <c r="B682" t="s">
        <v>3500</v>
      </c>
      <c r="C682" s="9" t="s">
        <v>3501</v>
      </c>
      <c r="D682" s="13" t="s">
        <v>4162</v>
      </c>
      <c r="E682" s="9" t="s">
        <v>3502</v>
      </c>
      <c r="F682"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82" s="9" t="s">
        <v>1456</v>
      </c>
      <c r="H682" s="9" t="s">
        <v>3503</v>
      </c>
      <c r="I682" s="12" t="str">
        <f>RIGHT(LEFT(Table4[[#This Row],[Latest Senate Action]],FIND(" Congress",Table4[[#This Row],[Latest Senate Action]])-1),LEN(LEFT(Table4[[#This Row],[Latest Senate Action]],FIND(" Congress",Table4[[#This Row],[Latest Senate Action]])-1))-FIND("-",Table4[[#This Row],[Latest Senate Action]])-1)</f>
        <v>92nd</v>
      </c>
      <c r="J682" s="12" t="str">
        <f>RIGHT(Table4[[#This Row],[Latest Senate Action]],LEN(Table4[[#This Row],[Latest Senate Action]])-FIND(") - ",Table4[[#This Row],[Latest Senate Action]])-3)</f>
        <v xml:space="preserve">Resolution of advice and consent to ratification agreed to in Senate by Yea-Nay vote. 89-0. Record Vote No: 502 EX. (All Actions) </v>
      </c>
      <c r="K682" s="12" t="str">
        <f>INDEX(Table5[type],MATCH(Table4[[#This Row],[Action]],Table5[Action],0))</f>
        <v>Passed</v>
      </c>
      <c r="L682" s="22" t="b">
        <f>INDEX(Table1[Senate and President Same Party, House and President Different Party],MATCH(Table4[[#This Row],[Congress Acting]],Table1[Congress],0))</f>
        <v>0</v>
      </c>
    </row>
    <row r="683" spans="1:12" ht="157.5">
      <c r="A683" s="9" t="s">
        <v>905</v>
      </c>
      <c r="B683" t="s">
        <v>3504</v>
      </c>
      <c r="C683" s="9" t="s">
        <v>3505</v>
      </c>
      <c r="D683" s="13" t="s">
        <v>4163</v>
      </c>
      <c r="E683" s="9" t="s">
        <v>4272</v>
      </c>
      <c r="F683"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3" s="9" t="s">
        <v>3506</v>
      </c>
      <c r="I683" s="12" t="str">
        <f>RIGHT(LEFT(Table4[[#This Row],[Latest Senate Action]],FIND(" Congress",Table4[[#This Row],[Latest Senate Action]])-1),LEN(LEFT(Table4[[#This Row],[Latest Senate Action]],FIND(" Congress",Table4[[#This Row],[Latest Senate Action]])-1))-FIND("-",Table4[[#This Row],[Latest Senate Action]])-1)</f>
        <v>92nd</v>
      </c>
      <c r="J683" s="12" t="str">
        <f>RIGHT(Table4[[#This Row],[Latest Senate Action]],LEN(Table4[[#This Row],[Latest Senate Action]])-FIND(") - ",Table4[[#This Row],[Latest Senate Action]])-3)</f>
        <v xml:space="preserve">Resolution of advice and consent to ratification agreed to in Senate by Yea-Nay vote. 69-0. Record Vote No: 440 EX. (All Actions) </v>
      </c>
      <c r="K683" s="12" t="str">
        <f>INDEX(Table5[type],MATCH(Table4[[#This Row],[Action]],Table5[Action],0))</f>
        <v>Passed</v>
      </c>
      <c r="L683" s="22" t="b">
        <f>INDEX(Table1[Senate and President Same Party, House and President Different Party],MATCH(Table4[[#This Row],[Congress Acting]],Table1[Congress],0))</f>
        <v>0</v>
      </c>
    </row>
    <row r="684" spans="1:12" ht="110.25">
      <c r="A684" s="9" t="s">
        <v>906</v>
      </c>
      <c r="B684" t="s">
        <v>3507</v>
      </c>
      <c r="C684" s="9" t="s">
        <v>3508</v>
      </c>
      <c r="D684" s="13" t="s">
        <v>4164</v>
      </c>
      <c r="E684" s="9" t="s">
        <v>4273</v>
      </c>
      <c r="F684"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4" s="9" t="s">
        <v>3509</v>
      </c>
      <c r="I684" s="12" t="str">
        <f>RIGHT(LEFT(Table4[[#This Row],[Latest Senate Action]],FIND(" Congress",Table4[[#This Row],[Latest Senate Action]])-1),LEN(LEFT(Table4[[#This Row],[Latest Senate Action]],FIND(" Congress",Table4[[#This Row],[Latest Senate Action]])-1))-FIND("-",Table4[[#This Row],[Latest Senate Action]])-1)</f>
        <v>92nd</v>
      </c>
      <c r="J684" s="12" t="str">
        <f>RIGHT(Table4[[#This Row],[Latest Senate Action]],LEN(Table4[[#This Row],[Latest Senate Action]])-FIND(") - ",Table4[[#This Row],[Latest Senate Action]])-3)</f>
        <v xml:space="preserve">Approved by 67-0 vote. (All Actions) </v>
      </c>
      <c r="K684" s="12" t="str">
        <f>INDEX(Table5[type],MATCH(Table4[[#This Row],[Action]],Table5[Action],0))</f>
        <v>Passed</v>
      </c>
      <c r="L684" s="22" t="b">
        <f>INDEX(Table1[Senate and President Same Party, House and President Different Party],MATCH(Table4[[#This Row],[Congress Acting]],Table1[Congress],0))</f>
        <v>0</v>
      </c>
    </row>
    <row r="685" spans="1:12" ht="141.75">
      <c r="A685" s="9" t="s">
        <v>907</v>
      </c>
      <c r="B685" t="s">
        <v>3510</v>
      </c>
      <c r="C685" s="9" t="s">
        <v>3511</v>
      </c>
      <c r="D685" s="13" t="s">
        <v>4165</v>
      </c>
      <c r="E685" s="9" t="s">
        <v>4274</v>
      </c>
      <c r="F685"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5" s="9" t="s">
        <v>3512</v>
      </c>
      <c r="I685" s="12" t="str">
        <f>RIGHT(LEFT(Table4[[#This Row],[Latest Senate Action]],FIND(" Congress",Table4[[#This Row],[Latest Senate Action]])-1),LEN(LEFT(Table4[[#This Row],[Latest Senate Action]],FIND(" Congress",Table4[[#This Row],[Latest Senate Action]])-1))-FIND("-",Table4[[#This Row],[Latest Senate Action]])-1)</f>
        <v>92nd</v>
      </c>
      <c r="J685" s="12" t="str">
        <f>RIGHT(Table4[[#This Row],[Latest Senate Action]],LEN(Table4[[#This Row],[Latest Senate Action]])-FIND(") - ",Table4[[#This Row],[Latest Senate Action]])-3)</f>
        <v xml:space="preserve">Resolution of advice and consent to ratification agreed to in Senate by Yea-Nay vote. 79-0. Record Vote No: 374 EX. (All Actions) </v>
      </c>
      <c r="K685" s="12" t="str">
        <f>INDEX(Table5[type],MATCH(Table4[[#This Row],[Action]],Table5[Action],0))</f>
        <v>Passed</v>
      </c>
      <c r="L685" s="22" t="b">
        <f>INDEX(Table1[Senate and President Same Party, House and President Different Party],MATCH(Table4[[#This Row],[Congress Acting]],Table1[Congress],0))</f>
        <v>0</v>
      </c>
    </row>
    <row r="686" spans="1:12" ht="157.5">
      <c r="A686" s="9" t="s">
        <v>908</v>
      </c>
      <c r="B686" t="s">
        <v>3513</v>
      </c>
      <c r="C686" s="9" t="s">
        <v>3514</v>
      </c>
      <c r="D686" s="13" t="s">
        <v>4166</v>
      </c>
      <c r="E686" s="9" t="s">
        <v>3515</v>
      </c>
      <c r="F686"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86" s="9" t="s">
        <v>1063</v>
      </c>
      <c r="H686" s="9" t="s">
        <v>3516</v>
      </c>
      <c r="I686" s="12" t="str">
        <f>RIGHT(LEFT(Table4[[#This Row],[Latest Senate Action]],FIND(" Congress",Table4[[#This Row],[Latest Senate Action]])-1),LEN(LEFT(Table4[[#This Row],[Latest Senate Action]],FIND(" Congress",Table4[[#This Row],[Latest Senate Action]])-1))-FIND("-",Table4[[#This Row],[Latest Senate Action]])-1)</f>
        <v>92nd</v>
      </c>
      <c r="J686" s="12" t="str">
        <f>RIGHT(Table4[[#This Row],[Latest Senate Action]],LEN(Table4[[#This Row],[Latest Senate Action]])-FIND(") - ",Table4[[#This Row],[Latest Senate Action]])-3)</f>
        <v xml:space="preserve">Resolution of advice and consent to ratification agreed to in Senate by Yea-Nay vote. 70-0. Record Vote No: 376 EX. (All Actions) </v>
      </c>
      <c r="K686" s="12" t="str">
        <f>INDEX(Table5[type],MATCH(Table4[[#This Row],[Action]],Table5[Action],0))</f>
        <v>Passed</v>
      </c>
      <c r="L686" s="22" t="b">
        <f>INDEX(Table1[Senate and President Same Party, House and President Different Party],MATCH(Table4[[#This Row],[Congress Acting]],Table1[Congress],0))</f>
        <v>0</v>
      </c>
    </row>
    <row r="687" spans="1:12" ht="157.5">
      <c r="A687" s="9" t="s">
        <v>909</v>
      </c>
      <c r="B687" t="s">
        <v>3517</v>
      </c>
      <c r="C687" s="9" t="s">
        <v>3518</v>
      </c>
      <c r="D687" s="13" t="s">
        <v>4167</v>
      </c>
      <c r="E687" s="9" t="s">
        <v>4275</v>
      </c>
      <c r="F687"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7" s="9" t="s">
        <v>3519</v>
      </c>
      <c r="I687" s="12" t="str">
        <f>RIGHT(LEFT(Table4[[#This Row],[Latest Senate Action]],FIND(" Congress",Table4[[#This Row],[Latest Senate Action]])-1),LEN(LEFT(Table4[[#This Row],[Latest Senate Action]],FIND(" Congress",Table4[[#This Row],[Latest Senate Action]])-1))-FIND("-",Table4[[#This Row],[Latest Senate Action]])-1)</f>
        <v>92nd</v>
      </c>
      <c r="J687" s="12" t="str">
        <f>RIGHT(Table4[[#This Row],[Latest Senate Action]],LEN(Table4[[#This Row],[Latest Senate Action]])-FIND(") - ",Table4[[#This Row],[Latest Senate Action]])-3)</f>
        <v xml:space="preserve">Resolution of advice and consent to ratification agreed to in Senate by Yea-Nay vote. 79-0. Record Vote No: 375 EX. (All Actions) </v>
      </c>
      <c r="K687" s="12" t="str">
        <f>INDEX(Table5[type],MATCH(Table4[[#This Row],[Action]],Table5[Action],0))</f>
        <v>Passed</v>
      </c>
      <c r="L687" s="22" t="b">
        <f>INDEX(Table1[Senate and President Same Party, House and President Different Party],MATCH(Table4[[#This Row],[Congress Acting]],Table1[Congress],0))</f>
        <v>0</v>
      </c>
    </row>
    <row r="688" spans="1:12" ht="189">
      <c r="A688" s="9" t="s">
        <v>910</v>
      </c>
      <c r="B688" t="s">
        <v>3520</v>
      </c>
      <c r="C688" s="9" t="s">
        <v>3521</v>
      </c>
      <c r="D688" s="13" t="s">
        <v>4168</v>
      </c>
      <c r="E688" s="9" t="s">
        <v>3522</v>
      </c>
      <c r="F688"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88" s="9" t="s">
        <v>1101</v>
      </c>
      <c r="H688" s="9" t="s">
        <v>3523</v>
      </c>
      <c r="I688" s="12" t="str">
        <f>RIGHT(LEFT(Table4[[#This Row],[Latest Senate Action]],FIND(" Congress",Table4[[#This Row],[Latest Senate Action]])-1),LEN(LEFT(Table4[[#This Row],[Latest Senate Action]],FIND(" Congress",Table4[[#This Row],[Latest Senate Action]])-1))-FIND("-",Table4[[#This Row],[Latest Senate Action]])-1)</f>
        <v>92nd</v>
      </c>
      <c r="J688" s="12" t="str">
        <f>RIGHT(Table4[[#This Row],[Latest Senate Action]],LEN(Table4[[#This Row],[Latest Senate Action]])-FIND(") - ",Table4[[#This Row],[Latest Senate Action]])-3)</f>
        <v xml:space="preserve">Treaty considered in executive session; amendment to resolution submitted and withdrawn; resolution of advice and consent to ratification approved 88-2 (roll call vote 343 Ex.). (All Actions) </v>
      </c>
      <c r="K688" s="12" t="str">
        <f>INDEX(Table5[type],MATCH(Table4[[#This Row],[Action]],Table5[Action],0))</f>
        <v>Passed</v>
      </c>
      <c r="L688" s="22" t="b">
        <f>INDEX(Table1[Senate and President Same Party, House and President Different Party],MATCH(Table4[[#This Row],[Congress Acting]],Table1[Congress],0))</f>
        <v>0</v>
      </c>
    </row>
    <row r="689" spans="1:12" ht="157.5">
      <c r="A689" s="9" t="s">
        <v>911</v>
      </c>
      <c r="B689" t="s">
        <v>3524</v>
      </c>
      <c r="C689" s="9" t="s">
        <v>3525</v>
      </c>
      <c r="D689" s="13" t="s">
        <v>4169</v>
      </c>
      <c r="E689" s="9" t="s">
        <v>4276</v>
      </c>
      <c r="F689"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89" s="9" t="s">
        <v>3526</v>
      </c>
      <c r="I689" s="12" t="str">
        <f>RIGHT(LEFT(Table4[[#This Row],[Latest Senate Action]],FIND(" Congress",Table4[[#This Row],[Latest Senate Action]])-1),LEN(LEFT(Table4[[#This Row],[Latest Senate Action]],FIND(" Congress",Table4[[#This Row],[Latest Senate Action]])-1))-FIND("-",Table4[[#This Row],[Latest Senate Action]])-1)</f>
        <v>92nd</v>
      </c>
      <c r="J689" s="12" t="str">
        <f>RIGHT(Table4[[#This Row],[Latest Senate Action]],LEN(Table4[[#This Row],[Latest Senate Action]])-FIND(") - ",Table4[[#This Row],[Latest Senate Action]])-3)</f>
        <v xml:space="preserve">Resolution of advice and consent to ratification agreed to in Senate by Yea-Nay vote. 84-0. Record Vote No: 205 EX. (All Actions) </v>
      </c>
      <c r="K689" s="12" t="str">
        <f>INDEX(Table5[type],MATCH(Table4[[#This Row],[Action]],Table5[Action],0))</f>
        <v>Passed</v>
      </c>
      <c r="L689" s="22" t="b">
        <f>INDEX(Table1[Senate and President Same Party, House and President Different Party],MATCH(Table4[[#This Row],[Congress Acting]],Table1[Congress],0))</f>
        <v>0</v>
      </c>
    </row>
    <row r="690" spans="1:12" ht="157.5">
      <c r="A690" s="9" t="s">
        <v>912</v>
      </c>
      <c r="B690" t="s">
        <v>3527</v>
      </c>
      <c r="C690" s="9" t="s">
        <v>1968</v>
      </c>
      <c r="D690" s="13" t="s">
        <v>4170</v>
      </c>
      <c r="E690" s="9" t="s">
        <v>3528</v>
      </c>
      <c r="F690"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90" s="9" t="s">
        <v>1013</v>
      </c>
      <c r="H690" s="9" t="s">
        <v>3529</v>
      </c>
      <c r="I690" s="12" t="str">
        <f>RIGHT(LEFT(Table4[[#This Row],[Latest Senate Action]],FIND(" Congress",Table4[[#This Row],[Latest Senate Action]])-1),LEN(LEFT(Table4[[#This Row],[Latest Senate Action]],FIND(" Congress",Table4[[#This Row],[Latest Senate Action]])-1))-FIND("-",Table4[[#This Row],[Latest Senate Action]])-1)</f>
        <v>92nd</v>
      </c>
      <c r="J690" s="12" t="str">
        <f>RIGHT(Table4[[#This Row],[Latest Senate Action]],LEN(Table4[[#This Row],[Latest Senate Action]])-FIND(") - ",Table4[[#This Row],[Latest Senate Action]])-3)</f>
        <v xml:space="preserve">Resolution of advice and consent to ratification agreed to in Senate by Yea-Nay vote. 84-0. Record Vote No: 206 EX. (All Actions) </v>
      </c>
      <c r="K690" s="12" t="str">
        <f>INDEX(Table5[type],MATCH(Table4[[#This Row],[Action]],Table5[Action],0))</f>
        <v>Passed</v>
      </c>
      <c r="L690" s="22" t="b">
        <f>INDEX(Table1[Senate and President Same Party, House and President Different Party],MATCH(Table4[[#This Row],[Congress Acting]],Table1[Congress],0))</f>
        <v>0</v>
      </c>
    </row>
    <row r="691" spans="1:12" ht="189">
      <c r="A691" s="9" t="s">
        <v>913</v>
      </c>
      <c r="B691" t="s">
        <v>189</v>
      </c>
      <c r="C691" s="9" t="s">
        <v>3530</v>
      </c>
      <c r="D691" s="13" t="s">
        <v>4171</v>
      </c>
      <c r="E691" s="9" t="s">
        <v>3494</v>
      </c>
      <c r="F691"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1" s="9" t="s">
        <v>3531</v>
      </c>
      <c r="I691" s="12" t="str">
        <f>RIGHT(LEFT(Table4[[#This Row],[Latest Senate Action]],FIND(" Congress",Table4[[#This Row],[Latest Senate Action]])-1),LEN(LEFT(Table4[[#This Row],[Latest Senate Action]],FIND(" Congress",Table4[[#This Row],[Latest Senate Action]])-1))-FIND("-",Table4[[#This Row],[Latest Senate Action]])-1)</f>
        <v>92nd</v>
      </c>
      <c r="J691" s="12" t="str">
        <f>RIGHT(Table4[[#This Row],[Latest Senate Action]],LEN(Table4[[#This Row],[Latest Senate Action]])-FIND(") - ",Table4[[#This Row],[Latest Senate Action]])-3)</f>
        <v xml:space="preserve">Resolution of advice and consent to ratification agreed to in Senate by Yea-Nay vote. 74-0. Record Vote No: 202 EX. (All Actions) </v>
      </c>
      <c r="K691" s="12" t="str">
        <f>INDEX(Table5[type],MATCH(Table4[[#This Row],[Action]],Table5[Action],0))</f>
        <v>Passed</v>
      </c>
      <c r="L691" s="22" t="b">
        <f>INDEX(Table1[Senate and President Same Party, House and President Different Party],MATCH(Table4[[#This Row],[Congress Acting]],Table1[Congress],0))</f>
        <v>0</v>
      </c>
    </row>
    <row r="692" spans="1:12" ht="141.75">
      <c r="A692" s="9" t="s">
        <v>914</v>
      </c>
      <c r="B692" t="s">
        <v>3532</v>
      </c>
      <c r="C692" s="9" t="s">
        <v>3533</v>
      </c>
      <c r="D692" s="13" t="s">
        <v>4172</v>
      </c>
      <c r="E692" s="9" t="s">
        <v>4277</v>
      </c>
      <c r="F692"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2" s="9" t="s">
        <v>3534</v>
      </c>
      <c r="I692" s="12" t="str">
        <f>RIGHT(LEFT(Table4[[#This Row],[Latest Senate Action]],FIND(" Congress",Table4[[#This Row],[Latest Senate Action]])-1),LEN(LEFT(Table4[[#This Row],[Latest Senate Action]],FIND(" Congress",Table4[[#This Row],[Latest Senate Action]])-1))-FIND("-",Table4[[#This Row],[Latest Senate Action]])-1)</f>
        <v>92nd</v>
      </c>
      <c r="J692" s="12" t="str">
        <f>RIGHT(Table4[[#This Row],[Latest Senate Action]],LEN(Table4[[#This Row],[Latest Senate Action]])-FIND(") - ",Table4[[#This Row],[Latest Senate Action]])-3)</f>
        <v xml:space="preserve">Resolution of advice and consent to ratification agreed to in Senate by Yea-Nay vote. 74-0. Record Vote No: 203 EX. (All Actions) </v>
      </c>
      <c r="K692" s="12" t="str">
        <f>INDEX(Table5[type],MATCH(Table4[[#This Row],[Action]],Table5[Action],0))</f>
        <v>Passed</v>
      </c>
      <c r="L692" s="22" t="b">
        <f>INDEX(Table1[Senate and President Same Party, House and President Different Party],MATCH(Table4[[#This Row],[Congress Acting]],Table1[Congress],0))</f>
        <v>0</v>
      </c>
    </row>
    <row r="693" spans="1:12" ht="157.5">
      <c r="A693" s="9" t="s">
        <v>915</v>
      </c>
      <c r="B693" t="s">
        <v>3535</v>
      </c>
      <c r="C693" s="9" t="s">
        <v>3536</v>
      </c>
      <c r="D693" s="13" t="s">
        <v>4173</v>
      </c>
      <c r="E693" s="9" t="s">
        <v>4278</v>
      </c>
      <c r="F693"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3" s="9" t="s">
        <v>3537</v>
      </c>
      <c r="I693" s="12" t="str">
        <f>RIGHT(LEFT(Table4[[#This Row],[Latest Senate Action]],FIND(" Congress",Table4[[#This Row],[Latest Senate Action]])-1),LEN(LEFT(Table4[[#This Row],[Latest Senate Action]],FIND(" Congress",Table4[[#This Row],[Latest Senate Action]])-1))-FIND("-",Table4[[#This Row],[Latest Senate Action]])-1)</f>
        <v>92nd</v>
      </c>
      <c r="J693" s="12" t="str">
        <f>RIGHT(Table4[[#This Row],[Latest Senate Action]],LEN(Table4[[#This Row],[Latest Senate Action]])-FIND(") - ",Table4[[#This Row],[Latest Senate Action]])-3)</f>
        <v xml:space="preserve">Resolution of advice and consent to ratification agreed to in Senate by Yea-Nay vote. 84-0. Record Vote No: 207 EX. (All Actions) </v>
      </c>
      <c r="K693" s="12" t="str">
        <f>INDEX(Table5[type],MATCH(Table4[[#This Row],[Action]],Table5[Action],0))</f>
        <v>Passed</v>
      </c>
      <c r="L693" s="22" t="b">
        <f>INDEX(Table1[Senate and President Same Party, House and President Different Party],MATCH(Table4[[#This Row],[Congress Acting]],Table1[Congress],0))</f>
        <v>0</v>
      </c>
    </row>
    <row r="694" spans="1:12" ht="157.5">
      <c r="A694" s="9" t="s">
        <v>916</v>
      </c>
      <c r="B694" t="s">
        <v>3538</v>
      </c>
      <c r="C694" s="9" t="s">
        <v>2661</v>
      </c>
      <c r="D694" s="13" t="s">
        <v>4174</v>
      </c>
      <c r="E694" s="9" t="s">
        <v>3515</v>
      </c>
      <c r="F694"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4" s="9" t="s">
        <v>3539</v>
      </c>
      <c r="I694" s="12" t="str">
        <f>RIGHT(LEFT(Table4[[#This Row],[Latest Senate Action]],FIND(" Congress",Table4[[#This Row],[Latest Senate Action]])-1),LEN(LEFT(Table4[[#This Row],[Latest Senate Action]],FIND(" Congress",Table4[[#This Row],[Latest Senate Action]])-1))-FIND("-",Table4[[#This Row],[Latest Senate Action]])-1)</f>
        <v>92nd</v>
      </c>
      <c r="J694" s="12" t="str">
        <f>RIGHT(Table4[[#This Row],[Latest Senate Action]],LEN(Table4[[#This Row],[Latest Senate Action]])-FIND(") - ",Table4[[#This Row],[Latest Senate Action]])-3)</f>
        <v xml:space="preserve">Resolution of advice and consent to ratification agreed to in Senate by Yea-Nay vote. 66-34. Record Vote No: 111 EX. (All Actions) </v>
      </c>
      <c r="K694" s="12" t="str">
        <f>INDEX(Table5[type],MATCH(Table4[[#This Row],[Action]],Table5[Action],0))</f>
        <v>Passed</v>
      </c>
      <c r="L694" s="22" t="b">
        <f>INDEX(Table1[Senate and President Same Party, House and President Different Party],MATCH(Table4[[#This Row],[Congress Acting]],Table1[Congress],0))</f>
        <v>0</v>
      </c>
    </row>
    <row r="695" spans="1:12" ht="141.75">
      <c r="A695" s="9" t="s">
        <v>917</v>
      </c>
      <c r="B695" t="s">
        <v>3540</v>
      </c>
      <c r="C695" s="9" t="s">
        <v>3541</v>
      </c>
      <c r="D695" s="13" t="s">
        <v>4175</v>
      </c>
      <c r="E695" s="9" t="s">
        <v>3542</v>
      </c>
      <c r="F695"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95" s="9" t="s">
        <v>1101</v>
      </c>
      <c r="H695" s="9" t="s">
        <v>3543</v>
      </c>
      <c r="I695" s="12" t="str">
        <f>RIGHT(LEFT(Table4[[#This Row],[Latest Senate Action]],FIND(" Congress",Table4[[#This Row],[Latest Senate Action]])-1),LEN(LEFT(Table4[[#This Row],[Latest Senate Action]],FIND(" Congress",Table4[[#This Row],[Latest Senate Action]])-1))-FIND("-",Table4[[#This Row],[Latest Senate Action]])-1)</f>
        <v>92nd</v>
      </c>
      <c r="J695" s="12" t="str">
        <f>RIGHT(Table4[[#This Row],[Latest Senate Action]],LEN(Table4[[#This Row],[Latest Senate Action]])-FIND(") - ",Table4[[#This Row],[Latest Senate Action]])-3)</f>
        <v xml:space="preserve">Resolution of advice and consent to ratification agreed to in Senate by Yea-Nay vote. 83-0. Record Vote No: 43 EX. (All Actions) </v>
      </c>
      <c r="K695" s="12" t="str">
        <f>INDEX(Table5[type],MATCH(Table4[[#This Row],[Action]],Table5[Action],0))</f>
        <v>Passed</v>
      </c>
      <c r="L695" s="22" t="b">
        <f>INDEX(Table1[Senate and President Same Party, House and President Different Party],MATCH(Table4[[#This Row],[Congress Acting]],Table1[Congress],0))</f>
        <v>0</v>
      </c>
    </row>
    <row r="696" spans="1:12" ht="141.75">
      <c r="A696" s="9" t="s">
        <v>918</v>
      </c>
      <c r="B696" t="s">
        <v>3544</v>
      </c>
      <c r="C696" s="9" t="s">
        <v>3545</v>
      </c>
      <c r="D696" s="13" t="s">
        <v>4176</v>
      </c>
      <c r="E696" s="9" t="s">
        <v>4279</v>
      </c>
      <c r="F696"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6" s="9" t="s">
        <v>3546</v>
      </c>
      <c r="I696" s="12" t="str">
        <f>RIGHT(LEFT(Table4[[#This Row],[Latest Senate Action]],FIND(" Congress",Table4[[#This Row],[Latest Senate Action]])-1),LEN(LEFT(Table4[[#This Row],[Latest Senate Action]],FIND(" Congress",Table4[[#This Row],[Latest Senate Action]])-1))-FIND("-",Table4[[#This Row],[Latest Senate Action]])-1)</f>
        <v>92nd</v>
      </c>
      <c r="J696" s="12" t="str">
        <f>RIGHT(Table4[[#This Row],[Latest Senate Action]],LEN(Table4[[#This Row],[Latest Senate Action]])-FIND(") - ",Table4[[#This Row],[Latest Senate Action]])-3)</f>
        <v xml:space="preserve">Resolution of advice and consent to ratification agreed to in Senate by Yea-Nay vote. 75-0. Record Vote No: 453 EX. (All Actions) </v>
      </c>
      <c r="K696" s="12" t="str">
        <f>INDEX(Table5[type],MATCH(Table4[[#This Row],[Action]],Table5[Action],0))</f>
        <v>Passed</v>
      </c>
      <c r="L696" s="22" t="b">
        <f>INDEX(Table1[Senate and President Same Party, House and President Different Party],MATCH(Table4[[#This Row],[Congress Acting]],Table1[Congress],0))</f>
        <v>0</v>
      </c>
    </row>
    <row r="697" spans="1:12" ht="173.25">
      <c r="A697" s="9" t="s">
        <v>919</v>
      </c>
      <c r="B697" t="s">
        <v>3547</v>
      </c>
      <c r="C697" s="9" t="s">
        <v>2957</v>
      </c>
      <c r="D697" s="13" t="s">
        <v>4177</v>
      </c>
      <c r="E697" s="9" t="s">
        <v>3548</v>
      </c>
      <c r="F697"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697" s="9" t="s">
        <v>1456</v>
      </c>
      <c r="H697" s="9" t="s">
        <v>3549</v>
      </c>
      <c r="I697" s="12" t="str">
        <f>RIGHT(LEFT(Table4[[#This Row],[Latest Senate Action]],FIND(" Congress",Table4[[#This Row],[Latest Senate Action]])-1),LEN(LEFT(Table4[[#This Row],[Latest Senate Action]],FIND(" Congress",Table4[[#This Row],[Latest Senate Action]])-1))-FIND("-",Table4[[#This Row],[Latest Senate Action]])-1)</f>
        <v>92nd</v>
      </c>
      <c r="J697" s="12" t="str">
        <f>RIGHT(Table4[[#This Row],[Latest Senate Action]],LEN(Table4[[#This Row],[Latest Senate Action]])-FIND(") - ",Table4[[#This Row],[Latest Senate Action]])-3)</f>
        <v xml:space="preserve">Resolution of advice and consent to ratification agreed to in Senate by Yea-Nay vote. 75-0. Record Vote No: 454 EX. (All Actions) </v>
      </c>
      <c r="K697" s="12" t="str">
        <f>INDEX(Table5[type],MATCH(Table4[[#This Row],[Action]],Table5[Action],0))</f>
        <v>Passed</v>
      </c>
      <c r="L697" s="22" t="b">
        <f>INDEX(Table1[Senate and President Same Party, House and President Different Party],MATCH(Table4[[#This Row],[Congress Acting]],Table1[Congress],0))</f>
        <v>0</v>
      </c>
    </row>
    <row r="698" spans="1:12" ht="189">
      <c r="A698" s="9" t="s">
        <v>920</v>
      </c>
      <c r="B698" t="s">
        <v>3550</v>
      </c>
      <c r="C698" s="9" t="s">
        <v>3551</v>
      </c>
      <c r="D698" s="13" t="s">
        <v>4178</v>
      </c>
      <c r="E698" s="9" t="s">
        <v>4280</v>
      </c>
      <c r="F698"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698" s="9" t="s">
        <v>3552</v>
      </c>
      <c r="I698" s="12" t="str">
        <f>RIGHT(LEFT(Table4[[#This Row],[Latest Senate Action]],FIND(" Congress",Table4[[#This Row],[Latest Senate Action]])-1),LEN(LEFT(Table4[[#This Row],[Latest Senate Action]],FIND(" Congress",Table4[[#This Row],[Latest Senate Action]])-1))-FIND("-",Table4[[#This Row],[Latest Senate Action]])-1)</f>
        <v>92nd</v>
      </c>
      <c r="J698" s="12" t="str">
        <f>RIGHT(Table4[[#This Row],[Latest Senate Action]],LEN(Table4[[#This Row],[Latest Senate Action]])-FIND(") - ",Table4[[#This Row],[Latest Senate Action]])-3)</f>
        <v xml:space="preserve">Resolution of advice and consent to ratification agreed to in Senate by Yea-Nay vote. 75-0. Record Vote No: 452 EX. (All Actions) </v>
      </c>
      <c r="K698" s="12" t="str">
        <f>INDEX(Table5[type],MATCH(Table4[[#This Row],[Action]],Table5[Action],0))</f>
        <v>Passed</v>
      </c>
      <c r="L698" s="22" t="b">
        <f>INDEX(Table1[Senate and President Same Party, House and President Different Party],MATCH(Table4[[#This Row],[Congress Acting]],Table1[Congress],0))</f>
        <v>0</v>
      </c>
    </row>
    <row r="699" spans="1:12" ht="157.5">
      <c r="A699" s="9" t="s">
        <v>921</v>
      </c>
      <c r="B699" t="s">
        <v>3553</v>
      </c>
      <c r="C699" s="9" t="s">
        <v>3554</v>
      </c>
      <c r="D699" s="13" t="s">
        <v>4179</v>
      </c>
      <c r="E699" s="9" t="s">
        <v>3542</v>
      </c>
      <c r="F699"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699" s="9" t="s">
        <v>3555</v>
      </c>
      <c r="I699" s="12" t="str">
        <f>RIGHT(LEFT(Table4[[#This Row],[Latest Senate Action]],FIND(" Congress",Table4[[#This Row],[Latest Senate Action]])-1),LEN(LEFT(Table4[[#This Row],[Latest Senate Action]],FIND(" Congress",Table4[[#This Row],[Latest Senate Action]])-1))-FIND("-",Table4[[#This Row],[Latest Senate Action]])-1)</f>
        <v>92nd</v>
      </c>
      <c r="J699" s="12" t="str">
        <f>RIGHT(Table4[[#This Row],[Latest Senate Action]],LEN(Table4[[#This Row],[Latest Senate Action]])-FIND(") - ",Table4[[#This Row],[Latest Senate Action]])-3)</f>
        <v xml:space="preserve">Resolution of advice and consent to ratification agreed to in Senate by Yea-Nay vote. 79-0. Record Vote No: 400 EX. (All Actions) </v>
      </c>
      <c r="K699" s="12" t="str">
        <f>INDEX(Table5[type],MATCH(Table4[[#This Row],[Action]],Table5[Action],0))</f>
        <v>Passed</v>
      </c>
      <c r="L699" s="22" t="b">
        <f>INDEX(Table1[Senate and President Same Party, House and President Different Party],MATCH(Table4[[#This Row],[Congress Acting]],Table1[Congress],0))</f>
        <v>0</v>
      </c>
    </row>
    <row r="700" spans="1:12" ht="141.75">
      <c r="A700" s="9" t="s">
        <v>922</v>
      </c>
      <c r="B700" t="s">
        <v>3556</v>
      </c>
      <c r="C700" s="9" t="s">
        <v>3557</v>
      </c>
      <c r="D700" s="13" t="s">
        <v>4180</v>
      </c>
      <c r="E700" s="9" t="s">
        <v>3494</v>
      </c>
      <c r="F700"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700" s="9" t="s">
        <v>1063</v>
      </c>
      <c r="H700" s="9" t="s">
        <v>3558</v>
      </c>
      <c r="I700" s="12" t="str">
        <f>RIGHT(LEFT(Table4[[#This Row],[Latest Senate Action]],FIND(" Congress",Table4[[#This Row],[Latest Senate Action]])-1),LEN(LEFT(Table4[[#This Row],[Latest Senate Action]],FIND(" Congress",Table4[[#This Row],[Latest Senate Action]])-1))-FIND("-",Table4[[#This Row],[Latest Senate Action]])-1)</f>
        <v>92nd</v>
      </c>
      <c r="J700" s="12" t="str">
        <f>RIGHT(Table4[[#This Row],[Latest Senate Action]],LEN(Table4[[#This Row],[Latest Senate Action]])-FIND(") - ",Table4[[#This Row],[Latest Senate Action]])-3)</f>
        <v xml:space="preserve">Resolution of advice and consent to ratification agreed to in Senate by Yea-Nay vote. 79-0. Record Vote No: 401 EX. (All Actions) </v>
      </c>
      <c r="K700" s="12" t="str">
        <f>INDEX(Table5[type],MATCH(Table4[[#This Row],[Action]],Table5[Action],0))</f>
        <v>Passed</v>
      </c>
      <c r="L700" s="22" t="b">
        <f>INDEX(Table1[Senate and President Same Party, House and President Different Party],MATCH(Table4[[#This Row],[Congress Acting]],Table1[Congress],0))</f>
        <v>0</v>
      </c>
    </row>
    <row r="701" spans="1:12" ht="157.5">
      <c r="A701" s="9" t="s">
        <v>923</v>
      </c>
      <c r="B701" t="s">
        <v>3559</v>
      </c>
      <c r="C701" s="9" t="s">
        <v>2627</v>
      </c>
      <c r="D701" s="13" t="s">
        <v>4181</v>
      </c>
      <c r="E701" s="9" t="s">
        <v>3560</v>
      </c>
      <c r="F701"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01" s="9" t="s">
        <v>1063</v>
      </c>
      <c r="H701" s="9" t="s">
        <v>3561</v>
      </c>
      <c r="I701" s="12" t="str">
        <f>RIGHT(LEFT(Table4[[#This Row],[Latest Senate Action]],FIND(" Congress",Table4[[#This Row],[Latest Senate Action]])-1),LEN(LEFT(Table4[[#This Row],[Latest Senate Action]],FIND(" Congress",Table4[[#This Row],[Latest Senate Action]])-1))-FIND("-",Table4[[#This Row],[Latest Senate Action]])-1)</f>
        <v>92nd</v>
      </c>
      <c r="J701" s="12" t="str">
        <f>RIGHT(Table4[[#This Row],[Latest Senate Action]],LEN(Table4[[#This Row],[Latest Senate Action]])-FIND(") - ",Table4[[#This Row],[Latest Senate Action]])-3)</f>
        <v xml:space="preserve">Resolution of advice and consent to ratification agreed to in Senate by Yea-Nay vote. 79-0. Record Vote No: 402 EX. (All Actions) </v>
      </c>
      <c r="K701" s="12" t="str">
        <f>INDEX(Table5[type],MATCH(Table4[[#This Row],[Action]],Table5[Action],0))</f>
        <v>Passed</v>
      </c>
      <c r="L701" s="22" t="b">
        <f>INDEX(Table1[Senate and President Same Party, House and President Different Party],MATCH(Table4[[#This Row],[Congress Acting]],Table1[Congress],0))</f>
        <v>0</v>
      </c>
    </row>
    <row r="702" spans="1:12" ht="157.5">
      <c r="A702" s="9" t="s">
        <v>924</v>
      </c>
      <c r="B702" t="s">
        <v>3562</v>
      </c>
      <c r="C702" s="9" t="s">
        <v>3563</v>
      </c>
      <c r="D702" s="13" t="s">
        <v>4182</v>
      </c>
      <c r="E702" s="9" t="s">
        <v>4281</v>
      </c>
      <c r="F702"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702" s="9" t="s">
        <v>3564</v>
      </c>
      <c r="I702" s="12" t="str">
        <f>RIGHT(LEFT(Table4[[#This Row],[Latest Senate Action]],FIND(" Congress",Table4[[#This Row],[Latest Senate Action]])-1),LEN(LEFT(Table4[[#This Row],[Latest Senate Action]],FIND(" Congress",Table4[[#This Row],[Latest Senate Action]])-1))-FIND("-",Table4[[#This Row],[Latest Senate Action]])-1)</f>
        <v>92nd</v>
      </c>
      <c r="J702" s="12" t="str">
        <f>RIGHT(Table4[[#This Row],[Latest Senate Action]],LEN(Table4[[#This Row],[Latest Senate Action]])-FIND(") - ",Table4[[#This Row],[Latest Senate Action]])-3)</f>
        <v xml:space="preserve">Resolution of advice and consent to ratification agreed to in Senate by Yea-Nay vote. 84-6. Record Vote No: 299 EX. (All Actions) </v>
      </c>
      <c r="K702" s="12" t="str">
        <f>INDEX(Table5[type],MATCH(Table4[[#This Row],[Action]],Table5[Action],0))</f>
        <v>Passed</v>
      </c>
      <c r="L702" s="22" t="b">
        <f>INDEX(Table1[Senate and President Same Party, House and President Different Party],MATCH(Table4[[#This Row],[Congress Acting]],Table1[Congress],0))</f>
        <v>0</v>
      </c>
    </row>
    <row r="703" spans="1:12" ht="189">
      <c r="A703" s="9" t="s">
        <v>925</v>
      </c>
      <c r="B703" t="s">
        <v>3565</v>
      </c>
      <c r="C703" s="9" t="s">
        <v>3566</v>
      </c>
      <c r="D703" s="13" t="s">
        <v>3883</v>
      </c>
      <c r="E703" s="9" t="s">
        <v>1812</v>
      </c>
      <c r="F703"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03" s="9" t="s">
        <v>1200</v>
      </c>
      <c r="H703" s="9" t="s">
        <v>3567</v>
      </c>
      <c r="I703" s="12" t="str">
        <f>RIGHT(LEFT(Table4[[#This Row],[Latest Senate Action]],FIND(" Congress",Table4[[#This Row],[Latest Senate Action]])-1),LEN(LEFT(Table4[[#This Row],[Latest Senate Action]],FIND(" Congress",Table4[[#This Row],[Latest Senate Action]])-1))-FIND("-",Table4[[#This Row],[Latest Senate Action]])-1)</f>
        <v>92nd</v>
      </c>
      <c r="J703" s="12" t="str">
        <f>RIGHT(Table4[[#This Row],[Latest Senate Action]],LEN(Table4[[#This Row],[Latest Senate Action]])-FIND(") - ",Table4[[#This Row],[Latest Senate Action]])-3)</f>
        <v xml:space="preserve">Resolution of advice and consent to ratification agreed to in Senate by Yea-Nay vote. 75-0. Record Vote No: 224 EX. (All Actions) </v>
      </c>
      <c r="K703" s="12" t="str">
        <f>INDEX(Table5[type],MATCH(Table4[[#This Row],[Action]],Table5[Action],0))</f>
        <v>Passed</v>
      </c>
      <c r="L703" s="22" t="b">
        <f>INDEX(Table1[Senate and President Same Party, House and President Different Party],MATCH(Table4[[#This Row],[Congress Acting]],Table1[Congress],0))</f>
        <v>0</v>
      </c>
    </row>
    <row r="704" spans="1:12" ht="173.25">
      <c r="A704" s="9" t="s">
        <v>926</v>
      </c>
      <c r="B704" t="s">
        <v>3568</v>
      </c>
      <c r="C704" s="9" t="s">
        <v>3569</v>
      </c>
      <c r="D704" s="13" t="s">
        <v>3883</v>
      </c>
      <c r="E704" s="9" t="s">
        <v>1812</v>
      </c>
      <c r="F704"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04" s="9" t="s">
        <v>1200</v>
      </c>
      <c r="H704" s="9" t="s">
        <v>3570</v>
      </c>
      <c r="I704" s="12" t="str">
        <f>RIGHT(LEFT(Table4[[#This Row],[Latest Senate Action]],FIND(" Congress",Table4[[#This Row],[Latest Senate Action]])-1),LEN(LEFT(Table4[[#This Row],[Latest Senate Action]],FIND(" Congress",Table4[[#This Row],[Latest Senate Action]])-1))-FIND("-",Table4[[#This Row],[Latest Senate Action]])-1)</f>
        <v>92nd</v>
      </c>
      <c r="J704" s="12" t="str">
        <f>RIGHT(Table4[[#This Row],[Latest Senate Action]],LEN(Table4[[#This Row],[Latest Senate Action]])-FIND(") - ",Table4[[#This Row],[Latest Senate Action]])-3)</f>
        <v xml:space="preserve">Resolution of advice and consent to ratification agreed to in Senate by Yea-Nay vote. 75-0. Record Vote No: 225 EX. (All Actions) </v>
      </c>
      <c r="K704" s="12" t="str">
        <f>INDEX(Table5[type],MATCH(Table4[[#This Row],[Action]],Table5[Action],0))</f>
        <v>Passed</v>
      </c>
      <c r="L704" s="22" t="b">
        <f>INDEX(Table1[Senate and President Same Party, House and President Different Party],MATCH(Table4[[#This Row],[Congress Acting]],Table1[Congress],0))</f>
        <v>0</v>
      </c>
    </row>
    <row r="705" spans="1:12" ht="157.5">
      <c r="A705" s="9" t="s">
        <v>927</v>
      </c>
      <c r="B705" t="s">
        <v>3571</v>
      </c>
      <c r="C705" s="9" t="s">
        <v>3572</v>
      </c>
      <c r="D705" s="13" t="s">
        <v>4183</v>
      </c>
      <c r="E705" s="9" t="s">
        <v>4282</v>
      </c>
      <c r="F705"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H705" s="9" t="s">
        <v>3573</v>
      </c>
      <c r="I705" s="12" t="str">
        <f>RIGHT(LEFT(Table4[[#This Row],[Latest Senate Action]],FIND(" Congress",Table4[[#This Row],[Latest Senate Action]])-1),LEN(LEFT(Table4[[#This Row],[Latest Senate Action]],FIND(" Congress",Table4[[#This Row],[Latest Senate Action]])-1))-FIND("-",Table4[[#This Row],[Latest Senate Action]])-1)</f>
        <v>92nd</v>
      </c>
      <c r="J705" s="12" t="str">
        <f>RIGHT(Table4[[#This Row],[Latest Senate Action]],LEN(Table4[[#This Row],[Latest Senate Action]])-FIND(") - ",Table4[[#This Row],[Latest Senate Action]])-3)</f>
        <v xml:space="preserve">Resolution of advice and consent to ratification agreed to in Senate by Yea-Nay vote. 53-0. Record Vote No: 213 EX. (All Actions) </v>
      </c>
      <c r="K705" s="12" t="str">
        <f>INDEX(Table5[type],MATCH(Table4[[#This Row],[Action]],Table5[Action],0))</f>
        <v>Passed</v>
      </c>
      <c r="L705" s="22" t="b">
        <f>INDEX(Table1[Senate and President Same Party, House and President Different Party],MATCH(Table4[[#This Row],[Congress Acting]],Table1[Congress],0))</f>
        <v>0</v>
      </c>
    </row>
    <row r="706" spans="1:12" ht="157.5">
      <c r="A706" s="9" t="s">
        <v>928</v>
      </c>
      <c r="B706" t="s">
        <v>3574</v>
      </c>
      <c r="C706" s="9" t="s">
        <v>3575</v>
      </c>
      <c r="D706" s="13" t="s">
        <v>4184</v>
      </c>
      <c r="E706" s="9" t="s">
        <v>3576</v>
      </c>
      <c r="F706" t="str">
        <f>RIGHT(LEFT(Table4[[#This Row],[Date Received from President]],FIND(" Congress",Table4[[#This Row],[Date Received from President]])-1),LEN(LEFT(Table4[[#This Row],[Date Received from President]],FIND(" Congress",Table4[[#This Row],[Date Received from President]])-1))-FIND("-",Table4[[#This Row],[Date Received from President]])-1)</f>
        <v>92nd</v>
      </c>
      <c r="G706" s="9" t="s">
        <v>1052</v>
      </c>
      <c r="H706" s="9" t="s">
        <v>3577</v>
      </c>
      <c r="I706" s="12" t="str">
        <f>RIGHT(LEFT(Table4[[#This Row],[Latest Senate Action]],FIND(" Congress",Table4[[#This Row],[Latest Senate Action]])-1),LEN(LEFT(Table4[[#This Row],[Latest Senate Action]],FIND(" Congress",Table4[[#This Row],[Latest Senate Action]])-1))-FIND("-",Table4[[#This Row],[Latest Senate Action]])-1)</f>
        <v>92nd</v>
      </c>
      <c r="J706" s="12" t="str">
        <f>RIGHT(Table4[[#This Row],[Latest Senate Action]],LEN(Table4[[#This Row],[Latest Senate Action]])-FIND(") - ",Table4[[#This Row],[Latest Senate Action]])-3)</f>
        <v xml:space="preserve">Resolution of advice and consent to ratification agreed to in Senate by Yea-Nay vote. 78-0. Record Vote No: 137 EX. (All Actions) </v>
      </c>
      <c r="K706" s="12" t="str">
        <f>INDEX(Table5[type],MATCH(Table4[[#This Row],[Action]],Table5[Action],0))</f>
        <v>Passed</v>
      </c>
      <c r="L706" s="22" t="b">
        <f>INDEX(Table1[Senate and President Same Party, House and President Different Party],MATCH(Table4[[#This Row],[Congress Acting]],Table1[Congress],0))</f>
        <v>0</v>
      </c>
    </row>
    <row r="707" spans="1:12" ht="173.25">
      <c r="A707" s="9" t="s">
        <v>929</v>
      </c>
      <c r="B707" t="s">
        <v>3578</v>
      </c>
      <c r="C707" s="9" t="s">
        <v>3579</v>
      </c>
      <c r="D707" s="13" t="s">
        <v>4185</v>
      </c>
      <c r="E707" s="9" t="s">
        <v>3580</v>
      </c>
      <c r="F707"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07" s="9" t="s">
        <v>1101</v>
      </c>
      <c r="H707" s="9" t="s">
        <v>3581</v>
      </c>
      <c r="I707" s="12" t="str">
        <f>RIGHT(LEFT(Table4[[#This Row],[Latest Senate Action]],FIND(" Congress",Table4[[#This Row],[Latest Senate Action]])-1),LEN(LEFT(Table4[[#This Row],[Latest Senate Action]],FIND(" Congress",Table4[[#This Row],[Latest Senate Action]])-1))-FIND("-",Table4[[#This Row],[Latest Senate Action]])-1)</f>
        <v>92nd</v>
      </c>
      <c r="J707" s="12" t="str">
        <f>RIGHT(Table4[[#This Row],[Latest Senate Action]],LEN(Table4[[#This Row],[Latest Senate Action]])-FIND(") - ",Table4[[#This Row],[Latest Senate Action]])-3)</f>
        <v xml:space="preserve">Resolution of advice and consent to ratification agreed to in Senate by Yea-Nay vote. 70-0. Record Vote No: 41 EX. (All Actions) </v>
      </c>
      <c r="K707" s="12" t="str">
        <f>INDEX(Table5[type],MATCH(Table4[[#This Row],[Action]],Table5[Action],0))</f>
        <v>Passed</v>
      </c>
      <c r="L707" s="22" t="b">
        <f>INDEX(Table1[Senate and President Same Party, House and President Different Party],MATCH(Table4[[#This Row],[Congress Acting]],Table1[Congress],0))</f>
        <v>0</v>
      </c>
    </row>
    <row r="708" spans="1:12" ht="157.5">
      <c r="A708" s="9" t="s">
        <v>930</v>
      </c>
      <c r="B708" t="s">
        <v>3582</v>
      </c>
      <c r="C708" s="9" t="s">
        <v>3583</v>
      </c>
      <c r="D708" s="13" t="s">
        <v>4254</v>
      </c>
      <c r="E708" s="9" t="s">
        <v>4283</v>
      </c>
      <c r="F708"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08" s="9" t="s">
        <v>3584</v>
      </c>
      <c r="I708" s="12" t="str">
        <f>RIGHT(LEFT(Table4[[#This Row],[Latest Senate Action]],FIND(" Congress",Table4[[#This Row],[Latest Senate Action]])-1),LEN(LEFT(Table4[[#This Row],[Latest Senate Action]],FIND(" Congress",Table4[[#This Row],[Latest Senate Action]])-1))-FIND("-",Table4[[#This Row],[Latest Senate Action]])-1)</f>
        <v>92nd</v>
      </c>
      <c r="J708" s="12" t="str">
        <f>RIGHT(Table4[[#This Row],[Latest Senate Action]],LEN(Table4[[#This Row],[Latest Senate Action]])-FIND(") - ",Table4[[#This Row],[Latest Senate Action]])-3)</f>
        <v xml:space="preserve">Resolution of advice and consent to ratification agreed to in Senate by Yea-Nay vote. 66-5. Record Vote No: 3 EX. (All Actions) </v>
      </c>
      <c r="K708" s="12" t="str">
        <f>INDEX(Table5[type],MATCH(Table4[[#This Row],[Action]],Table5[Action],0))</f>
        <v>Passed</v>
      </c>
      <c r="L708" s="22" t="b">
        <f>INDEX(Table1[Senate and President Same Party, House and President Different Party],MATCH(Table4[[#This Row],[Congress Acting]],Table1[Congress],0))</f>
        <v>0</v>
      </c>
    </row>
    <row r="709" spans="1:12" ht="157.5">
      <c r="A709" s="9" t="s">
        <v>931</v>
      </c>
      <c r="B709" t="s">
        <v>3585</v>
      </c>
      <c r="C709" s="9" t="s">
        <v>3586</v>
      </c>
      <c r="D709" s="13" t="s">
        <v>4186</v>
      </c>
      <c r="E709" s="9" t="s">
        <v>3587</v>
      </c>
      <c r="F709"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09" s="9" t="s">
        <v>1013</v>
      </c>
      <c r="H709" s="9" t="s">
        <v>3588</v>
      </c>
      <c r="I709" s="12" t="str">
        <f>RIGHT(LEFT(Table4[[#This Row],[Latest Senate Action]],FIND(" Congress",Table4[[#This Row],[Latest Senate Action]])-1),LEN(LEFT(Table4[[#This Row],[Latest Senate Action]],FIND(" Congress",Table4[[#This Row],[Latest Senate Action]])-1))-FIND("-",Table4[[#This Row],[Latest Senate Action]])-1)</f>
        <v>92nd</v>
      </c>
      <c r="J709" s="12" t="str">
        <f>RIGHT(Table4[[#This Row],[Latest Senate Action]],LEN(Table4[[#This Row],[Latest Senate Action]])-FIND(") - ",Table4[[#This Row],[Latest Senate Action]])-3)</f>
        <v xml:space="preserve">Resolution of advice and consent to ratification agreed to in Senate by Yea-Nay vote. 72-0. Record Vote No: 4 EX. (All Actions) </v>
      </c>
      <c r="K709" s="12" t="str">
        <f>INDEX(Table5[type],MATCH(Table4[[#This Row],[Action]],Table5[Action],0))</f>
        <v>Passed</v>
      </c>
      <c r="L709" s="22" t="b">
        <f>INDEX(Table1[Senate and President Same Party, House and President Different Party],MATCH(Table4[[#This Row],[Congress Acting]],Table1[Congress],0))</f>
        <v>0</v>
      </c>
    </row>
    <row r="710" spans="1:12" ht="173.25">
      <c r="A710" s="9" t="s">
        <v>932</v>
      </c>
      <c r="B710" t="s">
        <v>3589</v>
      </c>
      <c r="C710" s="9" t="s">
        <v>3590</v>
      </c>
      <c r="D710" s="13" t="s">
        <v>4187</v>
      </c>
      <c r="E710" s="9" t="s">
        <v>4283</v>
      </c>
      <c r="F710"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10" s="9" t="s">
        <v>3591</v>
      </c>
      <c r="I710" s="12" t="str">
        <f>RIGHT(LEFT(Table4[[#This Row],[Latest Senate Action]],FIND(" Congress",Table4[[#This Row],[Latest Senate Action]])-1),LEN(LEFT(Table4[[#This Row],[Latest Senate Action]],FIND(" Congress",Table4[[#This Row],[Latest Senate Action]])-1))-FIND("-",Table4[[#This Row],[Latest Senate Action]])-1)</f>
        <v>92nd</v>
      </c>
      <c r="J710" s="12" t="str">
        <f>RIGHT(Table4[[#This Row],[Latest Senate Action]],LEN(Table4[[#This Row],[Latest Senate Action]])-FIND(") - ",Table4[[#This Row],[Latest Senate Action]])-3)</f>
        <v xml:space="preserve">Resolution of advice and consent to ratification agreed to in Senate by Yea-Nay vote. 72-0. Record Vote No: 2 EX. (All Actions) </v>
      </c>
      <c r="K710" s="12" t="str">
        <f>INDEX(Table5[type],MATCH(Table4[[#This Row],[Action]],Table5[Action],0))</f>
        <v>Passed</v>
      </c>
      <c r="L710" s="22" t="b">
        <f>INDEX(Table1[Senate and President Same Party, House and President Different Party],MATCH(Table4[[#This Row],[Congress Acting]],Table1[Congress],0))</f>
        <v>0</v>
      </c>
    </row>
    <row r="711" spans="1:12" ht="157.5">
      <c r="A711" s="9" t="s">
        <v>933</v>
      </c>
      <c r="B711" t="s">
        <v>3592</v>
      </c>
      <c r="C711" s="9" t="s">
        <v>2318</v>
      </c>
      <c r="D711" s="13" t="s">
        <v>4188</v>
      </c>
      <c r="E711" s="9" t="s">
        <v>3593</v>
      </c>
      <c r="F711"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1" s="9" t="s">
        <v>1063</v>
      </c>
      <c r="H711" s="9" t="s">
        <v>3594</v>
      </c>
      <c r="I711" s="12" t="str">
        <f>RIGHT(LEFT(Table4[[#This Row],[Latest Senate Action]],FIND(" Congress",Table4[[#This Row],[Latest Senate Action]])-1),LEN(LEFT(Table4[[#This Row],[Latest Senate Action]],FIND(" Congress",Table4[[#This Row],[Latest Senate Action]])-1))-FIND("-",Table4[[#This Row],[Latest Senate Action]])-1)</f>
        <v>91st</v>
      </c>
      <c r="J711" s="12" t="str">
        <f>RIGHT(Table4[[#This Row],[Latest Senate Action]],LEN(Table4[[#This Row],[Latest Senate Action]])-FIND(") - ",Table4[[#This Row],[Latest Senate Action]])-3)</f>
        <v xml:space="preserve">Resolution of advice and consent to ratification agreed to in Senate by Yea-Nay vote. 76-0. Record Vote No: 398 EX. (All Actions) </v>
      </c>
      <c r="K711" s="12" t="str">
        <f>INDEX(Table5[type],MATCH(Table4[[#This Row],[Action]],Table5[Action],0))</f>
        <v>Passed</v>
      </c>
      <c r="L711" s="22" t="b">
        <f>INDEX(Table1[Senate and President Same Party, House and President Different Party],MATCH(Table4[[#This Row],[Congress Acting]],Table1[Congress],0))</f>
        <v>0</v>
      </c>
    </row>
    <row r="712" spans="1:12" ht="157.5">
      <c r="A712" s="9" t="s">
        <v>934</v>
      </c>
      <c r="B712" t="s">
        <v>3595</v>
      </c>
      <c r="C712" s="9" t="s">
        <v>3596</v>
      </c>
      <c r="D712" s="13" t="s">
        <v>4189</v>
      </c>
      <c r="E712" s="9" t="s">
        <v>3597</v>
      </c>
      <c r="F712"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2" s="9" t="s">
        <v>1063</v>
      </c>
      <c r="H712" s="9" t="s">
        <v>3598</v>
      </c>
      <c r="I712" s="12" t="str">
        <f>RIGHT(LEFT(Table4[[#This Row],[Latest Senate Action]],FIND(" Congress",Table4[[#This Row],[Latest Senate Action]])-1),LEN(LEFT(Table4[[#This Row],[Latest Senate Action]],FIND(" Congress",Table4[[#This Row],[Latest Senate Action]])-1))-FIND("-",Table4[[#This Row],[Latest Senate Action]])-1)</f>
        <v>91st</v>
      </c>
      <c r="J712" s="12" t="str">
        <f>RIGHT(Table4[[#This Row],[Latest Senate Action]],LEN(Table4[[#This Row],[Latest Senate Action]])-FIND(") - ",Table4[[#This Row],[Latest Senate Action]])-3)</f>
        <v xml:space="preserve">Resolution of advice and consent to ratification agreed to in Senate by Yea-Nay vote. 76-0. Record Vote No: 399 EX. (All Actions) </v>
      </c>
      <c r="K712" s="12" t="str">
        <f>INDEX(Table5[type],MATCH(Table4[[#This Row],[Action]],Table5[Action],0))</f>
        <v>Passed</v>
      </c>
      <c r="L712" s="22" t="b">
        <f>INDEX(Table1[Senate and President Same Party, House and President Different Party],MATCH(Table4[[#This Row],[Congress Acting]],Table1[Congress],0))</f>
        <v>0</v>
      </c>
    </row>
    <row r="713" spans="1:12" ht="141.75">
      <c r="A713" s="9" t="s">
        <v>935</v>
      </c>
      <c r="B713" t="s">
        <v>3599</v>
      </c>
      <c r="C713" s="9" t="s">
        <v>3600</v>
      </c>
      <c r="D713" s="13" t="s">
        <v>4190</v>
      </c>
      <c r="E713" s="9" t="s">
        <v>3601</v>
      </c>
      <c r="F713"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3" s="9" t="s">
        <v>1063</v>
      </c>
      <c r="H713" s="9" t="s">
        <v>3602</v>
      </c>
      <c r="I713" s="12" t="str">
        <f>RIGHT(LEFT(Table4[[#This Row],[Latest Senate Action]],FIND(" Congress",Table4[[#This Row],[Latest Senate Action]])-1),LEN(LEFT(Table4[[#This Row],[Latest Senate Action]],FIND(" Congress",Table4[[#This Row],[Latest Senate Action]])-1))-FIND("-",Table4[[#This Row],[Latest Senate Action]])-1)</f>
        <v>91st</v>
      </c>
      <c r="J713" s="12" t="str">
        <f>RIGHT(Table4[[#This Row],[Latest Senate Action]],LEN(Table4[[#This Row],[Latest Senate Action]])-FIND(") - ",Table4[[#This Row],[Latest Senate Action]])-3)</f>
        <v xml:space="preserve">Resolution of advice and consent to ratification agreed to in Senate by Yea-Nay vote. 76-0. Record Vote No: 400 EX. (All Actions) </v>
      </c>
      <c r="K713" s="12" t="str">
        <f>INDEX(Table5[type],MATCH(Table4[[#This Row],[Action]],Table5[Action],0))</f>
        <v>Passed</v>
      </c>
      <c r="L713" s="22" t="b">
        <f>INDEX(Table1[Senate and President Same Party, House and President Different Party],MATCH(Table4[[#This Row],[Congress Acting]],Table1[Congress],0))</f>
        <v>0</v>
      </c>
    </row>
    <row r="714" spans="1:12" ht="157.5">
      <c r="A714" s="9" t="s">
        <v>936</v>
      </c>
      <c r="B714" t="s">
        <v>3603</v>
      </c>
      <c r="C714" s="9" t="s">
        <v>3604</v>
      </c>
      <c r="D714" s="13" t="s">
        <v>4191</v>
      </c>
      <c r="E714" s="9" t="s">
        <v>3580</v>
      </c>
      <c r="F714"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4" s="9" t="s">
        <v>1063</v>
      </c>
      <c r="H714" s="9" t="s">
        <v>3605</v>
      </c>
      <c r="I714" s="12" t="str">
        <f>RIGHT(LEFT(Table4[[#This Row],[Latest Senate Action]],FIND(" Congress",Table4[[#This Row],[Latest Senate Action]])-1),LEN(LEFT(Table4[[#This Row],[Latest Senate Action]],FIND(" Congress",Table4[[#This Row],[Latest Senate Action]])-1))-FIND("-",Table4[[#This Row],[Latest Senate Action]])-1)</f>
        <v>91st</v>
      </c>
      <c r="J714" s="12" t="str">
        <f>RIGHT(Table4[[#This Row],[Latest Senate Action]],LEN(Table4[[#This Row],[Latest Senate Action]])-FIND(") - ",Table4[[#This Row],[Latest Senate Action]])-3)</f>
        <v xml:space="preserve">Resolution of advice and consent to ratification agreed to in Senate by Yea-Nay vote. 76-0. Record Vote No: 401 EX. (All Actions) </v>
      </c>
      <c r="K714" s="12" t="str">
        <f>INDEX(Table5[type],MATCH(Table4[[#This Row],[Action]],Table5[Action],0))</f>
        <v>Passed</v>
      </c>
      <c r="L714" s="22" t="b">
        <f>INDEX(Table1[Senate and President Same Party, House and President Different Party],MATCH(Table4[[#This Row],[Congress Acting]],Table1[Congress],0))</f>
        <v>0</v>
      </c>
    </row>
    <row r="715" spans="1:12" ht="157.5">
      <c r="A715" s="9" t="s">
        <v>937</v>
      </c>
      <c r="B715" t="s">
        <v>3606</v>
      </c>
      <c r="C715" s="9" t="s">
        <v>3607</v>
      </c>
      <c r="D715" s="13" t="s">
        <v>4192</v>
      </c>
      <c r="E715" s="9" t="s">
        <v>3601</v>
      </c>
      <c r="F715"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5" s="9" t="s">
        <v>1013</v>
      </c>
      <c r="H715" s="9" t="s">
        <v>3608</v>
      </c>
      <c r="I715" s="12" t="str">
        <f>RIGHT(LEFT(Table4[[#This Row],[Latest Senate Action]],FIND(" Congress",Table4[[#This Row],[Latest Senate Action]])-1),LEN(LEFT(Table4[[#This Row],[Latest Senate Action]],FIND(" Congress",Table4[[#This Row],[Latest Senate Action]])-1))-FIND("-",Table4[[#This Row],[Latest Senate Action]])-1)</f>
        <v>91st</v>
      </c>
      <c r="J715" s="12" t="str">
        <f>RIGHT(Table4[[#This Row],[Latest Senate Action]],LEN(Table4[[#This Row],[Latest Senate Action]])-FIND(") - ",Table4[[#This Row],[Latest Senate Action]])-3)</f>
        <v xml:space="preserve">Resolution of advice and consent to ratification agreed to in Senate by Yea-Nay vote. 66-0. Record Vote No: 320 EX. (All Actions) </v>
      </c>
      <c r="K715" s="12" t="str">
        <f>INDEX(Table5[type],MATCH(Table4[[#This Row],[Action]],Table5[Action],0))</f>
        <v>Passed</v>
      </c>
      <c r="L715" s="22" t="b">
        <f>INDEX(Table1[Senate and President Same Party, House and President Different Party],MATCH(Table4[[#This Row],[Congress Acting]],Table1[Congress],0))</f>
        <v>0</v>
      </c>
    </row>
    <row r="716" spans="1:12" ht="157.5">
      <c r="A716" s="9" t="s">
        <v>938</v>
      </c>
      <c r="B716" t="s">
        <v>3609</v>
      </c>
      <c r="C716" s="9" t="s">
        <v>3610</v>
      </c>
      <c r="D716" s="13" t="s">
        <v>4193</v>
      </c>
      <c r="E716" s="9" t="s">
        <v>4284</v>
      </c>
      <c r="F716"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16" s="9" t="s">
        <v>3611</v>
      </c>
      <c r="I716" s="12" t="str">
        <f>RIGHT(LEFT(Table4[[#This Row],[Latest Senate Action]],FIND(" Congress",Table4[[#This Row],[Latest Senate Action]])-1),LEN(LEFT(Table4[[#This Row],[Latest Senate Action]],FIND(" Congress",Table4[[#This Row],[Latest Senate Action]])-1))-FIND("-",Table4[[#This Row],[Latest Senate Action]])-1)</f>
        <v>91st</v>
      </c>
      <c r="J716" s="12" t="str">
        <f>RIGHT(Table4[[#This Row],[Latest Senate Action]],LEN(Table4[[#This Row],[Latest Senate Action]])-FIND(") - ",Table4[[#This Row],[Latest Senate Action]])-3)</f>
        <v xml:space="preserve">Resolution of advice and consent to ratification agreed to in Senate by Yea-Nay vote. 79-0. Record Vote No: 150 EX. (All Actions) </v>
      </c>
      <c r="K716" s="12" t="str">
        <f>INDEX(Table5[type],MATCH(Table4[[#This Row],[Action]],Table5[Action],0))</f>
        <v>Passed</v>
      </c>
      <c r="L716" s="22" t="b">
        <f>INDEX(Table1[Senate and President Same Party, House and President Different Party],MATCH(Table4[[#This Row],[Congress Acting]],Table1[Congress],0))</f>
        <v>0</v>
      </c>
    </row>
    <row r="717" spans="1:12" ht="157.5">
      <c r="A717" s="9" t="s">
        <v>939</v>
      </c>
      <c r="B717" t="s">
        <v>3612</v>
      </c>
      <c r="C717" s="9" t="s">
        <v>3613</v>
      </c>
      <c r="D717" s="13" t="s">
        <v>4194</v>
      </c>
      <c r="E717" s="9" t="s">
        <v>3597</v>
      </c>
      <c r="F717"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7" s="9" t="s">
        <v>1013</v>
      </c>
      <c r="H717" s="9" t="s">
        <v>3614</v>
      </c>
      <c r="I717" s="12" t="str">
        <f>RIGHT(LEFT(Table4[[#This Row],[Latest Senate Action]],FIND(" Congress",Table4[[#This Row],[Latest Senate Action]])-1),LEN(LEFT(Table4[[#This Row],[Latest Senate Action]],FIND(" Congress",Table4[[#This Row],[Latest Senate Action]])-1))-FIND("-",Table4[[#This Row],[Latest Senate Action]])-1)</f>
        <v>91st</v>
      </c>
      <c r="J717" s="12" t="str">
        <f>RIGHT(Table4[[#This Row],[Latest Senate Action]],LEN(Table4[[#This Row],[Latest Senate Action]])-FIND(") - ",Table4[[#This Row],[Latest Senate Action]])-3)</f>
        <v xml:space="preserve">Resolution of advice and consent to ratification agreed to in Senate by Yea-Nay vote. 79-0. Record Vote No: 151 EX. (All Actions) </v>
      </c>
      <c r="K717" s="12" t="str">
        <f>INDEX(Table5[type],MATCH(Table4[[#This Row],[Action]],Table5[Action],0))</f>
        <v>Passed</v>
      </c>
      <c r="L717" s="22" t="b">
        <f>INDEX(Table1[Senate and President Same Party, House and President Different Party],MATCH(Table4[[#This Row],[Congress Acting]],Table1[Congress],0))</f>
        <v>0</v>
      </c>
    </row>
    <row r="718" spans="1:12" ht="173.25">
      <c r="A718" s="9" t="s">
        <v>940</v>
      </c>
      <c r="B718" t="s">
        <v>3615</v>
      </c>
      <c r="C718" s="9" t="s">
        <v>3616</v>
      </c>
      <c r="D718" s="13" t="s">
        <v>4195</v>
      </c>
      <c r="E718" s="9" t="s">
        <v>3617</v>
      </c>
      <c r="F718"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18" s="9" t="s">
        <v>1112</v>
      </c>
      <c r="H718" s="9" t="s">
        <v>3618</v>
      </c>
      <c r="I718" s="12" t="str">
        <f>RIGHT(LEFT(Table4[[#This Row],[Latest Senate Action]],FIND(" Congress",Table4[[#This Row],[Latest Senate Action]])-1),LEN(LEFT(Table4[[#This Row],[Latest Senate Action]],FIND(" Congress",Table4[[#This Row],[Latest Senate Action]])-1))-FIND("-",Table4[[#This Row],[Latest Senate Action]])-1)</f>
        <v>91st</v>
      </c>
      <c r="J718" s="12" t="str">
        <f>RIGHT(Table4[[#This Row],[Latest Senate Action]],LEN(Table4[[#This Row],[Latest Senate Action]])-FIND(") - ",Table4[[#This Row],[Latest Senate Action]])-3)</f>
        <v xml:space="preserve">Resolution of advice and consent to ratification agreed to in Senate by Yea-Nay vote. 78-0. Record Vote No: 106 EX. (All Actions) </v>
      </c>
      <c r="K718" s="12" t="str">
        <f>INDEX(Table5[type],MATCH(Table4[[#This Row],[Action]],Table5[Action],0))</f>
        <v>Passed</v>
      </c>
      <c r="L718" s="22" t="b">
        <f>INDEX(Table1[Senate and President Same Party, House and President Different Party],MATCH(Table4[[#This Row],[Congress Acting]],Table1[Congress],0))</f>
        <v>0</v>
      </c>
    </row>
    <row r="719" spans="1:12" ht="157.5">
      <c r="A719" s="9" t="s">
        <v>941</v>
      </c>
      <c r="B719" t="s">
        <v>3619</v>
      </c>
      <c r="C719" s="9" t="s">
        <v>3620</v>
      </c>
      <c r="D719" s="13" t="s">
        <v>4196</v>
      </c>
      <c r="E719" s="9" t="s">
        <v>4285</v>
      </c>
      <c r="F719"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19" s="9" t="s">
        <v>3621</v>
      </c>
      <c r="I719" s="12" t="str">
        <f>RIGHT(LEFT(Table4[[#This Row],[Latest Senate Action]],FIND(" Congress",Table4[[#This Row],[Latest Senate Action]])-1),LEN(LEFT(Table4[[#This Row],[Latest Senate Action]],FIND(" Congress",Table4[[#This Row],[Latest Senate Action]])-1))-FIND("-",Table4[[#This Row],[Latest Senate Action]])-1)</f>
        <v>91st</v>
      </c>
      <c r="J719" s="12" t="str">
        <f>RIGHT(Table4[[#This Row],[Latest Senate Action]],LEN(Table4[[#This Row],[Latest Senate Action]])-FIND(") - ",Table4[[#This Row],[Latest Senate Action]])-3)</f>
        <v xml:space="preserve">Resolution of advice and consent to ratification agreed to in Senate by Yea-Nay vote. 78-0. Record Vote No: 107 EX. (All Actions) </v>
      </c>
      <c r="K719" s="12" t="str">
        <f>INDEX(Table5[type],MATCH(Table4[[#This Row],[Action]],Table5[Action],0))</f>
        <v>Passed</v>
      </c>
      <c r="L719" s="22" t="b">
        <f>INDEX(Table1[Senate and President Same Party, House and President Different Party],MATCH(Table4[[#This Row],[Congress Acting]],Table1[Congress],0))</f>
        <v>0</v>
      </c>
    </row>
    <row r="720" spans="1:12" ht="141.75">
      <c r="A720" s="9" t="s">
        <v>942</v>
      </c>
      <c r="B720" t="s">
        <v>3622</v>
      </c>
      <c r="C720" s="9" t="s">
        <v>3623</v>
      </c>
      <c r="D720" s="13" t="s">
        <v>4197</v>
      </c>
      <c r="E720" s="9" t="s">
        <v>4286</v>
      </c>
      <c r="F720"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20" s="9" t="s">
        <v>3624</v>
      </c>
      <c r="I720" s="12" t="str">
        <f>RIGHT(LEFT(Table4[[#This Row],[Latest Senate Action]],FIND(" Congress",Table4[[#This Row],[Latest Senate Action]])-1),LEN(LEFT(Table4[[#This Row],[Latest Senate Action]],FIND(" Congress",Table4[[#This Row],[Latest Senate Action]])-1))-FIND("-",Table4[[#This Row],[Latest Senate Action]])-1)</f>
        <v>91st</v>
      </c>
      <c r="J720" s="12" t="str">
        <f>RIGHT(Table4[[#This Row],[Latest Senate Action]],LEN(Table4[[#This Row],[Latest Senate Action]])-FIND(") - ",Table4[[#This Row],[Latest Senate Action]])-3)</f>
        <v xml:space="preserve">Returned to the President pursuant to S. Exec. Res. 1 agreed to on March 13, 1970. (All Actions) </v>
      </c>
      <c r="K720" s="12" t="str">
        <f>INDEX(Table5[type],MATCH(Table4[[#This Row],[Action]],Table5[Action],0))</f>
        <v>Passed</v>
      </c>
      <c r="L720" s="22" t="b">
        <f>INDEX(Table1[Senate and President Same Party, House and President Different Party],MATCH(Table4[[#This Row],[Congress Acting]],Table1[Congress],0))</f>
        <v>0</v>
      </c>
    </row>
    <row r="721" spans="1:12" ht="157.5">
      <c r="A721" s="9" t="s">
        <v>943</v>
      </c>
      <c r="B721" t="s">
        <v>3625</v>
      </c>
      <c r="C721" s="9" t="s">
        <v>3626</v>
      </c>
      <c r="D721" s="13" t="s">
        <v>4198</v>
      </c>
      <c r="E721" s="9" t="s">
        <v>4287</v>
      </c>
      <c r="F721"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1" s="9" t="s">
        <v>3627</v>
      </c>
      <c r="I721" s="12" t="str">
        <f>RIGHT(LEFT(Table4[[#This Row],[Latest Senate Action]],FIND(" Congress",Table4[[#This Row],[Latest Senate Action]])-1),LEN(LEFT(Table4[[#This Row],[Latest Senate Action]],FIND(" Congress",Table4[[#This Row],[Latest Senate Action]])-1))-FIND("-",Table4[[#This Row],[Latest Senate Action]])-1)</f>
        <v>91st</v>
      </c>
      <c r="J721" s="12" t="str">
        <f>RIGHT(Table4[[#This Row],[Latest Senate Action]],LEN(Table4[[#This Row],[Latest Senate Action]])-FIND(") - ",Table4[[#This Row],[Latest Senate Action]])-3)</f>
        <v xml:space="preserve">Resolution of advice and consent to ratification agreed to in Senate by Yea-Nay vote. 70-0. Record Vote No: 70 EX. (All Actions) </v>
      </c>
      <c r="K721" s="12" t="str">
        <f>INDEX(Table5[type],MATCH(Table4[[#This Row],[Action]],Table5[Action],0))</f>
        <v>Passed</v>
      </c>
      <c r="L721" s="22" t="b">
        <f>INDEX(Table1[Senate and President Same Party, House and President Different Party],MATCH(Table4[[#This Row],[Congress Acting]],Table1[Congress],0))</f>
        <v>0</v>
      </c>
    </row>
    <row r="722" spans="1:12" ht="157.5">
      <c r="A722" s="9" t="s">
        <v>944</v>
      </c>
      <c r="B722" t="s">
        <v>3628</v>
      </c>
      <c r="C722" s="9" t="s">
        <v>3629</v>
      </c>
      <c r="D722" s="13" t="s">
        <v>4198</v>
      </c>
      <c r="E722" s="9" t="s">
        <v>4287</v>
      </c>
      <c r="F722"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2" s="9" t="s">
        <v>3627</v>
      </c>
      <c r="I722" s="12" t="str">
        <f>RIGHT(LEFT(Table4[[#This Row],[Latest Senate Action]],FIND(" Congress",Table4[[#This Row],[Latest Senate Action]])-1),LEN(LEFT(Table4[[#This Row],[Latest Senate Action]],FIND(" Congress",Table4[[#This Row],[Latest Senate Action]])-1))-FIND("-",Table4[[#This Row],[Latest Senate Action]])-1)</f>
        <v>91st</v>
      </c>
      <c r="J722" s="12" t="str">
        <f>RIGHT(Table4[[#This Row],[Latest Senate Action]],LEN(Table4[[#This Row],[Latest Senate Action]])-FIND(") - ",Table4[[#This Row],[Latest Senate Action]])-3)</f>
        <v xml:space="preserve">Resolution of advice and consent to ratification agreed to in Senate by Yea-Nay vote. 70-0. Record Vote No: 70 EX. (All Actions) </v>
      </c>
      <c r="K722" s="12" t="str">
        <f>INDEX(Table5[type],MATCH(Table4[[#This Row],[Action]],Table5[Action],0))</f>
        <v>Passed</v>
      </c>
      <c r="L722" s="22" t="b">
        <f>INDEX(Table1[Senate and President Same Party, House and President Different Party],MATCH(Table4[[#This Row],[Congress Acting]],Table1[Congress],0))</f>
        <v>0</v>
      </c>
    </row>
    <row r="723" spans="1:12" ht="157.5">
      <c r="A723" s="9" t="s">
        <v>945</v>
      </c>
      <c r="B723" t="s">
        <v>3630</v>
      </c>
      <c r="C723" s="9" t="s">
        <v>3631</v>
      </c>
      <c r="D723" s="13" t="s">
        <v>4199</v>
      </c>
      <c r="E723" s="9" t="s">
        <v>4288</v>
      </c>
      <c r="F723"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3" s="9" t="s">
        <v>3632</v>
      </c>
      <c r="I723" s="12" t="str">
        <f>RIGHT(LEFT(Table4[[#This Row],[Latest Senate Action]],FIND(" Congress",Table4[[#This Row],[Latest Senate Action]])-1),LEN(LEFT(Table4[[#This Row],[Latest Senate Action]],FIND(" Congress",Table4[[#This Row],[Latest Senate Action]])-1))-FIND("-",Table4[[#This Row],[Latest Senate Action]])-1)</f>
        <v>91st</v>
      </c>
      <c r="J723" s="12" t="str">
        <f>RIGHT(Table4[[#This Row],[Latest Senate Action]],LEN(Table4[[#This Row],[Latest Senate Action]])-FIND(") - ",Table4[[#This Row],[Latest Senate Action]])-3)</f>
        <v xml:space="preserve">Received in the Senate and referred to the Committee on Foreign Relations by unanimous consent. (All Actions) </v>
      </c>
      <c r="K723" s="12" t="str">
        <f>INDEX(Table5[type],MATCH(Table4[[#This Row],[Action]],Table5[Action],0))</f>
        <v>In Process</v>
      </c>
      <c r="L723" s="22" t="b">
        <f>INDEX(Table1[Senate and President Same Party, House and President Different Party],MATCH(Table4[[#This Row],[Congress Acting]],Table1[Congress],0))</f>
        <v>0</v>
      </c>
    </row>
    <row r="724" spans="1:12" ht="157.5">
      <c r="A724" s="9" t="s">
        <v>946</v>
      </c>
      <c r="B724" t="s">
        <v>3633</v>
      </c>
      <c r="C724" s="9" t="s">
        <v>3634</v>
      </c>
      <c r="D724" s="13" t="s">
        <v>4200</v>
      </c>
      <c r="E724" s="9" t="s">
        <v>3635</v>
      </c>
      <c r="F724"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24" s="9" t="s">
        <v>1766</v>
      </c>
      <c r="H724" s="9" t="s">
        <v>3636</v>
      </c>
      <c r="I724" s="12" t="str">
        <f>RIGHT(LEFT(Table4[[#This Row],[Latest Senate Action]],FIND(" Congress",Table4[[#This Row],[Latest Senate Action]])-1),LEN(LEFT(Table4[[#This Row],[Latest Senate Action]],FIND(" Congress",Table4[[#This Row],[Latest Senate Action]])-1))-FIND("-",Table4[[#This Row],[Latest Senate Action]])-1)</f>
        <v>91st</v>
      </c>
      <c r="J724" s="12" t="str">
        <f>RIGHT(Table4[[#This Row],[Latest Senate Action]],LEN(Table4[[#This Row],[Latest Senate Action]])-FIND(") - ",Table4[[#This Row],[Latest Senate Action]])-3)</f>
        <v xml:space="preserve">Resolution of advice and consent to ratification agreed to in Senate by Yea-Nay vote. 71-0. Record Vote No: 142 EX. (All Actions) </v>
      </c>
      <c r="K724" s="12" t="str">
        <f>INDEX(Table5[type],MATCH(Table4[[#This Row],[Action]],Table5[Action],0))</f>
        <v>Passed</v>
      </c>
      <c r="L724" s="22" t="b">
        <f>INDEX(Table1[Senate and President Same Party, House and President Different Party],MATCH(Table4[[#This Row],[Congress Acting]],Table1[Congress],0))</f>
        <v>0</v>
      </c>
    </row>
    <row r="725" spans="1:12" ht="157.5">
      <c r="A725" s="9" t="s">
        <v>947</v>
      </c>
      <c r="B725" t="s">
        <v>3637</v>
      </c>
      <c r="C725" s="9" t="s">
        <v>3638</v>
      </c>
      <c r="D725" s="13" t="s">
        <v>4201</v>
      </c>
      <c r="E725" s="9" t="s">
        <v>4289</v>
      </c>
      <c r="F725"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5" s="9" t="s">
        <v>3639</v>
      </c>
      <c r="I725" s="12" t="str">
        <f>RIGHT(LEFT(Table4[[#This Row],[Latest Senate Action]],FIND(" Congress",Table4[[#This Row],[Latest Senate Action]])-1),LEN(LEFT(Table4[[#This Row],[Latest Senate Action]],FIND(" Congress",Table4[[#This Row],[Latest Senate Action]])-1))-FIND("-",Table4[[#This Row],[Latest Senate Action]])-1)</f>
        <v>91st</v>
      </c>
      <c r="J725" s="12" t="str">
        <f>RIGHT(Table4[[#This Row],[Latest Senate Action]],LEN(Table4[[#This Row],[Latest Senate Action]])-FIND(") - ",Table4[[#This Row],[Latest Senate Action]])-3)</f>
        <v xml:space="preserve">Resolution of advice and consent to ratification agreed to in Senate by Yea-Nay vote. 67-3. Record Vote No: 143 EX. (All Actions) </v>
      </c>
      <c r="K725" s="12" t="str">
        <f>INDEX(Table5[type],MATCH(Table4[[#This Row],[Action]],Table5[Action],0))</f>
        <v>Passed</v>
      </c>
      <c r="L725" s="22" t="b">
        <f>INDEX(Table1[Senate and President Same Party, House and President Different Party],MATCH(Table4[[#This Row],[Congress Acting]],Table1[Congress],0))</f>
        <v>0</v>
      </c>
    </row>
    <row r="726" spans="1:12" ht="173.25">
      <c r="A726" s="9" t="s">
        <v>948</v>
      </c>
      <c r="B726" t="s">
        <v>3640</v>
      </c>
      <c r="C726" s="9" t="s">
        <v>3641</v>
      </c>
      <c r="D726" s="13" t="s">
        <v>4202</v>
      </c>
      <c r="E726" s="9" t="s">
        <v>3642</v>
      </c>
      <c r="F726"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26" s="9" t="s">
        <v>1112</v>
      </c>
      <c r="H726" s="9" t="s">
        <v>3643</v>
      </c>
      <c r="I726" s="12" t="str">
        <f>RIGHT(LEFT(Table4[[#This Row],[Latest Senate Action]],FIND(" Congress",Table4[[#This Row],[Latest Senate Action]])-1),LEN(LEFT(Table4[[#This Row],[Latest Senate Action]],FIND(" Congress",Table4[[#This Row],[Latest Senate Action]])-1))-FIND("-",Table4[[#This Row],[Latest Senate Action]])-1)</f>
        <v>91st</v>
      </c>
      <c r="J726" s="12" t="str">
        <f>RIGHT(Table4[[#This Row],[Latest Senate Action]],LEN(Table4[[#This Row],[Latest Senate Action]])-FIND(") - ",Table4[[#This Row],[Latest Senate Action]])-3)</f>
        <v xml:space="preserve">Resolution of advice and consent to ratification agreed to in Senate by Yea-Nay vote. 80-0. Record Vote No: 129 EX. (All Actions) </v>
      </c>
      <c r="K726" s="12" t="str">
        <f>INDEX(Table5[type],MATCH(Table4[[#This Row],[Action]],Table5[Action],0))</f>
        <v>Passed</v>
      </c>
      <c r="L726" s="22" t="b">
        <f>INDEX(Table1[Senate and President Same Party, House and President Different Party],MATCH(Table4[[#This Row],[Congress Acting]],Table1[Congress],0))</f>
        <v>0</v>
      </c>
    </row>
    <row r="727" spans="1:12" ht="157.5">
      <c r="A727" s="9" t="s">
        <v>949</v>
      </c>
      <c r="B727" t="s">
        <v>3644</v>
      </c>
      <c r="C727" s="9" t="s">
        <v>3645</v>
      </c>
      <c r="D727" s="13" t="s">
        <v>4203</v>
      </c>
      <c r="E727" s="9" t="s">
        <v>3646</v>
      </c>
      <c r="F727"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G727" s="9" t="s">
        <v>1766</v>
      </c>
      <c r="H727" s="9" t="s">
        <v>3647</v>
      </c>
      <c r="I727" s="12" t="str">
        <f>RIGHT(LEFT(Table4[[#This Row],[Latest Senate Action]],FIND(" Congress",Table4[[#This Row],[Latest Senate Action]])-1),LEN(LEFT(Table4[[#This Row],[Latest Senate Action]],FIND(" Congress",Table4[[#This Row],[Latest Senate Action]])-1))-FIND("-",Table4[[#This Row],[Latest Senate Action]])-1)</f>
        <v>91st</v>
      </c>
      <c r="J727" s="12" t="str">
        <f>RIGHT(Table4[[#This Row],[Latest Senate Action]],LEN(Table4[[#This Row],[Latest Senate Action]])-FIND(") - ",Table4[[#This Row],[Latest Senate Action]])-3)</f>
        <v xml:space="preserve">Resolution of advice and consent to ratification agreed to in Senate by Yea-Nay vote. 81-0. Record Vote No: 130 EX. (All Actions) </v>
      </c>
      <c r="K727" s="12" t="str">
        <f>INDEX(Table5[type],MATCH(Table4[[#This Row],[Action]],Table5[Action],0))</f>
        <v>Passed</v>
      </c>
      <c r="L727" s="22" t="b">
        <f>INDEX(Table1[Senate and President Same Party, House and President Different Party],MATCH(Table4[[#This Row],[Congress Acting]],Table1[Congress],0))</f>
        <v>0</v>
      </c>
    </row>
    <row r="728" spans="1:12" ht="141.75">
      <c r="A728" s="9" t="s">
        <v>950</v>
      </c>
      <c r="B728" t="s">
        <v>3648</v>
      </c>
      <c r="C728" s="9" t="s">
        <v>3649</v>
      </c>
      <c r="D728" s="13" t="s">
        <v>4204</v>
      </c>
      <c r="E728" s="9" t="s">
        <v>4290</v>
      </c>
      <c r="F728"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8" s="9" t="s">
        <v>3650</v>
      </c>
      <c r="I728" s="12" t="str">
        <f>RIGHT(LEFT(Table4[[#This Row],[Latest Senate Action]],FIND(" Congress",Table4[[#This Row],[Latest Senate Action]])-1),LEN(LEFT(Table4[[#This Row],[Latest Senate Action]],FIND(" Congress",Table4[[#This Row],[Latest Senate Action]])-1))-FIND("-",Table4[[#This Row],[Latest Senate Action]])-1)</f>
        <v>91st</v>
      </c>
      <c r="J728" s="12" t="str">
        <f>RIGHT(Table4[[#This Row],[Latest Senate Action]],LEN(Table4[[#This Row],[Latest Senate Action]])-FIND(") - ",Table4[[#This Row],[Latest Senate Action]])-3)</f>
        <v xml:space="preserve">Resolution of advice and consent to ratification agreed to in Senate by Yea-Nay vote. 89-0. Record Vote No: 46 EX. (All Actions) </v>
      </c>
      <c r="K728" s="12" t="str">
        <f>INDEX(Table5[type],MATCH(Table4[[#This Row],[Action]],Table5[Action],0))</f>
        <v>Passed</v>
      </c>
      <c r="L728" s="22" t="b">
        <f>INDEX(Table1[Senate and President Same Party, House and President Different Party],MATCH(Table4[[#This Row],[Congress Acting]],Table1[Congress],0))</f>
        <v>0</v>
      </c>
    </row>
    <row r="729" spans="1:12" ht="173.25">
      <c r="A729" s="9" t="s">
        <v>951</v>
      </c>
      <c r="B729" t="s">
        <v>3651</v>
      </c>
      <c r="C729" s="9" t="s">
        <v>3652</v>
      </c>
      <c r="D729" s="13" t="s">
        <v>4205</v>
      </c>
      <c r="E729" s="9" t="s">
        <v>4291</v>
      </c>
      <c r="F729" t="str">
        <f>RIGHT(LEFT(Table4[[#This Row],[Date Received from President]],FIND(" Congress",Table4[[#This Row],[Date Received from President]])-1),LEN(LEFT(Table4[[#This Row],[Date Received from President]],FIND(" Congress",Table4[[#This Row],[Date Received from President]])-1))-FIND("-",Table4[[#This Row],[Date Received from President]])-1)</f>
        <v>91st</v>
      </c>
      <c r="H729" s="9" t="s">
        <v>3653</v>
      </c>
      <c r="I729" s="12" t="str">
        <f>RIGHT(LEFT(Table4[[#This Row],[Latest Senate Action]],FIND(" Congress",Table4[[#This Row],[Latest Senate Action]])-1),LEN(LEFT(Table4[[#This Row],[Latest Senate Action]],FIND(" Congress",Table4[[#This Row],[Latest Senate Action]])-1))-FIND("-",Table4[[#This Row],[Latest Senate Action]])-1)</f>
        <v>91st</v>
      </c>
      <c r="J729" s="12" t="str">
        <f>RIGHT(Table4[[#This Row],[Latest Senate Action]],LEN(Table4[[#This Row],[Latest Senate Action]])-FIND(") - ",Table4[[#This Row],[Latest Senate Action]])-3)</f>
        <v xml:space="preserve">Resolution of advice and consent to ratification agreed to in Senate by Yea-Nay vote. 94-0. Record Vote No: 30 EX. (All Actions) </v>
      </c>
      <c r="K729" s="12" t="str">
        <f>INDEX(Table5[type],MATCH(Table4[[#This Row],[Action]],Table5[Action],0))</f>
        <v>Passed</v>
      </c>
      <c r="L729" s="22" t="b">
        <f>INDEX(Table1[Senate and President Same Party, House and President Different Party],MATCH(Table4[[#This Row],[Congress Acting]],Table1[Congress],0))</f>
        <v>0</v>
      </c>
    </row>
    <row r="730" spans="1:12" ht="157.5">
      <c r="A730" s="9" t="s">
        <v>952</v>
      </c>
      <c r="B730" t="s">
        <v>3654</v>
      </c>
      <c r="C730" s="9" t="s">
        <v>3655</v>
      </c>
      <c r="D730" s="13" t="s">
        <v>4206</v>
      </c>
      <c r="E730" s="9" t="s">
        <v>4292</v>
      </c>
      <c r="F730"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30" s="9" t="s">
        <v>3656</v>
      </c>
      <c r="I730" s="12" t="str">
        <f>RIGHT(LEFT(Table4[[#This Row],[Latest Senate Action]],FIND(" Congress",Table4[[#This Row],[Latest Senate Action]])-1),LEN(LEFT(Table4[[#This Row],[Latest Senate Action]],FIND(" Congress",Table4[[#This Row],[Latest Senate Action]])-1))-FIND("-",Table4[[#This Row],[Latest Senate Action]])-1)</f>
        <v>91st</v>
      </c>
      <c r="J730" s="12" t="str">
        <f>RIGHT(Table4[[#This Row],[Latest Senate Action]],LEN(Table4[[#This Row],[Latest Senate Action]])-FIND(") - ",Table4[[#This Row],[Latest Senate Action]])-3)</f>
        <v xml:space="preserve">Resolution of advice and consent to ratification agreed to in Senate by Yea-Nay vote. 93-1. Record Vote No: 29 EX. (All Actions) </v>
      </c>
      <c r="K730" s="12" t="str">
        <f>INDEX(Table5[type],MATCH(Table4[[#This Row],[Action]],Table5[Action],0))</f>
        <v>Passed</v>
      </c>
      <c r="L730" s="22" t="b">
        <f>INDEX(Table1[Senate and President Same Party, House and President Different Party],MATCH(Table4[[#This Row],[Congress Acting]],Table1[Congress],0))</f>
        <v>0</v>
      </c>
    </row>
    <row r="731" spans="1:12" ht="157.5">
      <c r="A731" s="9" t="s">
        <v>953</v>
      </c>
      <c r="B731" t="s">
        <v>3657</v>
      </c>
      <c r="C731" s="9" t="s">
        <v>3658</v>
      </c>
      <c r="D731" s="13" t="s">
        <v>4255</v>
      </c>
      <c r="E731" s="9" t="s">
        <v>3659</v>
      </c>
      <c r="F731"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31" s="9" t="s">
        <v>1101</v>
      </c>
      <c r="H731" s="9" t="s">
        <v>3660</v>
      </c>
      <c r="I731" s="12" t="str">
        <f>RIGHT(LEFT(Table4[[#This Row],[Latest Senate Action]],FIND(" Congress",Table4[[#This Row],[Latest Senate Action]])-1),LEN(LEFT(Table4[[#This Row],[Latest Senate Action]],FIND(" Congress",Table4[[#This Row],[Latest Senate Action]])-1))-FIND("-",Table4[[#This Row],[Latest Senate Action]])-1)</f>
        <v>91st</v>
      </c>
      <c r="J731" s="12" t="str">
        <f>RIGHT(Table4[[#This Row],[Latest Senate Action]],LEN(Table4[[#This Row],[Latest Senate Action]])-FIND(") - ",Table4[[#This Row],[Latest Senate Action]])-3)</f>
        <v xml:space="preserve">Resolution of advice and consent to ratification agreed to in Senate by Yea-Nay vote. 83-15. Record Vote No: 23 EX. (All Actions) </v>
      </c>
      <c r="K731" s="12" t="str">
        <f>INDEX(Table5[type],MATCH(Table4[[#This Row],[Action]],Table5[Action],0))</f>
        <v>Passed</v>
      </c>
      <c r="L731" s="22" t="b">
        <f>INDEX(Table1[Senate and President Same Party, House and President Different Party],MATCH(Table4[[#This Row],[Congress Acting]],Table1[Congress],0))</f>
        <v>0</v>
      </c>
    </row>
    <row r="732" spans="1:12" ht="173.25">
      <c r="A732" s="9" t="s">
        <v>954</v>
      </c>
      <c r="B732" t="s">
        <v>3661</v>
      </c>
      <c r="C732" s="9" t="s">
        <v>3662</v>
      </c>
      <c r="D732" s="13" t="s">
        <v>4207</v>
      </c>
      <c r="E732" s="9" t="s">
        <v>4293</v>
      </c>
      <c r="F732"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32" s="9" t="s">
        <v>3663</v>
      </c>
      <c r="I732" s="12" t="str">
        <f>RIGHT(LEFT(Table4[[#This Row],[Latest Senate Action]],FIND(" Congress",Table4[[#This Row],[Latest Senate Action]])-1),LEN(LEFT(Table4[[#This Row],[Latest Senate Action]],FIND(" Congress",Table4[[#This Row],[Latest Senate Action]])-1))-FIND("-",Table4[[#This Row],[Latest Senate Action]])-1)</f>
        <v>90th</v>
      </c>
      <c r="J732" s="12" t="str">
        <f>RIGHT(Table4[[#This Row],[Latest Senate Action]],LEN(Table4[[#This Row],[Latest Senate Action]])-FIND(") - ",Table4[[#This Row],[Latest Senate Action]])-3)</f>
        <v xml:space="preserve">Resolution of advice and consent to ratification agreed to in Senate by Yea-Nay vote. 66-0. Record Vote No: 322 EX. (All Actions) </v>
      </c>
      <c r="K732" s="12" t="str">
        <f>INDEX(Table5[type],MATCH(Table4[[#This Row],[Action]],Table5[Action],0))</f>
        <v>Passed</v>
      </c>
      <c r="L732" s="22" t="b">
        <f>INDEX(Table1[Senate and President Same Party, House and President Different Party],MATCH(Table4[[#This Row],[Congress Acting]],Table1[Congress],0))</f>
        <v>1</v>
      </c>
    </row>
    <row r="733" spans="1:12" ht="173.25">
      <c r="A733" s="9" t="s">
        <v>955</v>
      </c>
      <c r="B733" t="s">
        <v>193</v>
      </c>
      <c r="C733" s="9" t="s">
        <v>3664</v>
      </c>
      <c r="D733" s="13" t="s">
        <v>4208</v>
      </c>
      <c r="E733" s="9" t="s">
        <v>3665</v>
      </c>
      <c r="F733"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33" s="9" t="s">
        <v>1164</v>
      </c>
      <c r="H733" s="9" t="s">
        <v>3666</v>
      </c>
      <c r="I733" s="12" t="str">
        <f>RIGHT(LEFT(Table4[[#This Row],[Latest Senate Action]],FIND(" Congress",Table4[[#This Row],[Latest Senate Action]])-1),LEN(LEFT(Table4[[#This Row],[Latest Senate Action]],FIND(" Congress",Table4[[#This Row],[Latest Senate Action]])-1))-FIND("-",Table4[[#This Row],[Latest Senate Action]])-1)</f>
        <v>90th</v>
      </c>
      <c r="J733" s="12" t="str">
        <f>RIGHT(Table4[[#This Row],[Latest Senate Action]],LEN(Table4[[#This Row],[Latest Senate Action]])-FIND(") - ",Table4[[#This Row],[Latest Senate Action]])-3)</f>
        <v xml:space="preserve">Resolution of advice and consent to ratification agreed to in Senate by Yea-Nay vote. 57-0. Record Vote No: 313 EX. (All Actions) </v>
      </c>
      <c r="K733" s="12" t="str">
        <f>INDEX(Table5[type],MATCH(Table4[[#This Row],[Action]],Table5[Action],0))</f>
        <v>Passed</v>
      </c>
      <c r="L733" s="22" t="b">
        <f>INDEX(Table1[Senate and President Same Party, House and President Different Party],MATCH(Table4[[#This Row],[Congress Acting]],Table1[Congress],0))</f>
        <v>1</v>
      </c>
    </row>
    <row r="734" spans="1:12" ht="157.5">
      <c r="A734" s="9" t="s">
        <v>956</v>
      </c>
      <c r="B734" t="s">
        <v>3667</v>
      </c>
      <c r="C734" s="9" t="s">
        <v>3536</v>
      </c>
      <c r="D734" s="13" t="s">
        <v>4209</v>
      </c>
      <c r="E734" s="9" t="s">
        <v>4294</v>
      </c>
      <c r="F734"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34" s="9" t="s">
        <v>3668</v>
      </c>
      <c r="I734" s="12" t="str">
        <f>RIGHT(LEFT(Table4[[#This Row],[Latest Senate Action]],FIND(" Congress",Table4[[#This Row],[Latest Senate Action]])-1),LEN(LEFT(Table4[[#This Row],[Latest Senate Action]],FIND(" Congress",Table4[[#This Row],[Latest Senate Action]])-1))-FIND("-",Table4[[#This Row],[Latest Senate Action]])-1)</f>
        <v>90th</v>
      </c>
      <c r="J734" s="12" t="str">
        <f>RIGHT(Table4[[#This Row],[Latest Senate Action]],LEN(Table4[[#This Row],[Latest Senate Action]])-FIND(") - ",Table4[[#This Row],[Latest Senate Action]])-3)</f>
        <v xml:space="preserve">Resolution of advice and consent to ratification agreed to in Senate by Yea-Nay vote. 59-0. Record Vote No: 316 EX. (All Actions) </v>
      </c>
      <c r="K734" s="12" t="str">
        <f>INDEX(Table5[type],MATCH(Table4[[#This Row],[Action]],Table5[Action],0))</f>
        <v>Passed</v>
      </c>
      <c r="L734" s="22" t="b">
        <f>INDEX(Table1[Senate and President Same Party, House and President Different Party],MATCH(Table4[[#This Row],[Congress Acting]],Table1[Congress],0))</f>
        <v>1</v>
      </c>
    </row>
    <row r="735" spans="1:12" ht="157.5">
      <c r="A735" s="9" t="s">
        <v>957</v>
      </c>
      <c r="B735" t="s">
        <v>3669</v>
      </c>
      <c r="C735" s="9" t="s">
        <v>3670</v>
      </c>
      <c r="D735" s="13" t="s">
        <v>4210</v>
      </c>
      <c r="E735" s="9" t="s">
        <v>4295</v>
      </c>
      <c r="F735"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35" s="9" t="s">
        <v>3671</v>
      </c>
      <c r="I735" s="12" t="str">
        <f>RIGHT(LEFT(Table4[[#This Row],[Latest Senate Action]],FIND(" Congress",Table4[[#This Row],[Latest Senate Action]])-1),LEN(LEFT(Table4[[#This Row],[Latest Senate Action]],FIND(" Congress",Table4[[#This Row],[Latest Senate Action]])-1))-FIND("-",Table4[[#This Row],[Latest Senate Action]])-1)</f>
        <v>90th</v>
      </c>
      <c r="J735" s="12" t="str">
        <f>RIGHT(Table4[[#This Row],[Latest Senate Action]],LEN(Table4[[#This Row],[Latest Senate Action]])-FIND(") - ",Table4[[#This Row],[Latest Senate Action]])-3)</f>
        <v xml:space="preserve">Resolution of advice and consent to ratification agreed to in Senate by Yea-Nay vote. 59-0. Record Vote No: 315 EX. (All Actions) </v>
      </c>
      <c r="K735" s="12" t="str">
        <f>INDEX(Table5[type],MATCH(Table4[[#This Row],[Action]],Table5[Action],0))</f>
        <v>Passed</v>
      </c>
      <c r="L735" s="22" t="b">
        <f>INDEX(Table1[Senate and President Same Party, House and President Different Party],MATCH(Table4[[#This Row],[Congress Acting]],Table1[Congress],0))</f>
        <v>1</v>
      </c>
    </row>
    <row r="736" spans="1:12" ht="157.5">
      <c r="A736" s="9" t="s">
        <v>958</v>
      </c>
      <c r="B736" t="s">
        <v>3672</v>
      </c>
      <c r="C736" s="9" t="s">
        <v>3673</v>
      </c>
      <c r="D736" s="13" t="s">
        <v>4256</v>
      </c>
      <c r="E736" s="9" t="s">
        <v>3674</v>
      </c>
      <c r="F736"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36" s="9" t="s">
        <v>1052</v>
      </c>
      <c r="H736" s="9" t="s">
        <v>3675</v>
      </c>
      <c r="I736" s="12" t="str">
        <f>RIGHT(LEFT(Table4[[#This Row],[Latest Senate Action]],FIND(" Congress",Table4[[#This Row],[Latest Senate Action]])-1),LEN(LEFT(Table4[[#This Row],[Latest Senate Action]],FIND(" Congress",Table4[[#This Row],[Latest Senate Action]])-1))-FIND("-",Table4[[#This Row],[Latest Senate Action]])-1)</f>
        <v>90th</v>
      </c>
      <c r="J736" s="12" t="str">
        <f>RIGHT(Table4[[#This Row],[Latest Senate Action]],LEN(Table4[[#This Row],[Latest Senate Action]])-FIND(") - ",Table4[[#This Row],[Latest Senate Action]])-3)</f>
        <v xml:space="preserve">Resolution of advice and consent to ratification agreed to in Senate by Yea-Nay vote. 59-0. Record Vote No: 314 EX. (All Actions) </v>
      </c>
      <c r="K736" s="12" t="str">
        <f>INDEX(Table5[type],MATCH(Table4[[#This Row],[Action]],Table5[Action],0))</f>
        <v>Passed</v>
      </c>
      <c r="L736" s="22" t="b">
        <f>INDEX(Table1[Senate and President Same Party, House and President Different Party],MATCH(Table4[[#This Row],[Congress Acting]],Table1[Congress],0))</f>
        <v>1</v>
      </c>
    </row>
    <row r="737" spans="1:12" ht="141.75">
      <c r="A737" s="9" t="s">
        <v>959</v>
      </c>
      <c r="B737" t="s">
        <v>3676</v>
      </c>
      <c r="C737" s="9" t="s">
        <v>3677</v>
      </c>
      <c r="D737" s="13" t="s">
        <v>4211</v>
      </c>
      <c r="E737" s="9" t="s">
        <v>4296</v>
      </c>
      <c r="F737"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37" s="9" t="s">
        <v>3678</v>
      </c>
      <c r="I737" s="12" t="str">
        <f>RIGHT(LEFT(Table4[[#This Row],[Latest Senate Action]],FIND(" Congress",Table4[[#This Row],[Latest Senate Action]])-1),LEN(LEFT(Table4[[#This Row],[Latest Senate Action]],FIND(" Congress",Table4[[#This Row],[Latest Senate Action]])-1))-FIND("-",Table4[[#This Row],[Latest Senate Action]])-1)</f>
        <v>90th</v>
      </c>
      <c r="J737" s="12" t="str">
        <f>RIGHT(Table4[[#This Row],[Latest Senate Action]],LEN(Table4[[#This Row],[Latest Senate Action]])-FIND(") - ",Table4[[#This Row],[Latest Senate Action]])-3)</f>
        <v xml:space="preserve">Resolution of advice and consent to ratification agreed to in Senate by Yea-Nay vote. 59-0. Record Vote No: 317 EX. (All Actions) </v>
      </c>
      <c r="K737" s="12" t="str">
        <f>INDEX(Table5[type],MATCH(Table4[[#This Row],[Action]],Table5[Action],0))</f>
        <v>Passed</v>
      </c>
      <c r="L737" s="22" t="b">
        <f>INDEX(Table1[Senate and President Same Party, House and President Different Party],MATCH(Table4[[#This Row],[Congress Acting]],Table1[Congress],0))</f>
        <v>1</v>
      </c>
    </row>
    <row r="738" spans="1:12" ht="157.5">
      <c r="A738" s="9" t="s">
        <v>960</v>
      </c>
      <c r="B738" t="s">
        <v>3679</v>
      </c>
      <c r="C738" s="9" t="s">
        <v>3680</v>
      </c>
      <c r="D738" s="13" t="s">
        <v>4212</v>
      </c>
      <c r="E738" s="9" t="s">
        <v>3681</v>
      </c>
      <c r="F738"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38" s="9" t="s">
        <v>1052</v>
      </c>
      <c r="H738" s="9" t="s">
        <v>3682</v>
      </c>
      <c r="I738" s="12" t="str">
        <f>RIGHT(LEFT(Table4[[#This Row],[Latest Senate Action]],FIND(" Congress",Table4[[#This Row],[Latest Senate Action]])-1),LEN(LEFT(Table4[[#This Row],[Latest Senate Action]],FIND(" Congress",Table4[[#This Row],[Latest Senate Action]])-1))-FIND("-",Table4[[#This Row],[Latest Senate Action]])-1)</f>
        <v>90th</v>
      </c>
      <c r="J738" s="12" t="str">
        <f>RIGHT(Table4[[#This Row],[Latest Senate Action]],LEN(Table4[[#This Row],[Latest Senate Action]])-FIND(") - ",Table4[[#This Row],[Latest Senate Action]])-3)</f>
        <v xml:space="preserve">Resolution of advice and consent to ratification agreed to in Senate by Yea-Nay vote. 51-8. Record Vote No: 202 EX. (All Actions) </v>
      </c>
      <c r="K738" s="12" t="str">
        <f>INDEX(Table5[type],MATCH(Table4[[#This Row],[Action]],Table5[Action],0))</f>
        <v>Passed</v>
      </c>
      <c r="L738" s="22" t="b">
        <f>INDEX(Table1[Senate and President Same Party, House and President Different Party],MATCH(Table4[[#This Row],[Congress Acting]],Table1[Congress],0))</f>
        <v>1</v>
      </c>
    </row>
    <row r="739" spans="1:12" ht="157.5">
      <c r="A739" s="9" t="s">
        <v>961</v>
      </c>
      <c r="B739" t="s">
        <v>3683</v>
      </c>
      <c r="C739" s="9" t="s">
        <v>3684</v>
      </c>
      <c r="D739" s="13" t="s">
        <v>4213</v>
      </c>
      <c r="E739" s="9" t="s">
        <v>3685</v>
      </c>
      <c r="F739"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39" s="9" t="s">
        <v>1052</v>
      </c>
      <c r="H739" s="9" t="s">
        <v>3686</v>
      </c>
      <c r="I739" s="12" t="str">
        <f>RIGHT(LEFT(Table4[[#This Row],[Latest Senate Action]],FIND(" Congress",Table4[[#This Row],[Latest Senate Action]])-1),LEN(LEFT(Table4[[#This Row],[Latest Senate Action]],FIND(" Congress",Table4[[#This Row],[Latest Senate Action]])-1))-FIND("-",Table4[[#This Row],[Latest Senate Action]])-1)</f>
        <v>90th</v>
      </c>
      <c r="J739" s="12" t="str">
        <f>RIGHT(Table4[[#This Row],[Latest Senate Action]],LEN(Table4[[#This Row],[Latest Senate Action]])-FIND(") - ",Table4[[#This Row],[Latest Senate Action]])-3)</f>
        <v xml:space="preserve">Resolution of advice and consent to ratification agreed to in Senate by Yea-Nay vote. 62-21. Record Vote No: 185 EX. (All Actions) </v>
      </c>
      <c r="K739" s="12" t="str">
        <f>INDEX(Table5[type],MATCH(Table4[[#This Row],[Action]],Table5[Action],0))</f>
        <v>Passed</v>
      </c>
      <c r="L739" s="22" t="b">
        <f>INDEX(Table1[Senate and President Same Party, House and President Different Party],MATCH(Table4[[#This Row],[Congress Acting]],Table1[Congress],0))</f>
        <v>1</v>
      </c>
    </row>
    <row r="740" spans="1:12" ht="126">
      <c r="A740" s="9" t="s">
        <v>962</v>
      </c>
      <c r="B740" t="s">
        <v>192</v>
      </c>
      <c r="C740" s="9" t="s">
        <v>3687</v>
      </c>
      <c r="D740" s="13" t="s">
        <v>4214</v>
      </c>
      <c r="E740" s="9" t="s">
        <v>2997</v>
      </c>
      <c r="F740"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40" s="9" t="s">
        <v>1063</v>
      </c>
      <c r="H740" s="9" t="s">
        <v>3688</v>
      </c>
      <c r="I740" s="12" t="str">
        <f>RIGHT(LEFT(Table4[[#This Row],[Latest Senate Action]],FIND(" Congress",Table4[[#This Row],[Latest Senate Action]])-1),LEN(LEFT(Table4[[#This Row],[Latest Senate Action]],FIND(" Congress",Table4[[#This Row],[Latest Senate Action]])-1))-FIND("-",Table4[[#This Row],[Latest Senate Action]])-1)</f>
        <v>90th</v>
      </c>
      <c r="J740" s="12" t="str">
        <f>RIGHT(Table4[[#This Row],[Latest Senate Action]],LEN(Table4[[#This Row],[Latest Senate Action]])-FIND(") - ",Table4[[#This Row],[Latest Senate Action]])-3)</f>
        <v xml:space="preserve">Approved, with reservation, by 79-0 vote (No.177 Ex.). (All Actions) </v>
      </c>
      <c r="K740" s="12" t="str">
        <f>INDEX(Table5[type],MATCH(Table4[[#This Row],[Action]],Table5[Action],0))</f>
        <v>Passed</v>
      </c>
      <c r="L740" s="22" t="b">
        <f>INDEX(Table1[Senate and President Same Party, House and President Different Party],MATCH(Table4[[#This Row],[Congress Acting]],Table1[Congress],0))</f>
        <v>1</v>
      </c>
    </row>
    <row r="741" spans="1:12" ht="141.75">
      <c r="A741" s="9" t="s">
        <v>963</v>
      </c>
      <c r="B741" t="s">
        <v>3689</v>
      </c>
      <c r="C741" s="9" t="s">
        <v>3690</v>
      </c>
      <c r="D741" s="13" t="s">
        <v>4215</v>
      </c>
      <c r="E741" s="9" t="s">
        <v>3691</v>
      </c>
      <c r="F741"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1" s="9" t="s">
        <v>1063</v>
      </c>
      <c r="H741" s="9" t="s">
        <v>3692</v>
      </c>
      <c r="I741" s="12" t="str">
        <f>RIGHT(LEFT(Table4[[#This Row],[Latest Senate Action]],FIND(" Congress",Table4[[#This Row],[Latest Senate Action]])-1),LEN(LEFT(Table4[[#This Row],[Latest Senate Action]],FIND(" Congress",Table4[[#This Row],[Latest Senate Action]])-1))-FIND("-",Table4[[#This Row],[Latest Senate Action]])-1)</f>
        <v>90th</v>
      </c>
      <c r="J741" s="12" t="str">
        <f>RIGHT(Table4[[#This Row],[Latest Senate Action]],LEN(Table4[[#This Row],[Latest Senate Action]])-FIND(") - ",Table4[[#This Row],[Latest Senate Action]])-3)</f>
        <v xml:space="preserve">Resolution of advice and consent to ratification agreed to in Senate by Yea-Nay vote. 78-0. Record Vote No: 175 EX. (All Actions) </v>
      </c>
      <c r="K741" s="12" t="str">
        <f>INDEX(Table5[type],MATCH(Table4[[#This Row],[Action]],Table5[Action],0))</f>
        <v>Passed</v>
      </c>
      <c r="L741" s="22" t="b">
        <f>INDEX(Table1[Senate and President Same Party, House and President Different Party],MATCH(Table4[[#This Row],[Congress Acting]],Table1[Congress],0))</f>
        <v>1</v>
      </c>
    </row>
    <row r="742" spans="1:12" ht="141.75">
      <c r="A742" s="9" t="s">
        <v>964</v>
      </c>
      <c r="B742" t="s">
        <v>3693</v>
      </c>
      <c r="C742" s="9" t="s">
        <v>3694</v>
      </c>
      <c r="D742" s="13" t="s">
        <v>4216</v>
      </c>
      <c r="E742" s="9" t="s">
        <v>3695</v>
      </c>
      <c r="F742"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2" s="9" t="s">
        <v>1063</v>
      </c>
      <c r="H742" s="9" t="s">
        <v>3696</v>
      </c>
      <c r="I742" s="12" t="str">
        <f>RIGHT(LEFT(Table4[[#This Row],[Latest Senate Action]],FIND(" Congress",Table4[[#This Row],[Latest Senate Action]])-1),LEN(LEFT(Table4[[#This Row],[Latest Senate Action]],FIND(" Congress",Table4[[#This Row],[Latest Senate Action]])-1))-FIND("-",Table4[[#This Row],[Latest Senate Action]])-1)</f>
        <v>90th</v>
      </c>
      <c r="J742" s="12" t="str">
        <f>RIGHT(Table4[[#This Row],[Latest Senate Action]],LEN(Table4[[#This Row],[Latest Senate Action]])-FIND(") - ",Table4[[#This Row],[Latest Senate Action]])-3)</f>
        <v xml:space="preserve">Resolution of advice and consent to ratification agreed to in Senate by Yea-Nay vote. 78-0. Record Vote No: 176 EX. (All Actions) </v>
      </c>
      <c r="K742" s="12" t="str">
        <f>INDEX(Table5[type],MATCH(Table4[[#This Row],[Action]],Table5[Action],0))</f>
        <v>Passed</v>
      </c>
      <c r="L742" s="22" t="b">
        <f>INDEX(Table1[Senate and President Same Party, House and President Different Party],MATCH(Table4[[#This Row],[Congress Acting]],Table1[Congress],0))</f>
        <v>1</v>
      </c>
    </row>
    <row r="743" spans="1:12" ht="173.25">
      <c r="A743" s="9" t="s">
        <v>965</v>
      </c>
      <c r="B743" t="s">
        <v>3697</v>
      </c>
      <c r="C743" s="9" t="s">
        <v>3698</v>
      </c>
      <c r="D743" s="13" t="s">
        <v>4217</v>
      </c>
      <c r="E743" s="9" t="s">
        <v>3699</v>
      </c>
      <c r="F743"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3" s="9" t="s">
        <v>1038</v>
      </c>
      <c r="H743" s="9" t="s">
        <v>3700</v>
      </c>
      <c r="I743" s="12" t="str">
        <f>RIGHT(LEFT(Table4[[#This Row],[Latest Senate Action]],FIND(" Congress",Table4[[#This Row],[Latest Senate Action]])-1),LEN(LEFT(Table4[[#This Row],[Latest Senate Action]],FIND(" Congress",Table4[[#This Row],[Latest Senate Action]])-1))-FIND("-",Table4[[#This Row],[Latest Senate Action]])-1)</f>
        <v>90th</v>
      </c>
      <c r="J743" s="12" t="str">
        <f>RIGHT(Table4[[#This Row],[Latest Senate Action]],LEN(Table4[[#This Row],[Latest Senate Action]])-FIND(") - ",Table4[[#This Row],[Latest Senate Action]])-3)</f>
        <v xml:space="preserve">Resolution of advice and consent to ratification agreed to in Senate by Yea-Nay vote. 73-0. Record Vote No: 127 EX. (All Actions) </v>
      </c>
      <c r="K743" s="12" t="str">
        <f>INDEX(Table5[type],MATCH(Table4[[#This Row],[Action]],Table5[Action],0))</f>
        <v>Passed</v>
      </c>
      <c r="L743" s="22" t="b">
        <f>INDEX(Table1[Senate and President Same Party, House and President Different Party],MATCH(Table4[[#This Row],[Congress Acting]],Table1[Congress],0))</f>
        <v>1</v>
      </c>
    </row>
    <row r="744" spans="1:12" ht="189">
      <c r="A744" s="9" t="s">
        <v>966</v>
      </c>
      <c r="B744" t="s">
        <v>3701</v>
      </c>
      <c r="C744" s="9" t="s">
        <v>3702</v>
      </c>
      <c r="D744" s="13" t="s">
        <v>4218</v>
      </c>
      <c r="E744" s="9" t="s">
        <v>3703</v>
      </c>
      <c r="F744"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4" s="9" t="s">
        <v>1200</v>
      </c>
      <c r="H744" s="9" t="s">
        <v>3704</v>
      </c>
      <c r="I744" s="12" t="str">
        <f>RIGHT(LEFT(Table4[[#This Row],[Latest Senate Action]],FIND(" Congress",Table4[[#This Row],[Latest Senate Action]])-1),LEN(LEFT(Table4[[#This Row],[Latest Senate Action]],FIND(" Congress",Table4[[#This Row],[Latest Senate Action]])-1))-FIND("-",Table4[[#This Row],[Latest Senate Action]])-1)</f>
        <v>90th</v>
      </c>
      <c r="J744" s="12" t="str">
        <f>RIGHT(Table4[[#This Row],[Latest Senate Action]],LEN(Table4[[#This Row],[Latest Senate Action]])-FIND(") - ",Table4[[#This Row],[Latest Senate Action]])-3)</f>
        <v xml:space="preserve">Resolution of advice and consent to ratification agreed to in Senate by Yea-Nay vote. 74-0. Record Vote No: 128 EX. (All Actions) </v>
      </c>
      <c r="K744" s="12" t="str">
        <f>INDEX(Table5[type],MATCH(Table4[[#This Row],[Action]],Table5[Action],0))</f>
        <v>Passed</v>
      </c>
      <c r="L744" s="22" t="b">
        <f>INDEX(Table1[Senate and President Same Party, House and President Different Party],MATCH(Table4[[#This Row],[Congress Acting]],Table1[Congress],0))</f>
        <v>1</v>
      </c>
    </row>
    <row r="745" spans="1:12" ht="173.25">
      <c r="A745" s="9" t="s">
        <v>967</v>
      </c>
      <c r="B745" t="s">
        <v>3705</v>
      </c>
      <c r="C745" s="9" t="s">
        <v>3706</v>
      </c>
      <c r="D745" s="13" t="s">
        <v>4219</v>
      </c>
      <c r="E745" s="9" t="s">
        <v>3707</v>
      </c>
      <c r="F745"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5" s="9" t="s">
        <v>1038</v>
      </c>
      <c r="H745" s="9" t="s">
        <v>3708</v>
      </c>
      <c r="I745" s="12" t="str">
        <f>RIGHT(LEFT(Table4[[#This Row],[Latest Senate Action]],FIND(" Congress",Table4[[#This Row],[Latest Senate Action]])-1),LEN(LEFT(Table4[[#This Row],[Latest Senate Action]],FIND(" Congress",Table4[[#This Row],[Latest Senate Action]])-1))-FIND("-",Table4[[#This Row],[Latest Senate Action]])-1)</f>
        <v>90th</v>
      </c>
      <c r="J745" s="12" t="str">
        <f>RIGHT(Table4[[#This Row],[Latest Senate Action]],LEN(Table4[[#This Row],[Latest Senate Action]])-FIND(") - ",Table4[[#This Row],[Latest Senate Action]])-3)</f>
        <v xml:space="preserve">Resolution of advice and consent to ratification agreed to in Senate by Yea-Nay vote. 74-0. Record Vote No: 124 EX. (All Actions) </v>
      </c>
      <c r="K745" s="12" t="str">
        <f>INDEX(Table5[type],MATCH(Table4[[#This Row],[Action]],Table5[Action],0))</f>
        <v>Passed</v>
      </c>
      <c r="L745" s="22" t="b">
        <f>INDEX(Table1[Senate and President Same Party, House and President Different Party],MATCH(Table4[[#This Row],[Congress Acting]],Table1[Congress],0))</f>
        <v>1</v>
      </c>
    </row>
    <row r="746" spans="1:12" ht="157.5">
      <c r="A746" s="9" t="s">
        <v>968</v>
      </c>
      <c r="B746" t="s">
        <v>3709</v>
      </c>
      <c r="C746" s="9" t="s">
        <v>3710</v>
      </c>
      <c r="D746" s="13" t="s">
        <v>4220</v>
      </c>
      <c r="E746" s="9" t="s">
        <v>4297</v>
      </c>
      <c r="F746"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46" s="9" t="s">
        <v>3711</v>
      </c>
      <c r="I746" s="12" t="str">
        <f>RIGHT(LEFT(Table4[[#This Row],[Latest Senate Action]],FIND(" Congress",Table4[[#This Row],[Latest Senate Action]])-1),LEN(LEFT(Table4[[#This Row],[Latest Senate Action]],FIND(" Congress",Table4[[#This Row],[Latest Senate Action]])-1))-FIND("-",Table4[[#This Row],[Latest Senate Action]])-1)</f>
        <v>90th</v>
      </c>
      <c r="J746" s="12" t="str">
        <f>RIGHT(Table4[[#This Row],[Latest Senate Action]],LEN(Table4[[#This Row],[Latest Senate Action]])-FIND(") - ",Table4[[#This Row],[Latest Senate Action]])-3)</f>
        <v xml:space="preserve">Resolution of advice and consent to ratification agreed to in Senate by Yea-Nay vote. 75-0. Record Vote No: 101 EX. (All Actions) </v>
      </c>
      <c r="K746" s="12" t="str">
        <f>INDEX(Table5[type],MATCH(Table4[[#This Row],[Action]],Table5[Action],0))</f>
        <v>Passed</v>
      </c>
      <c r="L746" s="22" t="b">
        <f>INDEX(Table1[Senate and President Same Party, House and President Different Party],MATCH(Table4[[#This Row],[Congress Acting]],Table1[Congress],0))</f>
        <v>1</v>
      </c>
    </row>
    <row r="747" spans="1:12" ht="189">
      <c r="A747" s="9" t="s">
        <v>969</v>
      </c>
      <c r="B747" t="s">
        <v>3712</v>
      </c>
      <c r="C747" s="9" t="s">
        <v>3713</v>
      </c>
      <c r="D747" s="13" t="s">
        <v>4221</v>
      </c>
      <c r="E747" s="9" t="s">
        <v>3714</v>
      </c>
      <c r="F747"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7" s="9" t="s">
        <v>1200</v>
      </c>
      <c r="H747" s="9" t="s">
        <v>3715</v>
      </c>
      <c r="I747" s="12" t="str">
        <f>RIGHT(LEFT(Table4[[#This Row],[Latest Senate Action]],FIND(" Congress",Table4[[#This Row],[Latest Senate Action]])-1),LEN(LEFT(Table4[[#This Row],[Latest Senate Action]],FIND(" Congress",Table4[[#This Row],[Latest Senate Action]])-1))-FIND("-",Table4[[#This Row],[Latest Senate Action]])-1)</f>
        <v>90th</v>
      </c>
      <c r="J747" s="12" t="str">
        <f>RIGHT(Table4[[#This Row],[Latest Senate Action]],LEN(Table4[[#This Row],[Latest Senate Action]])-FIND(") - ",Table4[[#This Row],[Latest Senate Action]])-3)</f>
        <v xml:space="preserve">Resolution of advice and consent to ratification agreed to in Senate by Yea-Nay vote. 75-0. Record Vote No: 382 EX. (All Actions) </v>
      </c>
      <c r="K747" s="12" t="str">
        <f>INDEX(Table5[type],MATCH(Table4[[#This Row],[Action]],Table5[Action],0))</f>
        <v>Passed</v>
      </c>
      <c r="L747" s="22" t="b">
        <f>INDEX(Table1[Senate and President Same Party, House and President Different Party],MATCH(Table4[[#This Row],[Congress Acting]],Table1[Congress],0))</f>
        <v>1</v>
      </c>
    </row>
    <row r="748" spans="1:12" ht="189">
      <c r="A748" s="9" t="s">
        <v>970</v>
      </c>
      <c r="B748" t="s">
        <v>3716</v>
      </c>
      <c r="C748" s="9" t="s">
        <v>3717</v>
      </c>
      <c r="D748" s="13" t="s">
        <v>4222</v>
      </c>
      <c r="E748" s="9" t="s">
        <v>3718</v>
      </c>
      <c r="F748"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8" s="9" t="s">
        <v>1052</v>
      </c>
      <c r="H748" s="9" t="s">
        <v>3719</v>
      </c>
      <c r="I748" s="12" t="str">
        <f>RIGHT(LEFT(Table4[[#This Row],[Latest Senate Action]],FIND(" Congress",Table4[[#This Row],[Latest Senate Action]])-1),LEN(LEFT(Table4[[#This Row],[Latest Senate Action]],FIND(" Congress",Table4[[#This Row],[Latest Senate Action]])-1))-FIND("-",Table4[[#This Row],[Latest Senate Action]])-1)</f>
        <v>90th</v>
      </c>
      <c r="J748" s="12" t="str">
        <f>RIGHT(Table4[[#This Row],[Latest Senate Action]],LEN(Table4[[#This Row],[Latest Senate Action]])-FIND(") - ",Table4[[#This Row],[Latest Senate Action]])-3)</f>
        <v xml:space="preserve">Resolution of advice and consent to ratification agreed to in Senate by Yea-Nay vote. 84-0. Record Vote No: 374EX. (All Actions) </v>
      </c>
      <c r="K748" s="12" t="str">
        <f>INDEX(Table5[type],MATCH(Table4[[#This Row],[Action]],Table5[Action],0))</f>
        <v>Passed</v>
      </c>
      <c r="L748" s="22" t="b">
        <f>INDEX(Table1[Senate and President Same Party, House and President Different Party],MATCH(Table4[[#This Row],[Congress Acting]],Table1[Congress],0))</f>
        <v>1</v>
      </c>
    </row>
    <row r="749" spans="1:12" ht="157.5">
      <c r="A749" s="9" t="s">
        <v>971</v>
      </c>
      <c r="B749" t="s">
        <v>3720</v>
      </c>
      <c r="C749" s="9" t="s">
        <v>3721</v>
      </c>
      <c r="D749" s="13" t="s">
        <v>4223</v>
      </c>
      <c r="E749" s="9" t="s">
        <v>3722</v>
      </c>
      <c r="F749"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49" s="9" t="s">
        <v>1063</v>
      </c>
      <c r="H749" s="9" t="s">
        <v>3723</v>
      </c>
      <c r="I749" s="12" t="str">
        <f>RIGHT(LEFT(Table4[[#This Row],[Latest Senate Action]],FIND(" Congress",Table4[[#This Row],[Latest Senate Action]])-1),LEN(LEFT(Table4[[#This Row],[Latest Senate Action]],FIND(" Congress",Table4[[#This Row],[Latest Senate Action]])-1))-FIND("-",Table4[[#This Row],[Latest Senate Action]])-1)</f>
        <v>90th</v>
      </c>
      <c r="J749" s="12" t="str">
        <f>RIGHT(Table4[[#This Row],[Latest Senate Action]],LEN(Table4[[#This Row],[Latest Senate Action]])-FIND(") - ",Table4[[#This Row],[Latest Senate Action]])-3)</f>
        <v xml:space="preserve">Resolution of advice and consent to ratification agreed to in Senate by Yea-Nay vote. 77-0. Record Vote No: 307 EX. (All Actions) </v>
      </c>
      <c r="K749" s="12" t="str">
        <f>INDEX(Table5[type],MATCH(Table4[[#This Row],[Action]],Table5[Action],0))</f>
        <v>Passed</v>
      </c>
      <c r="L749" s="22" t="b">
        <f>INDEX(Table1[Senate and President Same Party, House and President Different Party],MATCH(Table4[[#This Row],[Congress Acting]],Table1[Congress],0))</f>
        <v>1</v>
      </c>
    </row>
    <row r="750" spans="1:12" ht="157.5">
      <c r="A750" s="9" t="s">
        <v>972</v>
      </c>
      <c r="B750" t="s">
        <v>3724</v>
      </c>
      <c r="C750" s="9" t="s">
        <v>3596</v>
      </c>
      <c r="D750" s="13" t="s">
        <v>4224</v>
      </c>
      <c r="E750" s="9" t="s">
        <v>3725</v>
      </c>
      <c r="F750"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50" s="9" t="s">
        <v>1063</v>
      </c>
      <c r="H750" s="9" t="s">
        <v>3726</v>
      </c>
      <c r="I750" s="12" t="str">
        <f>RIGHT(LEFT(Table4[[#This Row],[Latest Senate Action]],FIND(" Congress",Table4[[#This Row],[Latest Senate Action]])-1),LEN(LEFT(Table4[[#This Row],[Latest Senate Action]],FIND(" Congress",Table4[[#This Row],[Latest Senate Action]])-1))-FIND("-",Table4[[#This Row],[Latest Senate Action]])-1)</f>
        <v>90th</v>
      </c>
      <c r="J750" s="12" t="str">
        <f>RIGHT(Table4[[#This Row],[Latest Senate Action]],LEN(Table4[[#This Row],[Latest Senate Action]])-FIND(") - ",Table4[[#This Row],[Latest Senate Action]])-3)</f>
        <v xml:space="preserve">Resolution of advice and consent to ratification agreed to in Senate by Yea-Nay vote. 77-0. Record Vote No: 308 EX. (All Actions) </v>
      </c>
      <c r="K750" s="12" t="str">
        <f>INDEX(Table5[type],MATCH(Table4[[#This Row],[Action]],Table5[Action],0))</f>
        <v>Passed</v>
      </c>
      <c r="L750" s="22" t="b">
        <f>INDEX(Table1[Senate and President Same Party, House and President Different Party],MATCH(Table4[[#This Row],[Congress Acting]],Table1[Congress],0))</f>
        <v>1</v>
      </c>
    </row>
    <row r="751" spans="1:12" ht="141.75">
      <c r="A751" s="9" t="s">
        <v>973</v>
      </c>
      <c r="B751" t="s">
        <v>3727</v>
      </c>
      <c r="C751" s="9" t="s">
        <v>3728</v>
      </c>
      <c r="D751" s="13" t="s">
        <v>4225</v>
      </c>
      <c r="E751" s="9" t="s">
        <v>3729</v>
      </c>
      <c r="F751"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51" s="9" t="s">
        <v>1766</v>
      </c>
      <c r="H751" s="9" t="s">
        <v>3730</v>
      </c>
      <c r="I751" s="12" t="str">
        <f>RIGHT(LEFT(Table4[[#This Row],[Latest Senate Action]],FIND(" Congress",Table4[[#This Row],[Latest Senate Action]])-1),LEN(LEFT(Table4[[#This Row],[Latest Senate Action]],FIND(" Congress",Table4[[#This Row],[Latest Senate Action]])-1))-FIND("-",Table4[[#This Row],[Latest Senate Action]])-1)</f>
        <v>90th</v>
      </c>
      <c r="J751" s="12" t="str">
        <f>RIGHT(Table4[[#This Row],[Latest Senate Action]],LEN(Table4[[#This Row],[Latest Senate Action]])-FIND(") - ",Table4[[#This Row],[Latest Senate Action]])-3)</f>
        <v xml:space="preserve">Resolution of advice and consent to ratification agreed to in Senate by Yea-Nay vote. 80-0. Record Vote No: 251 EX. (All Actions) </v>
      </c>
      <c r="K751" s="12" t="str">
        <f>INDEX(Table5[type],MATCH(Table4[[#This Row],[Action]],Table5[Action],0))</f>
        <v>Passed</v>
      </c>
      <c r="L751" s="22" t="b">
        <f>INDEX(Table1[Senate and President Same Party, House and President Different Party],MATCH(Table4[[#This Row],[Congress Acting]],Table1[Congress],0))</f>
        <v>1</v>
      </c>
    </row>
    <row r="752" spans="1:12" ht="157.5">
      <c r="A752" s="9" t="s">
        <v>974</v>
      </c>
      <c r="B752" t="s">
        <v>3731</v>
      </c>
      <c r="C752" s="9" t="s">
        <v>3732</v>
      </c>
      <c r="D752" s="13" t="s">
        <v>4226</v>
      </c>
      <c r="E752" s="9" t="s">
        <v>4298</v>
      </c>
      <c r="F752"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52" s="9" t="s">
        <v>3733</v>
      </c>
      <c r="I752" s="12" t="str">
        <f>RIGHT(LEFT(Table4[[#This Row],[Latest Senate Action]],FIND(" Congress",Table4[[#This Row],[Latest Senate Action]])-1),LEN(LEFT(Table4[[#This Row],[Latest Senate Action]],FIND(" Congress",Table4[[#This Row],[Latest Senate Action]])-1))-FIND("-",Table4[[#This Row],[Latest Senate Action]])-1)</f>
        <v>90th</v>
      </c>
      <c r="J752" s="12" t="str">
        <f>RIGHT(Table4[[#This Row],[Latest Senate Action]],LEN(Table4[[#This Row],[Latest Senate Action]])-FIND(") - ",Table4[[#This Row],[Latest Senate Action]])-3)</f>
        <v xml:space="preserve">Resolution of advice and consent to ratification agreed to in Senate by Yea-Nay vote. 86-0. Record Vote No: 198 EX. (All Actions) </v>
      </c>
      <c r="K752" s="12" t="str">
        <f>INDEX(Table5[type],MATCH(Table4[[#This Row],[Action]],Table5[Action],0))</f>
        <v>Passed</v>
      </c>
      <c r="L752" s="22" t="b">
        <f>INDEX(Table1[Senate and President Same Party, House and President Different Party],MATCH(Table4[[#This Row],[Congress Acting]],Table1[Congress],0))</f>
        <v>1</v>
      </c>
    </row>
    <row r="753" spans="1:12" ht="157.5">
      <c r="A753" s="9" t="s">
        <v>975</v>
      </c>
      <c r="B753" t="s">
        <v>3734</v>
      </c>
      <c r="C753" s="9" t="s">
        <v>3735</v>
      </c>
      <c r="D753" s="13" t="s">
        <v>4227</v>
      </c>
      <c r="E753" s="9" t="s">
        <v>4299</v>
      </c>
      <c r="F753"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53" s="9" t="s">
        <v>3736</v>
      </c>
      <c r="I753" s="12" t="str">
        <f>RIGHT(LEFT(Table4[[#This Row],[Latest Senate Action]],FIND(" Congress",Table4[[#This Row],[Latest Senate Action]])-1),LEN(LEFT(Table4[[#This Row],[Latest Senate Action]],FIND(" Congress",Table4[[#This Row],[Latest Senate Action]])-1))-FIND("-",Table4[[#This Row],[Latest Senate Action]])-1)</f>
        <v>90th</v>
      </c>
      <c r="J753" s="12" t="str">
        <f>RIGHT(Table4[[#This Row],[Latest Senate Action]],LEN(Table4[[#This Row],[Latest Senate Action]])-FIND(") - ",Table4[[#This Row],[Latest Senate Action]])-3)</f>
        <v xml:space="preserve">Resolution of advice and consent to ratification agreed to in Senate by Yea-Nay vote. 84-0. Record Vote No: 105 EX. (All Actions) </v>
      </c>
      <c r="K753" s="12" t="str">
        <f>INDEX(Table5[type],MATCH(Table4[[#This Row],[Action]],Table5[Action],0))</f>
        <v>Passed</v>
      </c>
      <c r="L753" s="22" t="b">
        <f>INDEX(Table1[Senate and President Same Party, House and President Different Party],MATCH(Table4[[#This Row],[Congress Acting]],Table1[Congress],0))</f>
        <v>1</v>
      </c>
    </row>
    <row r="754" spans="1:12" ht="141.75">
      <c r="A754" s="9" t="s">
        <v>976</v>
      </c>
      <c r="B754" t="s">
        <v>3737</v>
      </c>
      <c r="C754" s="9" t="s">
        <v>3738</v>
      </c>
      <c r="D754" s="13" t="s">
        <v>4228</v>
      </c>
      <c r="E754" s="9" t="s">
        <v>4300</v>
      </c>
      <c r="F754"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54" s="9" t="s">
        <v>3739</v>
      </c>
      <c r="I754" s="12" t="str">
        <f>RIGHT(LEFT(Table4[[#This Row],[Latest Senate Action]],FIND(" Congress",Table4[[#This Row],[Latest Senate Action]])-1),LEN(LEFT(Table4[[#This Row],[Latest Senate Action]],FIND(" Congress",Table4[[#This Row],[Latest Senate Action]])-1))-FIND("-",Table4[[#This Row],[Latest Senate Action]])-1)</f>
        <v>90th</v>
      </c>
      <c r="J754" s="12" t="str">
        <f>RIGHT(Table4[[#This Row],[Latest Senate Action]],LEN(Table4[[#This Row],[Latest Senate Action]])-FIND(") - ",Table4[[#This Row],[Latest Senate Action]])-3)</f>
        <v xml:space="preserve">Resolution of advice and consent to ratification agreed to in Senate by Yea-Nay vote. 84-0. Record Vote No: 106 EX. (All Actions) </v>
      </c>
      <c r="K754" s="12" t="str">
        <f>INDEX(Table5[type],MATCH(Table4[[#This Row],[Action]],Table5[Action],0))</f>
        <v>Passed</v>
      </c>
      <c r="L754" s="22" t="b">
        <f>INDEX(Table1[Senate and President Same Party, House and President Different Party],MATCH(Table4[[#This Row],[Congress Acting]],Table1[Congress],0))</f>
        <v>1</v>
      </c>
    </row>
    <row r="755" spans="1:12" ht="189">
      <c r="A755" s="9" t="s">
        <v>977</v>
      </c>
      <c r="B755" t="s">
        <v>3740</v>
      </c>
      <c r="C755" s="9" t="s">
        <v>3741</v>
      </c>
      <c r="D755" s="13" t="s">
        <v>4229</v>
      </c>
      <c r="E755" s="9" t="s">
        <v>4301</v>
      </c>
      <c r="F755"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55" s="9" t="s">
        <v>3742</v>
      </c>
      <c r="I755" s="12" t="str">
        <f>RIGHT(LEFT(Table4[[#This Row],[Latest Senate Action]],FIND(" Congress",Table4[[#This Row],[Latest Senate Action]])-1),LEN(LEFT(Table4[[#This Row],[Latest Senate Action]],FIND(" Congress",Table4[[#This Row],[Latest Senate Action]])-1))-FIND("-",Table4[[#This Row],[Latest Senate Action]])-1)</f>
        <v>90th</v>
      </c>
      <c r="J755" s="12" t="str">
        <f>RIGHT(Table4[[#This Row],[Latest Senate Action]],LEN(Table4[[#This Row],[Latest Senate Action]])-FIND(") - ",Table4[[#This Row],[Latest Senate Action]])-3)</f>
        <v xml:space="preserve">Resolution of advice and consent to ratification agreed to in Senate by Yea-Nay vote. 88-0. Record Vote No: 92 EX. (All Actions) </v>
      </c>
      <c r="K755" s="12" t="str">
        <f>INDEX(Table5[type],MATCH(Table4[[#This Row],[Action]],Table5[Action],0))</f>
        <v>Passed</v>
      </c>
      <c r="L755" s="22" t="b">
        <f>INDEX(Table1[Senate and President Same Party, House and President Different Party],MATCH(Table4[[#This Row],[Congress Acting]],Table1[Congress],0))</f>
        <v>1</v>
      </c>
    </row>
    <row r="756" spans="1:12" ht="173.25">
      <c r="A756" s="9" t="s">
        <v>978</v>
      </c>
      <c r="B756" t="s">
        <v>3743</v>
      </c>
      <c r="C756" s="9" t="s">
        <v>3744</v>
      </c>
      <c r="D756" s="13" t="s">
        <v>4230</v>
      </c>
      <c r="E756" s="9" t="s">
        <v>4302</v>
      </c>
      <c r="F756"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H756" s="9" t="s">
        <v>3745</v>
      </c>
      <c r="I756" s="12" t="str">
        <f>RIGHT(LEFT(Table4[[#This Row],[Latest Senate Action]],FIND(" Congress",Table4[[#This Row],[Latest Senate Action]])-1),LEN(LEFT(Table4[[#This Row],[Latest Senate Action]],FIND(" Congress",Table4[[#This Row],[Latest Senate Action]])-1))-FIND("-",Table4[[#This Row],[Latest Senate Action]])-1)</f>
        <v>90th</v>
      </c>
      <c r="J756" s="12" t="str">
        <f>RIGHT(Table4[[#This Row],[Latest Senate Action]],LEN(Table4[[#This Row],[Latest Senate Action]])-FIND(") - ",Table4[[#This Row],[Latest Senate Action]])-3)</f>
        <v xml:space="preserve">Resolution of advice and consent to ratification agreed to in Senate by Yea-Nay vote. 82-0. Record Vote No: 75 EX. (All Actions) </v>
      </c>
      <c r="K756" s="12" t="str">
        <f>INDEX(Table5[type],MATCH(Table4[[#This Row],[Action]],Table5[Action],0))</f>
        <v>Passed</v>
      </c>
      <c r="L756" s="22" t="b">
        <f>INDEX(Table1[Senate and President Same Party, House and President Different Party],MATCH(Table4[[#This Row],[Congress Acting]],Table1[Congress],0))</f>
        <v>1</v>
      </c>
    </row>
    <row r="757" spans="1:12" ht="173.25">
      <c r="A757" s="9" t="s">
        <v>979</v>
      </c>
      <c r="B757" t="s">
        <v>3746</v>
      </c>
      <c r="C757" s="9" t="s">
        <v>3747</v>
      </c>
      <c r="D757" s="13" t="s">
        <v>4231</v>
      </c>
      <c r="E757" s="9" t="s">
        <v>3748</v>
      </c>
      <c r="F757" t="str">
        <f>RIGHT(LEFT(Table4[[#This Row],[Date Received from President]],FIND(" Congress",Table4[[#This Row],[Date Received from President]])-1),LEN(LEFT(Table4[[#This Row],[Date Received from President]],FIND(" Congress",Table4[[#This Row],[Date Received from President]])-1))-FIND("-",Table4[[#This Row],[Date Received from President]])-1)</f>
        <v>90th</v>
      </c>
      <c r="G757" s="9" t="s">
        <v>1200</v>
      </c>
      <c r="H757" s="9" t="s">
        <v>3749</v>
      </c>
      <c r="I757" s="12" t="str">
        <f>RIGHT(LEFT(Table4[[#This Row],[Latest Senate Action]],FIND(" Congress",Table4[[#This Row],[Latest Senate Action]])-1),LEN(LEFT(Table4[[#This Row],[Latest Senate Action]],FIND(" Congress",Table4[[#This Row],[Latest Senate Action]])-1))-FIND("-",Table4[[#This Row],[Latest Senate Action]])-1)</f>
        <v>90th</v>
      </c>
      <c r="J757" s="12" t="str">
        <f>RIGHT(Table4[[#This Row],[Latest Senate Action]],LEN(Table4[[#This Row],[Latest Senate Action]])-FIND(") - ",Table4[[#This Row],[Latest Senate Action]])-3)</f>
        <v xml:space="preserve">Resolution of advice and consent to ratification agreed to in Senate by Yea-Nay vote. 88-0. Record Vote No: 67 EX. (All Actions) </v>
      </c>
      <c r="K757" s="12" t="str">
        <f>INDEX(Table5[type],MATCH(Table4[[#This Row],[Action]],Table5[Action],0))</f>
        <v>Passed</v>
      </c>
      <c r="L757" s="22" t="b">
        <f>INDEX(Table1[Senate and President Same Party, House and President Different Party],MATCH(Table4[[#This Row],[Congress Acting]],Table1[Congress],0))</f>
        <v>1</v>
      </c>
    </row>
    <row r="758" spans="1:12" ht="189">
      <c r="A758" s="9" t="s">
        <v>980</v>
      </c>
      <c r="B758" t="s">
        <v>3750</v>
      </c>
      <c r="C758" s="9" t="s">
        <v>3751</v>
      </c>
      <c r="D758" s="13" t="s">
        <v>4232</v>
      </c>
      <c r="E758" s="9" t="s">
        <v>3752</v>
      </c>
      <c r="F758"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58" s="9" t="s">
        <v>1200</v>
      </c>
      <c r="H758" s="9" t="s">
        <v>3753</v>
      </c>
      <c r="I758" s="12" t="str">
        <f>RIGHT(LEFT(Table4[[#This Row],[Latest Senate Action]],FIND(" Congress",Table4[[#This Row],[Latest Senate Action]])-1),LEN(LEFT(Table4[[#This Row],[Latest Senate Action]],FIND(" Congress",Table4[[#This Row],[Latest Senate Action]])-1))-FIND("-",Table4[[#This Row],[Latest Senate Action]])-1)</f>
        <v>89th</v>
      </c>
      <c r="J758" s="12" t="str">
        <f>RIGHT(Table4[[#This Row],[Latest Senate Action]],LEN(Table4[[#This Row],[Latest Senate Action]])-FIND(") - ",Table4[[#This Row],[Latest Senate Action]])-3)</f>
        <v xml:space="preserve">Resolution of advice and consent to ratification agreed to in Senate by Yea-Nay vote. 83-0. Record Vote No: 102 EX. (All Actions) </v>
      </c>
      <c r="K758" s="12" t="str">
        <f>INDEX(Table5[type],MATCH(Table4[[#This Row],[Action]],Table5[Action],0))</f>
        <v>Passed</v>
      </c>
      <c r="L758" s="22" t="b">
        <f>INDEX(Table1[Senate and President Same Party, House and President Different Party],MATCH(Table4[[#This Row],[Congress Acting]],Table1[Congress],0))</f>
        <v>1</v>
      </c>
    </row>
    <row r="759" spans="1:12" ht="141.75">
      <c r="A759" s="9" t="s">
        <v>981</v>
      </c>
      <c r="B759" t="s">
        <v>3754</v>
      </c>
      <c r="C759" s="9" t="s">
        <v>3755</v>
      </c>
      <c r="D759" s="13" t="s">
        <v>4233</v>
      </c>
      <c r="E759" s="9" t="s">
        <v>3756</v>
      </c>
      <c r="F759"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59" s="9" t="s">
        <v>1853</v>
      </c>
      <c r="H759" s="9" t="s">
        <v>3757</v>
      </c>
      <c r="I759" s="12" t="str">
        <f>RIGHT(LEFT(Table4[[#This Row],[Latest Senate Action]],FIND(" Congress",Table4[[#This Row],[Latest Senate Action]])-1),LEN(LEFT(Table4[[#This Row],[Latest Senate Action]],FIND(" Congress",Table4[[#This Row],[Latest Senate Action]])-1))-FIND("-",Table4[[#This Row],[Latest Senate Action]])-1)</f>
        <v>89th</v>
      </c>
      <c r="J759" s="12" t="str">
        <f>RIGHT(Table4[[#This Row],[Latest Senate Action]],LEN(Table4[[#This Row],[Latest Senate Action]])-FIND(") - ",Table4[[#This Row],[Latest Senate Action]])-3)</f>
        <v xml:space="preserve">Received in the Senate and referred to the Committee on Foreign Relations by unanimous consent. (All Actions) </v>
      </c>
      <c r="K759" s="12" t="str">
        <f>INDEX(Table5[type],MATCH(Table4[[#This Row],[Action]],Table5[Action],0))</f>
        <v>In Process</v>
      </c>
      <c r="L759" s="22" t="b">
        <f>INDEX(Table1[Senate and President Same Party, House and President Different Party],MATCH(Table4[[#This Row],[Congress Acting]],Table1[Congress],0))</f>
        <v>1</v>
      </c>
    </row>
    <row r="760" spans="1:12" ht="141.75">
      <c r="A760" s="9" t="s">
        <v>982</v>
      </c>
      <c r="B760" t="s">
        <v>3758</v>
      </c>
      <c r="C760" s="9" t="s">
        <v>3759</v>
      </c>
      <c r="D760" s="13" t="s">
        <v>4234</v>
      </c>
      <c r="E760" s="9" t="s">
        <v>3760</v>
      </c>
      <c r="F760"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60" s="9" t="s">
        <v>1063</v>
      </c>
      <c r="H760" s="9" t="s">
        <v>3761</v>
      </c>
      <c r="I760" s="12" t="str">
        <f>RIGHT(LEFT(Table4[[#This Row],[Latest Senate Action]],FIND(" Congress",Table4[[#This Row],[Latest Senate Action]])-1),LEN(LEFT(Table4[[#This Row],[Latest Senate Action]],FIND(" Congress",Table4[[#This Row],[Latest Senate Action]])-1))-FIND("-",Table4[[#This Row],[Latest Senate Action]])-1)</f>
        <v>89th</v>
      </c>
      <c r="J760" s="12" t="str">
        <f>RIGHT(Table4[[#This Row],[Latest Senate Action]],LEN(Table4[[#This Row],[Latest Senate Action]])-FIND(") - ",Table4[[#This Row],[Latest Senate Action]])-3)</f>
        <v xml:space="preserve">General debate; approved by 66-0 vote (No. 301 Ex.). (All Actions) </v>
      </c>
      <c r="K760" s="12" t="str">
        <f>INDEX(Table5[type],MATCH(Table4[[#This Row],[Action]],Table5[Action],0))</f>
        <v>Passed</v>
      </c>
      <c r="L760" s="22" t="b">
        <f>INDEX(Table1[Senate and President Same Party, House and President Different Party],MATCH(Table4[[#This Row],[Congress Acting]],Table1[Congress],0))</f>
        <v>1</v>
      </c>
    </row>
    <row r="761" spans="1:12" ht="126">
      <c r="A761" s="9" t="s">
        <v>983</v>
      </c>
      <c r="B761" t="s">
        <v>3762</v>
      </c>
      <c r="C761" s="9" t="s">
        <v>3763</v>
      </c>
      <c r="D761" s="13" t="s">
        <v>4235</v>
      </c>
      <c r="E761" s="9" t="s">
        <v>3764</v>
      </c>
      <c r="F761"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61" s="9" t="s">
        <v>1063</v>
      </c>
      <c r="H761" s="9" t="s">
        <v>3761</v>
      </c>
      <c r="I761" s="12" t="str">
        <f>RIGHT(LEFT(Table4[[#This Row],[Latest Senate Action]],FIND(" Congress",Table4[[#This Row],[Latest Senate Action]])-1),LEN(LEFT(Table4[[#This Row],[Latest Senate Action]],FIND(" Congress",Table4[[#This Row],[Latest Senate Action]])-1))-FIND("-",Table4[[#This Row],[Latest Senate Action]])-1)</f>
        <v>89th</v>
      </c>
      <c r="J761" s="12" t="str">
        <f>RIGHT(Table4[[#This Row],[Latest Senate Action]],LEN(Table4[[#This Row],[Latest Senate Action]])-FIND(") - ",Table4[[#This Row],[Latest Senate Action]])-3)</f>
        <v xml:space="preserve">General debate; approved by 66-0 vote (No. 301 Ex.). (All Actions) </v>
      </c>
      <c r="K761" s="12" t="str">
        <f>INDEX(Table5[type],MATCH(Table4[[#This Row],[Action]],Table5[Action],0))</f>
        <v>Passed</v>
      </c>
      <c r="L761" s="22" t="b">
        <f>INDEX(Table1[Senate and President Same Party, House and President Different Party],MATCH(Table4[[#This Row],[Congress Acting]],Table1[Congress],0))</f>
        <v>1</v>
      </c>
    </row>
    <row r="762" spans="1:12" ht="173.25">
      <c r="A762" s="9" t="s">
        <v>984</v>
      </c>
      <c r="B762" t="s">
        <v>3765</v>
      </c>
      <c r="C762" s="9" t="s">
        <v>3766</v>
      </c>
      <c r="D762" s="13" t="s">
        <v>4236</v>
      </c>
      <c r="E762" s="9" t="s">
        <v>3767</v>
      </c>
      <c r="F762"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62" s="9" t="s">
        <v>1800</v>
      </c>
      <c r="H762" s="9" t="s">
        <v>3768</v>
      </c>
      <c r="I762" s="12" t="str">
        <f>RIGHT(LEFT(Table4[[#This Row],[Latest Senate Action]],FIND(" Congress",Table4[[#This Row],[Latest Senate Action]])-1),LEN(LEFT(Table4[[#This Row],[Latest Senate Action]],FIND(" Congress",Table4[[#This Row],[Latest Senate Action]])-1))-FIND("-",Table4[[#This Row],[Latest Senate Action]])-1)</f>
        <v>89th</v>
      </c>
      <c r="J762" s="12" t="str">
        <f>RIGHT(Table4[[#This Row],[Latest Senate Action]],LEN(Table4[[#This Row],[Latest Senate Action]])-FIND(") - ",Table4[[#This Row],[Latest Senate Action]])-3)</f>
        <v xml:space="preserve">Approved by vote of 74-0 (No. 240 Ex.). (All Actions) </v>
      </c>
      <c r="K762" s="12" t="str">
        <f>INDEX(Table5[type],MATCH(Table4[[#This Row],[Action]],Table5[Action],0))</f>
        <v>Passed</v>
      </c>
      <c r="L762" s="22" t="b">
        <f>INDEX(Table1[Senate and President Same Party, House and President Different Party],MATCH(Table4[[#This Row],[Congress Acting]],Table1[Congress],0))</f>
        <v>1</v>
      </c>
    </row>
    <row r="763" spans="1:12" ht="141.75">
      <c r="A763" s="9" t="s">
        <v>985</v>
      </c>
      <c r="B763" t="s">
        <v>3769</v>
      </c>
      <c r="C763" s="9" t="s">
        <v>3770</v>
      </c>
      <c r="D763" s="13" t="s">
        <v>4237</v>
      </c>
      <c r="E763" s="9" t="s">
        <v>3771</v>
      </c>
      <c r="F763"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63" s="9" t="s">
        <v>1052</v>
      </c>
      <c r="H763" s="9" t="s">
        <v>3772</v>
      </c>
      <c r="I763" s="12" t="str">
        <f>RIGHT(LEFT(Table4[[#This Row],[Latest Senate Action]],FIND(" Congress",Table4[[#This Row],[Latest Senate Action]])-1),LEN(LEFT(Table4[[#This Row],[Latest Senate Action]],FIND(" Congress",Table4[[#This Row],[Latest Senate Action]])-1))-FIND("-",Table4[[#This Row],[Latest Senate Action]])-1)</f>
        <v>89th</v>
      </c>
      <c r="J763" s="12" t="str">
        <f>RIGHT(Table4[[#This Row],[Latest Senate Action]],LEN(Table4[[#This Row],[Latest Senate Action]])-FIND(") - ",Table4[[#This Row],[Latest Senate Action]])-3)</f>
        <v xml:space="preserve">Approved by 88-0 vote (No. 132 Ex.). (All Actions) </v>
      </c>
      <c r="K763" s="12" t="str">
        <f>INDEX(Table5[type],MATCH(Table4[[#This Row],[Action]],Table5[Action],0))</f>
        <v>Passed</v>
      </c>
      <c r="L763" s="22" t="b">
        <f>INDEX(Table1[Senate and President Same Party, House and President Different Party],MATCH(Table4[[#This Row],[Congress Acting]],Table1[Congress],0))</f>
        <v>1</v>
      </c>
    </row>
    <row r="764" spans="1:12" ht="141.75">
      <c r="A764" s="9" t="s">
        <v>986</v>
      </c>
      <c r="B764" t="s">
        <v>3773</v>
      </c>
      <c r="C764" s="9" t="s">
        <v>3774</v>
      </c>
      <c r="D764" s="13" t="s">
        <v>4238</v>
      </c>
      <c r="E764" s="9" t="s">
        <v>3775</v>
      </c>
      <c r="F764" t="str">
        <f>RIGHT(LEFT(Table4[[#This Row],[Date Received from President]],FIND(" Congress",Table4[[#This Row],[Date Received from President]])-1),LEN(LEFT(Table4[[#This Row],[Date Received from President]],FIND(" Congress",Table4[[#This Row],[Date Received from President]])-1))-FIND("-",Table4[[#This Row],[Date Received from President]])-1)</f>
        <v>89th</v>
      </c>
      <c r="G764" s="9" t="s">
        <v>1038</v>
      </c>
      <c r="H764" s="9" t="s">
        <v>3776</v>
      </c>
      <c r="I764" s="12" t="str">
        <f>RIGHT(LEFT(Table4[[#This Row],[Latest Senate Action]],FIND(" Congress",Table4[[#This Row],[Latest Senate Action]])-1),LEN(LEFT(Table4[[#This Row],[Latest Senate Action]],FIND(" Congress",Table4[[#This Row],[Latest Senate Action]])-1))-FIND("-",Table4[[#This Row],[Latest Senate Action]])-1)</f>
        <v>89th</v>
      </c>
      <c r="J764" s="12" t="str">
        <f>RIGHT(Table4[[#This Row],[Latest Senate Action]],LEN(Table4[[#This Row],[Latest Senate Action]])-FIND(") - ",Table4[[#This Row],[Latest Senate Action]])-3)</f>
        <v xml:space="preserve">General debate; approved by 70-1 vote (No. 106 Ex.). (All Actions) </v>
      </c>
      <c r="K764" s="12" t="str">
        <f>INDEX(Table5[type],MATCH(Table4[[#This Row],[Action]],Table5[Action],0))</f>
        <v>Passed</v>
      </c>
      <c r="L764" s="22" t="b">
        <f>INDEX(Table1[Senate and President Same Party, House and President Different Party],MATCH(Table4[[#This Row],[Congress Acting]],Table1[Congress],0))</f>
        <v>1</v>
      </c>
    </row>
    <row r="765" spans="1:12" ht="141.75">
      <c r="A765" s="9" t="s">
        <v>987</v>
      </c>
      <c r="B765" t="s">
        <v>188</v>
      </c>
      <c r="C765" s="9" t="s">
        <v>3777</v>
      </c>
      <c r="D765" s="13" t="s">
        <v>4239</v>
      </c>
      <c r="E765" s="9" t="s">
        <v>3778</v>
      </c>
      <c r="F765" t="str">
        <f>RIGHT(LEFT(Table4[[#This Row],[Date Received from President]],FIND(" Congress",Table4[[#This Row],[Date Received from President]])-1),LEN(LEFT(Table4[[#This Row],[Date Received from President]],FIND(" Congress",Table4[[#This Row],[Date Received from President]])-1))-FIND("-",Table4[[#This Row],[Date Received from President]])-1)</f>
        <v>87th</v>
      </c>
      <c r="G765" s="9" t="s">
        <v>1853</v>
      </c>
      <c r="H765" s="9" t="s">
        <v>3779</v>
      </c>
      <c r="I765" s="12" t="str">
        <f>RIGHT(LEFT(Table4[[#This Row],[Latest Senate Action]],FIND(" Congress",Table4[[#This Row],[Latest Senate Action]])-1),LEN(LEFT(Table4[[#This Row],[Latest Senate Action]],FIND(" Congress",Table4[[#This Row],[Latest Senate Action]])-1))-FIND("-",Table4[[#This Row],[Latest Senate Action]])-1)</f>
        <v>87th</v>
      </c>
      <c r="J765" s="12" t="str">
        <f>RIGHT(Table4[[#This Row],[Latest Senate Action]],LEN(Table4[[#This Row],[Latest Senate Action]])-FIND(") - ",Table4[[#This Row],[Latest Senate Action]])-3)</f>
        <v xml:space="preserve">Received in the Senate and referred to the Committee on Foreign Relations by unanimous consent. (All Actions) </v>
      </c>
      <c r="K765" s="12" t="str">
        <f>INDEX(Table5[type],MATCH(Table4[[#This Row],[Action]],Table5[Action],0))</f>
        <v>In Process</v>
      </c>
      <c r="L765" s="22" t="b">
        <f>INDEX(Table1[Senate and President Same Party, House and President Different Party],MATCH(Table4[[#This Row],[Congress Acting]],Table1[Congress],0))</f>
        <v>1</v>
      </c>
    </row>
    <row r="766" spans="1:12" ht="157.5">
      <c r="A766" s="9" t="s">
        <v>988</v>
      </c>
      <c r="B766" t="s">
        <v>3780</v>
      </c>
      <c r="C766" s="9" t="s">
        <v>3781</v>
      </c>
      <c r="D766" s="13" t="s">
        <v>4240</v>
      </c>
      <c r="E766" s="9" t="s">
        <v>3782</v>
      </c>
      <c r="F766" t="str">
        <f>RIGHT(LEFT(Table4[[#This Row],[Date Received from President]],FIND(" Congress",Table4[[#This Row],[Date Received from President]])-1),LEN(LEFT(Table4[[#This Row],[Date Received from President]],FIND(" Congress",Table4[[#This Row],[Date Received from President]])-1))-FIND("-",Table4[[#This Row],[Date Received from President]])-1)</f>
        <v>81st</v>
      </c>
      <c r="G766" s="9" t="s">
        <v>1853</v>
      </c>
      <c r="H766" s="9" t="s">
        <v>3783</v>
      </c>
      <c r="I766" s="12" t="str">
        <f>RIGHT(LEFT(Table4[[#This Row],[Latest Senate Action]],FIND(" Congress",Table4[[#This Row],[Latest Senate Action]])-1),LEN(LEFT(Table4[[#This Row],[Latest Senate Action]],FIND(" Congress",Table4[[#This Row],[Latest Senate Action]])-1))-FIND("-",Table4[[#This Row],[Latest Senate Action]])-1)</f>
        <v>81st</v>
      </c>
      <c r="J766" s="12" t="str">
        <f>RIGHT(Table4[[#This Row],[Latest Senate Action]],LEN(Table4[[#This Row],[Latest Senate Action]])-FIND(") - ",Table4[[#This Row],[Latest Senate Action]])-3)</f>
        <v xml:space="preserve">Received in the Senate and referred to the Committee on Foreign Relations by unanimous consent. (All Actions) </v>
      </c>
      <c r="K766" s="12" t="str">
        <f>INDEX(Table5[type],MATCH(Table4[[#This Row],[Action]],Table5[Action],0))</f>
        <v>In Process</v>
      </c>
      <c r="L766" s="22" t="b">
        <f>INDEX(Table1[Senate and President Same Party, House and President Different Party],MATCH(Table4[[#This Row],[Congress Acting]],Table1[Congress],0))</f>
        <v>1</v>
      </c>
    </row>
  </sheetData>
  <hyperlinks>
    <hyperlink ref="A2" r:id="rId1"/>
  </hyperlinks>
  <pageMargins left="0.75" right="0.75" top="1" bottom="1" header="0.5" footer="0.5"/>
  <pageSetup orientation="portrait" horizontalDpi="4294967292" verticalDpi="4294967292"/>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5"/>
  <sheetViews>
    <sheetView workbookViewId="0">
      <selection activeCell="A5" sqref="A5"/>
    </sheetView>
  </sheetViews>
  <sheetFormatPr baseColWidth="10" defaultColWidth="11" defaultRowHeight="15" x14ac:dyDescent="0"/>
  <cols>
    <col min="1" max="1" width="113.33203125" style="9" customWidth="1"/>
    <col min="2" max="2" width="32.33203125" bestFit="1" customWidth="1"/>
  </cols>
  <sheetData>
    <row r="1" spans="1:2">
      <c r="A1" s="9" t="s">
        <v>3786</v>
      </c>
      <c r="B1" t="s">
        <v>4667</v>
      </c>
    </row>
    <row r="2" spans="1:2">
      <c r="A2" s="9" t="s">
        <v>4303</v>
      </c>
      <c r="B2" t="s">
        <v>4670</v>
      </c>
    </row>
    <row r="3" spans="1:2" ht="31.5">
      <c r="A3" s="9" t="s">
        <v>4304</v>
      </c>
      <c r="B3" t="s">
        <v>4668</v>
      </c>
    </row>
    <row r="4" spans="1:2" ht="31.5">
      <c r="A4" s="9" t="s">
        <v>4305</v>
      </c>
      <c r="B4" t="s">
        <v>4668</v>
      </c>
    </row>
    <row r="5" spans="1:2" ht="31.5">
      <c r="A5" s="9" t="s">
        <v>4306</v>
      </c>
      <c r="B5" t="s">
        <v>4668</v>
      </c>
    </row>
    <row r="6" spans="1:2" ht="31.5">
      <c r="A6" s="9" t="s">
        <v>4307</v>
      </c>
      <c r="B6" t="s">
        <v>4668</v>
      </c>
    </row>
    <row r="7" spans="1:2" ht="31.5">
      <c r="A7" s="9" t="s">
        <v>4308</v>
      </c>
      <c r="B7" t="s">
        <v>4668</v>
      </c>
    </row>
    <row r="8" spans="1:2" ht="31.5">
      <c r="A8" s="9" t="s">
        <v>4309</v>
      </c>
      <c r="B8" t="s">
        <v>4668</v>
      </c>
    </row>
    <row r="9" spans="1:2" ht="31.5">
      <c r="A9" s="9" t="s">
        <v>4310</v>
      </c>
      <c r="B9" t="s">
        <v>4668</v>
      </c>
    </row>
    <row r="10" spans="1:2" ht="31.5">
      <c r="A10" s="9" t="s">
        <v>4311</v>
      </c>
      <c r="B10" t="s">
        <v>4668</v>
      </c>
    </row>
    <row r="11" spans="1:2" ht="31.5">
      <c r="A11" s="9" t="s">
        <v>4312</v>
      </c>
      <c r="B11" t="s">
        <v>4668</v>
      </c>
    </row>
    <row r="12" spans="1:2" ht="31.5">
      <c r="A12" s="9" t="s">
        <v>4313</v>
      </c>
      <c r="B12" t="s">
        <v>4668</v>
      </c>
    </row>
    <row r="13" spans="1:2">
      <c r="A13" s="9" t="s">
        <v>4314</v>
      </c>
      <c r="B13" t="s">
        <v>4668</v>
      </c>
    </row>
    <row r="14" spans="1:2" ht="31.5">
      <c r="A14" s="9" t="s">
        <v>4315</v>
      </c>
      <c r="B14" t="s">
        <v>4668</v>
      </c>
    </row>
    <row r="15" spans="1:2" ht="31.5">
      <c r="A15" s="9" t="s">
        <v>4316</v>
      </c>
      <c r="B15" t="s">
        <v>4668</v>
      </c>
    </row>
    <row r="16" spans="1:2" ht="31.5">
      <c r="A16" s="9" t="s">
        <v>4317</v>
      </c>
      <c r="B16" t="s">
        <v>4670</v>
      </c>
    </row>
    <row r="17" spans="1:2">
      <c r="A17" s="9" t="s">
        <v>4318</v>
      </c>
      <c r="B17" t="s">
        <v>4670</v>
      </c>
    </row>
    <row r="18" spans="1:2" ht="31.5">
      <c r="A18" s="9" t="s">
        <v>4319</v>
      </c>
      <c r="B18" t="s">
        <v>4668</v>
      </c>
    </row>
    <row r="19" spans="1:2" ht="31.5">
      <c r="A19" s="9" t="s">
        <v>4320</v>
      </c>
      <c r="B19" t="s">
        <v>4669</v>
      </c>
    </row>
    <row r="20" spans="1:2">
      <c r="A20" s="9" t="s">
        <v>4321</v>
      </c>
      <c r="B20" t="s">
        <v>4669</v>
      </c>
    </row>
    <row r="21" spans="1:2">
      <c r="A21" s="9" t="s">
        <v>4322</v>
      </c>
      <c r="B21" t="s">
        <v>4670</v>
      </c>
    </row>
    <row r="22" spans="1:2">
      <c r="A22" s="9" t="s">
        <v>4323</v>
      </c>
      <c r="B22" t="s">
        <v>4668</v>
      </c>
    </row>
    <row r="23" spans="1:2">
      <c r="A23" s="9" t="s">
        <v>4324</v>
      </c>
      <c r="B23" t="s">
        <v>4670</v>
      </c>
    </row>
    <row r="24" spans="1:2">
      <c r="A24" s="9" t="s">
        <v>4325</v>
      </c>
      <c r="B24" t="s">
        <v>4670</v>
      </c>
    </row>
    <row r="25" spans="1:2" ht="31.5">
      <c r="A25" s="9" t="s">
        <v>4326</v>
      </c>
      <c r="B25" t="s">
        <v>4668</v>
      </c>
    </row>
    <row r="26" spans="1:2">
      <c r="A26" s="9" t="s">
        <v>4327</v>
      </c>
      <c r="B26" t="s">
        <v>4670</v>
      </c>
    </row>
    <row r="27" spans="1:2" ht="31.5">
      <c r="A27" s="9" t="s">
        <v>4328</v>
      </c>
      <c r="B27" t="s">
        <v>4669</v>
      </c>
    </row>
    <row r="28" spans="1:2">
      <c r="A28" s="9" t="s">
        <v>4329</v>
      </c>
      <c r="B28" t="s">
        <v>4668</v>
      </c>
    </row>
    <row r="29" spans="1:2" ht="31.5">
      <c r="A29" s="9" t="s">
        <v>4330</v>
      </c>
      <c r="B29" t="s">
        <v>4668</v>
      </c>
    </row>
    <row r="30" spans="1:2">
      <c r="A30" s="9" t="s">
        <v>4331</v>
      </c>
      <c r="B30" t="s">
        <v>4668</v>
      </c>
    </row>
    <row r="31" spans="1:2">
      <c r="A31" s="9" t="s">
        <v>4332</v>
      </c>
      <c r="B31" t="s">
        <v>4668</v>
      </c>
    </row>
    <row r="32" spans="1:2">
      <c r="A32" s="9" t="s">
        <v>4333</v>
      </c>
      <c r="B32" t="s">
        <v>4668</v>
      </c>
    </row>
    <row r="33" spans="1:2" ht="31.5">
      <c r="A33" s="9" t="s">
        <v>4334</v>
      </c>
      <c r="B33" t="s">
        <v>4668</v>
      </c>
    </row>
    <row r="34" spans="1:2">
      <c r="A34" s="9" t="s">
        <v>4335</v>
      </c>
      <c r="B34" t="s">
        <v>4668</v>
      </c>
    </row>
    <row r="35" spans="1:2" ht="31.5">
      <c r="A35" s="9" t="s">
        <v>4336</v>
      </c>
      <c r="B35" t="s">
        <v>4668</v>
      </c>
    </row>
    <row r="36" spans="1:2">
      <c r="A36" s="9" t="s">
        <v>4337</v>
      </c>
      <c r="B36" t="s">
        <v>4670</v>
      </c>
    </row>
    <row r="37" spans="1:2" ht="31.5">
      <c r="A37" s="9" t="s">
        <v>4338</v>
      </c>
      <c r="B37" t="s">
        <v>4669</v>
      </c>
    </row>
    <row r="38" spans="1:2">
      <c r="A38" s="9" t="s">
        <v>4339</v>
      </c>
      <c r="B38" t="s">
        <v>4670</v>
      </c>
    </row>
    <row r="39" spans="1:2">
      <c r="A39" s="9" t="s">
        <v>4340</v>
      </c>
      <c r="B39" t="s">
        <v>4670</v>
      </c>
    </row>
    <row r="40" spans="1:2">
      <c r="A40" s="9" t="s">
        <v>4341</v>
      </c>
      <c r="B40" t="s">
        <v>4670</v>
      </c>
    </row>
    <row r="41" spans="1:2" ht="31.5">
      <c r="A41" s="9" t="s">
        <v>4342</v>
      </c>
      <c r="B41" t="s">
        <v>4668</v>
      </c>
    </row>
    <row r="42" spans="1:2">
      <c r="A42" s="9" t="s">
        <v>4343</v>
      </c>
      <c r="B42" t="s">
        <v>4670</v>
      </c>
    </row>
    <row r="43" spans="1:2" ht="31.5">
      <c r="A43" s="9" t="s">
        <v>4344</v>
      </c>
      <c r="B43" t="s">
        <v>4670</v>
      </c>
    </row>
    <row r="44" spans="1:2">
      <c r="A44" s="9" t="s">
        <v>4345</v>
      </c>
      <c r="B44" t="s">
        <v>4670</v>
      </c>
    </row>
    <row r="45" spans="1:2">
      <c r="A45" s="9" t="s">
        <v>4346</v>
      </c>
      <c r="B45" t="s">
        <v>4670</v>
      </c>
    </row>
    <row r="46" spans="1:2">
      <c r="A46" s="9" t="s">
        <v>4347</v>
      </c>
      <c r="B46" t="s">
        <v>4670</v>
      </c>
    </row>
    <row r="47" spans="1:2">
      <c r="A47" s="9" t="s">
        <v>4348</v>
      </c>
      <c r="B47" t="s">
        <v>4670</v>
      </c>
    </row>
    <row r="48" spans="1:2">
      <c r="A48" s="9" t="s">
        <v>4349</v>
      </c>
      <c r="B48" t="s">
        <v>4668</v>
      </c>
    </row>
    <row r="49" spans="1:2">
      <c r="A49" s="9" t="s">
        <v>4350</v>
      </c>
      <c r="B49" t="s">
        <v>4670</v>
      </c>
    </row>
    <row r="50" spans="1:2">
      <c r="A50" s="9" t="s">
        <v>4351</v>
      </c>
      <c r="B50" t="s">
        <v>4670</v>
      </c>
    </row>
    <row r="51" spans="1:2">
      <c r="A51" s="9" t="s">
        <v>4352</v>
      </c>
      <c r="B51" t="s">
        <v>4670</v>
      </c>
    </row>
    <row r="52" spans="1:2" ht="31.5">
      <c r="A52" s="9" t="s">
        <v>4353</v>
      </c>
      <c r="B52" t="s">
        <v>4670</v>
      </c>
    </row>
    <row r="53" spans="1:2">
      <c r="A53" s="9" t="s">
        <v>4354</v>
      </c>
      <c r="B53" t="s">
        <v>4670</v>
      </c>
    </row>
    <row r="54" spans="1:2">
      <c r="A54" s="9" t="s">
        <v>4355</v>
      </c>
      <c r="B54" t="s">
        <v>4670</v>
      </c>
    </row>
    <row r="55" spans="1:2" ht="31.5">
      <c r="A55" s="9" t="s">
        <v>4356</v>
      </c>
      <c r="B55" t="s">
        <v>4670</v>
      </c>
    </row>
    <row r="56" spans="1:2">
      <c r="A56" s="9" t="s">
        <v>4357</v>
      </c>
      <c r="B56" t="s">
        <v>4670</v>
      </c>
    </row>
    <row r="57" spans="1:2">
      <c r="A57" s="9" t="s">
        <v>4358</v>
      </c>
      <c r="B57" t="s">
        <v>4670</v>
      </c>
    </row>
    <row r="58" spans="1:2">
      <c r="A58" s="9" t="s">
        <v>4359</v>
      </c>
      <c r="B58" t="s">
        <v>4670</v>
      </c>
    </row>
    <row r="59" spans="1:2">
      <c r="A59" s="9" t="s">
        <v>4360</v>
      </c>
      <c r="B59" t="s">
        <v>4670</v>
      </c>
    </row>
    <row r="60" spans="1:2">
      <c r="A60" s="9" t="s">
        <v>4361</v>
      </c>
      <c r="B60" t="s">
        <v>4670</v>
      </c>
    </row>
    <row r="61" spans="1:2">
      <c r="A61" s="9" t="s">
        <v>4362</v>
      </c>
      <c r="B61" t="s">
        <v>4670</v>
      </c>
    </row>
    <row r="62" spans="1:2">
      <c r="A62" s="9" t="s">
        <v>4363</v>
      </c>
      <c r="B62" t="s">
        <v>4670</v>
      </c>
    </row>
    <row r="63" spans="1:2">
      <c r="A63" s="9" t="s">
        <v>4364</v>
      </c>
      <c r="B63" t="s">
        <v>4670</v>
      </c>
    </row>
    <row r="64" spans="1:2">
      <c r="A64" s="9" t="s">
        <v>4365</v>
      </c>
      <c r="B64" t="s">
        <v>4670</v>
      </c>
    </row>
    <row r="65" spans="1:2">
      <c r="A65" s="9" t="s">
        <v>4366</v>
      </c>
      <c r="B65" t="s">
        <v>4670</v>
      </c>
    </row>
    <row r="66" spans="1:2">
      <c r="A66" s="9" t="s">
        <v>4367</v>
      </c>
      <c r="B66" t="s">
        <v>4670</v>
      </c>
    </row>
    <row r="67" spans="1:2">
      <c r="A67" s="9" t="s">
        <v>4368</v>
      </c>
      <c r="B67" t="s">
        <v>4670</v>
      </c>
    </row>
    <row r="68" spans="1:2" ht="31.5">
      <c r="A68" s="9" t="s">
        <v>4369</v>
      </c>
      <c r="B68" t="s">
        <v>4670</v>
      </c>
    </row>
    <row r="69" spans="1:2" ht="31.5">
      <c r="A69" s="9" t="s">
        <v>4370</v>
      </c>
      <c r="B69" t="s">
        <v>4670</v>
      </c>
    </row>
    <row r="70" spans="1:2" ht="31.5">
      <c r="A70" s="9" t="s">
        <v>4371</v>
      </c>
      <c r="B70" t="s">
        <v>4670</v>
      </c>
    </row>
    <row r="71" spans="1:2" ht="31.5">
      <c r="A71" s="9" t="s">
        <v>4372</v>
      </c>
      <c r="B71" t="s">
        <v>4670</v>
      </c>
    </row>
    <row r="72" spans="1:2">
      <c r="A72" s="9" t="s">
        <v>4373</v>
      </c>
      <c r="B72" t="s">
        <v>4670</v>
      </c>
    </row>
    <row r="73" spans="1:2">
      <c r="A73" s="9" t="s">
        <v>4374</v>
      </c>
      <c r="B73" t="s">
        <v>4670</v>
      </c>
    </row>
    <row r="74" spans="1:2">
      <c r="A74" s="9" t="s">
        <v>4375</v>
      </c>
      <c r="B74" t="s">
        <v>4670</v>
      </c>
    </row>
    <row r="75" spans="1:2" ht="31.5">
      <c r="A75" s="9" t="s">
        <v>4376</v>
      </c>
      <c r="B75" t="s">
        <v>4670</v>
      </c>
    </row>
    <row r="76" spans="1:2">
      <c r="A76" s="9" t="s">
        <v>4377</v>
      </c>
      <c r="B76" t="s">
        <v>4670</v>
      </c>
    </row>
    <row r="77" spans="1:2">
      <c r="A77" s="9" t="s">
        <v>4378</v>
      </c>
      <c r="B77" t="s">
        <v>4670</v>
      </c>
    </row>
    <row r="78" spans="1:2">
      <c r="A78" s="9" t="s">
        <v>4379</v>
      </c>
      <c r="B78" t="s">
        <v>4670</v>
      </c>
    </row>
    <row r="79" spans="1:2">
      <c r="A79" s="9" t="s">
        <v>4380</v>
      </c>
      <c r="B79" t="s">
        <v>4670</v>
      </c>
    </row>
    <row r="80" spans="1:2">
      <c r="A80" s="9" t="s">
        <v>4381</v>
      </c>
      <c r="B80" t="s">
        <v>4670</v>
      </c>
    </row>
    <row r="81" spans="1:2" ht="31.5">
      <c r="A81" s="9" t="s">
        <v>4382</v>
      </c>
      <c r="B81" t="s">
        <v>4670</v>
      </c>
    </row>
    <row r="82" spans="1:2">
      <c r="A82" s="9" t="s">
        <v>4383</v>
      </c>
      <c r="B82" t="s">
        <v>4668</v>
      </c>
    </row>
    <row r="83" spans="1:2">
      <c r="A83" s="9" t="s">
        <v>4384</v>
      </c>
      <c r="B83" t="s">
        <v>4670</v>
      </c>
    </row>
    <row r="84" spans="1:2">
      <c r="A84" s="9" t="s">
        <v>4385</v>
      </c>
      <c r="B84" t="s">
        <v>4670</v>
      </c>
    </row>
    <row r="85" spans="1:2">
      <c r="A85" s="9" t="s">
        <v>4386</v>
      </c>
      <c r="B85" t="s">
        <v>4670</v>
      </c>
    </row>
    <row r="86" spans="1:2">
      <c r="A86" s="9" t="s">
        <v>4387</v>
      </c>
      <c r="B86" t="s">
        <v>4670</v>
      </c>
    </row>
    <row r="87" spans="1:2">
      <c r="A87" s="9" t="s">
        <v>4388</v>
      </c>
      <c r="B87" t="s">
        <v>4670</v>
      </c>
    </row>
    <row r="88" spans="1:2">
      <c r="A88" s="9" t="s">
        <v>4389</v>
      </c>
      <c r="B88" t="s">
        <v>4670</v>
      </c>
    </row>
    <row r="89" spans="1:2" ht="31.5">
      <c r="A89" s="9" t="s">
        <v>4390</v>
      </c>
      <c r="B89" t="s">
        <v>4670</v>
      </c>
    </row>
    <row r="90" spans="1:2" ht="31.5">
      <c r="A90" s="9" t="s">
        <v>4391</v>
      </c>
      <c r="B90" t="s">
        <v>4670</v>
      </c>
    </row>
    <row r="91" spans="1:2">
      <c r="A91" s="9" t="s">
        <v>4392</v>
      </c>
      <c r="B91" t="s">
        <v>4670</v>
      </c>
    </row>
    <row r="92" spans="1:2" ht="31.5">
      <c r="A92" s="9" t="s">
        <v>4393</v>
      </c>
      <c r="B92" t="s">
        <v>4670</v>
      </c>
    </row>
    <row r="93" spans="1:2">
      <c r="A93" s="9" t="s">
        <v>4394</v>
      </c>
      <c r="B93" t="s">
        <v>4670</v>
      </c>
    </row>
    <row r="94" spans="1:2">
      <c r="A94" s="9" t="s">
        <v>4395</v>
      </c>
      <c r="B94" t="s">
        <v>4668</v>
      </c>
    </row>
    <row r="95" spans="1:2" ht="31.5">
      <c r="A95" s="9" t="s">
        <v>4396</v>
      </c>
      <c r="B95" t="s">
        <v>4670</v>
      </c>
    </row>
    <row r="96" spans="1:2">
      <c r="A96" s="9" t="s">
        <v>4397</v>
      </c>
      <c r="B96" t="s">
        <v>4670</v>
      </c>
    </row>
    <row r="97" spans="1:2">
      <c r="A97" s="9" t="s">
        <v>4398</v>
      </c>
      <c r="B97" t="s">
        <v>4670</v>
      </c>
    </row>
    <row r="98" spans="1:2" ht="31.5">
      <c r="A98" s="9" t="s">
        <v>4399</v>
      </c>
      <c r="B98" t="s">
        <v>4670</v>
      </c>
    </row>
    <row r="99" spans="1:2" ht="31.5">
      <c r="A99" s="9" t="s">
        <v>4400</v>
      </c>
      <c r="B99" t="s">
        <v>4670</v>
      </c>
    </row>
    <row r="100" spans="1:2">
      <c r="A100" s="9" t="s">
        <v>4401</v>
      </c>
      <c r="B100" t="s">
        <v>4670</v>
      </c>
    </row>
    <row r="101" spans="1:2">
      <c r="A101" s="9" t="s">
        <v>4402</v>
      </c>
      <c r="B101" t="s">
        <v>4670</v>
      </c>
    </row>
    <row r="102" spans="1:2">
      <c r="A102" s="9" t="s">
        <v>4403</v>
      </c>
      <c r="B102" t="s">
        <v>4670</v>
      </c>
    </row>
    <row r="103" spans="1:2">
      <c r="A103" s="9" t="s">
        <v>4404</v>
      </c>
      <c r="B103" t="s">
        <v>4670</v>
      </c>
    </row>
    <row r="104" spans="1:2">
      <c r="A104" s="9" t="s">
        <v>4405</v>
      </c>
      <c r="B104" t="s">
        <v>4670</v>
      </c>
    </row>
    <row r="105" spans="1:2">
      <c r="A105" s="9" t="s">
        <v>4406</v>
      </c>
      <c r="B105" t="s">
        <v>4670</v>
      </c>
    </row>
    <row r="106" spans="1:2">
      <c r="A106" s="9" t="s">
        <v>4407</v>
      </c>
      <c r="B106" t="s">
        <v>4670</v>
      </c>
    </row>
    <row r="107" spans="1:2">
      <c r="A107" s="9" t="s">
        <v>4408</v>
      </c>
      <c r="B107" t="s">
        <v>4670</v>
      </c>
    </row>
    <row r="108" spans="1:2">
      <c r="A108" s="9" t="s">
        <v>4409</v>
      </c>
      <c r="B108" t="s">
        <v>4670</v>
      </c>
    </row>
    <row r="109" spans="1:2">
      <c r="A109" s="9" t="s">
        <v>4410</v>
      </c>
      <c r="B109" t="s">
        <v>4670</v>
      </c>
    </row>
    <row r="110" spans="1:2">
      <c r="A110" s="9" t="s">
        <v>4411</v>
      </c>
      <c r="B110" t="s">
        <v>4670</v>
      </c>
    </row>
    <row r="111" spans="1:2">
      <c r="A111" s="9" t="s">
        <v>4412</v>
      </c>
      <c r="B111" t="s">
        <v>4670</v>
      </c>
    </row>
    <row r="112" spans="1:2">
      <c r="A112" s="9" t="s">
        <v>4413</v>
      </c>
      <c r="B112" t="s">
        <v>4670</v>
      </c>
    </row>
    <row r="113" spans="1:2">
      <c r="A113" s="9" t="s">
        <v>4414</v>
      </c>
      <c r="B113" t="s">
        <v>4670</v>
      </c>
    </row>
    <row r="114" spans="1:2">
      <c r="A114" s="9" t="s">
        <v>4415</v>
      </c>
      <c r="B114" t="s">
        <v>4670</v>
      </c>
    </row>
    <row r="115" spans="1:2">
      <c r="A115" s="9" t="s">
        <v>4416</v>
      </c>
      <c r="B115" t="s">
        <v>4670</v>
      </c>
    </row>
    <row r="116" spans="1:2">
      <c r="A116" s="9" t="s">
        <v>4417</v>
      </c>
      <c r="B116" t="s">
        <v>4670</v>
      </c>
    </row>
    <row r="117" spans="1:2">
      <c r="A117" s="9" t="s">
        <v>4418</v>
      </c>
      <c r="B117" t="s">
        <v>4670</v>
      </c>
    </row>
    <row r="118" spans="1:2">
      <c r="A118" s="9" t="s">
        <v>4419</v>
      </c>
      <c r="B118" t="s">
        <v>4670</v>
      </c>
    </row>
    <row r="119" spans="1:2">
      <c r="A119" s="9" t="s">
        <v>4420</v>
      </c>
      <c r="B119" t="s">
        <v>4670</v>
      </c>
    </row>
    <row r="120" spans="1:2">
      <c r="A120" s="9" t="s">
        <v>4421</v>
      </c>
      <c r="B120" t="s">
        <v>4670</v>
      </c>
    </row>
    <row r="121" spans="1:2">
      <c r="A121" s="9" t="s">
        <v>4422</v>
      </c>
      <c r="B121" t="s">
        <v>4670</v>
      </c>
    </row>
    <row r="122" spans="1:2">
      <c r="A122" s="9" t="s">
        <v>4423</v>
      </c>
      <c r="B122" t="s">
        <v>4670</v>
      </c>
    </row>
    <row r="123" spans="1:2">
      <c r="A123" s="9" t="s">
        <v>4424</v>
      </c>
      <c r="B123" t="s">
        <v>4670</v>
      </c>
    </row>
    <row r="124" spans="1:2">
      <c r="A124" s="9" t="s">
        <v>4425</v>
      </c>
      <c r="B124" t="s">
        <v>4670</v>
      </c>
    </row>
    <row r="125" spans="1:2">
      <c r="A125" s="9" t="s">
        <v>4426</v>
      </c>
      <c r="B125" t="s">
        <v>4670</v>
      </c>
    </row>
    <row r="126" spans="1:2">
      <c r="A126" s="9" t="s">
        <v>4427</v>
      </c>
      <c r="B126" t="s">
        <v>4670</v>
      </c>
    </row>
    <row r="127" spans="1:2">
      <c r="A127" s="9" t="s">
        <v>4428</v>
      </c>
      <c r="B127" t="s">
        <v>4670</v>
      </c>
    </row>
    <row r="128" spans="1:2">
      <c r="A128" s="9" t="s">
        <v>4429</v>
      </c>
      <c r="B128" t="s">
        <v>4670</v>
      </c>
    </row>
    <row r="129" spans="1:2">
      <c r="A129" s="9" t="s">
        <v>4430</v>
      </c>
      <c r="B129" t="s">
        <v>4670</v>
      </c>
    </row>
    <row r="130" spans="1:2">
      <c r="A130" s="9" t="s">
        <v>4431</v>
      </c>
      <c r="B130" t="s">
        <v>4670</v>
      </c>
    </row>
    <row r="131" spans="1:2">
      <c r="A131" s="9" t="s">
        <v>4432</v>
      </c>
      <c r="B131" t="s">
        <v>4670</v>
      </c>
    </row>
    <row r="132" spans="1:2">
      <c r="A132" s="9" t="s">
        <v>4433</v>
      </c>
      <c r="B132" t="s">
        <v>4670</v>
      </c>
    </row>
    <row r="133" spans="1:2" ht="31.5">
      <c r="A133" s="9" t="s">
        <v>4434</v>
      </c>
      <c r="B133" t="s">
        <v>4670</v>
      </c>
    </row>
    <row r="134" spans="1:2">
      <c r="A134" s="9" t="s">
        <v>4435</v>
      </c>
      <c r="B134" t="s">
        <v>4670</v>
      </c>
    </row>
    <row r="135" spans="1:2">
      <c r="A135" s="9" t="s">
        <v>4436</v>
      </c>
      <c r="B135" t="s">
        <v>4670</v>
      </c>
    </row>
    <row r="136" spans="1:2">
      <c r="A136" s="9" t="s">
        <v>4437</v>
      </c>
      <c r="B136" t="s">
        <v>4670</v>
      </c>
    </row>
    <row r="137" spans="1:2">
      <c r="A137" s="9" t="s">
        <v>4438</v>
      </c>
      <c r="B137" t="s">
        <v>4670</v>
      </c>
    </row>
    <row r="138" spans="1:2">
      <c r="A138" s="9" t="s">
        <v>4439</v>
      </c>
      <c r="B138" t="s">
        <v>4670</v>
      </c>
    </row>
    <row r="139" spans="1:2">
      <c r="A139" s="9" t="s">
        <v>4440</v>
      </c>
      <c r="B139" t="s">
        <v>4670</v>
      </c>
    </row>
    <row r="140" spans="1:2">
      <c r="A140" s="9" t="s">
        <v>4441</v>
      </c>
      <c r="B140" t="s">
        <v>4670</v>
      </c>
    </row>
    <row r="141" spans="1:2">
      <c r="A141" s="9" t="s">
        <v>4442</v>
      </c>
      <c r="B141" t="s">
        <v>4670</v>
      </c>
    </row>
    <row r="142" spans="1:2" ht="31.5">
      <c r="A142" s="9" t="s">
        <v>4443</v>
      </c>
      <c r="B142" t="s">
        <v>4670</v>
      </c>
    </row>
    <row r="143" spans="1:2">
      <c r="A143" s="9" t="s">
        <v>4444</v>
      </c>
      <c r="B143" t="s">
        <v>4670</v>
      </c>
    </row>
    <row r="144" spans="1:2" ht="31.5">
      <c r="A144" s="9" t="s">
        <v>4445</v>
      </c>
      <c r="B144" t="s">
        <v>4670</v>
      </c>
    </row>
    <row r="145" spans="1:2">
      <c r="A145" s="9" t="s">
        <v>4446</v>
      </c>
      <c r="B145" t="s">
        <v>4670</v>
      </c>
    </row>
    <row r="146" spans="1:2">
      <c r="A146" s="9" t="s">
        <v>4447</v>
      </c>
      <c r="B146" t="s">
        <v>4670</v>
      </c>
    </row>
    <row r="147" spans="1:2">
      <c r="A147" s="9" t="s">
        <v>4448</v>
      </c>
      <c r="B147" t="s">
        <v>4670</v>
      </c>
    </row>
    <row r="148" spans="1:2">
      <c r="A148" s="9" t="s">
        <v>4449</v>
      </c>
      <c r="B148" t="s">
        <v>4670</v>
      </c>
    </row>
    <row r="149" spans="1:2">
      <c r="A149" s="9" t="s">
        <v>4450</v>
      </c>
      <c r="B149" t="s">
        <v>4670</v>
      </c>
    </row>
    <row r="150" spans="1:2">
      <c r="A150" s="9" t="s">
        <v>4451</v>
      </c>
      <c r="B150" t="s">
        <v>4670</v>
      </c>
    </row>
    <row r="151" spans="1:2">
      <c r="A151" s="9" t="s">
        <v>4452</v>
      </c>
      <c r="B151" t="s">
        <v>4670</v>
      </c>
    </row>
    <row r="152" spans="1:2">
      <c r="A152" s="9" t="s">
        <v>4453</v>
      </c>
      <c r="B152" t="s">
        <v>4670</v>
      </c>
    </row>
    <row r="153" spans="1:2">
      <c r="A153" s="9" t="s">
        <v>4454</v>
      </c>
      <c r="B153" t="s">
        <v>4670</v>
      </c>
    </row>
    <row r="154" spans="1:2">
      <c r="A154" s="9" t="s">
        <v>4455</v>
      </c>
      <c r="B154" t="s">
        <v>4670</v>
      </c>
    </row>
    <row r="155" spans="1:2">
      <c r="A155" s="9" t="s">
        <v>4456</v>
      </c>
      <c r="B155" t="s">
        <v>4670</v>
      </c>
    </row>
    <row r="156" spans="1:2">
      <c r="A156" s="9" t="s">
        <v>4457</v>
      </c>
      <c r="B156" t="s">
        <v>4670</v>
      </c>
    </row>
    <row r="157" spans="1:2">
      <c r="A157" s="9" t="s">
        <v>4458</v>
      </c>
      <c r="B157" t="s">
        <v>4670</v>
      </c>
    </row>
    <row r="158" spans="1:2">
      <c r="A158" s="9" t="s">
        <v>4459</v>
      </c>
      <c r="B158" t="s">
        <v>4670</v>
      </c>
    </row>
    <row r="159" spans="1:2">
      <c r="A159" s="9" t="s">
        <v>4460</v>
      </c>
      <c r="B159" t="s">
        <v>4670</v>
      </c>
    </row>
    <row r="160" spans="1:2">
      <c r="A160" s="9" t="s">
        <v>4461</v>
      </c>
      <c r="B160" t="s">
        <v>4670</v>
      </c>
    </row>
    <row r="161" spans="1:2">
      <c r="A161" s="9" t="s">
        <v>4462</v>
      </c>
      <c r="B161" t="s">
        <v>4670</v>
      </c>
    </row>
    <row r="162" spans="1:2">
      <c r="A162" s="9" t="s">
        <v>4463</v>
      </c>
      <c r="B162" t="s">
        <v>4670</v>
      </c>
    </row>
    <row r="163" spans="1:2">
      <c r="A163" s="9" t="s">
        <v>4464</v>
      </c>
      <c r="B163" t="s">
        <v>4670</v>
      </c>
    </row>
    <row r="164" spans="1:2">
      <c r="A164" s="9" t="s">
        <v>4465</v>
      </c>
      <c r="B164" t="s">
        <v>4670</v>
      </c>
    </row>
    <row r="165" spans="1:2">
      <c r="A165" s="9" t="s">
        <v>4466</v>
      </c>
      <c r="B165" t="s">
        <v>4670</v>
      </c>
    </row>
    <row r="166" spans="1:2">
      <c r="A166" s="9" t="s">
        <v>4467</v>
      </c>
      <c r="B166" t="s">
        <v>4670</v>
      </c>
    </row>
    <row r="167" spans="1:2" ht="31.5">
      <c r="A167" s="9" t="s">
        <v>4468</v>
      </c>
      <c r="B167" t="s">
        <v>4670</v>
      </c>
    </row>
    <row r="168" spans="1:2">
      <c r="A168" s="9" t="s">
        <v>4469</v>
      </c>
      <c r="B168" t="s">
        <v>4670</v>
      </c>
    </row>
    <row r="169" spans="1:2">
      <c r="A169" s="9" t="s">
        <v>4470</v>
      </c>
      <c r="B169" t="s">
        <v>4670</v>
      </c>
    </row>
    <row r="170" spans="1:2">
      <c r="A170" s="9" t="s">
        <v>4471</v>
      </c>
      <c r="B170" t="s">
        <v>4670</v>
      </c>
    </row>
    <row r="171" spans="1:2">
      <c r="A171" s="9" t="s">
        <v>4472</v>
      </c>
      <c r="B171" t="s">
        <v>4670</v>
      </c>
    </row>
    <row r="172" spans="1:2">
      <c r="A172" s="9" t="s">
        <v>4473</v>
      </c>
      <c r="B172" t="s">
        <v>4670</v>
      </c>
    </row>
    <row r="173" spans="1:2">
      <c r="A173" s="9" t="s">
        <v>4474</v>
      </c>
      <c r="B173" t="s">
        <v>4670</v>
      </c>
    </row>
    <row r="174" spans="1:2">
      <c r="A174" s="9" t="s">
        <v>4475</v>
      </c>
      <c r="B174" t="s">
        <v>4670</v>
      </c>
    </row>
    <row r="175" spans="1:2">
      <c r="A175" s="9" t="s">
        <v>4476</v>
      </c>
      <c r="B175" t="s">
        <v>4670</v>
      </c>
    </row>
    <row r="176" spans="1:2">
      <c r="A176" s="9" t="s">
        <v>4477</v>
      </c>
      <c r="B176" t="s">
        <v>4670</v>
      </c>
    </row>
    <row r="177" spans="1:2">
      <c r="A177" s="9" t="s">
        <v>4478</v>
      </c>
      <c r="B177" t="s">
        <v>4670</v>
      </c>
    </row>
    <row r="178" spans="1:2">
      <c r="A178" s="9" t="s">
        <v>4479</v>
      </c>
      <c r="B178" t="s">
        <v>4670</v>
      </c>
    </row>
    <row r="179" spans="1:2">
      <c r="A179" s="9" t="s">
        <v>4480</v>
      </c>
      <c r="B179" t="s">
        <v>4670</v>
      </c>
    </row>
    <row r="180" spans="1:2">
      <c r="A180" s="9" t="s">
        <v>4481</v>
      </c>
      <c r="B180" t="s">
        <v>4670</v>
      </c>
    </row>
    <row r="181" spans="1:2">
      <c r="A181" s="9" t="s">
        <v>4482</v>
      </c>
      <c r="B181" t="s">
        <v>4670</v>
      </c>
    </row>
    <row r="182" spans="1:2">
      <c r="A182" s="9" t="s">
        <v>4483</v>
      </c>
      <c r="B182" t="s">
        <v>4670</v>
      </c>
    </row>
    <row r="183" spans="1:2">
      <c r="A183" s="9" t="s">
        <v>4484</v>
      </c>
      <c r="B183" t="s">
        <v>4670</v>
      </c>
    </row>
    <row r="184" spans="1:2">
      <c r="A184" s="9" t="s">
        <v>4485</v>
      </c>
      <c r="B184" t="s">
        <v>4670</v>
      </c>
    </row>
    <row r="185" spans="1:2">
      <c r="A185" s="9" t="s">
        <v>4486</v>
      </c>
      <c r="B185" t="s">
        <v>4670</v>
      </c>
    </row>
    <row r="186" spans="1:2">
      <c r="A186" s="9" t="s">
        <v>4487</v>
      </c>
      <c r="B186" t="s">
        <v>4670</v>
      </c>
    </row>
    <row r="187" spans="1:2">
      <c r="A187" s="9" t="s">
        <v>4488</v>
      </c>
      <c r="B187" t="s">
        <v>4670</v>
      </c>
    </row>
    <row r="188" spans="1:2">
      <c r="A188" s="9" t="s">
        <v>4489</v>
      </c>
      <c r="B188" t="s">
        <v>4670</v>
      </c>
    </row>
    <row r="189" spans="1:2">
      <c r="A189" s="9" t="s">
        <v>4490</v>
      </c>
      <c r="B189" t="s">
        <v>4670</v>
      </c>
    </row>
    <row r="190" spans="1:2">
      <c r="A190" s="9" t="s">
        <v>4491</v>
      </c>
      <c r="B190" t="s">
        <v>4670</v>
      </c>
    </row>
    <row r="191" spans="1:2">
      <c r="A191" s="9" t="s">
        <v>4492</v>
      </c>
      <c r="B191" t="s">
        <v>4670</v>
      </c>
    </row>
    <row r="192" spans="1:2">
      <c r="A192" s="9" t="s">
        <v>4493</v>
      </c>
      <c r="B192" t="s">
        <v>4670</v>
      </c>
    </row>
    <row r="193" spans="1:2">
      <c r="A193" s="9" t="s">
        <v>4494</v>
      </c>
      <c r="B193" t="s">
        <v>4670</v>
      </c>
    </row>
    <row r="194" spans="1:2">
      <c r="A194" s="9" t="s">
        <v>4495</v>
      </c>
      <c r="B194" t="s">
        <v>4670</v>
      </c>
    </row>
    <row r="195" spans="1:2">
      <c r="A195" s="9" t="s">
        <v>4496</v>
      </c>
      <c r="B195" t="s">
        <v>4670</v>
      </c>
    </row>
    <row r="196" spans="1:2">
      <c r="A196" s="9" t="s">
        <v>4497</v>
      </c>
      <c r="B196" t="s">
        <v>4670</v>
      </c>
    </row>
    <row r="197" spans="1:2">
      <c r="A197" s="9" t="s">
        <v>4498</v>
      </c>
      <c r="B197" t="s">
        <v>4670</v>
      </c>
    </row>
    <row r="198" spans="1:2">
      <c r="A198" s="9" t="s">
        <v>4499</v>
      </c>
      <c r="B198" t="s">
        <v>4670</v>
      </c>
    </row>
    <row r="199" spans="1:2">
      <c r="A199" s="9" t="s">
        <v>4500</v>
      </c>
      <c r="B199" t="s">
        <v>4670</v>
      </c>
    </row>
    <row r="200" spans="1:2">
      <c r="A200" s="9" t="s">
        <v>4501</v>
      </c>
      <c r="B200" t="s">
        <v>4670</v>
      </c>
    </row>
    <row r="201" spans="1:2">
      <c r="A201" s="9" t="s">
        <v>4502</v>
      </c>
      <c r="B201" t="s">
        <v>4670</v>
      </c>
    </row>
    <row r="202" spans="1:2">
      <c r="A202" s="9" t="s">
        <v>4503</v>
      </c>
      <c r="B202" t="s">
        <v>4670</v>
      </c>
    </row>
    <row r="203" spans="1:2">
      <c r="A203" s="9" t="s">
        <v>4504</v>
      </c>
      <c r="B203" t="s">
        <v>4670</v>
      </c>
    </row>
    <row r="204" spans="1:2">
      <c r="A204" s="9" t="s">
        <v>4505</v>
      </c>
      <c r="B204" t="s">
        <v>4670</v>
      </c>
    </row>
    <row r="205" spans="1:2">
      <c r="A205" s="9" t="s">
        <v>4506</v>
      </c>
      <c r="B205" t="s">
        <v>4670</v>
      </c>
    </row>
    <row r="206" spans="1:2">
      <c r="A206" s="9" t="s">
        <v>4507</v>
      </c>
      <c r="B206" t="s">
        <v>4670</v>
      </c>
    </row>
    <row r="207" spans="1:2">
      <c r="A207" s="9" t="s">
        <v>4508</v>
      </c>
      <c r="B207" t="s">
        <v>4670</v>
      </c>
    </row>
    <row r="208" spans="1:2">
      <c r="A208" s="9" t="s">
        <v>4509</v>
      </c>
      <c r="B208" t="s">
        <v>4670</v>
      </c>
    </row>
    <row r="209" spans="1:2">
      <c r="A209" s="9" t="s">
        <v>4510</v>
      </c>
      <c r="B209" t="s">
        <v>4670</v>
      </c>
    </row>
    <row r="210" spans="1:2">
      <c r="A210" s="9" t="s">
        <v>4511</v>
      </c>
      <c r="B210" t="s">
        <v>4670</v>
      </c>
    </row>
    <row r="211" spans="1:2">
      <c r="A211" s="9" t="s">
        <v>4512</v>
      </c>
      <c r="B211" t="s">
        <v>4670</v>
      </c>
    </row>
    <row r="212" spans="1:2">
      <c r="A212" s="9" t="s">
        <v>4513</v>
      </c>
      <c r="B212" t="s">
        <v>4670</v>
      </c>
    </row>
    <row r="213" spans="1:2">
      <c r="A213" s="9" t="s">
        <v>4514</v>
      </c>
      <c r="B213" t="s">
        <v>4670</v>
      </c>
    </row>
    <row r="214" spans="1:2">
      <c r="A214" s="9" t="s">
        <v>4515</v>
      </c>
      <c r="B214" t="s">
        <v>4670</v>
      </c>
    </row>
    <row r="215" spans="1:2">
      <c r="A215" s="9" t="s">
        <v>4516</v>
      </c>
      <c r="B215" t="s">
        <v>4670</v>
      </c>
    </row>
    <row r="216" spans="1:2" ht="31.5">
      <c r="A216" s="9" t="s">
        <v>4517</v>
      </c>
      <c r="B216" t="s">
        <v>4670</v>
      </c>
    </row>
    <row r="217" spans="1:2">
      <c r="A217" s="9" t="s">
        <v>4518</v>
      </c>
      <c r="B217" t="s">
        <v>4670</v>
      </c>
    </row>
    <row r="218" spans="1:2">
      <c r="A218" s="9" t="s">
        <v>4519</v>
      </c>
      <c r="B218" t="s">
        <v>4670</v>
      </c>
    </row>
    <row r="219" spans="1:2">
      <c r="A219" s="9" t="s">
        <v>4520</v>
      </c>
      <c r="B219" t="s">
        <v>4670</v>
      </c>
    </row>
    <row r="220" spans="1:2">
      <c r="A220" s="9" t="s">
        <v>4521</v>
      </c>
      <c r="B220" t="s">
        <v>4670</v>
      </c>
    </row>
    <row r="221" spans="1:2">
      <c r="A221" s="9" t="s">
        <v>4522</v>
      </c>
      <c r="B221" t="s">
        <v>4670</v>
      </c>
    </row>
    <row r="222" spans="1:2">
      <c r="A222" s="9" t="s">
        <v>4523</v>
      </c>
      <c r="B222" t="s">
        <v>4670</v>
      </c>
    </row>
    <row r="223" spans="1:2">
      <c r="A223" s="9" t="s">
        <v>4524</v>
      </c>
      <c r="B223" t="s">
        <v>4670</v>
      </c>
    </row>
    <row r="224" spans="1:2">
      <c r="A224" s="9" t="s">
        <v>4525</v>
      </c>
      <c r="B224" t="s">
        <v>4670</v>
      </c>
    </row>
    <row r="225" spans="1:2">
      <c r="A225" s="9" t="s">
        <v>4526</v>
      </c>
      <c r="B225" t="s">
        <v>4670</v>
      </c>
    </row>
    <row r="226" spans="1:2">
      <c r="A226" s="9" t="s">
        <v>4527</v>
      </c>
      <c r="B226" t="s">
        <v>4670</v>
      </c>
    </row>
    <row r="227" spans="1:2">
      <c r="A227" s="9" t="s">
        <v>4528</v>
      </c>
      <c r="B227" t="s">
        <v>4670</v>
      </c>
    </row>
    <row r="228" spans="1:2">
      <c r="A228" s="9" t="s">
        <v>4529</v>
      </c>
      <c r="B228" t="s">
        <v>4670</v>
      </c>
    </row>
    <row r="229" spans="1:2">
      <c r="A229" s="9" t="s">
        <v>4530</v>
      </c>
      <c r="B229" t="s">
        <v>4670</v>
      </c>
    </row>
    <row r="230" spans="1:2">
      <c r="A230" s="9" t="s">
        <v>4531</v>
      </c>
      <c r="B230" t="s">
        <v>4670</v>
      </c>
    </row>
    <row r="231" spans="1:2">
      <c r="A231" s="9" t="s">
        <v>4532</v>
      </c>
      <c r="B231" t="s">
        <v>4670</v>
      </c>
    </row>
    <row r="232" spans="1:2">
      <c r="A232" s="9" t="s">
        <v>4533</v>
      </c>
      <c r="B232" t="s">
        <v>4670</v>
      </c>
    </row>
    <row r="233" spans="1:2">
      <c r="A233" s="9" t="s">
        <v>4534</v>
      </c>
      <c r="B233" t="s">
        <v>4670</v>
      </c>
    </row>
    <row r="234" spans="1:2">
      <c r="A234" s="9" t="s">
        <v>4535</v>
      </c>
      <c r="B234" t="s">
        <v>4670</v>
      </c>
    </row>
    <row r="235" spans="1:2">
      <c r="A235" s="9" t="s">
        <v>4536</v>
      </c>
      <c r="B235" t="s">
        <v>4670</v>
      </c>
    </row>
    <row r="236" spans="1:2">
      <c r="A236" s="9" t="s">
        <v>4537</v>
      </c>
      <c r="B236" t="s">
        <v>4670</v>
      </c>
    </row>
    <row r="237" spans="1:2">
      <c r="A237" s="9" t="s">
        <v>4538</v>
      </c>
      <c r="B237" t="s">
        <v>4670</v>
      </c>
    </row>
    <row r="238" spans="1:2">
      <c r="A238" s="9" t="s">
        <v>4539</v>
      </c>
      <c r="B238" t="s">
        <v>4670</v>
      </c>
    </row>
    <row r="239" spans="1:2">
      <c r="A239" s="9" t="s">
        <v>4540</v>
      </c>
      <c r="B239" t="s">
        <v>4670</v>
      </c>
    </row>
    <row r="240" spans="1:2">
      <c r="A240" s="9" t="s">
        <v>4541</v>
      </c>
      <c r="B240" t="s">
        <v>4670</v>
      </c>
    </row>
    <row r="241" spans="1:2">
      <c r="A241" s="9" t="s">
        <v>4542</v>
      </c>
      <c r="B241" t="s">
        <v>4670</v>
      </c>
    </row>
    <row r="242" spans="1:2">
      <c r="A242" s="9" t="s">
        <v>4543</v>
      </c>
      <c r="B242" t="s">
        <v>4670</v>
      </c>
    </row>
    <row r="243" spans="1:2">
      <c r="A243" s="9" t="s">
        <v>4544</v>
      </c>
      <c r="B243" t="s">
        <v>4670</v>
      </c>
    </row>
    <row r="244" spans="1:2">
      <c r="A244" s="9" t="s">
        <v>4545</v>
      </c>
      <c r="B244" t="s">
        <v>4670</v>
      </c>
    </row>
    <row r="245" spans="1:2">
      <c r="A245" s="9" t="s">
        <v>4546</v>
      </c>
      <c r="B245" t="s">
        <v>4670</v>
      </c>
    </row>
    <row r="246" spans="1:2">
      <c r="A246" s="9" t="s">
        <v>4547</v>
      </c>
      <c r="B246" t="s">
        <v>4670</v>
      </c>
    </row>
    <row r="247" spans="1:2">
      <c r="A247" s="9" t="s">
        <v>4548</v>
      </c>
      <c r="B247" t="s">
        <v>4670</v>
      </c>
    </row>
    <row r="248" spans="1:2">
      <c r="A248" s="9" t="s">
        <v>4549</v>
      </c>
      <c r="B248" t="s">
        <v>4670</v>
      </c>
    </row>
    <row r="249" spans="1:2">
      <c r="A249" s="9" t="s">
        <v>4550</v>
      </c>
      <c r="B249" t="s">
        <v>4670</v>
      </c>
    </row>
    <row r="250" spans="1:2">
      <c r="A250" s="9" t="s">
        <v>4551</v>
      </c>
      <c r="B250" t="s">
        <v>4670</v>
      </c>
    </row>
    <row r="251" spans="1:2">
      <c r="A251" s="9" t="s">
        <v>4552</v>
      </c>
      <c r="B251" t="s">
        <v>4670</v>
      </c>
    </row>
    <row r="252" spans="1:2">
      <c r="A252" s="9" t="s">
        <v>4553</v>
      </c>
      <c r="B252" t="s">
        <v>4670</v>
      </c>
    </row>
    <row r="253" spans="1:2">
      <c r="A253" s="9" t="s">
        <v>4554</v>
      </c>
      <c r="B253" t="s">
        <v>4670</v>
      </c>
    </row>
    <row r="254" spans="1:2">
      <c r="A254" s="9" t="s">
        <v>4555</v>
      </c>
      <c r="B254" t="s">
        <v>4670</v>
      </c>
    </row>
    <row r="255" spans="1:2">
      <c r="A255" s="9" t="s">
        <v>4556</v>
      </c>
      <c r="B255" t="s">
        <v>4670</v>
      </c>
    </row>
    <row r="256" spans="1:2">
      <c r="A256" s="9" t="s">
        <v>4557</v>
      </c>
      <c r="B256" t="s">
        <v>4670</v>
      </c>
    </row>
    <row r="257" spans="1:2">
      <c r="A257" s="9" t="s">
        <v>4558</v>
      </c>
      <c r="B257" t="s">
        <v>4670</v>
      </c>
    </row>
    <row r="258" spans="1:2">
      <c r="A258" s="9" t="s">
        <v>4559</v>
      </c>
      <c r="B258" t="s">
        <v>4670</v>
      </c>
    </row>
    <row r="259" spans="1:2">
      <c r="A259" s="9" t="s">
        <v>4560</v>
      </c>
      <c r="B259" t="s">
        <v>4668</v>
      </c>
    </row>
    <row r="260" spans="1:2">
      <c r="A260" s="9" t="s">
        <v>4561</v>
      </c>
      <c r="B260" t="s">
        <v>4670</v>
      </c>
    </row>
    <row r="261" spans="1:2">
      <c r="A261" s="9" t="s">
        <v>4562</v>
      </c>
      <c r="B261" t="s">
        <v>4670</v>
      </c>
    </row>
    <row r="262" spans="1:2">
      <c r="A262" s="9" t="s">
        <v>4563</v>
      </c>
      <c r="B262" t="s">
        <v>4670</v>
      </c>
    </row>
    <row r="263" spans="1:2">
      <c r="A263" s="9" t="s">
        <v>4564</v>
      </c>
      <c r="B263" t="s">
        <v>4670</v>
      </c>
    </row>
    <row r="264" spans="1:2">
      <c r="A264" s="9" t="s">
        <v>4565</v>
      </c>
      <c r="B264" t="s">
        <v>4670</v>
      </c>
    </row>
    <row r="265" spans="1:2">
      <c r="A265" s="9" t="s">
        <v>4566</v>
      </c>
      <c r="B265" t="s">
        <v>4670</v>
      </c>
    </row>
    <row r="266" spans="1:2">
      <c r="A266" s="9" t="s">
        <v>4567</v>
      </c>
      <c r="B266" t="s">
        <v>4670</v>
      </c>
    </row>
    <row r="267" spans="1:2">
      <c r="A267" s="9" t="s">
        <v>4568</v>
      </c>
      <c r="B267" t="s">
        <v>4670</v>
      </c>
    </row>
    <row r="268" spans="1:2">
      <c r="A268" s="9" t="s">
        <v>4569</v>
      </c>
      <c r="B268" t="s">
        <v>4670</v>
      </c>
    </row>
    <row r="269" spans="1:2">
      <c r="A269" s="9" t="s">
        <v>4570</v>
      </c>
      <c r="B269" t="s">
        <v>4670</v>
      </c>
    </row>
    <row r="270" spans="1:2">
      <c r="A270" s="9" t="s">
        <v>4571</v>
      </c>
      <c r="B270" t="s">
        <v>4670</v>
      </c>
    </row>
    <row r="271" spans="1:2">
      <c r="A271" s="9" t="s">
        <v>4572</v>
      </c>
      <c r="B271" t="s">
        <v>4670</v>
      </c>
    </row>
    <row r="272" spans="1:2">
      <c r="A272" s="9" t="s">
        <v>4573</v>
      </c>
      <c r="B272" t="s">
        <v>4670</v>
      </c>
    </row>
    <row r="273" spans="1:2">
      <c r="A273" s="9" t="s">
        <v>4574</v>
      </c>
      <c r="B273" t="s">
        <v>4670</v>
      </c>
    </row>
    <row r="274" spans="1:2">
      <c r="A274" s="9" t="s">
        <v>4575</v>
      </c>
      <c r="B274" t="s">
        <v>4670</v>
      </c>
    </row>
    <row r="275" spans="1:2">
      <c r="A275" s="9" t="s">
        <v>4576</v>
      </c>
      <c r="B275" t="s">
        <v>4670</v>
      </c>
    </row>
    <row r="276" spans="1:2">
      <c r="A276" s="9" t="s">
        <v>4577</v>
      </c>
      <c r="B276" t="s">
        <v>4670</v>
      </c>
    </row>
    <row r="277" spans="1:2">
      <c r="A277" s="9" t="s">
        <v>4578</v>
      </c>
      <c r="B277" t="s">
        <v>4670</v>
      </c>
    </row>
    <row r="278" spans="1:2">
      <c r="A278" s="9" t="s">
        <v>4579</v>
      </c>
      <c r="B278" t="s">
        <v>4670</v>
      </c>
    </row>
    <row r="279" spans="1:2">
      <c r="A279" s="9" t="s">
        <v>4580</v>
      </c>
      <c r="B279" t="s">
        <v>4670</v>
      </c>
    </row>
    <row r="280" spans="1:2">
      <c r="A280" s="9" t="s">
        <v>4581</v>
      </c>
      <c r="B280" t="s">
        <v>4670</v>
      </c>
    </row>
    <row r="281" spans="1:2">
      <c r="A281" s="9" t="s">
        <v>4582</v>
      </c>
      <c r="B281" t="s">
        <v>4670</v>
      </c>
    </row>
    <row r="282" spans="1:2">
      <c r="A282" s="9" t="s">
        <v>4583</v>
      </c>
      <c r="B282" t="s">
        <v>4670</v>
      </c>
    </row>
    <row r="283" spans="1:2">
      <c r="A283" s="9" t="s">
        <v>4584</v>
      </c>
      <c r="B283" t="s">
        <v>4670</v>
      </c>
    </row>
    <row r="284" spans="1:2">
      <c r="A284" s="9" t="s">
        <v>4585</v>
      </c>
      <c r="B284" t="s">
        <v>4670</v>
      </c>
    </row>
    <row r="285" spans="1:2">
      <c r="A285" s="9" t="s">
        <v>4586</v>
      </c>
      <c r="B285" t="s">
        <v>4670</v>
      </c>
    </row>
    <row r="286" spans="1:2">
      <c r="A286" s="9" t="s">
        <v>4587</v>
      </c>
      <c r="B286" t="s">
        <v>4670</v>
      </c>
    </row>
    <row r="287" spans="1:2">
      <c r="A287" s="9" t="s">
        <v>4588</v>
      </c>
      <c r="B287" t="s">
        <v>4670</v>
      </c>
    </row>
    <row r="288" spans="1:2">
      <c r="A288" s="9" t="s">
        <v>4589</v>
      </c>
      <c r="B288" t="s">
        <v>4670</v>
      </c>
    </row>
    <row r="289" spans="1:2">
      <c r="A289" s="9" t="s">
        <v>4590</v>
      </c>
      <c r="B289" t="s">
        <v>4670</v>
      </c>
    </row>
    <row r="290" spans="1:2">
      <c r="A290" s="9" t="s">
        <v>4591</v>
      </c>
      <c r="B290" t="s">
        <v>4670</v>
      </c>
    </row>
    <row r="291" spans="1:2">
      <c r="A291" s="9" t="s">
        <v>4592</v>
      </c>
      <c r="B291" t="s">
        <v>4670</v>
      </c>
    </row>
    <row r="292" spans="1:2">
      <c r="A292" s="9" t="s">
        <v>4593</v>
      </c>
      <c r="B292" t="s">
        <v>4670</v>
      </c>
    </row>
    <row r="293" spans="1:2" ht="31.5">
      <c r="A293" s="9" t="s">
        <v>4594</v>
      </c>
      <c r="B293" t="s">
        <v>4670</v>
      </c>
    </row>
    <row r="294" spans="1:2">
      <c r="A294" s="9" t="s">
        <v>4595</v>
      </c>
      <c r="B294" t="s">
        <v>4670</v>
      </c>
    </row>
    <row r="295" spans="1:2">
      <c r="A295" s="9" t="s">
        <v>4596</v>
      </c>
      <c r="B295" t="s">
        <v>4670</v>
      </c>
    </row>
    <row r="296" spans="1:2">
      <c r="A296" s="9" t="s">
        <v>4597</v>
      </c>
      <c r="B296" t="s">
        <v>4670</v>
      </c>
    </row>
    <row r="297" spans="1:2">
      <c r="A297" s="9" t="s">
        <v>4598</v>
      </c>
      <c r="B297" t="s">
        <v>4670</v>
      </c>
    </row>
    <row r="298" spans="1:2">
      <c r="A298" s="9" t="s">
        <v>4599</v>
      </c>
      <c r="B298" t="s">
        <v>4670</v>
      </c>
    </row>
    <row r="299" spans="1:2">
      <c r="A299" s="9" t="s">
        <v>4600</v>
      </c>
      <c r="B299" t="s">
        <v>4670</v>
      </c>
    </row>
    <row r="300" spans="1:2">
      <c r="A300" s="9" t="s">
        <v>4601</v>
      </c>
      <c r="B300" t="s">
        <v>4670</v>
      </c>
    </row>
    <row r="301" spans="1:2">
      <c r="A301" s="9" t="s">
        <v>4602</v>
      </c>
      <c r="B301" t="s">
        <v>4670</v>
      </c>
    </row>
    <row r="302" spans="1:2">
      <c r="A302" s="9" t="s">
        <v>4603</v>
      </c>
      <c r="B302" t="s">
        <v>4670</v>
      </c>
    </row>
    <row r="303" spans="1:2">
      <c r="A303" s="9" t="s">
        <v>4604</v>
      </c>
      <c r="B303" t="s">
        <v>4670</v>
      </c>
    </row>
    <row r="304" spans="1:2">
      <c r="A304" s="9" t="s">
        <v>4605</v>
      </c>
      <c r="B304" t="s">
        <v>4670</v>
      </c>
    </row>
    <row r="305" spans="1:2">
      <c r="A305" s="9" t="s">
        <v>4606</v>
      </c>
      <c r="B305" t="s">
        <v>4670</v>
      </c>
    </row>
    <row r="306" spans="1:2">
      <c r="A306" s="9" t="s">
        <v>4607</v>
      </c>
      <c r="B306" t="s">
        <v>4670</v>
      </c>
    </row>
    <row r="307" spans="1:2">
      <c r="A307" s="9" t="s">
        <v>4608</v>
      </c>
      <c r="B307" t="s">
        <v>4670</v>
      </c>
    </row>
    <row r="308" spans="1:2">
      <c r="A308" s="9" t="s">
        <v>4609</v>
      </c>
      <c r="B308" t="s">
        <v>4670</v>
      </c>
    </row>
    <row r="309" spans="1:2">
      <c r="A309" s="9" t="s">
        <v>4610</v>
      </c>
      <c r="B309" t="s">
        <v>4670</v>
      </c>
    </row>
    <row r="310" spans="1:2">
      <c r="A310" s="9" t="s">
        <v>4611</v>
      </c>
      <c r="B310" t="s">
        <v>4670</v>
      </c>
    </row>
    <row r="311" spans="1:2">
      <c r="A311" s="9" t="s">
        <v>4612</v>
      </c>
      <c r="B311" t="s">
        <v>4670</v>
      </c>
    </row>
    <row r="312" spans="1:2">
      <c r="A312" s="9" t="s">
        <v>4613</v>
      </c>
      <c r="B312" t="s">
        <v>4670</v>
      </c>
    </row>
    <row r="313" spans="1:2">
      <c r="A313" s="9" t="s">
        <v>4614</v>
      </c>
      <c r="B313" t="s">
        <v>4670</v>
      </c>
    </row>
    <row r="314" spans="1:2">
      <c r="A314" s="9" t="s">
        <v>4615</v>
      </c>
      <c r="B314" t="s">
        <v>4670</v>
      </c>
    </row>
    <row r="315" spans="1:2">
      <c r="A315" s="9" t="s">
        <v>4616</v>
      </c>
      <c r="B315" t="s">
        <v>4670</v>
      </c>
    </row>
    <row r="316" spans="1:2">
      <c r="A316" s="9" t="s">
        <v>4617</v>
      </c>
      <c r="B316" t="s">
        <v>4670</v>
      </c>
    </row>
    <row r="317" spans="1:2">
      <c r="A317" s="9" t="s">
        <v>4618</v>
      </c>
      <c r="B317" t="s">
        <v>4670</v>
      </c>
    </row>
    <row r="318" spans="1:2">
      <c r="A318" s="9" t="s">
        <v>4619</v>
      </c>
      <c r="B318" t="s">
        <v>4670</v>
      </c>
    </row>
    <row r="319" spans="1:2">
      <c r="A319" s="9" t="s">
        <v>4620</v>
      </c>
      <c r="B319" t="s">
        <v>4670</v>
      </c>
    </row>
    <row r="320" spans="1:2">
      <c r="A320" s="9" t="s">
        <v>4621</v>
      </c>
      <c r="B320" t="s">
        <v>4670</v>
      </c>
    </row>
    <row r="321" spans="1:2">
      <c r="A321" s="9" t="s">
        <v>4622</v>
      </c>
      <c r="B321" t="s">
        <v>4670</v>
      </c>
    </row>
    <row r="322" spans="1:2">
      <c r="A322" s="9" t="s">
        <v>4623</v>
      </c>
      <c r="B322" t="s">
        <v>4670</v>
      </c>
    </row>
    <row r="323" spans="1:2">
      <c r="A323" s="9" t="s">
        <v>4624</v>
      </c>
      <c r="B323" t="s">
        <v>4670</v>
      </c>
    </row>
    <row r="324" spans="1:2">
      <c r="A324" s="9" t="s">
        <v>4625</v>
      </c>
      <c r="B324" t="s">
        <v>4670</v>
      </c>
    </row>
    <row r="325" spans="1:2">
      <c r="A325" s="9" t="s">
        <v>4626</v>
      </c>
      <c r="B325" t="s">
        <v>4670</v>
      </c>
    </row>
    <row r="326" spans="1:2">
      <c r="A326" s="9" t="s">
        <v>4627</v>
      </c>
      <c r="B326" t="s">
        <v>4670</v>
      </c>
    </row>
    <row r="327" spans="1:2">
      <c r="A327" s="9" t="s">
        <v>4628</v>
      </c>
      <c r="B327" t="s">
        <v>4670</v>
      </c>
    </row>
    <row r="328" spans="1:2">
      <c r="A328" s="9" t="s">
        <v>4629</v>
      </c>
      <c r="B328" t="s">
        <v>4670</v>
      </c>
    </row>
    <row r="329" spans="1:2">
      <c r="A329" s="9" t="s">
        <v>4630</v>
      </c>
      <c r="B329" t="s">
        <v>4670</v>
      </c>
    </row>
    <row r="330" spans="1:2">
      <c r="A330" s="9" t="s">
        <v>4631</v>
      </c>
      <c r="B330" t="s">
        <v>4670</v>
      </c>
    </row>
    <row r="331" spans="1:2">
      <c r="A331" s="9" t="s">
        <v>4632</v>
      </c>
      <c r="B331" t="s">
        <v>4670</v>
      </c>
    </row>
    <row r="332" spans="1:2">
      <c r="A332" s="9" t="s">
        <v>4633</v>
      </c>
      <c r="B332" t="s">
        <v>4670</v>
      </c>
    </row>
    <row r="333" spans="1:2">
      <c r="A333" s="9" t="s">
        <v>4634</v>
      </c>
      <c r="B333" t="s">
        <v>4670</v>
      </c>
    </row>
    <row r="334" spans="1:2">
      <c r="A334" s="9" t="s">
        <v>4635</v>
      </c>
      <c r="B334" t="s">
        <v>4670</v>
      </c>
    </row>
    <row r="335" spans="1:2">
      <c r="A335" s="9" t="s">
        <v>4636</v>
      </c>
      <c r="B335" t="s">
        <v>4670</v>
      </c>
    </row>
    <row r="336" spans="1:2">
      <c r="A336" s="9" t="s">
        <v>4637</v>
      </c>
      <c r="B336" t="s">
        <v>4670</v>
      </c>
    </row>
    <row r="337" spans="1:2">
      <c r="A337" s="9" t="s">
        <v>4638</v>
      </c>
      <c r="B337" t="s">
        <v>4670</v>
      </c>
    </row>
    <row r="338" spans="1:2">
      <c r="A338" s="9" t="s">
        <v>4639</v>
      </c>
      <c r="B338" t="s">
        <v>4670</v>
      </c>
    </row>
    <row r="339" spans="1:2">
      <c r="A339" s="9" t="s">
        <v>4640</v>
      </c>
      <c r="B339" t="s">
        <v>4670</v>
      </c>
    </row>
    <row r="340" spans="1:2">
      <c r="A340" s="9" t="s">
        <v>4641</v>
      </c>
      <c r="B340" t="s">
        <v>4670</v>
      </c>
    </row>
    <row r="341" spans="1:2">
      <c r="A341" s="9" t="s">
        <v>4642</v>
      </c>
      <c r="B341" t="s">
        <v>4670</v>
      </c>
    </row>
    <row r="342" spans="1:2">
      <c r="A342" s="9" t="s">
        <v>4643</v>
      </c>
      <c r="B342" t="s">
        <v>4670</v>
      </c>
    </row>
    <row r="343" spans="1:2">
      <c r="A343" s="9" t="s">
        <v>4644</v>
      </c>
      <c r="B343" t="s">
        <v>4670</v>
      </c>
    </row>
    <row r="344" spans="1:2">
      <c r="A344" s="9" t="s">
        <v>4645</v>
      </c>
      <c r="B344" t="s">
        <v>4670</v>
      </c>
    </row>
    <row r="345" spans="1:2">
      <c r="A345" s="9" t="s">
        <v>4646</v>
      </c>
      <c r="B345" t="s">
        <v>4670</v>
      </c>
    </row>
    <row r="346" spans="1:2">
      <c r="A346" s="9" t="s">
        <v>4647</v>
      </c>
      <c r="B346" t="s">
        <v>4670</v>
      </c>
    </row>
    <row r="347" spans="1:2">
      <c r="A347" s="9" t="s">
        <v>4648</v>
      </c>
      <c r="B347" t="s">
        <v>4670</v>
      </c>
    </row>
    <row r="348" spans="1:2">
      <c r="A348" s="9" t="s">
        <v>4649</v>
      </c>
      <c r="B348" t="s">
        <v>4670</v>
      </c>
    </row>
    <row r="349" spans="1:2">
      <c r="A349" s="9" t="s">
        <v>4650</v>
      </c>
      <c r="B349" t="s">
        <v>4670</v>
      </c>
    </row>
    <row r="350" spans="1:2">
      <c r="A350" s="9" t="s">
        <v>4651</v>
      </c>
      <c r="B350" t="s">
        <v>4670</v>
      </c>
    </row>
    <row r="351" spans="1:2">
      <c r="A351" s="9" t="s">
        <v>4652</v>
      </c>
      <c r="B351" t="s">
        <v>4670</v>
      </c>
    </row>
    <row r="352" spans="1:2">
      <c r="A352" s="9" t="s">
        <v>4653</v>
      </c>
      <c r="B352" t="s">
        <v>4670</v>
      </c>
    </row>
    <row r="353" spans="1:2">
      <c r="A353" s="9" t="s">
        <v>4654</v>
      </c>
      <c r="B353" t="s">
        <v>4670</v>
      </c>
    </row>
    <row r="354" spans="1:2">
      <c r="A354" s="9" t="s">
        <v>4655</v>
      </c>
      <c r="B354" t="s">
        <v>4670</v>
      </c>
    </row>
    <row r="355" spans="1:2">
      <c r="A355" s="9" t="s">
        <v>4656</v>
      </c>
      <c r="B355" t="s">
        <v>4670</v>
      </c>
    </row>
    <row r="356" spans="1:2">
      <c r="A356" s="9" t="s">
        <v>4657</v>
      </c>
      <c r="B356" t="s">
        <v>4670</v>
      </c>
    </row>
    <row r="357" spans="1:2">
      <c r="A357" s="9" t="s">
        <v>4658</v>
      </c>
      <c r="B357" t="s">
        <v>4670</v>
      </c>
    </row>
    <row r="358" spans="1:2">
      <c r="A358" s="9" t="s">
        <v>4659</v>
      </c>
      <c r="B358" t="s">
        <v>4670</v>
      </c>
    </row>
    <row r="359" spans="1:2">
      <c r="A359" s="9" t="s">
        <v>4660</v>
      </c>
      <c r="B359" t="s">
        <v>4670</v>
      </c>
    </row>
    <row r="360" spans="1:2">
      <c r="A360" s="9" t="s">
        <v>4661</v>
      </c>
      <c r="B360" t="s">
        <v>4670</v>
      </c>
    </row>
    <row r="361" spans="1:2">
      <c r="A361" s="9" t="s">
        <v>4662</v>
      </c>
      <c r="B361" t="s">
        <v>4670</v>
      </c>
    </row>
    <row r="362" spans="1:2">
      <c r="A362" s="9" t="s">
        <v>4663</v>
      </c>
      <c r="B362" t="s">
        <v>4670</v>
      </c>
    </row>
    <row r="363" spans="1:2">
      <c r="A363" s="9" t="s">
        <v>4664</v>
      </c>
      <c r="B363" t="s">
        <v>4670</v>
      </c>
    </row>
    <row r="364" spans="1:2">
      <c r="A364" s="9" t="s">
        <v>4665</v>
      </c>
      <c r="B364" t="s">
        <v>4670</v>
      </c>
    </row>
    <row r="365" spans="1:2">
      <c r="A365" s="9" t="s">
        <v>4666</v>
      </c>
      <c r="B365" t="s">
        <v>4670</v>
      </c>
    </row>
  </sheetData>
  <pageMargins left="0.75" right="0.75" top="1" bottom="1" header="0.5" footer="0.5"/>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6"/>
  <sheetViews>
    <sheetView showGridLines="0" tabSelected="1" workbookViewId="0">
      <selection activeCell="I31" sqref="I31"/>
    </sheetView>
  </sheetViews>
  <sheetFormatPr baseColWidth="10" defaultColWidth="11" defaultRowHeight="15" x14ac:dyDescent="0"/>
  <cols>
    <col min="1" max="1" width="19.5" bestFit="1" customWidth="1"/>
    <col min="2" max="2" width="15.83203125" customWidth="1"/>
    <col min="3" max="3" width="16.33203125" customWidth="1"/>
    <col min="4" max="4" width="10.83203125" customWidth="1"/>
    <col min="5" max="5" width="18" customWidth="1"/>
    <col min="6" max="6" width="18.6640625" customWidth="1"/>
    <col min="7" max="8" width="13.1640625" customWidth="1"/>
    <col min="9" max="9" width="10.83203125" customWidth="1"/>
    <col min="10" max="10" width="11.33203125" bestFit="1" customWidth="1"/>
  </cols>
  <sheetData>
    <row r="1" spans="1:9">
      <c r="A1" s="23" t="s">
        <v>4671</v>
      </c>
      <c r="B1" t="s">
        <v>4670</v>
      </c>
    </row>
    <row r="3" spans="1:9">
      <c r="A3" s="23" t="s">
        <v>4836</v>
      </c>
      <c r="B3" s="23" t="s">
        <v>4837</v>
      </c>
      <c r="F3" s="23" t="s">
        <v>4842</v>
      </c>
      <c r="G3" s="23" t="s">
        <v>4837</v>
      </c>
    </row>
    <row r="4" spans="1:9">
      <c r="A4" s="23" t="s">
        <v>4838</v>
      </c>
      <c r="B4" t="s">
        <v>4840</v>
      </c>
      <c r="C4" t="s">
        <v>4841</v>
      </c>
      <c r="D4" t="s">
        <v>4839</v>
      </c>
      <c r="F4" s="23" t="s">
        <v>4838</v>
      </c>
      <c r="G4" t="s">
        <v>4840</v>
      </c>
      <c r="H4" t="s">
        <v>4841</v>
      </c>
      <c r="I4" t="s">
        <v>4839</v>
      </c>
    </row>
    <row r="5" spans="1:9">
      <c r="A5" s="24" t="s">
        <v>138</v>
      </c>
      <c r="B5" s="8">
        <v>23</v>
      </c>
      <c r="C5" s="8"/>
      <c r="D5" s="8">
        <v>23</v>
      </c>
      <c r="F5" s="24" t="s">
        <v>138</v>
      </c>
      <c r="G5" s="8">
        <v>761</v>
      </c>
      <c r="H5" s="8"/>
      <c r="I5" s="8">
        <v>761</v>
      </c>
    </row>
    <row r="6" spans="1:9">
      <c r="A6" s="24" t="s">
        <v>140</v>
      </c>
      <c r="B6" s="8">
        <v>25</v>
      </c>
      <c r="C6" s="8"/>
      <c r="D6" s="8">
        <v>25</v>
      </c>
      <c r="F6" s="24" t="s">
        <v>140</v>
      </c>
      <c r="G6" s="8">
        <v>665</v>
      </c>
      <c r="H6" s="8"/>
      <c r="I6" s="8">
        <v>665</v>
      </c>
    </row>
    <row r="7" spans="1:9">
      <c r="A7" s="24" t="s">
        <v>142</v>
      </c>
      <c r="B7" s="8">
        <v>48</v>
      </c>
      <c r="C7" s="8"/>
      <c r="D7" s="8">
        <v>48</v>
      </c>
      <c r="F7" s="24" t="s">
        <v>142</v>
      </c>
      <c r="G7" s="8">
        <v>610</v>
      </c>
      <c r="H7" s="8"/>
      <c r="I7" s="8">
        <v>610</v>
      </c>
    </row>
    <row r="8" spans="1:9">
      <c r="A8" s="24" t="s">
        <v>144</v>
      </c>
      <c r="B8" s="8"/>
      <c r="C8" s="8">
        <v>28</v>
      </c>
      <c r="D8" s="8">
        <v>28</v>
      </c>
      <c r="F8" s="24" t="s">
        <v>144</v>
      </c>
      <c r="G8" s="8"/>
      <c r="H8" s="8">
        <v>473</v>
      </c>
      <c r="I8" s="8">
        <v>473</v>
      </c>
    </row>
    <row r="9" spans="1:9">
      <c r="A9" s="24" t="s">
        <v>146</v>
      </c>
      <c r="B9" s="8">
        <v>38</v>
      </c>
      <c r="C9" s="8"/>
      <c r="D9" s="8">
        <v>38</v>
      </c>
      <c r="F9" s="24" t="s">
        <v>146</v>
      </c>
      <c r="G9" s="8">
        <v>337</v>
      </c>
      <c r="H9" s="8"/>
      <c r="I9" s="8">
        <v>337</v>
      </c>
    </row>
    <row r="10" spans="1:9">
      <c r="A10" s="24" t="s">
        <v>148</v>
      </c>
      <c r="B10" s="8">
        <v>53</v>
      </c>
      <c r="C10" s="8"/>
      <c r="D10" s="8">
        <v>53</v>
      </c>
      <c r="F10" s="24" t="s">
        <v>148</v>
      </c>
      <c r="G10" s="8">
        <v>404</v>
      </c>
      <c r="H10" s="8"/>
      <c r="I10" s="8">
        <v>404</v>
      </c>
    </row>
    <row r="11" spans="1:9">
      <c r="A11" s="24" t="s">
        <v>150</v>
      </c>
      <c r="B11" s="8">
        <v>52</v>
      </c>
      <c r="C11" s="8"/>
      <c r="D11" s="8">
        <v>52</v>
      </c>
      <c r="F11" s="24" t="s">
        <v>150</v>
      </c>
      <c r="G11" s="8">
        <v>604</v>
      </c>
      <c r="H11" s="8"/>
      <c r="I11" s="8">
        <v>604</v>
      </c>
    </row>
    <row r="12" spans="1:9">
      <c r="A12" s="24" t="s">
        <v>152</v>
      </c>
      <c r="B12" s="8">
        <v>20</v>
      </c>
      <c r="C12" s="8"/>
      <c r="D12" s="8">
        <v>20</v>
      </c>
      <c r="F12" s="24" t="s">
        <v>152</v>
      </c>
      <c r="G12" s="8">
        <v>383</v>
      </c>
      <c r="H12" s="8"/>
      <c r="I12" s="8">
        <v>383</v>
      </c>
    </row>
    <row r="13" spans="1:9">
      <c r="A13" s="24" t="s">
        <v>154</v>
      </c>
      <c r="B13" s="8"/>
      <c r="C13" s="8">
        <v>26</v>
      </c>
      <c r="D13" s="8">
        <v>26</v>
      </c>
      <c r="F13" s="24" t="s">
        <v>154</v>
      </c>
      <c r="G13" s="8"/>
      <c r="H13" s="8">
        <v>504</v>
      </c>
      <c r="I13" s="8">
        <v>504</v>
      </c>
    </row>
    <row r="14" spans="1:9">
      <c r="A14" s="24" t="s">
        <v>156</v>
      </c>
      <c r="B14" s="8"/>
      <c r="C14" s="8">
        <v>20</v>
      </c>
      <c r="D14" s="8">
        <v>20</v>
      </c>
      <c r="F14" s="24" t="s">
        <v>156</v>
      </c>
      <c r="G14" s="8"/>
      <c r="H14" s="8">
        <v>483</v>
      </c>
      <c r="I14" s="8">
        <v>483</v>
      </c>
    </row>
    <row r="15" spans="1:9">
      <c r="A15" s="24" t="s">
        <v>158</v>
      </c>
      <c r="B15" s="8">
        <v>38</v>
      </c>
      <c r="C15" s="8"/>
      <c r="D15" s="8">
        <v>38</v>
      </c>
      <c r="F15" s="24" t="s">
        <v>158</v>
      </c>
      <c r="G15" s="8">
        <v>460</v>
      </c>
      <c r="H15" s="8"/>
      <c r="I15" s="8">
        <v>460</v>
      </c>
    </row>
    <row r="16" spans="1:9">
      <c r="A16" s="24" t="s">
        <v>160</v>
      </c>
      <c r="B16" s="8"/>
      <c r="C16" s="8">
        <v>7</v>
      </c>
      <c r="D16" s="8">
        <v>7</v>
      </c>
      <c r="F16" s="24" t="s">
        <v>160</v>
      </c>
      <c r="G16" s="8"/>
      <c r="H16" s="8">
        <v>385</v>
      </c>
      <c r="I16" s="8">
        <v>385</v>
      </c>
    </row>
    <row r="17" spans="1:9">
      <c r="A17" s="24" t="s">
        <v>162</v>
      </c>
      <c r="B17" s="8"/>
      <c r="C17" s="8">
        <v>2</v>
      </c>
      <c r="D17" s="8">
        <v>2</v>
      </c>
      <c r="F17" s="24" t="s">
        <v>162</v>
      </c>
      <c r="G17" s="8"/>
      <c r="H17" s="8">
        <v>284</v>
      </c>
      <c r="I17" s="8">
        <v>284</v>
      </c>
    </row>
    <row r="18" spans="1:9">
      <c r="A18" s="24" t="s">
        <v>164</v>
      </c>
      <c r="B18" s="8"/>
      <c r="C18" s="8">
        <v>4</v>
      </c>
      <c r="D18" s="8">
        <v>4</v>
      </c>
      <c r="F18" s="24" t="s">
        <v>164</v>
      </c>
      <c r="G18" s="8"/>
      <c r="H18" s="8">
        <v>296</v>
      </c>
      <c r="I18" s="8">
        <v>296</v>
      </c>
    </row>
    <row r="19" spans="1:9">
      <c r="A19" s="24" t="s">
        <v>166</v>
      </c>
      <c r="B19" s="8">
        <v>7</v>
      </c>
      <c r="C19" s="8"/>
      <c r="D19" s="8">
        <v>7</v>
      </c>
      <c r="F19" s="24" t="s">
        <v>166</v>
      </c>
      <c r="G19" s="8">
        <v>229</v>
      </c>
      <c r="H19" s="8"/>
      <c r="I19" s="8">
        <v>229</v>
      </c>
    </row>
    <row r="20" spans="1:9">
      <c r="A20" s="24" t="s">
        <v>116</v>
      </c>
      <c r="B20" s="8"/>
      <c r="C20" s="8">
        <v>6</v>
      </c>
      <c r="D20" s="8">
        <v>6</v>
      </c>
      <c r="F20" s="24" t="s">
        <v>124</v>
      </c>
      <c r="G20" s="8">
        <v>772</v>
      </c>
      <c r="H20" s="8"/>
      <c r="I20" s="8">
        <v>772</v>
      </c>
    </row>
    <row r="21" spans="1:9">
      <c r="A21" s="24" t="s">
        <v>118</v>
      </c>
      <c r="B21" s="8"/>
      <c r="C21" s="8">
        <v>26</v>
      </c>
      <c r="D21" s="8">
        <v>26</v>
      </c>
      <c r="F21" s="24" t="s">
        <v>126</v>
      </c>
      <c r="G21" s="8">
        <v>729</v>
      </c>
      <c r="H21" s="8"/>
      <c r="I21" s="8">
        <v>729</v>
      </c>
    </row>
    <row r="22" spans="1:9">
      <c r="A22" s="24" t="s">
        <v>120</v>
      </c>
      <c r="B22" s="8">
        <v>20</v>
      </c>
      <c r="C22" s="8"/>
      <c r="D22" s="8">
        <v>20</v>
      </c>
      <c r="F22" s="24" t="s">
        <v>128</v>
      </c>
      <c r="G22" s="8"/>
      <c r="H22" s="8">
        <v>804</v>
      </c>
      <c r="I22" s="8">
        <v>804</v>
      </c>
    </row>
    <row r="23" spans="1:9">
      <c r="A23" s="24" t="s">
        <v>122</v>
      </c>
      <c r="B23" s="8">
        <v>33</v>
      </c>
      <c r="C23" s="8"/>
      <c r="D23" s="8">
        <v>33</v>
      </c>
      <c r="F23" s="24" t="s">
        <v>130</v>
      </c>
      <c r="G23" s="8"/>
      <c r="H23" s="8">
        <v>736</v>
      </c>
      <c r="I23" s="8">
        <v>736</v>
      </c>
    </row>
    <row r="24" spans="1:9">
      <c r="A24" s="24" t="s">
        <v>124</v>
      </c>
      <c r="B24" s="8">
        <v>31</v>
      </c>
      <c r="C24" s="8"/>
      <c r="D24" s="8">
        <v>31</v>
      </c>
      <c r="F24" s="24" t="s">
        <v>132</v>
      </c>
      <c r="G24" s="8"/>
      <c r="H24" s="8">
        <v>529</v>
      </c>
      <c r="I24" s="8">
        <v>529</v>
      </c>
    </row>
    <row r="25" spans="1:9">
      <c r="A25" s="24" t="s">
        <v>126</v>
      </c>
      <c r="B25" s="8">
        <v>30</v>
      </c>
      <c r="C25" s="8"/>
      <c r="D25" s="8">
        <v>30</v>
      </c>
      <c r="F25" s="24" t="s">
        <v>134</v>
      </c>
      <c r="G25" s="8"/>
      <c r="H25" s="8">
        <v>677</v>
      </c>
      <c r="I25" s="8">
        <v>677</v>
      </c>
    </row>
    <row r="26" spans="1:9">
      <c r="A26" s="24" t="s">
        <v>128</v>
      </c>
      <c r="B26" s="8"/>
      <c r="C26" s="8">
        <v>16</v>
      </c>
      <c r="D26" s="8">
        <v>16</v>
      </c>
      <c r="F26" s="24" t="s">
        <v>136</v>
      </c>
      <c r="G26" s="8"/>
      <c r="H26" s="8">
        <v>687</v>
      </c>
      <c r="I26" s="8">
        <v>687</v>
      </c>
    </row>
    <row r="27" spans="1:9">
      <c r="A27" s="24" t="s">
        <v>130</v>
      </c>
      <c r="B27" s="8"/>
      <c r="C27" s="8">
        <v>42</v>
      </c>
      <c r="D27" s="8">
        <v>42</v>
      </c>
      <c r="F27" s="24" t="s">
        <v>4839</v>
      </c>
      <c r="G27" s="8">
        <v>5954</v>
      </c>
      <c r="H27" s="8">
        <v>5858</v>
      </c>
      <c r="I27" s="8">
        <v>11812</v>
      </c>
    </row>
    <row r="28" spans="1:9">
      <c r="A28" s="24" t="s">
        <v>132</v>
      </c>
      <c r="B28" s="8"/>
      <c r="C28" s="8">
        <v>46</v>
      </c>
      <c r="D28" s="8">
        <v>46</v>
      </c>
    </row>
    <row r="29" spans="1:9">
      <c r="A29" s="24" t="s">
        <v>134</v>
      </c>
      <c r="B29" s="8"/>
      <c r="C29" s="8">
        <v>34</v>
      </c>
      <c r="D29" s="8">
        <v>34</v>
      </c>
    </row>
    <row r="30" spans="1:9">
      <c r="A30" s="24" t="s">
        <v>136</v>
      </c>
      <c r="B30" s="8"/>
      <c r="C30" s="8">
        <v>19</v>
      </c>
      <c r="D30" s="8">
        <v>19</v>
      </c>
    </row>
    <row r="31" spans="1:9">
      <c r="A31" s="24" t="s">
        <v>4839</v>
      </c>
      <c r="B31" s="8">
        <v>418</v>
      </c>
      <c r="C31" s="8">
        <v>276</v>
      </c>
      <c r="D31" s="8">
        <v>694</v>
      </c>
    </row>
    <row r="33" spans="1:8">
      <c r="B33" s="27"/>
      <c r="C33" s="27"/>
      <c r="D33" s="27"/>
      <c r="E33" s="27"/>
    </row>
    <row r="34" spans="1:8" ht="45">
      <c r="A34" s="24" t="s">
        <v>2</v>
      </c>
      <c r="B34" t="s">
        <v>4843</v>
      </c>
      <c r="C34" t="s">
        <v>4844</v>
      </c>
      <c r="D34" t="s">
        <v>4841</v>
      </c>
      <c r="E34" t="s">
        <v>4845</v>
      </c>
      <c r="G34" s="28" t="s">
        <v>4846</v>
      </c>
      <c r="H34" s="29" t="s">
        <v>4847</v>
      </c>
    </row>
    <row r="35" spans="1:8">
      <c r="A35" s="36">
        <v>93</v>
      </c>
      <c r="B35" s="37">
        <v>772</v>
      </c>
      <c r="C35" s="38">
        <v>31</v>
      </c>
      <c r="D35" s="38"/>
      <c r="E35" s="38">
        <f t="shared" ref="E35:E56" si="0">B35/C35</f>
        <v>24.903225806451612</v>
      </c>
      <c r="G35" s="30">
        <f t="array" ref="G35">MEDIAN(IF($D$35:$D$56=150,$E$35:$E$56))</f>
        <v>24.15</v>
      </c>
      <c r="H35" s="33">
        <f>AVERAGEIF(D35:D56,150,E35:E56)</f>
        <v>42.433721954000589</v>
      </c>
    </row>
    <row r="36" spans="1:8">
      <c r="A36" s="34">
        <v>94</v>
      </c>
      <c r="B36" s="32">
        <v>729</v>
      </c>
      <c r="C36" s="35">
        <v>30</v>
      </c>
      <c r="D36" s="35"/>
      <c r="E36" s="35">
        <f t="shared" si="0"/>
        <v>24.3</v>
      </c>
      <c r="G36" s="31">
        <f t="array" ref="G36">MEDIAN(IF($D$35:$D$56="",$E$35:$E$56))</f>
        <v>19.149999999999999</v>
      </c>
      <c r="H36" s="32">
        <f>AVERAGEIF(D35:D56,"",E35:E56)</f>
        <v>19.424955610104973</v>
      </c>
    </row>
    <row r="37" spans="1:8">
      <c r="A37" s="34">
        <v>95</v>
      </c>
      <c r="B37" s="32">
        <v>804</v>
      </c>
      <c r="C37" s="35">
        <v>16</v>
      </c>
      <c r="D37" s="35">
        <v>150</v>
      </c>
      <c r="E37" s="35">
        <f t="shared" si="0"/>
        <v>50.25</v>
      </c>
    </row>
    <row r="38" spans="1:8">
      <c r="A38" s="34">
        <v>96</v>
      </c>
      <c r="B38" s="32">
        <v>736</v>
      </c>
      <c r="C38" s="35">
        <v>42</v>
      </c>
      <c r="D38" s="35">
        <v>150</v>
      </c>
      <c r="E38" s="35">
        <f t="shared" si="0"/>
        <v>17.523809523809526</v>
      </c>
    </row>
    <row r="39" spans="1:8">
      <c r="A39" s="34">
        <v>97</v>
      </c>
      <c r="B39" s="32">
        <v>529</v>
      </c>
      <c r="C39" s="35">
        <v>46</v>
      </c>
      <c r="D39" s="35">
        <v>150</v>
      </c>
      <c r="E39" s="35">
        <f t="shared" si="0"/>
        <v>11.5</v>
      </c>
    </row>
    <row r="40" spans="1:8">
      <c r="A40" s="34">
        <v>98</v>
      </c>
      <c r="B40" s="32">
        <v>677</v>
      </c>
      <c r="C40" s="35">
        <v>34</v>
      </c>
      <c r="D40" s="35">
        <v>150</v>
      </c>
      <c r="E40" s="35">
        <f t="shared" si="0"/>
        <v>19.911764705882351</v>
      </c>
    </row>
    <row r="41" spans="1:8">
      <c r="A41" s="34">
        <v>99</v>
      </c>
      <c r="B41" s="32">
        <v>687</v>
      </c>
      <c r="C41" s="35">
        <v>19</v>
      </c>
      <c r="D41" s="35">
        <v>150</v>
      </c>
      <c r="E41" s="35">
        <f t="shared" si="0"/>
        <v>36.157894736842103</v>
      </c>
    </row>
    <row r="42" spans="1:8">
      <c r="A42" s="34">
        <v>100</v>
      </c>
      <c r="B42" s="32">
        <v>761</v>
      </c>
      <c r="C42" s="35">
        <v>23</v>
      </c>
      <c r="D42" s="35"/>
      <c r="E42" s="35">
        <f t="shared" si="0"/>
        <v>33.086956521739133</v>
      </c>
    </row>
    <row r="43" spans="1:8">
      <c r="A43" s="34">
        <v>101</v>
      </c>
      <c r="B43" s="32">
        <v>665</v>
      </c>
      <c r="C43" s="35">
        <v>25</v>
      </c>
      <c r="D43" s="35"/>
      <c r="E43" s="35">
        <f t="shared" si="0"/>
        <v>26.6</v>
      </c>
    </row>
    <row r="44" spans="1:8">
      <c r="A44" s="34">
        <v>102</v>
      </c>
      <c r="B44" s="32">
        <v>610</v>
      </c>
      <c r="C44" s="35">
        <v>48</v>
      </c>
      <c r="D44" s="35"/>
      <c r="E44" s="35">
        <f t="shared" si="0"/>
        <v>12.708333333333334</v>
      </c>
    </row>
    <row r="45" spans="1:8">
      <c r="A45" s="34">
        <v>103</v>
      </c>
      <c r="B45" s="32">
        <v>473</v>
      </c>
      <c r="C45" s="35">
        <v>28</v>
      </c>
      <c r="D45" s="35">
        <v>150</v>
      </c>
      <c r="E45" s="35">
        <f t="shared" si="0"/>
        <v>16.892857142857142</v>
      </c>
    </row>
    <row r="46" spans="1:8">
      <c r="A46" s="34">
        <v>104</v>
      </c>
      <c r="B46" s="32">
        <v>337</v>
      </c>
      <c r="C46" s="35">
        <v>38</v>
      </c>
      <c r="D46" s="35"/>
      <c r="E46" s="35">
        <f t="shared" si="0"/>
        <v>8.8684210526315788</v>
      </c>
    </row>
    <row r="47" spans="1:8">
      <c r="A47" s="34">
        <v>105</v>
      </c>
      <c r="B47" s="32">
        <v>404</v>
      </c>
      <c r="C47" s="35">
        <v>53</v>
      </c>
      <c r="D47" s="35"/>
      <c r="E47" s="35">
        <f t="shared" si="0"/>
        <v>7.6226415094339623</v>
      </c>
    </row>
    <row r="48" spans="1:8">
      <c r="A48" s="34">
        <v>106</v>
      </c>
      <c r="B48" s="32">
        <v>604</v>
      </c>
      <c r="C48" s="35">
        <v>52</v>
      </c>
      <c r="D48" s="35"/>
      <c r="E48" s="35">
        <f t="shared" si="0"/>
        <v>11.615384615384615</v>
      </c>
    </row>
    <row r="49" spans="1:5">
      <c r="A49" s="34">
        <v>107</v>
      </c>
      <c r="B49" s="32">
        <v>383</v>
      </c>
      <c r="C49" s="35">
        <v>20</v>
      </c>
      <c r="D49" s="35"/>
      <c r="E49" s="35">
        <f t="shared" si="0"/>
        <v>19.149999999999999</v>
      </c>
    </row>
    <row r="50" spans="1:5">
      <c r="A50" s="34">
        <v>108</v>
      </c>
      <c r="B50" s="32">
        <v>504</v>
      </c>
      <c r="C50" s="35">
        <v>26</v>
      </c>
      <c r="D50" s="35">
        <v>150</v>
      </c>
      <c r="E50" s="35">
        <f t="shared" si="0"/>
        <v>19.384615384615383</v>
      </c>
    </row>
    <row r="51" spans="1:5">
      <c r="A51" s="34">
        <v>109</v>
      </c>
      <c r="B51" s="32">
        <v>483</v>
      </c>
      <c r="C51" s="35">
        <v>20</v>
      </c>
      <c r="D51" s="35">
        <v>150</v>
      </c>
      <c r="E51" s="35">
        <f t="shared" si="0"/>
        <v>24.15</v>
      </c>
    </row>
    <row r="52" spans="1:5">
      <c r="A52" s="34">
        <v>110</v>
      </c>
      <c r="B52" s="32">
        <v>460</v>
      </c>
      <c r="C52" s="35">
        <v>38</v>
      </c>
      <c r="D52" s="35"/>
      <c r="E52" s="35">
        <f t="shared" si="0"/>
        <v>12.105263157894736</v>
      </c>
    </row>
    <row r="53" spans="1:5">
      <c r="A53" s="34">
        <v>111</v>
      </c>
      <c r="B53" s="32">
        <v>385</v>
      </c>
      <c r="C53" s="35">
        <v>7</v>
      </c>
      <c r="D53" s="35">
        <v>150</v>
      </c>
      <c r="E53" s="35">
        <f t="shared" si="0"/>
        <v>55</v>
      </c>
    </row>
    <row r="54" spans="1:5">
      <c r="A54" s="34">
        <v>112</v>
      </c>
      <c r="B54" s="32">
        <v>284</v>
      </c>
      <c r="C54" s="35">
        <v>2</v>
      </c>
      <c r="D54" s="35">
        <v>150</v>
      </c>
      <c r="E54" s="35">
        <f t="shared" si="0"/>
        <v>142</v>
      </c>
    </row>
    <row r="55" spans="1:5">
      <c r="A55" s="34">
        <v>113</v>
      </c>
      <c r="B55" s="32">
        <v>296</v>
      </c>
      <c r="C55" s="35">
        <v>4</v>
      </c>
      <c r="D55" s="35">
        <v>150</v>
      </c>
      <c r="E55" s="35">
        <f t="shared" si="0"/>
        <v>74</v>
      </c>
    </row>
    <row r="56" spans="1:5">
      <c r="A56" s="39">
        <v>114</v>
      </c>
      <c r="B56" s="40">
        <v>229</v>
      </c>
      <c r="C56" s="41">
        <v>7</v>
      </c>
      <c r="D56" s="41"/>
      <c r="E56" s="41">
        <f t="shared" si="0"/>
        <v>32.714285714285715</v>
      </c>
    </row>
  </sheetData>
  <mergeCells count="2">
    <mergeCell ref="B33:C33"/>
    <mergeCell ref="D33:E33"/>
  </mergeCells>
  <phoneticPr fontId="8" type="noConversion"/>
  <pageMargins left="0.75" right="0.75" top="1" bottom="1" header="0.5" footer="0.5"/>
  <pageSetup orientation="portrait" horizontalDpi="4294967292" verticalDpi="4294967292"/>
  <drawing r:id="rId3"/>
  <tableParts count="1">
    <tablePart r:id="rId4"/>
  </tableParts>
  <extLst>
    <ext xmlns:mx="http://schemas.microsoft.com/office/mac/excel/2008/main" uri="{64002731-A6B0-56B0-2670-7721B7C09600}">
      <mx:PLV Mode="0" OnePage="0" WScale="10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Congress Composition</vt:lpstr>
      <vt:lpstr>US President Parties</vt:lpstr>
      <vt:lpstr>Bills by Final Status</vt:lpstr>
      <vt:lpstr>Treaties</vt:lpstr>
      <vt:lpstr>Action to Status</vt:lpstr>
      <vt:lpstr>Chart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Meghan Maloy</dc:creator>
  <cp:lastModifiedBy>Meghan Maloy</cp:lastModifiedBy>
  <cp:lastPrinted>2016-10-17T00:16:02Z</cp:lastPrinted>
  <dcterms:created xsi:type="dcterms:W3CDTF">2016-10-08T22:05:25Z</dcterms:created>
  <dcterms:modified xsi:type="dcterms:W3CDTF">2016-10-17T01:46:09Z</dcterms:modified>
</cp:coreProperties>
</file>