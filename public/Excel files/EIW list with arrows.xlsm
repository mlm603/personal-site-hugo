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Users\US44962\Downloads\"/>
    </mc:Choice>
  </mc:AlternateContent>
  <bookViews>
    <workbookView xWindow="0" yWindow="-465" windowWidth="28800" windowHeight="18000"/>
  </bookViews>
  <sheets>
    <sheet name="All EIW firms" sheetId="1" r:id="rId1"/>
    <sheet name="Weights" sheetId="13" r:id="rId2"/>
    <sheet name="NY and CHI adjustable list" sheetId="12" r:id="rId3"/>
    <sheet name="SA CAGR - Chambers" sheetId="11" state="hidden" r:id="rId4"/>
    <sheet name="Salary - ATL" sheetId="2" state="hidden" r:id="rId5"/>
    <sheet name="name Std" sheetId="4" state="hidden" r:id="rId6"/>
    <sheet name="Vault" sheetId="7" state="hidden" r:id="rId7"/>
  </sheets>
  <definedNames>
    <definedName name="_xlnm._FilterDatabase" localSheetId="0" hidden="1">'All EIW firms'!$A$1:$V$1077</definedName>
    <definedName name="_xlnm._FilterDatabase" localSheetId="4" hidden="1">'Salary - ATL'!$A$1:$H$2</definedName>
    <definedName name="_xlcn.LinkedTable_Table11" hidden="1">Table1[]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4e8f7568-f8ae-4a80-b7ed-635ec93d71de" name="Table1" connection="LinkedTable_Table1"/>
        </x15:modelTables>
      </x15:dataModel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" i="12" l="1"/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8" i="1"/>
  <c r="D149" i="1"/>
  <c r="D150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70" i="1"/>
  <c r="D271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C2" i="7"/>
  <c r="S8" i="1" s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S54" i="1" s="1"/>
  <c r="C71" i="7"/>
  <c r="C72" i="7"/>
  <c r="C73" i="7"/>
  <c r="C74" i="7"/>
  <c r="S81" i="1" s="1"/>
  <c r="C75" i="7"/>
  <c r="C76" i="7"/>
  <c r="C77" i="7"/>
  <c r="C78" i="7"/>
  <c r="C79" i="7"/>
  <c r="C80" i="7"/>
  <c r="C81" i="7"/>
  <c r="C82" i="7"/>
  <c r="S109" i="1" s="1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S22" i="1" s="1"/>
  <c r="C99" i="7"/>
  <c r="C100" i="7"/>
  <c r="C101" i="7"/>
  <c r="S2" i="1"/>
  <c r="S6" i="1"/>
  <c r="S12" i="1"/>
  <c r="S13" i="1"/>
  <c r="S17" i="1"/>
  <c r="S24" i="1"/>
  <c r="S28" i="1"/>
  <c r="S33" i="1"/>
  <c r="S34" i="1"/>
  <c r="S38" i="1"/>
  <c r="S44" i="1"/>
  <c r="S45" i="1"/>
  <c r="S49" i="1"/>
  <c r="S56" i="1"/>
  <c r="S60" i="1"/>
  <c r="S65" i="1"/>
  <c r="S66" i="1"/>
  <c r="S70" i="1"/>
  <c r="S76" i="1"/>
  <c r="S77" i="1"/>
  <c r="S86" i="1"/>
  <c r="S88" i="1"/>
  <c r="S92" i="1"/>
  <c r="S97" i="1"/>
  <c r="S98" i="1"/>
  <c r="S102" i="1"/>
  <c r="S108" i="1"/>
  <c r="S113" i="1"/>
  <c r="S118" i="1"/>
  <c r="S120" i="1"/>
  <c r="S124" i="1"/>
  <c r="S129" i="1"/>
  <c r="S130" i="1"/>
  <c r="S134" i="1"/>
  <c r="S139" i="1"/>
  <c r="S140" i="1"/>
  <c r="S143" i="1"/>
  <c r="S147" i="1"/>
  <c r="S148" i="1"/>
  <c r="S151" i="1"/>
  <c r="S155" i="1"/>
  <c r="S156" i="1"/>
  <c r="S159" i="1"/>
  <c r="S163" i="1"/>
  <c r="S164" i="1"/>
  <c r="S167" i="1"/>
  <c r="S171" i="1"/>
  <c r="S172" i="1"/>
  <c r="S175" i="1"/>
  <c r="S179" i="1"/>
  <c r="S180" i="1"/>
  <c r="S183" i="1"/>
  <c r="S187" i="1"/>
  <c r="S188" i="1"/>
  <c r="S193" i="1"/>
  <c r="S195" i="1"/>
  <c r="S196" i="1"/>
  <c r="S199" i="1"/>
  <c r="S200" i="1"/>
  <c r="S201" i="1"/>
  <c r="S204" i="1"/>
  <c r="S205" i="1"/>
  <c r="S207" i="1"/>
  <c r="S209" i="1"/>
  <c r="S211" i="1"/>
  <c r="S212" i="1"/>
  <c r="S215" i="1"/>
  <c r="S216" i="1"/>
  <c r="S217" i="1"/>
  <c r="S220" i="1"/>
  <c r="S221" i="1"/>
  <c r="S223" i="1"/>
  <c r="S225" i="1"/>
  <c r="S227" i="1"/>
  <c r="S228" i="1"/>
  <c r="S231" i="1"/>
  <c r="S232" i="1"/>
  <c r="S233" i="1"/>
  <c r="S236" i="1"/>
  <c r="S237" i="1"/>
  <c r="S239" i="1"/>
  <c r="S241" i="1"/>
  <c r="S243" i="1"/>
  <c r="S244" i="1"/>
  <c r="S247" i="1"/>
  <c r="S248" i="1"/>
  <c r="S249" i="1"/>
  <c r="S252" i="1"/>
  <c r="S253" i="1"/>
  <c r="S255" i="1"/>
  <c r="S257" i="1"/>
  <c r="S259" i="1"/>
  <c r="S260" i="1"/>
  <c r="S263" i="1"/>
  <c r="S264" i="1"/>
  <c r="S265" i="1"/>
  <c r="S268" i="1"/>
  <c r="S269" i="1"/>
  <c r="S271" i="1"/>
  <c r="S273" i="1"/>
  <c r="S275" i="1"/>
  <c r="S276" i="1"/>
  <c r="S279" i="1"/>
  <c r="S280" i="1"/>
  <c r="S281" i="1"/>
  <c r="S284" i="1"/>
  <c r="S285" i="1"/>
  <c r="S287" i="1"/>
  <c r="S289" i="1"/>
  <c r="S291" i="1"/>
  <c r="S292" i="1"/>
  <c r="S295" i="1"/>
  <c r="S296" i="1"/>
  <c r="S297" i="1"/>
  <c r="S300" i="1"/>
  <c r="S301" i="1"/>
  <c r="S303" i="1"/>
  <c r="S305" i="1"/>
  <c r="S307" i="1"/>
  <c r="S308" i="1"/>
  <c r="S311" i="1"/>
  <c r="S312" i="1"/>
  <c r="S313" i="1"/>
  <c r="S316" i="1"/>
  <c r="S317" i="1"/>
  <c r="S319" i="1"/>
  <c r="S321" i="1"/>
  <c r="S323" i="1"/>
  <c r="S324" i="1"/>
  <c r="S327" i="1"/>
  <c r="S328" i="1"/>
  <c r="S329" i="1"/>
  <c r="S332" i="1"/>
  <c r="S333" i="1"/>
  <c r="S335" i="1"/>
  <c r="S337" i="1"/>
  <c r="S339" i="1"/>
  <c r="S340" i="1"/>
  <c r="S342" i="1"/>
  <c r="S343" i="1"/>
  <c r="S344" i="1"/>
  <c r="S346" i="1"/>
  <c r="S347" i="1"/>
  <c r="S348" i="1"/>
  <c r="S350" i="1"/>
  <c r="S351" i="1"/>
  <c r="S352" i="1"/>
  <c r="S354" i="1"/>
  <c r="S355" i="1"/>
  <c r="S356" i="1"/>
  <c r="S358" i="1"/>
  <c r="S359" i="1"/>
  <c r="S360" i="1"/>
  <c r="S362" i="1"/>
  <c r="S363" i="1"/>
  <c r="S364" i="1"/>
  <c r="S366" i="1"/>
  <c r="S367" i="1"/>
  <c r="S368" i="1"/>
  <c r="S370" i="1"/>
  <c r="S371" i="1"/>
  <c r="S372" i="1"/>
  <c r="S374" i="1"/>
  <c r="S375" i="1"/>
  <c r="S376" i="1"/>
  <c r="S378" i="1"/>
  <c r="S379" i="1"/>
  <c r="S380" i="1"/>
  <c r="S382" i="1"/>
  <c r="S383" i="1"/>
  <c r="S384" i="1"/>
  <c r="S386" i="1"/>
  <c r="S387" i="1"/>
  <c r="S388" i="1"/>
  <c r="S390" i="1"/>
  <c r="S391" i="1"/>
  <c r="S392" i="1"/>
  <c r="S394" i="1"/>
  <c r="S395" i="1"/>
  <c r="S396" i="1"/>
  <c r="S398" i="1"/>
  <c r="S399" i="1"/>
  <c r="S400" i="1"/>
  <c r="S402" i="1"/>
  <c r="S403" i="1"/>
  <c r="S404" i="1"/>
  <c r="S406" i="1"/>
  <c r="S407" i="1"/>
  <c r="S408" i="1"/>
  <c r="S410" i="1"/>
  <c r="S411" i="1"/>
  <c r="S412" i="1"/>
  <c r="S414" i="1"/>
  <c r="S415" i="1"/>
  <c r="S416" i="1"/>
  <c r="S418" i="1"/>
  <c r="S419" i="1"/>
  <c r="S420" i="1"/>
  <c r="S422" i="1"/>
  <c r="S423" i="1"/>
  <c r="S424" i="1"/>
  <c r="S426" i="1"/>
  <c r="S427" i="1"/>
  <c r="S428" i="1"/>
  <c r="S430" i="1"/>
  <c r="S431" i="1"/>
  <c r="S432" i="1"/>
  <c r="S434" i="1"/>
  <c r="S435" i="1"/>
  <c r="S436" i="1"/>
  <c r="S438" i="1"/>
  <c r="S439" i="1"/>
  <c r="S440" i="1"/>
  <c r="S442" i="1"/>
  <c r="S443" i="1"/>
  <c r="S444" i="1"/>
  <c r="S446" i="1"/>
  <c r="S447" i="1"/>
  <c r="S448" i="1"/>
  <c r="S450" i="1"/>
  <c r="S451" i="1"/>
  <c r="S452" i="1"/>
  <c r="S454" i="1"/>
  <c r="S455" i="1"/>
  <c r="S456" i="1"/>
  <c r="S458" i="1"/>
  <c r="S459" i="1"/>
  <c r="S460" i="1"/>
  <c r="S462" i="1"/>
  <c r="S463" i="1"/>
  <c r="S464" i="1"/>
  <c r="S466" i="1"/>
  <c r="S467" i="1"/>
  <c r="S468" i="1"/>
  <c r="S470" i="1"/>
  <c r="S471" i="1"/>
  <c r="S472" i="1"/>
  <c r="S474" i="1"/>
  <c r="S475" i="1"/>
  <c r="S476" i="1"/>
  <c r="S478" i="1"/>
  <c r="S479" i="1"/>
  <c r="S480" i="1"/>
  <c r="S482" i="1"/>
  <c r="S483" i="1"/>
  <c r="S484" i="1"/>
  <c r="S486" i="1"/>
  <c r="S487" i="1"/>
  <c r="S488" i="1"/>
  <c r="S490" i="1"/>
  <c r="S491" i="1"/>
  <c r="S492" i="1"/>
  <c r="S494" i="1"/>
  <c r="S495" i="1"/>
  <c r="S496" i="1"/>
  <c r="S498" i="1"/>
  <c r="S499" i="1"/>
  <c r="S500" i="1"/>
  <c r="S502" i="1"/>
  <c r="S503" i="1"/>
  <c r="S504" i="1"/>
  <c r="S506" i="1"/>
  <c r="S507" i="1"/>
  <c r="S508" i="1"/>
  <c r="S510" i="1"/>
  <c r="S511" i="1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C3" i="13"/>
  <c r="C9" i="13"/>
  <c r="T8" i="12"/>
  <c r="S8" i="12"/>
  <c r="R8" i="12"/>
  <c r="Q8" i="12"/>
  <c r="J8" i="12"/>
  <c r="I8" i="12"/>
  <c r="H8" i="12"/>
  <c r="B8" i="12"/>
  <c r="B28" i="12"/>
  <c r="B15" i="12"/>
  <c r="H28" i="12"/>
  <c r="H15" i="12"/>
  <c r="I28" i="12"/>
  <c r="I15" i="12"/>
  <c r="J28" i="12"/>
  <c r="J15" i="12"/>
  <c r="Q28" i="12"/>
  <c r="Q15" i="12"/>
  <c r="R28" i="12"/>
  <c r="R15" i="12"/>
  <c r="S28" i="12"/>
  <c r="S15" i="12"/>
  <c r="T28" i="12"/>
  <c r="T15" i="12"/>
  <c r="U28" i="12"/>
  <c r="U15" i="12"/>
  <c r="T17" i="12"/>
  <c r="S17" i="12"/>
  <c r="R17" i="12"/>
  <c r="Q17" i="12"/>
  <c r="U17" i="12" s="1"/>
  <c r="J17" i="12"/>
  <c r="I17" i="12"/>
  <c r="H17" i="12"/>
  <c r="B17" i="12"/>
  <c r="T18" i="12"/>
  <c r="S18" i="12"/>
  <c r="R18" i="12"/>
  <c r="Q18" i="12"/>
  <c r="J18" i="12"/>
  <c r="I18" i="12"/>
  <c r="H18" i="12"/>
  <c r="B18" i="12"/>
  <c r="T29" i="12"/>
  <c r="S29" i="12"/>
  <c r="R29" i="12"/>
  <c r="U29" i="12" s="1"/>
  <c r="Q29" i="12"/>
  <c r="J29" i="12"/>
  <c r="I29" i="12"/>
  <c r="H29" i="12"/>
  <c r="B29" i="12"/>
  <c r="T20" i="12"/>
  <c r="S20" i="12"/>
  <c r="R20" i="12"/>
  <c r="U20" i="12" s="1"/>
  <c r="Q20" i="12"/>
  <c r="J20" i="12"/>
  <c r="I20" i="12"/>
  <c r="H20" i="12"/>
  <c r="B20" i="12"/>
  <c r="B25" i="12"/>
  <c r="H25" i="12"/>
  <c r="I25" i="12"/>
  <c r="J25" i="12"/>
  <c r="Q25" i="12"/>
  <c r="R25" i="12"/>
  <c r="S25" i="12"/>
  <c r="T25" i="12"/>
  <c r="U25" i="12"/>
  <c r="B21" i="12"/>
  <c r="B42" i="12"/>
  <c r="B6" i="12"/>
  <c r="B52" i="12"/>
  <c r="B5" i="12"/>
  <c r="B4" i="12"/>
  <c r="B11" i="12"/>
  <c r="B12" i="12"/>
  <c r="B27" i="12"/>
  <c r="B51" i="12"/>
  <c r="B14" i="12"/>
  <c r="B48" i="12"/>
  <c r="B49" i="12"/>
  <c r="B10" i="12"/>
  <c r="B50" i="12"/>
  <c r="B13" i="12"/>
  <c r="B38" i="12"/>
  <c r="B41" i="12"/>
  <c r="B53" i="12"/>
  <c r="B23" i="12"/>
  <c r="B7" i="12"/>
  <c r="B30" i="12"/>
  <c r="B19" i="12"/>
  <c r="B39" i="12"/>
  <c r="B9" i="12"/>
  <c r="B37" i="12"/>
  <c r="B16" i="12"/>
  <c r="B36" i="12"/>
  <c r="B22" i="12"/>
  <c r="B43" i="12"/>
  <c r="B31" i="12"/>
  <c r="B47" i="12"/>
  <c r="B35" i="12"/>
  <c r="B32" i="12"/>
  <c r="B33" i="12"/>
  <c r="B46" i="12"/>
  <c r="B26" i="12"/>
  <c r="B40" i="12"/>
  <c r="B34" i="12"/>
  <c r="B24" i="12"/>
  <c r="B44" i="12"/>
  <c r="B45" i="12"/>
  <c r="Q12" i="12"/>
  <c r="R12" i="12"/>
  <c r="S12" i="12"/>
  <c r="T12" i="12"/>
  <c r="J12" i="12"/>
  <c r="I12" i="12"/>
  <c r="H12" i="12"/>
  <c r="Q22" i="12"/>
  <c r="R22" i="12"/>
  <c r="S22" i="12"/>
  <c r="T22" i="12"/>
  <c r="J22" i="12"/>
  <c r="I22" i="12"/>
  <c r="H22" i="12"/>
  <c r="Q9" i="12"/>
  <c r="R9" i="12"/>
  <c r="S9" i="12"/>
  <c r="T9" i="12"/>
  <c r="J9" i="12"/>
  <c r="I9" i="12"/>
  <c r="H9" i="12"/>
  <c r="Q45" i="12"/>
  <c r="R45" i="12"/>
  <c r="S45" i="12"/>
  <c r="T45" i="12"/>
  <c r="J45" i="12"/>
  <c r="I45" i="12"/>
  <c r="H45" i="12"/>
  <c r="Q36" i="12"/>
  <c r="R36" i="12"/>
  <c r="S36" i="12"/>
  <c r="T36" i="12"/>
  <c r="J36" i="12"/>
  <c r="I36" i="12"/>
  <c r="H36" i="12"/>
  <c r="Q24" i="12"/>
  <c r="R24" i="12"/>
  <c r="S24" i="12"/>
  <c r="T24" i="12"/>
  <c r="J24" i="12"/>
  <c r="I24" i="12"/>
  <c r="H24" i="12"/>
  <c r="Q21" i="12"/>
  <c r="R21" i="12"/>
  <c r="S21" i="12"/>
  <c r="T21" i="12"/>
  <c r="J21" i="12"/>
  <c r="I21" i="12"/>
  <c r="H21" i="12"/>
  <c r="Q41" i="12"/>
  <c r="R41" i="12"/>
  <c r="S41" i="12"/>
  <c r="T41" i="12"/>
  <c r="J41" i="12"/>
  <c r="I41" i="12"/>
  <c r="H41" i="12"/>
  <c r="Q44" i="12"/>
  <c r="R44" i="12"/>
  <c r="S44" i="12"/>
  <c r="T44" i="12"/>
  <c r="J44" i="12"/>
  <c r="I44" i="12"/>
  <c r="H44" i="12"/>
  <c r="Q5" i="12"/>
  <c r="R5" i="12"/>
  <c r="S5" i="12"/>
  <c r="T5" i="12"/>
  <c r="J5" i="12"/>
  <c r="I5" i="12"/>
  <c r="H5" i="12"/>
  <c r="Q26" i="12"/>
  <c r="R26" i="12"/>
  <c r="S26" i="12"/>
  <c r="T26" i="12"/>
  <c r="J26" i="12"/>
  <c r="I26" i="12"/>
  <c r="H26" i="12"/>
  <c r="Q43" i="12"/>
  <c r="R43" i="12"/>
  <c r="S43" i="12"/>
  <c r="T43" i="12"/>
  <c r="J43" i="12"/>
  <c r="I43" i="12"/>
  <c r="H43" i="12"/>
  <c r="Q16" i="12"/>
  <c r="R16" i="12"/>
  <c r="S16" i="12"/>
  <c r="T16" i="12"/>
  <c r="J16" i="12"/>
  <c r="I16" i="12"/>
  <c r="H16" i="12"/>
  <c r="Q31" i="12"/>
  <c r="R31" i="12"/>
  <c r="S31" i="12"/>
  <c r="T31" i="12"/>
  <c r="J31" i="12"/>
  <c r="I31" i="12"/>
  <c r="H31" i="12"/>
  <c r="Q33" i="12"/>
  <c r="R33" i="12"/>
  <c r="S33" i="12"/>
  <c r="T33" i="12"/>
  <c r="J33" i="12"/>
  <c r="I33" i="12"/>
  <c r="H33" i="12"/>
  <c r="Q42" i="12"/>
  <c r="R42" i="12"/>
  <c r="S42" i="12"/>
  <c r="T42" i="12"/>
  <c r="J42" i="12"/>
  <c r="I42" i="12"/>
  <c r="H42" i="12"/>
  <c r="Q39" i="12"/>
  <c r="R39" i="12"/>
  <c r="S39" i="12"/>
  <c r="T39" i="12"/>
  <c r="J39" i="12"/>
  <c r="I39" i="12"/>
  <c r="H39" i="12"/>
  <c r="Q37" i="12"/>
  <c r="R37" i="12"/>
  <c r="S37" i="12"/>
  <c r="T37" i="12"/>
  <c r="J37" i="12"/>
  <c r="I37" i="12"/>
  <c r="H37" i="12"/>
  <c r="Q46" i="12"/>
  <c r="R46" i="12"/>
  <c r="S46" i="12"/>
  <c r="T46" i="12"/>
  <c r="J46" i="12"/>
  <c r="I46" i="12"/>
  <c r="H46" i="12"/>
  <c r="Q34" i="12"/>
  <c r="R34" i="12"/>
  <c r="S34" i="12"/>
  <c r="T34" i="12"/>
  <c r="J34" i="12"/>
  <c r="I34" i="12"/>
  <c r="H34" i="12"/>
  <c r="Q48" i="12"/>
  <c r="R48" i="12"/>
  <c r="S48" i="12"/>
  <c r="T48" i="12"/>
  <c r="J48" i="12"/>
  <c r="I48" i="12"/>
  <c r="H48" i="12"/>
  <c r="Q32" i="12"/>
  <c r="R32" i="12"/>
  <c r="S32" i="12"/>
  <c r="T32" i="12"/>
  <c r="J32" i="12"/>
  <c r="I32" i="12"/>
  <c r="H32" i="12"/>
  <c r="Q35" i="12"/>
  <c r="R35" i="12"/>
  <c r="S35" i="12"/>
  <c r="T35" i="12"/>
  <c r="J35" i="12"/>
  <c r="I35" i="12"/>
  <c r="H35" i="12"/>
  <c r="Q38" i="12"/>
  <c r="R38" i="12"/>
  <c r="S38" i="12"/>
  <c r="T38" i="12"/>
  <c r="J38" i="12"/>
  <c r="I38" i="12"/>
  <c r="H38" i="12"/>
  <c r="Q10" i="12"/>
  <c r="R10" i="12"/>
  <c r="S10" i="12"/>
  <c r="T10" i="12"/>
  <c r="J10" i="12"/>
  <c r="I10" i="12"/>
  <c r="H10" i="12"/>
  <c r="Q40" i="12"/>
  <c r="R40" i="12"/>
  <c r="S40" i="12"/>
  <c r="T40" i="12"/>
  <c r="J40" i="12"/>
  <c r="I40" i="12"/>
  <c r="H40" i="12"/>
  <c r="Q50" i="12"/>
  <c r="R50" i="12"/>
  <c r="S50" i="12"/>
  <c r="T50" i="12"/>
  <c r="J50" i="12"/>
  <c r="I50" i="12"/>
  <c r="H50" i="12"/>
  <c r="Q14" i="12"/>
  <c r="R14" i="12"/>
  <c r="S14" i="12"/>
  <c r="T14" i="12"/>
  <c r="J14" i="12"/>
  <c r="I14" i="12"/>
  <c r="H14" i="12"/>
  <c r="Q6" i="12"/>
  <c r="R6" i="12"/>
  <c r="S6" i="12"/>
  <c r="T6" i="12"/>
  <c r="J6" i="12"/>
  <c r="I6" i="12"/>
  <c r="H6" i="12"/>
  <c r="Q11" i="12"/>
  <c r="R11" i="12"/>
  <c r="S11" i="12"/>
  <c r="T11" i="12"/>
  <c r="J11" i="12"/>
  <c r="I11" i="12"/>
  <c r="H11" i="12"/>
  <c r="Q4" i="12"/>
  <c r="R4" i="12"/>
  <c r="S4" i="12"/>
  <c r="T4" i="12"/>
  <c r="J4" i="12"/>
  <c r="I4" i="12"/>
  <c r="H4" i="12"/>
  <c r="Q27" i="12"/>
  <c r="R27" i="12"/>
  <c r="S27" i="12"/>
  <c r="T27" i="12"/>
  <c r="J27" i="12"/>
  <c r="I27" i="12"/>
  <c r="H27" i="12"/>
  <c r="Q47" i="12"/>
  <c r="R47" i="12"/>
  <c r="S47" i="12"/>
  <c r="T47" i="12"/>
  <c r="J47" i="12"/>
  <c r="I47" i="12"/>
  <c r="H47" i="12"/>
  <c r="Q13" i="12"/>
  <c r="R13" i="12"/>
  <c r="S13" i="12"/>
  <c r="T13" i="12"/>
  <c r="J13" i="12"/>
  <c r="I13" i="12"/>
  <c r="H13" i="12"/>
  <c r="T52" i="12"/>
  <c r="T51" i="12"/>
  <c r="T49" i="12"/>
  <c r="T53" i="12"/>
  <c r="T23" i="12"/>
  <c r="T7" i="12"/>
  <c r="T30" i="12"/>
  <c r="T19" i="12"/>
  <c r="S19" i="12"/>
  <c r="S52" i="12"/>
  <c r="S51" i="12"/>
  <c r="S49" i="12"/>
  <c r="S53" i="12"/>
  <c r="S23" i="12"/>
  <c r="S7" i="12"/>
  <c r="S30" i="12"/>
  <c r="Q51" i="12"/>
  <c r="R51" i="12"/>
  <c r="Q49" i="12"/>
  <c r="R49" i="12"/>
  <c r="Q53" i="12"/>
  <c r="R53" i="12"/>
  <c r="Q23" i="12"/>
  <c r="R23" i="12"/>
  <c r="Q52" i="12"/>
  <c r="R52" i="12"/>
  <c r="Q7" i="12"/>
  <c r="R7" i="12"/>
  <c r="Q30" i="12"/>
  <c r="R30" i="12"/>
  <c r="Q19" i="12"/>
  <c r="R19" i="12"/>
  <c r="I5" i="13"/>
  <c r="G5" i="13"/>
  <c r="C4" i="13"/>
  <c r="E4" i="13"/>
  <c r="J51" i="12"/>
  <c r="J23" i="12"/>
  <c r="J7" i="12"/>
  <c r="J19" i="12"/>
  <c r="J30" i="12"/>
  <c r="J52" i="12"/>
  <c r="J53" i="12"/>
  <c r="J49" i="12"/>
  <c r="I51" i="12"/>
  <c r="I23" i="12"/>
  <c r="I7" i="12"/>
  <c r="I19" i="12"/>
  <c r="I30" i="12"/>
  <c r="I52" i="12"/>
  <c r="I53" i="12"/>
  <c r="I49" i="12"/>
  <c r="H51" i="12"/>
  <c r="H23" i="12"/>
  <c r="H7" i="12"/>
  <c r="H19" i="12"/>
  <c r="H30" i="12"/>
  <c r="H52" i="12"/>
  <c r="H53" i="12"/>
  <c r="H49" i="12"/>
  <c r="AD2" i="11"/>
  <c r="AE2" i="11"/>
  <c r="AF2" i="11"/>
  <c r="AG2" i="11"/>
  <c r="AH2" i="11"/>
  <c r="I2" i="11" a="1"/>
  <c r="I2" i="11"/>
  <c r="AI2" i="11"/>
  <c r="AD3" i="11"/>
  <c r="AE3" i="11"/>
  <c r="AF3" i="11"/>
  <c r="AG3" i="11"/>
  <c r="AH3" i="11"/>
  <c r="I3" i="11" a="1"/>
  <c r="I3" i="11"/>
  <c r="AI3" i="11" s="1"/>
  <c r="AJ3" i="11"/>
  <c r="AD4" i="11"/>
  <c r="AE4" i="11"/>
  <c r="AF4" i="11"/>
  <c r="AG4" i="11"/>
  <c r="AH4" i="11"/>
  <c r="I4" i="11" a="1"/>
  <c r="I4" i="11" s="1"/>
  <c r="AI4" i="11"/>
  <c r="AJ4" i="11"/>
  <c r="AD5" i="11"/>
  <c r="AE5" i="11"/>
  <c r="AF5" i="11"/>
  <c r="AG5" i="11"/>
  <c r="AH5" i="11"/>
  <c r="I5" i="11" a="1"/>
  <c r="I5" i="11"/>
  <c r="AI5" i="11"/>
  <c r="AD6" i="11"/>
  <c r="AE6" i="11"/>
  <c r="AF6" i="11"/>
  <c r="AG6" i="11"/>
  <c r="AH6" i="11"/>
  <c r="I6" i="11" a="1"/>
  <c r="I6" i="11"/>
  <c r="AI6" i="11" s="1"/>
  <c r="AD7" i="11"/>
  <c r="AJ7" i="11" s="1"/>
  <c r="AE7" i="11"/>
  <c r="AF7" i="11"/>
  <c r="AG7" i="11"/>
  <c r="AH7" i="11"/>
  <c r="I7" i="11" a="1"/>
  <c r="I7" i="11"/>
  <c r="AI7" i="11" s="1"/>
  <c r="AD8" i="11"/>
  <c r="AJ8" i="11" s="1"/>
  <c r="AE8" i="11"/>
  <c r="AF8" i="11"/>
  <c r="AG8" i="11"/>
  <c r="AH8" i="11"/>
  <c r="I8" i="11" a="1"/>
  <c r="I8" i="11" s="1"/>
  <c r="AI8" i="11"/>
  <c r="AD9" i="11"/>
  <c r="AE9" i="11"/>
  <c r="AF9" i="11"/>
  <c r="AG9" i="11"/>
  <c r="AH9" i="11"/>
  <c r="I9" i="11" a="1"/>
  <c r="I9" i="11"/>
  <c r="AI9" i="11" s="1"/>
  <c r="AD10" i="11"/>
  <c r="AE10" i="11"/>
  <c r="AF10" i="11"/>
  <c r="AG10" i="11"/>
  <c r="AH10" i="11"/>
  <c r="I10" i="11" a="1"/>
  <c r="I10" i="11" s="1"/>
  <c r="AI10" i="11" s="1"/>
  <c r="AD11" i="11"/>
  <c r="AE11" i="11"/>
  <c r="AF11" i="11"/>
  <c r="AG11" i="11"/>
  <c r="AH11" i="11"/>
  <c r="I11" i="11" a="1"/>
  <c r="I11" i="11" s="1"/>
  <c r="AI11" i="11" s="1"/>
  <c r="AD12" i="11"/>
  <c r="AE12" i="11"/>
  <c r="AF12" i="11"/>
  <c r="AG12" i="11"/>
  <c r="AH12" i="11"/>
  <c r="I12" i="11" a="1"/>
  <c r="I12" i="11" s="1"/>
  <c r="AI12" i="11" s="1"/>
  <c r="AD13" i="11"/>
  <c r="AE13" i="11"/>
  <c r="AF13" i="11"/>
  <c r="AG13" i="11"/>
  <c r="AH13" i="11"/>
  <c r="I13" i="11" a="1"/>
  <c r="I13" i="11"/>
  <c r="AI13" i="11"/>
  <c r="AJ13" i="11"/>
  <c r="AD14" i="11"/>
  <c r="AE14" i="11"/>
  <c r="AF14" i="11"/>
  <c r="AG14" i="11"/>
  <c r="AH14" i="11"/>
  <c r="I14" i="11" a="1"/>
  <c r="I14" i="11"/>
  <c r="AI14" i="11"/>
  <c r="AD15" i="11"/>
  <c r="AE15" i="11"/>
  <c r="AF15" i="11"/>
  <c r="AG15" i="11"/>
  <c r="AH15" i="11"/>
  <c r="I15" i="11" a="1"/>
  <c r="I15" i="11"/>
  <c r="AI15" i="11" s="1"/>
  <c r="AD16" i="11"/>
  <c r="AE16" i="11"/>
  <c r="AF16" i="11"/>
  <c r="AG16" i="11"/>
  <c r="AH16" i="11"/>
  <c r="I16" i="11" a="1"/>
  <c r="I16" i="11" s="1"/>
  <c r="AI16" i="11"/>
  <c r="AD17" i="11"/>
  <c r="AE17" i="11"/>
  <c r="AF17" i="11"/>
  <c r="AG17" i="11"/>
  <c r="AH17" i="11"/>
  <c r="I17" i="11" a="1"/>
  <c r="I17" i="11"/>
  <c r="AI17" i="11"/>
  <c r="AJ17" i="11"/>
  <c r="AD18" i="11"/>
  <c r="AE18" i="11"/>
  <c r="AF18" i="11"/>
  <c r="AG18" i="11"/>
  <c r="AH18" i="11"/>
  <c r="I18" i="11" a="1"/>
  <c r="I18" i="11"/>
  <c r="AI18" i="11"/>
  <c r="AD19" i="11"/>
  <c r="AE19" i="11"/>
  <c r="AF19" i="11"/>
  <c r="AG19" i="11"/>
  <c r="AH19" i="11"/>
  <c r="I19" i="11" a="1"/>
  <c r="I19" i="11"/>
  <c r="AI19" i="11" s="1"/>
  <c r="AJ19" i="11"/>
  <c r="AD20" i="11"/>
  <c r="AE20" i="11"/>
  <c r="AF20" i="11"/>
  <c r="AG20" i="11"/>
  <c r="AH20" i="11"/>
  <c r="I20" i="11" a="1"/>
  <c r="I20" i="11" s="1"/>
  <c r="AI20" i="11"/>
  <c r="AJ20" i="11"/>
  <c r="AD21" i="11"/>
  <c r="AE21" i="11"/>
  <c r="AF21" i="11"/>
  <c r="AG21" i="11"/>
  <c r="AH21" i="11"/>
  <c r="I21" i="11" a="1"/>
  <c r="I21" i="11"/>
  <c r="AI21" i="11"/>
  <c r="AD22" i="11"/>
  <c r="AE22" i="11"/>
  <c r="AF22" i="11"/>
  <c r="AG22" i="11"/>
  <c r="AH22" i="11"/>
  <c r="I22" i="11" a="1"/>
  <c r="I22" i="11"/>
  <c r="AI22" i="11" s="1"/>
  <c r="AD23" i="11"/>
  <c r="AE23" i="11"/>
  <c r="AF23" i="11"/>
  <c r="AG23" i="11"/>
  <c r="AH23" i="11"/>
  <c r="I23" i="11" a="1"/>
  <c r="I23" i="11"/>
  <c r="AI23" i="11" s="1"/>
  <c r="AD24" i="11"/>
  <c r="AE24" i="11"/>
  <c r="AF24" i="11"/>
  <c r="AG24" i="11"/>
  <c r="AH24" i="11"/>
  <c r="I24" i="11" a="1"/>
  <c r="I24" i="11" s="1"/>
  <c r="AI24" i="11"/>
  <c r="AD25" i="11"/>
  <c r="AE25" i="11"/>
  <c r="AF25" i="11"/>
  <c r="AG25" i="11"/>
  <c r="AH25" i="11"/>
  <c r="I25" i="11" a="1"/>
  <c r="I25" i="11"/>
  <c r="AI25" i="11" s="1"/>
  <c r="AD26" i="11"/>
  <c r="AE26" i="11"/>
  <c r="AF26" i="11"/>
  <c r="AG26" i="11"/>
  <c r="AH26" i="11"/>
  <c r="I26" i="11" a="1"/>
  <c r="I26" i="11" s="1"/>
  <c r="AI26" i="11" s="1"/>
  <c r="AD27" i="11"/>
  <c r="AE27" i="11"/>
  <c r="AF27" i="11"/>
  <c r="AG27" i="11"/>
  <c r="AH27" i="11"/>
  <c r="I27" i="11" a="1"/>
  <c r="I27" i="11" s="1"/>
  <c r="AI27" i="11" s="1"/>
  <c r="AD28" i="11"/>
  <c r="AE28" i="11"/>
  <c r="AF28" i="11"/>
  <c r="AG28" i="11"/>
  <c r="AH28" i="11"/>
  <c r="I28" i="11" a="1"/>
  <c r="I28" i="11" s="1"/>
  <c r="AI28" i="11" s="1"/>
  <c r="AD29" i="11"/>
  <c r="AE29" i="11"/>
  <c r="AF29" i="11"/>
  <c r="AG29" i="11"/>
  <c r="AH29" i="11"/>
  <c r="I29" i="11" a="1"/>
  <c r="I29" i="11"/>
  <c r="AI29" i="11"/>
  <c r="AJ29" i="11"/>
  <c r="AD30" i="11"/>
  <c r="AE30" i="11"/>
  <c r="AF30" i="11"/>
  <c r="AG30" i="11"/>
  <c r="AH30" i="11"/>
  <c r="I30" i="11" a="1"/>
  <c r="I30" i="11"/>
  <c r="AI30" i="11"/>
  <c r="AD31" i="11"/>
  <c r="AE31" i="11"/>
  <c r="AF31" i="11"/>
  <c r="AG31" i="11"/>
  <c r="AH31" i="11"/>
  <c r="I31" i="11" a="1"/>
  <c r="I31" i="11"/>
  <c r="AI31" i="11" s="1"/>
  <c r="AD32" i="11"/>
  <c r="AE32" i="11"/>
  <c r="AF32" i="11"/>
  <c r="AG32" i="11"/>
  <c r="AH32" i="11"/>
  <c r="I32" i="11" a="1"/>
  <c r="I32" i="11" s="1"/>
  <c r="AI32" i="11"/>
  <c r="AD33" i="11"/>
  <c r="AE33" i="11"/>
  <c r="AF33" i="11"/>
  <c r="AG33" i="11"/>
  <c r="AH33" i="11"/>
  <c r="I33" i="11" a="1"/>
  <c r="I33" i="11"/>
  <c r="AI33" i="11"/>
  <c r="AJ33" i="11"/>
  <c r="AD34" i="11"/>
  <c r="AE34" i="11"/>
  <c r="AF34" i="11"/>
  <c r="AG34" i="11"/>
  <c r="AH34" i="11"/>
  <c r="I34" i="11" a="1"/>
  <c r="I34" i="11"/>
  <c r="AI34" i="11"/>
  <c r="AD35" i="11"/>
  <c r="AE35" i="11"/>
  <c r="AF35" i="11"/>
  <c r="AG35" i="11"/>
  <c r="AH35" i="11"/>
  <c r="I35" i="11" a="1"/>
  <c r="I35" i="11"/>
  <c r="AI35" i="11" s="1"/>
  <c r="AJ35" i="11"/>
  <c r="AD36" i="11"/>
  <c r="AE36" i="11"/>
  <c r="AF36" i="11"/>
  <c r="AG36" i="11"/>
  <c r="AH36" i="11"/>
  <c r="I36" i="11" a="1"/>
  <c r="I36" i="11" s="1"/>
  <c r="AI36" i="11"/>
  <c r="AJ36" i="11"/>
  <c r="AD37" i="11"/>
  <c r="AE37" i="11"/>
  <c r="AF37" i="11"/>
  <c r="AG37" i="11"/>
  <c r="AH37" i="11"/>
  <c r="I37" i="11" a="1"/>
  <c r="I37" i="11"/>
  <c r="AI37" i="11"/>
  <c r="AD38" i="11"/>
  <c r="AE38" i="11"/>
  <c r="AF38" i="11"/>
  <c r="AG38" i="11"/>
  <c r="AH38" i="11"/>
  <c r="I38" i="11" a="1"/>
  <c r="I38" i="11"/>
  <c r="AI38" i="11" s="1"/>
  <c r="AD39" i="11"/>
  <c r="AJ39" i="11" s="1"/>
  <c r="AE39" i="11"/>
  <c r="AF39" i="11"/>
  <c r="AG39" i="11"/>
  <c r="AH39" i="11"/>
  <c r="I39" i="11" a="1"/>
  <c r="I39" i="11"/>
  <c r="AI39" i="11" s="1"/>
  <c r="AD40" i="11"/>
  <c r="AJ40" i="11" s="1"/>
  <c r="AE40" i="11"/>
  <c r="AF40" i="11"/>
  <c r="AG40" i="11"/>
  <c r="AH40" i="11"/>
  <c r="I40" i="11" a="1"/>
  <c r="I40" i="11" s="1"/>
  <c r="AI40" i="11"/>
  <c r="AD41" i="11"/>
  <c r="AE41" i="11"/>
  <c r="AF41" i="11"/>
  <c r="AG41" i="11"/>
  <c r="AH41" i="11"/>
  <c r="I41" i="11" a="1"/>
  <c r="I41" i="11"/>
  <c r="AI41" i="11" s="1"/>
  <c r="AD42" i="11"/>
  <c r="AE42" i="11"/>
  <c r="AF42" i="11"/>
  <c r="AG42" i="11"/>
  <c r="AH42" i="11"/>
  <c r="I42" i="11" a="1"/>
  <c r="I42" i="11" s="1"/>
  <c r="AI42" i="11" s="1"/>
  <c r="AD43" i="11"/>
  <c r="AE43" i="11"/>
  <c r="AF43" i="11"/>
  <c r="AG43" i="11"/>
  <c r="AH43" i="11"/>
  <c r="I43" i="11" a="1"/>
  <c r="I43" i="11" s="1"/>
  <c r="AI43" i="11" s="1"/>
  <c r="AD44" i="11"/>
  <c r="AE44" i="11"/>
  <c r="AF44" i="11"/>
  <c r="AG44" i="11"/>
  <c r="AH44" i="11"/>
  <c r="I44" i="11" a="1"/>
  <c r="I44" i="11" s="1"/>
  <c r="AI44" i="11" s="1"/>
  <c r="AD45" i="11"/>
  <c r="AE45" i="11"/>
  <c r="AF45" i="11"/>
  <c r="AG45" i="11"/>
  <c r="AH45" i="11"/>
  <c r="I45" i="11" a="1"/>
  <c r="I45" i="11"/>
  <c r="AI45" i="11"/>
  <c r="AJ45" i="11"/>
  <c r="AD46" i="11"/>
  <c r="AE46" i="11"/>
  <c r="AF46" i="11"/>
  <c r="AG46" i="11"/>
  <c r="AH46" i="11"/>
  <c r="I46" i="11" a="1"/>
  <c r="I46" i="11"/>
  <c r="AI46" i="11"/>
  <c r="AD47" i="11"/>
  <c r="AE47" i="11"/>
  <c r="AF47" i="11"/>
  <c r="AG47" i="11"/>
  <c r="AH47" i="11"/>
  <c r="I47" i="11" a="1"/>
  <c r="I47" i="11"/>
  <c r="AI47" i="11" s="1"/>
  <c r="AD48" i="11"/>
  <c r="AE48" i="11"/>
  <c r="AF48" i="11"/>
  <c r="AG48" i="11"/>
  <c r="AH48" i="11"/>
  <c r="I48" i="11" a="1"/>
  <c r="I48" i="11" s="1"/>
  <c r="AI48" i="11"/>
  <c r="AD49" i="11"/>
  <c r="AE49" i="11"/>
  <c r="AF49" i="11"/>
  <c r="AG49" i="11"/>
  <c r="AH49" i="11"/>
  <c r="I49" i="11" a="1"/>
  <c r="I49" i="11"/>
  <c r="AI49" i="11"/>
  <c r="AJ49" i="11"/>
  <c r="AD50" i="11"/>
  <c r="AE50" i="11"/>
  <c r="AF50" i="11"/>
  <c r="AG50" i="11"/>
  <c r="AH50" i="11"/>
  <c r="I50" i="11" a="1"/>
  <c r="I50" i="11"/>
  <c r="AI50" i="11"/>
  <c r="AD51" i="11"/>
  <c r="AE51" i="11"/>
  <c r="AF51" i="11"/>
  <c r="AG51" i="11"/>
  <c r="AH51" i="11"/>
  <c r="I51" i="11" a="1"/>
  <c r="I51" i="11"/>
  <c r="AI51" i="11" s="1"/>
  <c r="AJ51" i="11"/>
  <c r="AD52" i="11"/>
  <c r="AE52" i="11"/>
  <c r="AF52" i="11"/>
  <c r="AG52" i="11"/>
  <c r="AH52" i="11"/>
  <c r="I52" i="11" a="1"/>
  <c r="I52" i="11" s="1"/>
  <c r="AI52" i="11"/>
  <c r="AJ52" i="11"/>
  <c r="AD53" i="11"/>
  <c r="AE53" i="11"/>
  <c r="AF53" i="11"/>
  <c r="AG53" i="11"/>
  <c r="AH53" i="11"/>
  <c r="I53" i="11" a="1"/>
  <c r="I53" i="11"/>
  <c r="AI53" i="11"/>
  <c r="AD54" i="11"/>
  <c r="AE54" i="11"/>
  <c r="AF54" i="11"/>
  <c r="AG54" i="11"/>
  <c r="AH54" i="11"/>
  <c r="I54" i="11" a="1"/>
  <c r="I54" i="11"/>
  <c r="AI54" i="11" s="1"/>
  <c r="AD55" i="11"/>
  <c r="AE55" i="11"/>
  <c r="AF55" i="11"/>
  <c r="AG55" i="11"/>
  <c r="AH55" i="11"/>
  <c r="I55" i="11" a="1"/>
  <c r="I55" i="11"/>
  <c r="AI55" i="11" s="1"/>
  <c r="AD56" i="11"/>
  <c r="AE56" i="11"/>
  <c r="AF56" i="11"/>
  <c r="AG56" i="11"/>
  <c r="AH56" i="11"/>
  <c r="I56" i="11" a="1"/>
  <c r="I56" i="11" s="1"/>
  <c r="AI56" i="11"/>
  <c r="AD57" i="11"/>
  <c r="AE57" i="11"/>
  <c r="AF57" i="11"/>
  <c r="AG57" i="11"/>
  <c r="AH57" i="11"/>
  <c r="I57" i="11" a="1"/>
  <c r="I57" i="11"/>
  <c r="AI57" i="11" s="1"/>
  <c r="AD58" i="11"/>
  <c r="AE58" i="11"/>
  <c r="AF58" i="11"/>
  <c r="AG58" i="11"/>
  <c r="AH58" i="11"/>
  <c r="I58" i="11" a="1"/>
  <c r="I58" i="11" s="1"/>
  <c r="AI58" i="11" s="1"/>
  <c r="AD59" i="11"/>
  <c r="AE59" i="11"/>
  <c r="AF59" i="11"/>
  <c r="AG59" i="11"/>
  <c r="AH59" i="11"/>
  <c r="I59" i="11" a="1"/>
  <c r="I59" i="11" s="1"/>
  <c r="AI59" i="11" s="1"/>
  <c r="AD60" i="11"/>
  <c r="AE60" i="11"/>
  <c r="AF60" i="11"/>
  <c r="AG60" i="11"/>
  <c r="AH60" i="11"/>
  <c r="I60" i="11" a="1"/>
  <c r="I60" i="11" s="1"/>
  <c r="AI60" i="11" s="1"/>
  <c r="AD61" i="11"/>
  <c r="AE61" i="11"/>
  <c r="AF61" i="11"/>
  <c r="AG61" i="11"/>
  <c r="AH61" i="11"/>
  <c r="I61" i="11" a="1"/>
  <c r="I61" i="11"/>
  <c r="AI61" i="11"/>
  <c r="AJ61" i="11"/>
  <c r="AD62" i="11"/>
  <c r="AE62" i="11"/>
  <c r="AF62" i="11"/>
  <c r="AG62" i="11"/>
  <c r="AH62" i="11"/>
  <c r="I62" i="11" a="1"/>
  <c r="I62" i="11"/>
  <c r="AI62" i="11"/>
  <c r="AD63" i="11"/>
  <c r="AE63" i="11"/>
  <c r="AF63" i="11"/>
  <c r="AG63" i="11"/>
  <c r="AH63" i="11"/>
  <c r="I63" i="11" a="1"/>
  <c r="I63" i="11"/>
  <c r="AI63" i="11" s="1"/>
  <c r="AD64" i="11"/>
  <c r="AE64" i="11"/>
  <c r="AF64" i="11"/>
  <c r="AG64" i="11"/>
  <c r="AH64" i="11"/>
  <c r="I64" i="11" a="1"/>
  <c r="I64" i="11" s="1"/>
  <c r="AI64" i="11"/>
  <c r="AD65" i="11"/>
  <c r="AE65" i="11"/>
  <c r="AF65" i="11"/>
  <c r="AG65" i="11"/>
  <c r="AH65" i="11"/>
  <c r="I65" i="11" a="1"/>
  <c r="I65" i="11"/>
  <c r="AI65" i="11"/>
  <c r="AJ65" i="11"/>
  <c r="AD66" i="11"/>
  <c r="AE66" i="11"/>
  <c r="AF66" i="11"/>
  <c r="AG66" i="11"/>
  <c r="AH66" i="11"/>
  <c r="I66" i="11" a="1"/>
  <c r="I66" i="11"/>
  <c r="AI66" i="11"/>
  <c r="AD67" i="11"/>
  <c r="AE67" i="11"/>
  <c r="AJ67" i="11" s="1"/>
  <c r="AF67" i="11"/>
  <c r="AG67" i="11"/>
  <c r="AD68" i="11"/>
  <c r="AJ68" i="11" s="1"/>
  <c r="AE68" i="11"/>
  <c r="AF68" i="11"/>
  <c r="AG68" i="11"/>
  <c r="AH68" i="11"/>
  <c r="I68" i="11" a="1"/>
  <c r="I68" i="11" s="1"/>
  <c r="AI68" i="11"/>
  <c r="AD69" i="11"/>
  <c r="AE69" i="11"/>
  <c r="AF69" i="11"/>
  <c r="AG69" i="11"/>
  <c r="AH69" i="11"/>
  <c r="I69" i="11" a="1"/>
  <c r="I69" i="11"/>
  <c r="AI69" i="11" s="1"/>
  <c r="AD70" i="11"/>
  <c r="AE70" i="11"/>
  <c r="AF70" i="11"/>
  <c r="AG70" i="11"/>
  <c r="AH70" i="11"/>
  <c r="I70" i="11" a="1"/>
  <c r="I70" i="11" s="1"/>
  <c r="AI70" i="11" s="1"/>
  <c r="AD71" i="11"/>
  <c r="AE71" i="11"/>
  <c r="AF71" i="11"/>
  <c r="AG71" i="11"/>
  <c r="AH71" i="11"/>
  <c r="I71" i="11" a="1"/>
  <c r="I71" i="11" s="1"/>
  <c r="AI71" i="11" s="1"/>
  <c r="AD72" i="11"/>
  <c r="AE72" i="11"/>
  <c r="AF72" i="11"/>
  <c r="AG72" i="11"/>
  <c r="AH72" i="11"/>
  <c r="I72" i="11" a="1"/>
  <c r="I72" i="11" s="1"/>
  <c r="AI72" i="11" s="1"/>
  <c r="AD73" i="11"/>
  <c r="AE73" i="11"/>
  <c r="AF73" i="11"/>
  <c r="AG73" i="11"/>
  <c r="AH73" i="11"/>
  <c r="I73" i="11" a="1"/>
  <c r="I73" i="11"/>
  <c r="AI73" i="11"/>
  <c r="AJ73" i="11"/>
  <c r="AD74" i="11"/>
  <c r="AE74" i="11"/>
  <c r="AF74" i="11"/>
  <c r="AG74" i="11"/>
  <c r="AH74" i="11"/>
  <c r="I74" i="11" a="1"/>
  <c r="I74" i="11"/>
  <c r="AI74" i="11"/>
  <c r="AD75" i="11"/>
  <c r="AE75" i="11"/>
  <c r="AF75" i="11"/>
  <c r="AG75" i="11"/>
  <c r="AH75" i="11"/>
  <c r="I75" i="11" a="1"/>
  <c r="I75" i="11"/>
  <c r="AI75" i="11" s="1"/>
  <c r="AD76" i="11"/>
  <c r="AJ76" i="11" s="1"/>
  <c r="AD77" i="11"/>
  <c r="AE77" i="11"/>
  <c r="AF77" i="11"/>
  <c r="AG77" i="11"/>
  <c r="AH77" i="11"/>
  <c r="I77" i="11" a="1"/>
  <c r="I77" i="11"/>
  <c r="AI77" i="11" s="1"/>
  <c r="AD78" i="11"/>
  <c r="AJ78" i="11" s="1"/>
  <c r="AE78" i="11"/>
  <c r="AF78" i="11"/>
  <c r="AG78" i="11"/>
  <c r="AH78" i="11"/>
  <c r="I78" i="11" a="1"/>
  <c r="I78" i="11"/>
  <c r="AI78" i="11" s="1"/>
  <c r="AD79" i="11"/>
  <c r="AJ79" i="11" s="1"/>
  <c r="AE79" i="11"/>
  <c r="AF79" i="11"/>
  <c r="AG79" i="11"/>
  <c r="AH79" i="11"/>
  <c r="I79" i="11" a="1"/>
  <c r="I79" i="11" s="1"/>
  <c r="AI79" i="11"/>
  <c r="AD80" i="11"/>
  <c r="AE80" i="11"/>
  <c r="AF80" i="11"/>
  <c r="AG80" i="11"/>
  <c r="AH80" i="11"/>
  <c r="I80" i="11" a="1"/>
  <c r="I80" i="11"/>
  <c r="AI80" i="11" s="1"/>
  <c r="AD81" i="11"/>
  <c r="AE81" i="11"/>
  <c r="AF81" i="11"/>
  <c r="AG81" i="11"/>
  <c r="AH81" i="11"/>
  <c r="I81" i="11" a="1"/>
  <c r="I81" i="11" s="1"/>
  <c r="AI81" i="11" s="1"/>
  <c r="AD82" i="11"/>
  <c r="AJ82" i="11" s="1"/>
  <c r="AE82" i="11"/>
  <c r="AF82" i="11"/>
  <c r="AG82" i="11"/>
  <c r="AH82" i="11"/>
  <c r="I82" i="11" a="1"/>
  <c r="I82" i="11" s="1"/>
  <c r="AI82" i="11" s="1"/>
  <c r="AD83" i="11"/>
  <c r="AJ83" i="11" s="1"/>
  <c r="AE83" i="11"/>
  <c r="AF83" i="11"/>
  <c r="AG83" i="11"/>
  <c r="AH83" i="11"/>
  <c r="I83" i="11" a="1"/>
  <c r="I83" i="11" s="1"/>
  <c r="AI83" i="11" s="1"/>
  <c r="AD84" i="11"/>
  <c r="AE84" i="11"/>
  <c r="AF84" i="11"/>
  <c r="AG84" i="11"/>
  <c r="AH84" i="11"/>
  <c r="I84" i="11" a="1"/>
  <c r="I84" i="11"/>
  <c r="AI84" i="11"/>
  <c r="AJ84" i="11"/>
  <c r="AD85" i="11"/>
  <c r="AE85" i="11"/>
  <c r="AF85" i="11"/>
  <c r="AG85" i="11"/>
  <c r="AH85" i="11"/>
  <c r="I85" i="11" a="1"/>
  <c r="I85" i="11"/>
  <c r="AI85" i="11"/>
  <c r="AD86" i="11"/>
  <c r="AE86" i="11"/>
  <c r="AF86" i="11"/>
  <c r="AG86" i="11"/>
  <c r="AH86" i="11"/>
  <c r="I86" i="11" a="1"/>
  <c r="I86" i="11"/>
  <c r="AI86" i="11" s="1"/>
  <c r="AD87" i="11"/>
  <c r="AE87" i="11"/>
  <c r="AF87" i="11"/>
  <c r="AG87" i="11"/>
  <c r="AH87" i="11"/>
  <c r="I87" i="11" a="1"/>
  <c r="I87" i="11" s="1"/>
  <c r="AI87" i="11"/>
  <c r="AD88" i="11"/>
  <c r="AE88" i="11"/>
  <c r="AF88" i="11"/>
  <c r="AG88" i="11"/>
  <c r="AH88" i="11"/>
  <c r="I88" i="11" a="1"/>
  <c r="I88" i="11"/>
  <c r="AI88" i="11"/>
  <c r="AJ88" i="11"/>
  <c r="AD89" i="11"/>
  <c r="AE89" i="11"/>
  <c r="AF89" i="11"/>
  <c r="AG89" i="11"/>
  <c r="AH89" i="11"/>
  <c r="I89" i="11" a="1"/>
  <c r="I89" i="11"/>
  <c r="AI89" i="11"/>
  <c r="AD90" i="11"/>
  <c r="AE90" i="11"/>
  <c r="AF90" i="11"/>
  <c r="AG90" i="11"/>
  <c r="AH90" i="11"/>
  <c r="I90" i="11" a="1"/>
  <c r="I90" i="11"/>
  <c r="AI90" i="11" s="1"/>
  <c r="AJ90" i="11"/>
  <c r="AD91" i="11"/>
  <c r="AE91" i="11"/>
  <c r="AF91" i="11"/>
  <c r="AG91" i="11"/>
  <c r="AH91" i="11"/>
  <c r="I91" i="11" a="1"/>
  <c r="I91" i="11" s="1"/>
  <c r="AI91" i="11"/>
  <c r="AJ91" i="11"/>
  <c r="AD92" i="11"/>
  <c r="AE92" i="11"/>
  <c r="AF92" i="11"/>
  <c r="AJ92" i="11" s="1"/>
  <c r="AG92" i="11"/>
  <c r="AH92" i="11"/>
  <c r="I92" i="11" a="1"/>
  <c r="I92" i="11"/>
  <c r="AI92" i="11"/>
  <c r="AD93" i="11"/>
  <c r="AE93" i="11"/>
  <c r="AF93" i="11"/>
  <c r="AG93" i="11"/>
  <c r="AH93" i="11"/>
  <c r="I93" i="11" a="1"/>
  <c r="I93" i="11"/>
  <c r="AI93" i="11" s="1"/>
  <c r="AD94" i="11"/>
  <c r="AE94" i="11"/>
  <c r="AF94" i="11"/>
  <c r="AG94" i="11"/>
  <c r="AH94" i="11"/>
  <c r="I94" i="11" a="1"/>
  <c r="I94" i="11"/>
  <c r="AI94" i="11" s="1"/>
  <c r="AD95" i="11"/>
  <c r="AE95" i="11"/>
  <c r="AF95" i="11"/>
  <c r="AG95" i="11"/>
  <c r="AH95" i="11"/>
  <c r="I95" i="11" a="1"/>
  <c r="I95" i="11" s="1"/>
  <c r="AI95" i="11"/>
  <c r="AE76" i="11"/>
  <c r="AF76" i="11"/>
  <c r="AG76" i="11"/>
  <c r="AH67" i="11"/>
  <c r="AH76" i="11"/>
  <c r="I67" i="11" a="1"/>
  <c r="I67" i="11"/>
  <c r="AI67" i="11" s="1"/>
  <c r="I76" i="11" a="1"/>
  <c r="I76" i="11" s="1"/>
  <c r="AI76" i="11"/>
  <c r="AB2" i="11"/>
  <c r="AC2" i="11" s="1"/>
  <c r="AB3" i="11"/>
  <c r="AC3" i="11"/>
  <c r="AB4" i="11"/>
  <c r="AC4" i="11" s="1"/>
  <c r="AB5" i="11"/>
  <c r="AC5" i="11"/>
  <c r="AB6" i="11"/>
  <c r="AC6" i="11" s="1"/>
  <c r="AB7" i="11"/>
  <c r="AC7" i="11"/>
  <c r="AB8" i="11"/>
  <c r="AC8" i="11" s="1"/>
  <c r="AB9" i="11"/>
  <c r="AC9" i="11"/>
  <c r="AB10" i="11"/>
  <c r="AC10" i="11" s="1"/>
  <c r="AB11" i="11"/>
  <c r="AC11" i="11"/>
  <c r="AB12" i="11"/>
  <c r="AC12" i="11" s="1"/>
  <c r="AB13" i="11"/>
  <c r="AC13" i="11"/>
  <c r="AB14" i="11"/>
  <c r="AC14" i="11" s="1"/>
  <c r="AB15" i="11"/>
  <c r="AC15" i="11"/>
  <c r="AB16" i="11"/>
  <c r="AC16" i="11" s="1"/>
  <c r="AB17" i="11"/>
  <c r="AC17" i="11"/>
  <c r="AB18" i="11"/>
  <c r="AC18" i="11" s="1"/>
  <c r="AB19" i="11"/>
  <c r="AC19" i="11"/>
  <c r="AB20" i="11"/>
  <c r="AC20" i="11" s="1"/>
  <c r="AB21" i="11"/>
  <c r="AC21" i="11"/>
  <c r="AB22" i="11"/>
  <c r="AC22" i="11" s="1"/>
  <c r="AB23" i="11"/>
  <c r="AC23" i="11"/>
  <c r="AB24" i="11"/>
  <c r="AC24" i="11" s="1"/>
  <c r="AB25" i="11"/>
  <c r="AC25" i="11"/>
  <c r="AB26" i="11"/>
  <c r="AC26" i="11" s="1"/>
  <c r="AB27" i="11"/>
  <c r="AC27" i="11"/>
  <c r="AB28" i="11"/>
  <c r="AC28" i="11" s="1"/>
  <c r="AB29" i="11"/>
  <c r="AC29" i="11"/>
  <c r="AB30" i="11"/>
  <c r="AC30" i="11" s="1"/>
  <c r="AB31" i="11"/>
  <c r="AC31" i="11"/>
  <c r="AB32" i="11"/>
  <c r="AC32" i="11" s="1"/>
  <c r="AB33" i="11"/>
  <c r="AC33" i="11"/>
  <c r="AB34" i="11"/>
  <c r="AC34" i="11" s="1"/>
  <c r="AB35" i="11"/>
  <c r="AC35" i="11"/>
  <c r="AB36" i="11"/>
  <c r="AC36" i="11" s="1"/>
  <c r="AB37" i="11"/>
  <c r="AC37" i="11"/>
  <c r="AB38" i="11"/>
  <c r="AC38" i="11" s="1"/>
  <c r="AB39" i="11"/>
  <c r="AC39" i="11"/>
  <c r="AB40" i="11"/>
  <c r="AC40" i="11" s="1"/>
  <c r="AB41" i="11"/>
  <c r="AC41" i="11"/>
  <c r="AB42" i="11"/>
  <c r="AC42" i="11" s="1"/>
  <c r="AB43" i="11"/>
  <c r="AC43" i="11"/>
  <c r="AB44" i="11"/>
  <c r="AC44" i="11" s="1"/>
  <c r="AB45" i="11"/>
  <c r="AC45" i="11"/>
  <c r="AB46" i="11"/>
  <c r="AC46" i="11" s="1"/>
  <c r="AB47" i="11"/>
  <c r="AC47" i="11"/>
  <c r="AB48" i="11"/>
  <c r="AC48" i="11" s="1"/>
  <c r="AB49" i="11"/>
  <c r="AC49" i="11"/>
  <c r="AB50" i="11"/>
  <c r="AC50" i="11" s="1"/>
  <c r="AB51" i="11"/>
  <c r="AC51" i="11"/>
  <c r="AB52" i="11"/>
  <c r="AC52" i="11" s="1"/>
  <c r="AB53" i="11"/>
  <c r="AC53" i="11"/>
  <c r="AB54" i="11"/>
  <c r="AC54" i="11" s="1"/>
  <c r="AB55" i="11"/>
  <c r="AC55" i="11"/>
  <c r="AB56" i="11"/>
  <c r="AC56" i="11" s="1"/>
  <c r="AB57" i="11"/>
  <c r="AC57" i="11"/>
  <c r="AB58" i="11"/>
  <c r="AC58" i="11" s="1"/>
  <c r="AB59" i="11"/>
  <c r="AC59" i="11"/>
  <c r="AB60" i="11"/>
  <c r="AC60" i="11" s="1"/>
  <c r="AB61" i="11"/>
  <c r="AC61" i="11"/>
  <c r="AB62" i="11"/>
  <c r="AC62" i="11" s="1"/>
  <c r="AB63" i="11"/>
  <c r="AC63" i="11"/>
  <c r="AB64" i="11"/>
  <c r="AC64" i="11" s="1"/>
  <c r="AB65" i="11"/>
  <c r="AC65" i="11"/>
  <c r="AB66" i="11"/>
  <c r="AC66" i="11" s="1"/>
  <c r="AB67" i="11"/>
  <c r="AC67" i="11"/>
  <c r="AB68" i="11"/>
  <c r="AC68" i="11" s="1"/>
  <c r="AB69" i="11"/>
  <c r="AC69" i="11"/>
  <c r="AB70" i="11"/>
  <c r="AC70" i="11" s="1"/>
  <c r="AB71" i="11"/>
  <c r="AC71" i="11"/>
  <c r="AB72" i="11"/>
  <c r="AC72" i="11" s="1"/>
  <c r="AB73" i="11"/>
  <c r="AC73" i="11"/>
  <c r="AB74" i="11"/>
  <c r="AC74" i="11" s="1"/>
  <c r="AB75" i="11"/>
  <c r="AC75" i="11"/>
  <c r="AB76" i="11"/>
  <c r="AC76" i="11" s="1"/>
  <c r="AB77" i="11"/>
  <c r="AC77" i="11"/>
  <c r="AB78" i="11"/>
  <c r="AC78" i="11" s="1"/>
  <c r="AB79" i="11"/>
  <c r="AC79" i="11"/>
  <c r="AB80" i="11"/>
  <c r="AC80" i="11" s="1"/>
  <c r="AB81" i="11"/>
  <c r="AC81" i="11"/>
  <c r="AB82" i="11"/>
  <c r="AC82" i="11" s="1"/>
  <c r="AB83" i="11"/>
  <c r="AC83" i="11"/>
  <c r="AB84" i="11"/>
  <c r="AC84" i="11" s="1"/>
  <c r="AB85" i="11"/>
  <c r="AC85" i="11"/>
  <c r="AB86" i="11"/>
  <c r="AC86" i="11" s="1"/>
  <c r="AB87" i="11"/>
  <c r="AC87" i="11"/>
  <c r="AB88" i="11"/>
  <c r="AC88" i="11" s="1"/>
  <c r="AB89" i="11"/>
  <c r="AC89" i="11"/>
  <c r="AB90" i="11"/>
  <c r="AC90" i="11" s="1"/>
  <c r="AB91" i="11"/>
  <c r="AC91" i="11"/>
  <c r="AB92" i="11"/>
  <c r="AC92" i="11" s="1"/>
  <c r="AB93" i="11"/>
  <c r="AC93" i="11"/>
  <c r="AB94" i="11"/>
  <c r="AC94" i="11" s="1"/>
  <c r="AB95" i="11"/>
  <c r="AC95" i="11"/>
  <c r="K2" i="11"/>
  <c r="Q2" i="11" s="1"/>
  <c r="L2" i="11"/>
  <c r="M2" i="11"/>
  <c r="R2" i="11"/>
  <c r="N2" i="11"/>
  <c r="T2" i="11" s="1"/>
  <c r="O2" i="11"/>
  <c r="P2" i="11"/>
  <c r="K3" i="11"/>
  <c r="L3" i="11"/>
  <c r="M3" i="11"/>
  <c r="N3" i="11"/>
  <c r="T3" i="11" s="1"/>
  <c r="O3" i="11"/>
  <c r="P3" i="11"/>
  <c r="U3" i="11"/>
  <c r="K4" i="11"/>
  <c r="L4" i="11"/>
  <c r="M4" i="11"/>
  <c r="N4" i="11"/>
  <c r="S4" i="11"/>
  <c r="O4" i="11"/>
  <c r="U4" i="11" s="1"/>
  <c r="P4" i="11"/>
  <c r="K5" i="11"/>
  <c r="L5" i="11"/>
  <c r="M5" i="11"/>
  <c r="R5" i="11"/>
  <c r="N5" i="11"/>
  <c r="T5" i="11" s="1"/>
  <c r="O5" i="11"/>
  <c r="P5" i="11"/>
  <c r="K6" i="11"/>
  <c r="L6" i="11"/>
  <c r="R6" i="11" s="1"/>
  <c r="Q6" i="11"/>
  <c r="M6" i="11"/>
  <c r="N6" i="11"/>
  <c r="S6" i="11"/>
  <c r="O6" i="11"/>
  <c r="U6" i="11" s="1"/>
  <c r="P6" i="11"/>
  <c r="K7" i="11"/>
  <c r="Q7" i="11" s="1"/>
  <c r="L7" i="11"/>
  <c r="M7" i="11"/>
  <c r="S7" i="11" s="1"/>
  <c r="N7" i="11"/>
  <c r="O7" i="11"/>
  <c r="U7" i="11" s="1"/>
  <c r="T7" i="11"/>
  <c r="P7" i="11"/>
  <c r="K8" i="11"/>
  <c r="L8" i="11"/>
  <c r="R8" i="11" s="1"/>
  <c r="Q8" i="11"/>
  <c r="M8" i="11"/>
  <c r="N8" i="11"/>
  <c r="T8" i="11" s="1"/>
  <c r="O8" i="11"/>
  <c r="P8" i="11"/>
  <c r="U8" i="11"/>
  <c r="K9" i="11"/>
  <c r="L9" i="11"/>
  <c r="R9" i="11" s="1"/>
  <c r="Q9" i="11"/>
  <c r="M9" i="11"/>
  <c r="N9" i="11"/>
  <c r="S9" i="11"/>
  <c r="O9" i="11"/>
  <c r="U9" i="11" s="1"/>
  <c r="P9" i="11"/>
  <c r="K10" i="11"/>
  <c r="Q10" i="11" s="1"/>
  <c r="L10" i="11"/>
  <c r="M10" i="11"/>
  <c r="S10" i="11" s="1"/>
  <c r="N10" i="11"/>
  <c r="O10" i="11"/>
  <c r="U10" i="11" s="1"/>
  <c r="T10" i="11"/>
  <c r="P10" i="11"/>
  <c r="K11" i="11"/>
  <c r="Q11" i="11" s="1"/>
  <c r="L11" i="11"/>
  <c r="R11" i="11" s="1"/>
  <c r="M11" i="11"/>
  <c r="N11" i="11"/>
  <c r="T11" i="11" s="1"/>
  <c r="O11" i="11"/>
  <c r="U11" i="11" s="1"/>
  <c r="P11" i="11"/>
  <c r="K12" i="11"/>
  <c r="L12" i="11"/>
  <c r="R12" i="11" s="1"/>
  <c r="Q12" i="11"/>
  <c r="M12" i="11"/>
  <c r="N12" i="11"/>
  <c r="T12" i="11" s="1"/>
  <c r="O12" i="11"/>
  <c r="P12" i="11"/>
  <c r="U12" i="11"/>
  <c r="K13" i="11"/>
  <c r="Q13" i="11" s="1"/>
  <c r="L13" i="11"/>
  <c r="M13" i="11"/>
  <c r="S13" i="11" s="1"/>
  <c r="N13" i="11"/>
  <c r="O13" i="11"/>
  <c r="U13" i="11" s="1"/>
  <c r="T13" i="11"/>
  <c r="P13" i="11"/>
  <c r="K14" i="11"/>
  <c r="L14" i="11"/>
  <c r="R14" i="11" s="1"/>
  <c r="Q14" i="11"/>
  <c r="M14" i="11"/>
  <c r="N14" i="11"/>
  <c r="T14" i="11" s="1"/>
  <c r="O14" i="11"/>
  <c r="P14" i="11"/>
  <c r="U14" i="11"/>
  <c r="K15" i="11"/>
  <c r="L15" i="11"/>
  <c r="Q15" i="11"/>
  <c r="M15" i="11"/>
  <c r="S15" i="11" s="1"/>
  <c r="N15" i="11"/>
  <c r="T15" i="11" s="1"/>
  <c r="O15" i="11"/>
  <c r="P15" i="11"/>
  <c r="U15" i="11"/>
  <c r="K16" i="11"/>
  <c r="L16" i="11"/>
  <c r="R16" i="11" s="1"/>
  <c r="M16" i="11"/>
  <c r="S16" i="11" s="1"/>
  <c r="N16" i="11"/>
  <c r="O16" i="11"/>
  <c r="U16" i="11" s="1"/>
  <c r="T16" i="11"/>
  <c r="P16" i="11"/>
  <c r="K17" i="11"/>
  <c r="L17" i="11"/>
  <c r="R17" i="11" s="1"/>
  <c r="M17" i="11"/>
  <c r="N17" i="11"/>
  <c r="T17" i="11" s="1"/>
  <c r="S17" i="11"/>
  <c r="O17" i="11"/>
  <c r="P17" i="11"/>
  <c r="U17" i="11" s="1"/>
  <c r="K18" i="11"/>
  <c r="L18" i="11"/>
  <c r="R18" i="11" s="1"/>
  <c r="Q18" i="11"/>
  <c r="M18" i="11"/>
  <c r="N18" i="11"/>
  <c r="T18" i="11" s="1"/>
  <c r="S18" i="11"/>
  <c r="O18" i="11"/>
  <c r="P18" i="11"/>
  <c r="U18" i="11"/>
  <c r="K19" i="11"/>
  <c r="Q19" i="11" s="1"/>
  <c r="L19" i="11"/>
  <c r="M19" i="11"/>
  <c r="S19" i="11" s="1"/>
  <c r="R19" i="11"/>
  <c r="N19" i="11"/>
  <c r="O19" i="11"/>
  <c r="P19" i="11"/>
  <c r="K20" i="11"/>
  <c r="L20" i="11"/>
  <c r="M20" i="11"/>
  <c r="R20" i="11"/>
  <c r="N20" i="11"/>
  <c r="T20" i="11" s="1"/>
  <c r="O20" i="11"/>
  <c r="P20" i="11"/>
  <c r="K21" i="11"/>
  <c r="L21" i="11"/>
  <c r="R21" i="11" s="1"/>
  <c r="Q21" i="11"/>
  <c r="M21" i="11"/>
  <c r="N21" i="11"/>
  <c r="S21" i="11"/>
  <c r="O21" i="11"/>
  <c r="U21" i="11" s="1"/>
  <c r="P21" i="11"/>
  <c r="K22" i="11"/>
  <c r="Q22" i="11" s="1"/>
  <c r="L22" i="11"/>
  <c r="M22" i="11"/>
  <c r="N22" i="11"/>
  <c r="O22" i="11"/>
  <c r="U22" i="11" s="1"/>
  <c r="T22" i="11"/>
  <c r="P22" i="11"/>
  <c r="K23" i="11"/>
  <c r="Q23" i="11" s="1"/>
  <c r="L23" i="11"/>
  <c r="R23" i="11" s="1"/>
  <c r="M23" i="11"/>
  <c r="N23" i="11"/>
  <c r="T23" i="11" s="1"/>
  <c r="O23" i="11"/>
  <c r="U23" i="11" s="1"/>
  <c r="P23" i="11"/>
  <c r="K24" i="11"/>
  <c r="L24" i="11"/>
  <c r="Q24" i="11"/>
  <c r="M24" i="11"/>
  <c r="S24" i="11" s="1"/>
  <c r="N24" i="11"/>
  <c r="O24" i="11"/>
  <c r="U24" i="11" s="1"/>
  <c r="P24" i="11"/>
  <c r="K25" i="11"/>
  <c r="L25" i="11"/>
  <c r="Q25" i="11"/>
  <c r="M25" i="11"/>
  <c r="S25" i="11" s="1"/>
  <c r="N25" i="11"/>
  <c r="O25" i="11"/>
  <c r="U25" i="11" s="1"/>
  <c r="P25" i="11"/>
  <c r="K26" i="11"/>
  <c r="Q26" i="11" s="1"/>
  <c r="L26" i="11"/>
  <c r="R26" i="11" s="1"/>
  <c r="M26" i="11"/>
  <c r="N26" i="11"/>
  <c r="T26" i="11" s="1"/>
  <c r="O26" i="11"/>
  <c r="U26" i="11" s="1"/>
  <c r="P26" i="11"/>
  <c r="K27" i="11"/>
  <c r="L27" i="11"/>
  <c r="R27" i="11" s="1"/>
  <c r="Q27" i="11"/>
  <c r="M27" i="11"/>
  <c r="N27" i="11"/>
  <c r="T27" i="11" s="1"/>
  <c r="O27" i="11"/>
  <c r="P27" i="11"/>
  <c r="U27" i="11"/>
  <c r="K28" i="11"/>
  <c r="L28" i="11"/>
  <c r="Q28" i="11"/>
  <c r="M28" i="11"/>
  <c r="S28" i="11" s="1"/>
  <c r="N28" i="11"/>
  <c r="T28" i="11" s="1"/>
  <c r="O28" i="11"/>
  <c r="P28" i="11"/>
  <c r="U28" i="11"/>
  <c r="K29" i="11"/>
  <c r="Q29" i="11" s="1"/>
  <c r="L29" i="11"/>
  <c r="M29" i="11"/>
  <c r="R29" i="11" s="1"/>
  <c r="N29" i="11"/>
  <c r="O29" i="11"/>
  <c r="T29" i="11" s="1"/>
  <c r="P29" i="11"/>
  <c r="K30" i="11"/>
  <c r="Q30" i="11" s="1"/>
  <c r="W30" i="11" s="1"/>
  <c r="L30" i="11"/>
  <c r="M30" i="11"/>
  <c r="R30" i="11"/>
  <c r="N30" i="11"/>
  <c r="S30" i="11"/>
  <c r="O30" i="11"/>
  <c r="T30" i="11"/>
  <c r="P30" i="11"/>
  <c r="U30" i="11"/>
  <c r="K31" i="11"/>
  <c r="Q31" i="11" s="1"/>
  <c r="L31" i="11"/>
  <c r="M31" i="11"/>
  <c r="N31" i="11"/>
  <c r="O31" i="11"/>
  <c r="P31" i="11"/>
  <c r="K32" i="11"/>
  <c r="L32" i="11"/>
  <c r="Q32" i="11"/>
  <c r="M32" i="11"/>
  <c r="R32" i="11"/>
  <c r="N32" i="11"/>
  <c r="S32" i="11"/>
  <c r="O32" i="11"/>
  <c r="T32" i="11"/>
  <c r="P32" i="11"/>
  <c r="U32" i="11"/>
  <c r="K33" i="11"/>
  <c r="Q33" i="11" s="1"/>
  <c r="L33" i="11"/>
  <c r="M33" i="11"/>
  <c r="R33" i="11"/>
  <c r="N33" i="11"/>
  <c r="S33" i="11"/>
  <c r="O33" i="11"/>
  <c r="T33" i="11"/>
  <c r="P33" i="11"/>
  <c r="U33" i="11"/>
  <c r="K34" i="11"/>
  <c r="L34" i="11"/>
  <c r="Q34" i="11"/>
  <c r="M34" i="11"/>
  <c r="S34" i="11" s="1"/>
  <c r="N34" i="11"/>
  <c r="O34" i="11"/>
  <c r="U34" i="11" s="1"/>
  <c r="P34" i="11"/>
  <c r="K35" i="11"/>
  <c r="L35" i="11"/>
  <c r="M35" i="11"/>
  <c r="N35" i="11"/>
  <c r="S35" i="11"/>
  <c r="O35" i="11"/>
  <c r="U35" i="11" s="1"/>
  <c r="P35" i="11"/>
  <c r="K36" i="11"/>
  <c r="L36" i="11"/>
  <c r="Q36" i="11"/>
  <c r="M36" i="11"/>
  <c r="R36" i="11" s="1"/>
  <c r="N36" i="11"/>
  <c r="O36" i="11"/>
  <c r="T36" i="11" s="1"/>
  <c r="P36" i="11"/>
  <c r="K37" i="11"/>
  <c r="L37" i="11"/>
  <c r="M37" i="11"/>
  <c r="R37" i="11"/>
  <c r="N37" i="11"/>
  <c r="T37" i="11" s="1"/>
  <c r="O37" i="11"/>
  <c r="P37" i="11"/>
  <c r="K38" i="11"/>
  <c r="Q38" i="11" s="1"/>
  <c r="L38" i="11"/>
  <c r="M38" i="11"/>
  <c r="R38" i="11"/>
  <c r="N38" i="11"/>
  <c r="S38" i="11"/>
  <c r="O38" i="11"/>
  <c r="T38" i="11"/>
  <c r="P38" i="11"/>
  <c r="U38" i="11"/>
  <c r="K39" i="11"/>
  <c r="L39" i="11"/>
  <c r="Q39" i="11"/>
  <c r="M39" i="11"/>
  <c r="S39" i="11" s="1"/>
  <c r="N39" i="11"/>
  <c r="O39" i="11"/>
  <c r="U39" i="11" s="1"/>
  <c r="P39" i="11"/>
  <c r="K40" i="11"/>
  <c r="L40" i="11"/>
  <c r="Q40" i="11"/>
  <c r="M40" i="11"/>
  <c r="R40" i="11"/>
  <c r="N40" i="11"/>
  <c r="S40" i="11"/>
  <c r="O40" i="11"/>
  <c r="T40" i="11"/>
  <c r="P40" i="11"/>
  <c r="U40" i="11"/>
  <c r="K41" i="11"/>
  <c r="Q41" i="11" s="1"/>
  <c r="L41" i="11"/>
  <c r="R41" i="11" s="1"/>
  <c r="M41" i="11"/>
  <c r="N41" i="11"/>
  <c r="T41" i="11" s="1"/>
  <c r="O41" i="11"/>
  <c r="U41" i="11" s="1"/>
  <c r="P41" i="11"/>
  <c r="K42" i="11"/>
  <c r="L42" i="11"/>
  <c r="M42" i="11"/>
  <c r="N42" i="11"/>
  <c r="S42" i="11"/>
  <c r="O42" i="11"/>
  <c r="U42" i="11" s="1"/>
  <c r="P42" i="11"/>
  <c r="K43" i="11"/>
  <c r="L43" i="11"/>
  <c r="R43" i="11" s="1"/>
  <c r="Q43" i="11"/>
  <c r="M43" i="11"/>
  <c r="N43" i="11"/>
  <c r="O43" i="11"/>
  <c r="P43" i="11"/>
  <c r="U43" i="11"/>
  <c r="K44" i="11"/>
  <c r="Q44" i="11" s="1"/>
  <c r="X44" i="11" s="1"/>
  <c r="L44" i="11"/>
  <c r="M44" i="11"/>
  <c r="R44" i="11"/>
  <c r="N44" i="11"/>
  <c r="S44" i="11"/>
  <c r="O44" i="11"/>
  <c r="T44" i="11"/>
  <c r="P44" i="11"/>
  <c r="U44" i="11"/>
  <c r="K45" i="11"/>
  <c r="L45" i="11"/>
  <c r="Q45" i="11"/>
  <c r="M45" i="11"/>
  <c r="R45" i="11" s="1"/>
  <c r="N45" i="11"/>
  <c r="O45" i="11"/>
  <c r="T45" i="11" s="1"/>
  <c r="P45" i="11"/>
  <c r="K46" i="11"/>
  <c r="Q46" i="11" s="1"/>
  <c r="L46" i="11"/>
  <c r="M46" i="11"/>
  <c r="R46" i="11"/>
  <c r="N46" i="11"/>
  <c r="S46" i="11"/>
  <c r="O46" i="11"/>
  <c r="T46" i="11"/>
  <c r="P46" i="11"/>
  <c r="U46" i="11"/>
  <c r="K47" i="11"/>
  <c r="L47" i="11"/>
  <c r="Q47" i="11"/>
  <c r="M47" i="11"/>
  <c r="S47" i="11" s="1"/>
  <c r="N47" i="11"/>
  <c r="O47" i="11"/>
  <c r="U47" i="11" s="1"/>
  <c r="P47" i="11"/>
  <c r="K48" i="11"/>
  <c r="L48" i="11"/>
  <c r="Q48" i="11"/>
  <c r="M48" i="11"/>
  <c r="R48" i="11"/>
  <c r="N48" i="11"/>
  <c r="S48" i="11"/>
  <c r="O48" i="11"/>
  <c r="T48" i="11"/>
  <c r="P48" i="11"/>
  <c r="U48" i="11"/>
  <c r="K49" i="11"/>
  <c r="Q49" i="11" s="1"/>
  <c r="L49" i="11"/>
  <c r="R49" i="11" s="1"/>
  <c r="M49" i="11"/>
  <c r="N49" i="11"/>
  <c r="T49" i="11" s="1"/>
  <c r="O49" i="11"/>
  <c r="U49" i="11" s="1"/>
  <c r="P49" i="11"/>
  <c r="K50" i="11"/>
  <c r="L50" i="11"/>
  <c r="M50" i="11"/>
  <c r="N50" i="11"/>
  <c r="S50" i="11"/>
  <c r="O50" i="11"/>
  <c r="U50" i="11" s="1"/>
  <c r="P50" i="11"/>
  <c r="K51" i="11"/>
  <c r="Q51" i="11" s="1"/>
  <c r="L51" i="11"/>
  <c r="M51" i="11"/>
  <c r="N51" i="11"/>
  <c r="O51" i="11"/>
  <c r="T51" i="11"/>
  <c r="P51" i="11"/>
  <c r="K52" i="11"/>
  <c r="L52" i="11"/>
  <c r="M52" i="11"/>
  <c r="S52" i="11" s="1"/>
  <c r="N52" i="11"/>
  <c r="T52" i="11" s="1"/>
  <c r="O52" i="11"/>
  <c r="P52" i="11"/>
  <c r="U52" i="11" s="1"/>
  <c r="K53" i="11"/>
  <c r="Q53" i="11" s="1"/>
  <c r="L53" i="11"/>
  <c r="M53" i="11"/>
  <c r="N53" i="11"/>
  <c r="O53" i="11"/>
  <c r="P53" i="11"/>
  <c r="K54" i="11"/>
  <c r="L54" i="11"/>
  <c r="Q54" i="11"/>
  <c r="M54" i="11"/>
  <c r="R54" i="11"/>
  <c r="N54" i="11"/>
  <c r="S54" i="11"/>
  <c r="O54" i="11"/>
  <c r="T54" i="11"/>
  <c r="P54" i="11"/>
  <c r="U54" i="11"/>
  <c r="K55" i="11"/>
  <c r="L55" i="11"/>
  <c r="Q55" i="11"/>
  <c r="M55" i="11"/>
  <c r="R55" i="11" s="1"/>
  <c r="N55" i="11"/>
  <c r="O55" i="11"/>
  <c r="T55" i="11" s="1"/>
  <c r="P55" i="11"/>
  <c r="K56" i="11"/>
  <c r="Q56" i="11" s="1"/>
  <c r="L56" i="11"/>
  <c r="M56" i="11"/>
  <c r="R56" i="11"/>
  <c r="N56" i="11"/>
  <c r="S56" i="11"/>
  <c r="O56" i="11"/>
  <c r="T56" i="11"/>
  <c r="P56" i="11"/>
  <c r="U56" i="11"/>
  <c r="K57" i="11"/>
  <c r="L57" i="11"/>
  <c r="Q57" i="11"/>
  <c r="M57" i="11"/>
  <c r="R57" i="11"/>
  <c r="N57" i="11"/>
  <c r="S57" i="11"/>
  <c r="O57" i="11"/>
  <c r="T57" i="11"/>
  <c r="P57" i="11"/>
  <c r="U57" i="11"/>
  <c r="K58" i="11"/>
  <c r="L58" i="11"/>
  <c r="Q58" i="11"/>
  <c r="M58" i="11"/>
  <c r="R58" i="11" s="1"/>
  <c r="N58" i="11"/>
  <c r="O58" i="11"/>
  <c r="T58" i="11" s="1"/>
  <c r="P58" i="11"/>
  <c r="K59" i="11"/>
  <c r="L59" i="11"/>
  <c r="M59" i="11"/>
  <c r="R59" i="11"/>
  <c r="N59" i="11"/>
  <c r="T59" i="11" s="1"/>
  <c r="O59" i="11"/>
  <c r="P59" i="11"/>
  <c r="K60" i="11"/>
  <c r="L60" i="11"/>
  <c r="R60" i="11" s="1"/>
  <c r="Q60" i="11"/>
  <c r="M60" i="11"/>
  <c r="N60" i="11"/>
  <c r="O60" i="11"/>
  <c r="P60" i="11"/>
  <c r="U60" i="11"/>
  <c r="K61" i="11"/>
  <c r="L61" i="11"/>
  <c r="R61" i="11" s="1"/>
  <c r="M61" i="11"/>
  <c r="S61" i="11" s="1"/>
  <c r="N61" i="11"/>
  <c r="O61" i="11"/>
  <c r="P61" i="11"/>
  <c r="K62" i="11"/>
  <c r="L62" i="11"/>
  <c r="Q62" i="11"/>
  <c r="M62" i="11"/>
  <c r="R62" i="11"/>
  <c r="N62" i="11"/>
  <c r="S62" i="11"/>
  <c r="O62" i="11"/>
  <c r="T62" i="11"/>
  <c r="P62" i="11"/>
  <c r="U62" i="11"/>
  <c r="K63" i="11"/>
  <c r="L63" i="11"/>
  <c r="Q63" i="11"/>
  <c r="M63" i="11"/>
  <c r="R63" i="11" s="1"/>
  <c r="N63" i="11"/>
  <c r="O63" i="11"/>
  <c r="T63" i="11" s="1"/>
  <c r="P63" i="11"/>
  <c r="K64" i="11"/>
  <c r="Q64" i="11" s="1"/>
  <c r="L64" i="11"/>
  <c r="M64" i="11"/>
  <c r="R64" i="11"/>
  <c r="W64" i="11" s="1"/>
  <c r="N64" i="11"/>
  <c r="S64" i="11"/>
  <c r="O64" i="11"/>
  <c r="T64" i="11"/>
  <c r="P64" i="11"/>
  <c r="U64" i="11"/>
  <c r="K65" i="11"/>
  <c r="Q65" i="11" s="1"/>
  <c r="L65" i="11"/>
  <c r="M65" i="11"/>
  <c r="N65" i="11"/>
  <c r="O65" i="11"/>
  <c r="P65" i="11"/>
  <c r="K66" i="11"/>
  <c r="L66" i="11"/>
  <c r="M66" i="11"/>
  <c r="S66" i="11" s="1"/>
  <c r="R66" i="11"/>
  <c r="N66" i="11"/>
  <c r="O66" i="11"/>
  <c r="P66" i="11"/>
  <c r="K67" i="11"/>
  <c r="Q67" i="11" s="1"/>
  <c r="L67" i="11"/>
  <c r="M67" i="11"/>
  <c r="R67" i="11"/>
  <c r="N67" i="11"/>
  <c r="S67" i="11"/>
  <c r="O67" i="11"/>
  <c r="T67" i="11"/>
  <c r="P67" i="11"/>
  <c r="U67" i="11"/>
  <c r="K68" i="11"/>
  <c r="L68" i="11"/>
  <c r="R68" i="11" s="1"/>
  <c r="Q68" i="11"/>
  <c r="M68" i="11"/>
  <c r="N68" i="11"/>
  <c r="O68" i="11"/>
  <c r="P68" i="11"/>
  <c r="U68" i="11"/>
  <c r="K69" i="11"/>
  <c r="L69" i="11"/>
  <c r="Q69" i="11"/>
  <c r="M69" i="11"/>
  <c r="R69" i="11"/>
  <c r="N69" i="11"/>
  <c r="S69" i="11"/>
  <c r="O69" i="11"/>
  <c r="T69" i="11"/>
  <c r="P69" i="11"/>
  <c r="U69" i="11"/>
  <c r="X69" i="11"/>
  <c r="K70" i="11"/>
  <c r="Q70" i="11" s="1"/>
  <c r="L70" i="11"/>
  <c r="R70" i="11" s="1"/>
  <c r="M70" i="11"/>
  <c r="N70" i="11"/>
  <c r="O70" i="11"/>
  <c r="P70" i="11"/>
  <c r="U70" i="11" s="1"/>
  <c r="K71" i="11"/>
  <c r="Q71" i="11" s="1"/>
  <c r="L71" i="11"/>
  <c r="M71" i="11"/>
  <c r="R71" i="11"/>
  <c r="N71" i="11"/>
  <c r="S71" i="11"/>
  <c r="O71" i="11"/>
  <c r="T71" i="11"/>
  <c r="P71" i="11"/>
  <c r="U71" i="11"/>
  <c r="K72" i="11"/>
  <c r="L72" i="11"/>
  <c r="M72" i="11"/>
  <c r="N72" i="11"/>
  <c r="O72" i="11"/>
  <c r="U72" i="11" s="1"/>
  <c r="P72" i="11"/>
  <c r="K73" i="11"/>
  <c r="Q73" i="11" s="1"/>
  <c r="L73" i="11"/>
  <c r="M73" i="11"/>
  <c r="R73" i="11"/>
  <c r="N73" i="11"/>
  <c r="S73" i="11"/>
  <c r="O73" i="11"/>
  <c r="T73" i="11"/>
  <c r="P73" i="11"/>
  <c r="U73" i="11"/>
  <c r="K74" i="11"/>
  <c r="Q74" i="11" s="1"/>
  <c r="L74" i="11"/>
  <c r="M74" i="11"/>
  <c r="R74" i="11"/>
  <c r="N74" i="11"/>
  <c r="S74" i="11"/>
  <c r="O74" i="11"/>
  <c r="T74" i="11"/>
  <c r="P74" i="11"/>
  <c r="U74" i="11"/>
  <c r="K75" i="11"/>
  <c r="L75" i="11"/>
  <c r="Q75" i="11"/>
  <c r="M75" i="11"/>
  <c r="R75" i="11" s="1"/>
  <c r="N75" i="11"/>
  <c r="O75" i="11"/>
  <c r="T75" i="11" s="1"/>
  <c r="P75" i="11"/>
  <c r="K76" i="11"/>
  <c r="L76" i="11"/>
  <c r="R76" i="11" s="1"/>
  <c r="M76" i="11"/>
  <c r="N76" i="11"/>
  <c r="T76" i="11" s="1"/>
  <c r="O76" i="11"/>
  <c r="U76" i="11" s="1"/>
  <c r="P76" i="11"/>
  <c r="K77" i="11"/>
  <c r="L77" i="11"/>
  <c r="R77" i="11" s="1"/>
  <c r="Q77" i="11"/>
  <c r="X77" i="11" s="1"/>
  <c r="M77" i="11"/>
  <c r="N77" i="11"/>
  <c r="T77" i="11" s="1"/>
  <c r="S77" i="11"/>
  <c r="O77" i="11"/>
  <c r="P77" i="11"/>
  <c r="U77" i="11"/>
  <c r="K78" i="11"/>
  <c r="L78" i="11"/>
  <c r="Q78" i="11" s="1"/>
  <c r="M78" i="11"/>
  <c r="S78" i="11" s="1"/>
  <c r="N78" i="11"/>
  <c r="T78" i="11" s="1"/>
  <c r="O78" i="11"/>
  <c r="P78" i="11"/>
  <c r="U78" i="11"/>
  <c r="K79" i="11"/>
  <c r="Q79" i="11" s="1"/>
  <c r="L79" i="11"/>
  <c r="M79" i="11"/>
  <c r="S79" i="11" s="1"/>
  <c r="R79" i="11"/>
  <c r="N79" i="11"/>
  <c r="O79" i="11"/>
  <c r="U79" i="11" s="1"/>
  <c r="T79" i="11"/>
  <c r="P79" i="11"/>
  <c r="K80" i="11"/>
  <c r="L80" i="11"/>
  <c r="R80" i="11" s="1"/>
  <c r="X80" i="11" s="1"/>
  <c r="Q80" i="11"/>
  <c r="M80" i="11"/>
  <c r="N80" i="11"/>
  <c r="T80" i="11" s="1"/>
  <c r="S80" i="11"/>
  <c r="O80" i="11"/>
  <c r="P80" i="11"/>
  <c r="U80" i="11"/>
  <c r="K81" i="11"/>
  <c r="L81" i="11"/>
  <c r="R81" i="11" s="1"/>
  <c r="M81" i="11"/>
  <c r="N81" i="11"/>
  <c r="T81" i="11" s="1"/>
  <c r="S81" i="11"/>
  <c r="O81" i="11"/>
  <c r="P81" i="11"/>
  <c r="U81" i="11"/>
  <c r="K82" i="11"/>
  <c r="Q82" i="11" s="1"/>
  <c r="L82" i="11"/>
  <c r="M82" i="11"/>
  <c r="S82" i="11" s="1"/>
  <c r="R82" i="11"/>
  <c r="N82" i="11"/>
  <c r="O82" i="11"/>
  <c r="U82" i="11" s="1"/>
  <c r="T82" i="11"/>
  <c r="P82" i="11"/>
  <c r="K83" i="11"/>
  <c r="L83" i="11"/>
  <c r="M83" i="11"/>
  <c r="S83" i="11" s="1"/>
  <c r="R83" i="11"/>
  <c r="N83" i="11"/>
  <c r="O83" i="11"/>
  <c r="T83" i="11"/>
  <c r="P83" i="11"/>
  <c r="K84" i="11"/>
  <c r="L84" i="11"/>
  <c r="Q84" i="11"/>
  <c r="M84" i="11"/>
  <c r="S84" i="11" s="1"/>
  <c r="N84" i="11"/>
  <c r="T84" i="11" s="1"/>
  <c r="O84" i="11"/>
  <c r="P84" i="11"/>
  <c r="U84" i="11"/>
  <c r="K85" i="11"/>
  <c r="L85" i="11"/>
  <c r="R85" i="11" s="1"/>
  <c r="M85" i="11"/>
  <c r="N85" i="11"/>
  <c r="T85" i="11" s="1"/>
  <c r="O85" i="11"/>
  <c r="U85" i="11" s="1"/>
  <c r="P85" i="11"/>
  <c r="K86" i="11"/>
  <c r="L86" i="11"/>
  <c r="R86" i="11" s="1"/>
  <c r="Q86" i="11"/>
  <c r="M86" i="11"/>
  <c r="N86" i="11"/>
  <c r="T86" i="11" s="1"/>
  <c r="S86" i="11"/>
  <c r="O86" i="11"/>
  <c r="P86" i="11"/>
  <c r="U86" i="11"/>
  <c r="K87" i="11"/>
  <c r="L87" i="11"/>
  <c r="Q87" i="11"/>
  <c r="M87" i="11"/>
  <c r="S87" i="11" s="1"/>
  <c r="N87" i="11"/>
  <c r="T87" i="11" s="1"/>
  <c r="O87" i="11"/>
  <c r="P87" i="11"/>
  <c r="U87" i="11"/>
  <c r="K88" i="11"/>
  <c r="L88" i="11"/>
  <c r="R88" i="11" s="1"/>
  <c r="M88" i="11"/>
  <c r="N88" i="11"/>
  <c r="T88" i="11" s="1"/>
  <c r="O88" i="11"/>
  <c r="U88" i="11" s="1"/>
  <c r="P88" i="11"/>
  <c r="K89" i="11"/>
  <c r="L89" i="11"/>
  <c r="R89" i="11" s="1"/>
  <c r="Q89" i="11"/>
  <c r="M89" i="11"/>
  <c r="N89" i="11"/>
  <c r="T89" i="11" s="1"/>
  <c r="S89" i="11"/>
  <c r="O89" i="11"/>
  <c r="P89" i="11"/>
  <c r="U89" i="11"/>
  <c r="K90" i="11"/>
  <c r="L90" i="11"/>
  <c r="Q90" i="11"/>
  <c r="M90" i="11"/>
  <c r="S90" i="11" s="1"/>
  <c r="N90" i="11"/>
  <c r="T90" i="11" s="1"/>
  <c r="O90" i="11"/>
  <c r="P90" i="11"/>
  <c r="U90" i="11"/>
  <c r="K91" i="11"/>
  <c r="L91" i="11"/>
  <c r="R91" i="11" s="1"/>
  <c r="Q91" i="11"/>
  <c r="M91" i="11"/>
  <c r="N91" i="11"/>
  <c r="T91" i="11" s="1"/>
  <c r="S91" i="11"/>
  <c r="O91" i="11"/>
  <c r="P91" i="11"/>
  <c r="U91" i="11"/>
  <c r="K92" i="11"/>
  <c r="Q92" i="11" s="1"/>
  <c r="L92" i="11"/>
  <c r="M92" i="11"/>
  <c r="S92" i="11" s="1"/>
  <c r="R92" i="11"/>
  <c r="N92" i="11"/>
  <c r="O92" i="11"/>
  <c r="U92" i="11" s="1"/>
  <c r="T92" i="11"/>
  <c r="P92" i="11"/>
  <c r="K93" i="11"/>
  <c r="Q93" i="11" s="1"/>
  <c r="L93" i="11"/>
  <c r="M93" i="11"/>
  <c r="S93" i="11" s="1"/>
  <c r="R93" i="11"/>
  <c r="N93" i="11"/>
  <c r="O93" i="11"/>
  <c r="U93" i="11" s="1"/>
  <c r="T93" i="11"/>
  <c r="P93" i="11"/>
  <c r="K94" i="11"/>
  <c r="L94" i="11"/>
  <c r="R94" i="11" s="1"/>
  <c r="Q94" i="11"/>
  <c r="M94" i="11"/>
  <c r="N94" i="11"/>
  <c r="T94" i="11" s="1"/>
  <c r="S94" i="11"/>
  <c r="O94" i="11"/>
  <c r="P94" i="11"/>
  <c r="U94" i="11"/>
  <c r="K95" i="11"/>
  <c r="Q95" i="11" s="1"/>
  <c r="L95" i="11"/>
  <c r="M95" i="11"/>
  <c r="S95" i="11" s="1"/>
  <c r="R95" i="11"/>
  <c r="N95" i="11"/>
  <c r="O95" i="11"/>
  <c r="U95" i="11" s="1"/>
  <c r="T95" i="11"/>
  <c r="P95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H2" i="1"/>
  <c r="I2" i="1" s="1"/>
  <c r="H46" i="1"/>
  <c r="I46" i="1"/>
  <c r="H98" i="1"/>
  <c r="I98" i="1" s="1"/>
  <c r="H181" i="1"/>
  <c r="I181" i="1"/>
  <c r="H155" i="1"/>
  <c r="H176" i="1"/>
  <c r="I176" i="1"/>
  <c r="H326" i="1"/>
  <c r="I326" i="1" s="1"/>
  <c r="H134" i="1"/>
  <c r="I134" i="1"/>
  <c r="H220" i="1"/>
  <c r="I220" i="1" s="1"/>
  <c r="H240" i="1"/>
  <c r="I240" i="1"/>
  <c r="H255" i="1"/>
  <c r="I255" i="1" s="1"/>
  <c r="H114" i="1"/>
  <c r="I114" i="1" s="1"/>
  <c r="H292" i="1"/>
  <c r="I292" i="1" s="1"/>
  <c r="H314" i="1"/>
  <c r="I314" i="1" s="1"/>
  <c r="H199" i="1"/>
  <c r="I199" i="1" s="1"/>
  <c r="H331" i="1"/>
  <c r="I331" i="1" s="1"/>
  <c r="H17" i="1"/>
  <c r="I17" i="1" s="1"/>
  <c r="H390" i="1"/>
  <c r="I390" i="1" s="1"/>
  <c r="H396" i="1"/>
  <c r="I396" i="1" s="1"/>
  <c r="H416" i="1"/>
  <c r="I416" i="1" s="1"/>
  <c r="H35" i="1"/>
  <c r="I35" i="1" s="1"/>
  <c r="H488" i="1"/>
  <c r="I488" i="1" s="1"/>
  <c r="H454" i="1"/>
  <c r="I454" i="1" s="1"/>
  <c r="H467" i="1"/>
  <c r="I467" i="1" s="1"/>
  <c r="H91" i="1"/>
  <c r="I91" i="1" s="1"/>
  <c r="H493" i="1"/>
  <c r="I493" i="1" s="1"/>
  <c r="H216" i="1"/>
  <c r="I216" i="1" s="1"/>
  <c r="H510" i="1"/>
  <c r="I510" i="1" s="1"/>
  <c r="I155" i="1"/>
  <c r="M6" i="1"/>
  <c r="M12" i="1"/>
  <c r="M14" i="1"/>
  <c r="M20" i="1"/>
  <c r="M22" i="1"/>
  <c r="M23" i="1"/>
  <c r="M418" i="1"/>
  <c r="M26" i="1"/>
  <c r="M30" i="1"/>
  <c r="M31" i="1"/>
  <c r="M39" i="1"/>
  <c r="M40" i="1"/>
  <c r="M205" i="1"/>
  <c r="M44" i="1"/>
  <c r="M46" i="1"/>
  <c r="M52" i="1"/>
  <c r="M55" i="1"/>
  <c r="M58" i="1"/>
  <c r="M60" i="1"/>
  <c r="M63" i="1"/>
  <c r="M72" i="1"/>
  <c r="M76" i="1"/>
  <c r="M79" i="1"/>
  <c r="M261" i="1"/>
  <c r="M88" i="1"/>
  <c r="M100" i="1"/>
  <c r="M104" i="1"/>
  <c r="M135" i="1"/>
  <c r="M107" i="1"/>
  <c r="M111" i="1"/>
  <c r="M436" i="1"/>
  <c r="M268" i="1"/>
  <c r="M132" i="1"/>
  <c r="M123" i="1"/>
  <c r="M129" i="1"/>
  <c r="M235" i="1"/>
  <c r="M181" i="1"/>
  <c r="M137" i="1"/>
  <c r="M139" i="1"/>
  <c r="M173" i="1"/>
  <c r="M177" i="1"/>
  <c r="M182" i="1"/>
  <c r="M192" i="1"/>
  <c r="M196" i="1"/>
  <c r="M215" i="1"/>
  <c r="M494" i="1"/>
  <c r="M231" i="1"/>
  <c r="M354" i="1"/>
  <c r="M240" i="1"/>
  <c r="M248" i="1"/>
  <c r="M252" i="1"/>
  <c r="M258" i="1"/>
  <c r="M267" i="1"/>
  <c r="M189" i="1"/>
  <c r="M370" i="1"/>
  <c r="M141" i="1"/>
  <c r="M219" i="1"/>
  <c r="M419" i="1"/>
  <c r="M277" i="1"/>
  <c r="M279" i="1"/>
  <c r="M281" i="1"/>
  <c r="M288" i="1"/>
  <c r="M296" i="1"/>
  <c r="M238" i="1"/>
  <c r="M317" i="1"/>
  <c r="M321" i="1"/>
  <c r="M278" i="1"/>
  <c r="M327" i="1"/>
  <c r="M262" i="1"/>
  <c r="M337" i="1"/>
  <c r="M346" i="1"/>
  <c r="M331" i="1"/>
  <c r="M355" i="1"/>
  <c r="M359" i="1"/>
  <c r="M365" i="1"/>
  <c r="M371" i="1"/>
  <c r="M374" i="1"/>
  <c r="M378" i="1"/>
  <c r="M385" i="1"/>
  <c r="M393" i="1"/>
  <c r="M398" i="1"/>
  <c r="M271" i="1"/>
  <c r="M403" i="1"/>
  <c r="M407" i="1"/>
  <c r="M411" i="1"/>
  <c r="M423" i="1"/>
  <c r="M439" i="1"/>
  <c r="M448" i="1"/>
  <c r="M450" i="1"/>
  <c r="M453" i="1"/>
  <c r="M80" i="1"/>
  <c r="M469" i="1"/>
  <c r="M503" i="1"/>
  <c r="M472" i="1"/>
  <c r="M474" i="1"/>
  <c r="M89" i="1"/>
  <c r="M486" i="1"/>
  <c r="M492" i="1"/>
  <c r="M500" i="1"/>
  <c r="M508" i="1"/>
  <c r="L15" i="1"/>
  <c r="L17" i="1"/>
  <c r="L42" i="1"/>
  <c r="M9" i="1"/>
  <c r="M62" i="1"/>
  <c r="M11" i="1"/>
  <c r="M13" i="1"/>
  <c r="M116" i="1"/>
  <c r="M121" i="1"/>
  <c r="M28" i="1"/>
  <c r="M29" i="1"/>
  <c r="M32" i="1"/>
  <c r="M33" i="1"/>
  <c r="M36" i="1"/>
  <c r="M37" i="1"/>
  <c r="M38" i="1"/>
  <c r="M41" i="1"/>
  <c r="M134" i="1"/>
  <c r="M45" i="1"/>
  <c r="M47" i="1"/>
  <c r="M48" i="1"/>
  <c r="M49" i="1"/>
  <c r="M53" i="1"/>
  <c r="M54" i="1"/>
  <c r="M56" i="1"/>
  <c r="M61" i="1"/>
  <c r="M64" i="1"/>
  <c r="M67" i="1"/>
  <c r="M69" i="1"/>
  <c r="M71" i="1"/>
  <c r="M146" i="1"/>
  <c r="M162" i="1"/>
  <c r="M81" i="1"/>
  <c r="M85" i="1"/>
  <c r="M184" i="1"/>
  <c r="M92" i="1"/>
  <c r="M93" i="1"/>
  <c r="M190" i="1"/>
  <c r="M98" i="1"/>
  <c r="M102" i="1"/>
  <c r="M106" i="1"/>
  <c r="M216" i="1"/>
  <c r="M120" i="1"/>
  <c r="M125" i="1"/>
  <c r="M131" i="1"/>
  <c r="M140" i="1"/>
  <c r="M142" i="1"/>
  <c r="M149" i="1"/>
  <c r="M152" i="1"/>
  <c r="M154" i="1"/>
  <c r="M156" i="1"/>
  <c r="M158" i="1"/>
  <c r="M160" i="1"/>
  <c r="M164" i="1"/>
  <c r="M330" i="1"/>
  <c r="M167" i="1"/>
  <c r="M171" i="1"/>
  <c r="M179" i="1"/>
  <c r="M75" i="1"/>
  <c r="M194" i="1"/>
  <c r="M200" i="1"/>
  <c r="M207" i="1"/>
  <c r="M289" i="1"/>
  <c r="M213" i="1"/>
  <c r="M217" i="1"/>
  <c r="M290" i="1"/>
  <c r="M221" i="1"/>
  <c r="M223" i="1"/>
  <c r="M225" i="1"/>
  <c r="M227" i="1"/>
  <c r="M229" i="1"/>
  <c r="M233" i="1"/>
  <c r="M313" i="1"/>
  <c r="M243" i="1"/>
  <c r="M246" i="1"/>
  <c r="M250" i="1"/>
  <c r="M254" i="1"/>
  <c r="M256" i="1"/>
  <c r="M260" i="1"/>
  <c r="M263" i="1"/>
  <c r="M323" i="1"/>
  <c r="M274" i="1"/>
  <c r="M286" i="1"/>
  <c r="M4" i="1"/>
  <c r="M294" i="1"/>
  <c r="M298" i="1"/>
  <c r="M300" i="1"/>
  <c r="M362" i="1"/>
  <c r="M165" i="1"/>
  <c r="M315" i="1"/>
  <c r="M382" i="1"/>
  <c r="M383" i="1"/>
  <c r="M389" i="1"/>
  <c r="M332" i="1"/>
  <c r="M335" i="1"/>
  <c r="M400" i="1"/>
  <c r="M344" i="1"/>
  <c r="M348" i="1"/>
  <c r="M350" i="1"/>
  <c r="M410" i="1"/>
  <c r="M357" i="1"/>
  <c r="M428" i="1"/>
  <c r="M367" i="1"/>
  <c r="M369" i="1"/>
  <c r="M414" i="1"/>
  <c r="M376" i="1"/>
  <c r="M380" i="1"/>
  <c r="M388" i="1"/>
  <c r="M391" i="1"/>
  <c r="M386" i="1"/>
  <c r="M396" i="1"/>
  <c r="M401" i="1"/>
  <c r="M446" i="1"/>
  <c r="M426" i="1"/>
  <c r="M416" i="1"/>
  <c r="M114" i="1"/>
  <c r="M421" i="1"/>
  <c r="M429" i="1"/>
  <c r="M430" i="1"/>
  <c r="M435" i="1"/>
  <c r="M437" i="1"/>
  <c r="M440" i="1"/>
  <c r="M473" i="1"/>
  <c r="M451" i="1"/>
  <c r="M458" i="1"/>
  <c r="M459" i="1"/>
  <c r="M462" i="1"/>
  <c r="M463" i="1"/>
  <c r="M467" i="1"/>
  <c r="M475" i="1"/>
  <c r="M477" i="1"/>
  <c r="M480" i="1"/>
  <c r="M484" i="1"/>
  <c r="M487" i="1"/>
  <c r="M491" i="1"/>
  <c r="M495" i="1"/>
  <c r="M499" i="1"/>
  <c r="M502" i="1"/>
  <c r="M507" i="1"/>
  <c r="M510" i="1"/>
  <c r="M147" i="1"/>
  <c r="M408" i="1"/>
  <c r="M269" i="1"/>
  <c r="M303" i="1"/>
  <c r="M442" i="1"/>
  <c r="M444" i="1"/>
  <c r="M112" i="1"/>
  <c r="M18" i="1"/>
  <c r="M19" i="1"/>
  <c r="M25" i="1"/>
  <c r="M27" i="1"/>
  <c r="M133" i="1"/>
  <c r="M50" i="1"/>
  <c r="M57" i="1"/>
  <c r="M59" i="1"/>
  <c r="M65" i="1"/>
  <c r="M68" i="1"/>
  <c r="M73" i="1"/>
  <c r="M180" i="1"/>
  <c r="M99" i="1"/>
  <c r="M103" i="1"/>
  <c r="M175" i="1"/>
  <c r="M185" i="1"/>
  <c r="M209" i="1"/>
  <c r="M265" i="1"/>
  <c r="M284" i="1"/>
  <c r="M292" i="1"/>
  <c r="M308" i="1"/>
  <c r="M341" i="1"/>
  <c r="M424" i="1"/>
  <c r="M191" i="1"/>
  <c r="M447" i="1"/>
  <c r="M449" i="1"/>
  <c r="M425" i="1"/>
  <c r="M465" i="1"/>
  <c r="M496" i="1"/>
  <c r="M443" i="1"/>
  <c r="B131" i="2"/>
  <c r="B2" i="2"/>
  <c r="B3" i="2"/>
  <c r="T39" i="1" s="1" a="1"/>
  <c r="T39" i="1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T28" i="1" s="1" a="1"/>
  <c r="T28" i="1" s="1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Q117" i="1" s="1" a="1"/>
  <c r="Q117" i="1" s="1"/>
  <c r="R117" i="1" s="1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2" i="2"/>
  <c r="B133" i="2"/>
  <c r="B134" i="2"/>
  <c r="B135" i="2"/>
  <c r="B136" i="2"/>
  <c r="B137" i="2"/>
  <c r="B138" i="2"/>
  <c r="B139" i="2"/>
  <c r="B140" i="2"/>
  <c r="Q466" i="1" s="1" a="1"/>
  <c r="Q466" i="1" s="1"/>
  <c r="R466" i="1" s="1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T418" i="1" s="1" a="1"/>
  <c r="T418" i="1" s="1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Q391" i="1" s="1" a="1"/>
  <c r="Q391" i="1" s="1"/>
  <c r="R391" i="1" s="1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Q415" i="1" s="1" a="1"/>
  <c r="Q415" i="1" s="1"/>
  <c r="R415" i="1" s="1"/>
  <c r="B309" i="2"/>
  <c r="B310" i="2"/>
  <c r="B311" i="2"/>
  <c r="B312" i="2"/>
  <c r="B313" i="2"/>
  <c r="B314" i="2"/>
  <c r="B315" i="2"/>
  <c r="B316" i="2"/>
  <c r="Q493" i="1" s="1" a="1"/>
  <c r="Q493" i="1" s="1"/>
  <c r="R493" i="1" s="1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T45" i="1" s="1" a="1"/>
  <c r="T45" i="1" s="1"/>
  <c r="B377" i="2"/>
  <c r="B378" i="2"/>
  <c r="B379" i="2"/>
  <c r="B380" i="2"/>
  <c r="B381" i="2"/>
  <c r="B382" i="2"/>
  <c r="B383" i="2"/>
  <c r="B384" i="2"/>
  <c r="Q510" i="1" s="1" a="1"/>
  <c r="Q510" i="1" s="1"/>
  <c r="R510" i="1" s="1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O11" i="1" s="1" a="1"/>
  <c r="O11" i="1" s="1"/>
  <c r="P11" i="1" s="1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Q333" i="1" s="1" a="1"/>
  <c r="Q333" i="1" s="1"/>
  <c r="R333" i="1" s="1"/>
  <c r="B489" i="2"/>
  <c r="B490" i="2"/>
  <c r="B491" i="2"/>
  <c r="B492" i="2"/>
  <c r="T289" i="1" s="1" a="1"/>
  <c r="T289" i="1" s="1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T60" i="1" a="1"/>
  <c r="T60" i="1" s="1"/>
  <c r="G303" i="1" a="1"/>
  <c r="G303" i="1" s="1"/>
  <c r="N303" i="1" s="1"/>
  <c r="T40" i="1" a="1"/>
  <c r="T40" i="1" s="1"/>
  <c r="T63" i="1" a="1"/>
  <c r="T63" i="1" s="1"/>
  <c r="T134" i="1" a="1"/>
  <c r="T134" i="1" s="1"/>
  <c r="T82" i="1" a="1"/>
  <c r="T82" i="1" s="1"/>
  <c r="T103" i="1" a="1"/>
  <c r="T103" i="1" s="1"/>
  <c r="T104" i="1" a="1"/>
  <c r="T104" i="1" s="1"/>
  <c r="T110" i="1" a="1"/>
  <c r="T110" i="1" s="1"/>
  <c r="T125" i="1" a="1"/>
  <c r="T125" i="1" s="1"/>
  <c r="T128" i="1" a="1"/>
  <c r="T128" i="1" s="1"/>
  <c r="T129" i="1" a="1"/>
  <c r="T129" i="1" s="1"/>
  <c r="T106" i="1" a="1"/>
  <c r="T106" i="1" s="1"/>
  <c r="T142" i="1" a="1"/>
  <c r="T142" i="1" s="1"/>
  <c r="T80" i="1" a="1"/>
  <c r="T80" i="1" s="1"/>
  <c r="T152" i="1" a="1"/>
  <c r="T152" i="1" s="1"/>
  <c r="T309" i="1" a="1"/>
  <c r="T309" i="1" s="1"/>
  <c r="T161" i="1" a="1"/>
  <c r="T161" i="1" s="1"/>
  <c r="T167" i="1" a="1"/>
  <c r="T167" i="1" s="1"/>
  <c r="T175" i="1" a="1"/>
  <c r="T175" i="1" s="1"/>
  <c r="T177" i="1" a="1"/>
  <c r="T177" i="1" s="1"/>
  <c r="T178" i="1" a="1"/>
  <c r="T178" i="1" s="1"/>
  <c r="T313" i="1" a="1"/>
  <c r="T313" i="1" s="1"/>
  <c r="T412" i="1" a="1"/>
  <c r="T412" i="1" s="1"/>
  <c r="T196" i="1" a="1"/>
  <c r="T196" i="1" s="1"/>
  <c r="T201" i="1" a="1"/>
  <c r="T201" i="1" s="1"/>
  <c r="T213" i="1" a="1"/>
  <c r="T213" i="1" s="1"/>
  <c r="T456" i="1" a="1"/>
  <c r="T456" i="1" s="1"/>
  <c r="T217" i="1" a="1"/>
  <c r="T217" i="1" s="1"/>
  <c r="T225" i="1" a="1"/>
  <c r="T225" i="1" s="1"/>
  <c r="T228" i="1" a="1"/>
  <c r="T228" i="1" s="1"/>
  <c r="T230" i="1" a="1"/>
  <c r="T230" i="1" s="1"/>
  <c r="T237" i="1" a="1"/>
  <c r="T237" i="1" s="1"/>
  <c r="T241" i="1" a="1"/>
  <c r="T241" i="1" s="1"/>
  <c r="T249" i="1" a="1"/>
  <c r="T249" i="1" s="1"/>
  <c r="T252" i="1" a="1"/>
  <c r="T252" i="1" s="1"/>
  <c r="T258" i="1" a="1"/>
  <c r="T258" i="1" s="1"/>
  <c r="T259" i="1" a="1"/>
  <c r="T259" i="1" s="1"/>
  <c r="T267" i="1" a="1"/>
  <c r="T267" i="1" s="1"/>
  <c r="T279" i="1" a="1"/>
  <c r="T279" i="1" s="1"/>
  <c r="T280" i="1" a="1"/>
  <c r="T280" i="1" s="1"/>
  <c r="T291" i="1" a="1"/>
  <c r="T291" i="1" s="1"/>
  <c r="T470" i="1" a="1"/>
  <c r="T470" i="1" s="1"/>
  <c r="T300" i="1" a="1"/>
  <c r="T300" i="1" s="1"/>
  <c r="T306" i="1" a="1"/>
  <c r="T306" i="1" s="1"/>
  <c r="T7" i="1" a="1"/>
  <c r="T7" i="1" s="1"/>
  <c r="T328" i="1" a="1"/>
  <c r="T328" i="1" s="1"/>
  <c r="T329" i="1" a="1"/>
  <c r="T329" i="1" s="1"/>
  <c r="T332" i="1" a="1"/>
  <c r="T332" i="1" s="1"/>
  <c r="T339" i="1" a="1"/>
  <c r="T339" i="1" s="1"/>
  <c r="T341" i="1" a="1"/>
  <c r="T341" i="1" s="1"/>
  <c r="T345" i="1" a="1"/>
  <c r="T345" i="1" s="1"/>
  <c r="T473" i="1" a="1"/>
  <c r="T473" i="1" s="1"/>
  <c r="T361" i="1" a="1"/>
  <c r="T361" i="1" s="1"/>
  <c r="T365" i="1" a="1"/>
  <c r="T365" i="1" s="1"/>
  <c r="T376" i="1" a="1"/>
  <c r="T376" i="1" s="1"/>
  <c r="T378" i="1" a="1"/>
  <c r="T378" i="1" s="1"/>
  <c r="T117" i="1" a="1"/>
  <c r="T117" i="1" s="1"/>
  <c r="T384" i="1" a="1"/>
  <c r="T384" i="1" s="1"/>
  <c r="T388" i="1" a="1"/>
  <c r="T388" i="1" s="1"/>
  <c r="T391" i="1" a="1"/>
  <c r="T391" i="1" s="1"/>
  <c r="T397" i="1" a="1"/>
  <c r="T397" i="1" s="1"/>
  <c r="T411" i="1" a="1"/>
  <c r="T411" i="1" s="1"/>
  <c r="T417" i="1" a="1"/>
  <c r="T417" i="1" s="1"/>
  <c r="T482" i="1" a="1"/>
  <c r="T482" i="1" s="1"/>
  <c r="T424" i="1" a="1"/>
  <c r="T424" i="1" s="1"/>
  <c r="T429" i="1" a="1"/>
  <c r="T429" i="1" s="1"/>
  <c r="T437" i="1" a="1"/>
  <c r="T437" i="1" s="1"/>
  <c r="T438" i="1" a="1"/>
  <c r="T438" i="1" s="1"/>
  <c r="T451" i="1" a="1"/>
  <c r="T451" i="1" s="1"/>
  <c r="T453" i="1" a="1"/>
  <c r="T453" i="1" s="1"/>
  <c r="T457" i="1" a="1"/>
  <c r="T457" i="1" s="1"/>
  <c r="T466" i="1" a="1"/>
  <c r="T466" i="1" s="1"/>
  <c r="T467" i="1" a="1"/>
  <c r="T467" i="1" s="1"/>
  <c r="T278" i="1" a="1"/>
  <c r="T278" i="1" s="1"/>
  <c r="T487" i="1" a="1"/>
  <c r="T487" i="1" s="1"/>
  <c r="T489" i="1" a="1"/>
  <c r="T489" i="1" s="1"/>
  <c r="T493" i="1" a="1"/>
  <c r="T493" i="1" s="1"/>
  <c r="T505" i="1" a="1"/>
  <c r="T505" i="1" s="1"/>
  <c r="T509" i="1" a="1"/>
  <c r="T509" i="1" s="1"/>
  <c r="Q3" i="1" a="1"/>
  <c r="Q3" i="1" s="1"/>
  <c r="R3" i="1" s="1"/>
  <c r="Q11" i="1" a="1"/>
  <c r="Q11" i="1" s="1"/>
  <c r="R11" i="1" s="1"/>
  <c r="Q24" i="1" a="1"/>
  <c r="Q24" i="1" s="1"/>
  <c r="Q4" i="1" a="1"/>
  <c r="Q4" i="1" s="1"/>
  <c r="R4" i="1" s="1"/>
  <c r="Q54" i="1" a="1"/>
  <c r="Q54" i="1" s="1"/>
  <c r="Q59" i="1" a="1"/>
  <c r="Q59" i="1" s="1"/>
  <c r="Q63" i="1" a="1"/>
  <c r="Q63" i="1" s="1"/>
  <c r="Q70" i="1" a="1"/>
  <c r="Q70" i="1" s="1"/>
  <c r="R70" i="1" s="1"/>
  <c r="Q62" i="1" a="1"/>
  <c r="Q62" i="1" s="1"/>
  <c r="R62" i="1" s="1"/>
  <c r="Q97" i="1" a="1"/>
  <c r="Q97" i="1" s="1"/>
  <c r="Q100" i="1" a="1"/>
  <c r="Q100" i="1" s="1"/>
  <c r="Q205" i="1" a="1"/>
  <c r="Q205" i="1" s="1"/>
  <c r="R205" i="1" s="1"/>
  <c r="Q110" i="1" a="1"/>
  <c r="Q110" i="1" s="1"/>
  <c r="R110" i="1" s="1"/>
  <c r="Q124" i="1" a="1"/>
  <c r="Q124" i="1" s="1"/>
  <c r="Q126" i="1" a="1"/>
  <c r="Q126" i="1" s="1"/>
  <c r="R126" i="1" s="1"/>
  <c r="Q138" i="1" a="1"/>
  <c r="Q138" i="1" s="1"/>
  <c r="R138" i="1" s="1"/>
  <c r="Q80" i="1" a="1"/>
  <c r="Q80" i="1" s="1"/>
  <c r="Q148" i="1" a="1"/>
  <c r="Q148" i="1" s="1"/>
  <c r="Q155" i="1" a="1"/>
  <c r="Q155" i="1" s="1"/>
  <c r="R155" i="1" s="1"/>
  <c r="Q166" i="1" a="1"/>
  <c r="Q166" i="1" s="1"/>
  <c r="Q169" i="1" a="1"/>
  <c r="Q169" i="1" s="1"/>
  <c r="R169" i="1" s="1"/>
  <c r="Q21" i="1" a="1"/>
  <c r="Q21" i="1" s="1"/>
  <c r="Q236" i="1" a="1"/>
  <c r="Q236" i="1" s="1"/>
  <c r="Q186" i="1" a="1"/>
  <c r="Q186" i="1" s="1"/>
  <c r="R186" i="1" s="1"/>
  <c r="Q190" i="1" a="1"/>
  <c r="Q190" i="1" s="1"/>
  <c r="R190" i="1" s="1"/>
  <c r="Q208" i="1" a="1"/>
  <c r="Q208" i="1" s="1"/>
  <c r="R208" i="1" s="1"/>
  <c r="Q217" i="1" a="1"/>
  <c r="Q217" i="1" s="1"/>
  <c r="R217" i="1" s="1"/>
  <c r="Q226" i="1" a="1"/>
  <c r="Q226" i="1" s="1"/>
  <c r="R226" i="1" s="1"/>
  <c r="Q16" i="1" a="1"/>
  <c r="Q16" i="1" s="1"/>
  <c r="R16" i="1" s="1"/>
  <c r="Q243" i="1" a="1"/>
  <c r="Q243" i="1" s="1"/>
  <c r="Q245" i="1" a="1"/>
  <c r="Q245" i="1" s="1"/>
  <c r="Q249" i="1" a="1"/>
  <c r="Q249" i="1" s="1"/>
  <c r="R249" i="1" s="1"/>
  <c r="Q254" i="1" a="1"/>
  <c r="Q254" i="1" s="1"/>
  <c r="R254" i="1" s="1"/>
  <c r="Q263" i="1" a="1"/>
  <c r="Q263" i="1" s="1"/>
  <c r="R263" i="1" s="1"/>
  <c r="Q460" i="1" a="1"/>
  <c r="Q460" i="1" s="1"/>
  <c r="Q286" i="1" a="1"/>
  <c r="Q286" i="1" s="1"/>
  <c r="R286" i="1" s="1"/>
  <c r="Q298" i="1" a="1"/>
  <c r="Q298" i="1" s="1"/>
  <c r="R298" i="1"/>
  <c r="Q419" i="1" a="1"/>
  <c r="Q419" i="1" s="1"/>
  <c r="R419" i="1" s="1"/>
  <c r="Q314" i="1" a="1"/>
  <c r="Q314" i="1" s="1"/>
  <c r="R314" i="1"/>
  <c r="Q327" i="1" a="1"/>
  <c r="Q327" i="1" s="1"/>
  <c r="R327" i="1" s="1"/>
  <c r="Q338" i="1" a="1"/>
  <c r="Q338" i="1" s="1"/>
  <c r="R338" i="1"/>
  <c r="Q343" i="1" a="1"/>
  <c r="Q343" i="1" s="1"/>
  <c r="Q214" i="1" a="1"/>
  <c r="Q214" i="1" s="1"/>
  <c r="R214" i="1" s="1"/>
  <c r="Q356" i="1" a="1"/>
  <c r="Q356" i="1" s="1"/>
  <c r="R356" i="1" s="1"/>
  <c r="Q368" i="1" a="1"/>
  <c r="Q368" i="1" s="1"/>
  <c r="R368" i="1" s="1"/>
  <c r="Q376" i="1" a="1"/>
  <c r="Q376" i="1" s="1"/>
  <c r="Q380" i="1" a="1"/>
  <c r="Q380" i="1" s="1"/>
  <c r="R380" i="1" s="1"/>
  <c r="Q386" i="1" a="1"/>
  <c r="Q386" i="1" s="1"/>
  <c r="R386" i="1" s="1"/>
  <c r="Q105" i="1" a="1"/>
  <c r="Q105" i="1" s="1"/>
  <c r="R105" i="1" s="1"/>
  <c r="Q409" i="1" a="1"/>
  <c r="Q409" i="1" s="1"/>
  <c r="R409" i="1"/>
  <c r="Q417" i="1" a="1"/>
  <c r="Q417" i="1" s="1"/>
  <c r="Q353" i="1" a="1"/>
  <c r="Q353" i="1" s="1"/>
  <c r="R353" i="1"/>
  <c r="Q181" i="1" a="1"/>
  <c r="Q181" i="1"/>
  <c r="R181" i="1" s="1"/>
  <c r="Q362" i="1" a="1"/>
  <c r="Q362" i="1" s="1"/>
  <c r="R362" i="1" s="1"/>
  <c r="Q438" i="1" a="1"/>
  <c r="Q438" i="1" s="1"/>
  <c r="Q447" i="1" a="1"/>
  <c r="Q447" i="1" s="1"/>
  <c r="R447" i="1" s="1"/>
  <c r="Q457" i="1" a="1"/>
  <c r="Q457" i="1" s="1"/>
  <c r="R457" i="1"/>
  <c r="Q87" i="1" a="1"/>
  <c r="Q87" i="1"/>
  <c r="Q503" i="1" a="1"/>
  <c r="Q503" i="1" s="1"/>
  <c r="R503" i="1" s="1"/>
  <c r="Q84" i="1" a="1"/>
  <c r="Q84" i="1" s="1"/>
  <c r="R84" i="1" s="1"/>
  <c r="Q483" i="1" a="1"/>
  <c r="Q483" i="1"/>
  <c r="R483" i="1" s="1"/>
  <c r="Q485" i="1" a="1"/>
  <c r="Q485" i="1" s="1"/>
  <c r="Q491" i="1" a="1"/>
  <c r="Q491" i="1" s="1"/>
  <c r="R491" i="1" s="1"/>
  <c r="Q499" i="1" a="1"/>
  <c r="Q499" i="1" s="1"/>
  <c r="R499" i="1" s="1"/>
  <c r="Q216" i="1" a="1"/>
  <c r="Q216" i="1"/>
  <c r="R216" i="1" s="1"/>
  <c r="Q268" i="1" a="1"/>
  <c r="Q268" i="1" s="1"/>
  <c r="R268" i="1" s="1"/>
  <c r="O3" i="1" a="1"/>
  <c r="O3" i="1" s="1"/>
  <c r="O9" i="1" a="1"/>
  <c r="O9" i="1" s="1"/>
  <c r="P9" i="1" s="1"/>
  <c r="O13" i="1" a="1"/>
  <c r="O13" i="1" s="1"/>
  <c r="P13" i="1"/>
  <c r="O238" i="1" a="1"/>
  <c r="O238" i="1"/>
  <c r="P238" i="1" s="1"/>
  <c r="O290" i="1" a="1"/>
  <c r="O290" i="1" s="1"/>
  <c r="P290" i="1"/>
  <c r="O27" i="1" a="1"/>
  <c r="O27" i="1" s="1"/>
  <c r="P27" i="1" s="1"/>
  <c r="O29" i="1" a="1"/>
  <c r="O29" i="1"/>
  <c r="P29" i="1" s="1"/>
  <c r="O31" i="1" a="1"/>
  <c r="O31" i="1" s="1"/>
  <c r="P31" i="1" s="1"/>
  <c r="O32" i="1" a="1"/>
  <c r="O32" i="1"/>
  <c r="P32" i="1" s="1"/>
  <c r="O37" i="1" a="1"/>
  <c r="O37" i="1" s="1"/>
  <c r="P37" i="1" s="1"/>
  <c r="O38" i="1" a="1"/>
  <c r="O38" i="1"/>
  <c r="P38" i="1" s="1"/>
  <c r="O165" i="1" a="1"/>
  <c r="O165" i="1" s="1"/>
  <c r="P165" i="1" s="1"/>
  <c r="O45" i="1" a="1"/>
  <c r="O45" i="1"/>
  <c r="P45" i="1" s="1"/>
  <c r="O115" i="1" a="1"/>
  <c r="O115" i="1" s="1"/>
  <c r="O47" i="1" a="1"/>
  <c r="O47" i="1" s="1"/>
  <c r="O52" i="1" a="1"/>
  <c r="O52" i="1" s="1"/>
  <c r="P52" i="1" s="1"/>
  <c r="O53" i="1" a="1"/>
  <c r="O53" i="1"/>
  <c r="P53" i="1" s="1"/>
  <c r="O55" i="1" a="1"/>
  <c r="O55" i="1" s="1"/>
  <c r="P55" i="1" s="1"/>
  <c r="O61" i="1" a="1"/>
  <c r="O61" i="1"/>
  <c r="P61" i="1" s="1"/>
  <c r="O271" i="1" a="1"/>
  <c r="O271" i="1" s="1"/>
  <c r="P271" i="1" s="1"/>
  <c r="O114" i="1" a="1"/>
  <c r="O114" i="1"/>
  <c r="P114" i="1" s="1"/>
  <c r="O66" i="1" a="1"/>
  <c r="O66" i="1" s="1"/>
  <c r="O67" i="1" a="1"/>
  <c r="O67" i="1" s="1"/>
  <c r="P67" i="1"/>
  <c r="O70" i="1" a="1"/>
  <c r="O70" i="1"/>
  <c r="P70" i="1" s="1"/>
  <c r="O71" i="1" a="1"/>
  <c r="O71" i="1" s="1"/>
  <c r="O73" i="1" a="1"/>
  <c r="O73" i="1" s="1"/>
  <c r="P73" i="1" s="1"/>
  <c r="O78" i="1" a="1"/>
  <c r="O78" i="1"/>
  <c r="P78" i="1" s="1"/>
  <c r="O62" i="1" a="1"/>
  <c r="O62" i="1" s="1"/>
  <c r="P62" i="1" s="1"/>
  <c r="O79" i="1" a="1"/>
  <c r="O79" i="1"/>
  <c r="O81" i="1" a="1"/>
  <c r="O81" i="1"/>
  <c r="P81" i="1" s="1"/>
  <c r="O270" i="1" a="1"/>
  <c r="O270" i="1" s="1"/>
  <c r="P270" i="1" s="1"/>
  <c r="O413" i="1" a="1"/>
  <c r="O413" i="1"/>
  <c r="P413" i="1" s="1"/>
  <c r="O85" i="1" a="1"/>
  <c r="O85" i="1" s="1"/>
  <c r="P85" i="1" s="1"/>
  <c r="O88" i="1" a="1"/>
  <c r="O88" i="1"/>
  <c r="P88" i="1" s="1"/>
  <c r="O92" i="1" a="1"/>
  <c r="O92" i="1" s="1"/>
  <c r="P92" i="1" s="1"/>
  <c r="O93" i="1" a="1"/>
  <c r="O93" i="1"/>
  <c r="P93" i="1" s="1"/>
  <c r="O96" i="1" a="1"/>
  <c r="O96" i="1" s="1"/>
  <c r="O97" i="1" a="1"/>
  <c r="O97" i="1" s="1"/>
  <c r="O98" i="1" a="1"/>
  <c r="O98" i="1" s="1"/>
  <c r="P98" i="1" s="1"/>
  <c r="O100" i="1" a="1"/>
  <c r="O100" i="1"/>
  <c r="P100" i="1" s="1"/>
  <c r="O101" i="1" a="1"/>
  <c r="O101" i="1" s="1"/>
  <c r="O102" i="1" a="1"/>
  <c r="O102" i="1" s="1"/>
  <c r="P102" i="1"/>
  <c r="O104" i="1" a="1"/>
  <c r="O104" i="1"/>
  <c r="P104" i="1" s="1"/>
  <c r="O83" i="1" a="1"/>
  <c r="O83" i="1" s="1"/>
  <c r="P83" i="1"/>
  <c r="O410" i="1" a="1"/>
  <c r="O410" i="1"/>
  <c r="P410" i="1" s="1"/>
  <c r="O110" i="1" a="1"/>
  <c r="O110" i="1" s="1"/>
  <c r="O111" i="1" a="1"/>
  <c r="O111" i="1" s="1"/>
  <c r="O433" i="1" a="1"/>
  <c r="O433" i="1" s="1"/>
  <c r="P433" i="1"/>
  <c r="O118" i="1" a="1"/>
  <c r="O118" i="1"/>
  <c r="O219" i="1" a="1"/>
  <c r="O219" i="1"/>
  <c r="P219" i="1" s="1"/>
  <c r="O120" i="1" a="1"/>
  <c r="O120" i="1" s="1"/>
  <c r="P120" i="1"/>
  <c r="O124" i="1" a="1"/>
  <c r="O124" i="1"/>
  <c r="P124" i="1" s="1"/>
  <c r="O126" i="1" a="1"/>
  <c r="O126" i="1" s="1"/>
  <c r="P126" i="1"/>
  <c r="O127" i="1" a="1"/>
  <c r="O127" i="1"/>
  <c r="O94" i="1" a="1"/>
  <c r="O94" i="1"/>
  <c r="O128" i="1" a="1"/>
  <c r="O128" i="1"/>
  <c r="P128" i="1" s="1"/>
  <c r="O129" i="1" a="1"/>
  <c r="O129" i="1" s="1"/>
  <c r="P129" i="1"/>
  <c r="O130" i="1" a="1"/>
  <c r="O130" i="1"/>
  <c r="O131" i="1" a="1"/>
  <c r="O131" i="1"/>
  <c r="P131" i="1" s="1"/>
  <c r="O180" i="1" a="1"/>
  <c r="O180" i="1" s="1"/>
  <c r="P180" i="1"/>
  <c r="O137" i="1" a="1"/>
  <c r="O137" i="1"/>
  <c r="P137" i="1" s="1"/>
  <c r="O138" i="1" a="1"/>
  <c r="O138" i="1" s="1"/>
  <c r="O106" i="1" a="1"/>
  <c r="O106" i="1" s="1"/>
  <c r="O436" i="1" a="1"/>
  <c r="O436" i="1" s="1"/>
  <c r="P436" i="1"/>
  <c r="O142" i="1" a="1"/>
  <c r="O142" i="1"/>
  <c r="P142" i="1" s="1"/>
  <c r="O145" i="1" a="1"/>
  <c r="O145" i="1" s="1"/>
  <c r="O80" i="1" a="1"/>
  <c r="O80" i="1" s="1"/>
  <c r="P80" i="1" s="1"/>
  <c r="O149" i="1" a="1"/>
  <c r="O149" i="1"/>
  <c r="O152" i="1" a="1"/>
  <c r="O152" i="1"/>
  <c r="P152" i="1" s="1"/>
  <c r="O154" i="1" a="1"/>
  <c r="O154" i="1" s="1"/>
  <c r="O155" i="1" a="1"/>
  <c r="O155" i="1" s="1"/>
  <c r="P155" i="1"/>
  <c r="O158" i="1" a="1"/>
  <c r="O158" i="1"/>
  <c r="P158" i="1" s="1"/>
  <c r="O159" i="1" a="1"/>
  <c r="O159" i="1" s="1"/>
  <c r="P159" i="1"/>
  <c r="O160" i="1" a="1"/>
  <c r="O160" i="1"/>
  <c r="O163" i="1" a="1"/>
  <c r="O163" i="1"/>
  <c r="P163" i="1" s="1"/>
  <c r="O164" i="1" a="1"/>
  <c r="O164" i="1" s="1"/>
  <c r="P164" i="1"/>
  <c r="O166" i="1" a="1"/>
  <c r="O166" i="1"/>
  <c r="P166" i="1" s="1"/>
  <c r="O168" i="1" a="1"/>
  <c r="O168" i="1" s="1"/>
  <c r="P168" i="1"/>
  <c r="O170" i="1" a="1"/>
  <c r="O170" i="1"/>
  <c r="P170" i="1" s="1"/>
  <c r="O171" i="1" a="1"/>
  <c r="O171" i="1" s="1"/>
  <c r="O174" i="1" a="1"/>
  <c r="O174" i="1" s="1"/>
  <c r="P174" i="1" s="1"/>
  <c r="O89" i="1" a="1"/>
  <c r="O89" i="1"/>
  <c r="P89" i="1" s="1"/>
  <c r="O176" i="1" a="1"/>
  <c r="O176" i="1" s="1"/>
  <c r="P176" i="1" s="1"/>
  <c r="O21" i="1" a="1"/>
  <c r="O21" i="1"/>
  <c r="O178" i="1" a="1"/>
  <c r="O178" i="1"/>
  <c r="P178" i="1" s="1"/>
  <c r="O182" i="1" a="1"/>
  <c r="O182" i="1" s="1"/>
  <c r="P182" i="1" s="1"/>
  <c r="O236" i="1" a="1"/>
  <c r="O236" i="1"/>
  <c r="P236" i="1" s="1"/>
  <c r="O186" i="1" a="1"/>
  <c r="O186" i="1" s="1"/>
  <c r="O188" i="1" a="1"/>
  <c r="O188" i="1" s="1"/>
  <c r="O192" i="1" a="1"/>
  <c r="O192" i="1" s="1"/>
  <c r="P192" i="1" s="1"/>
  <c r="O195" i="1" a="1"/>
  <c r="O195" i="1"/>
  <c r="P195" i="1" s="1"/>
  <c r="O196" i="1" a="1"/>
  <c r="O196" i="1" s="1"/>
  <c r="O197" i="1" a="1"/>
  <c r="O197" i="1" s="1"/>
  <c r="P197" i="1"/>
  <c r="O190" i="1" a="1"/>
  <c r="O190" i="1"/>
  <c r="P190" i="1" s="1"/>
  <c r="O200" i="1" a="1"/>
  <c r="O200" i="1" s="1"/>
  <c r="O201" i="1" a="1"/>
  <c r="O201" i="1" s="1"/>
  <c r="O400" i="1" a="1"/>
  <c r="O400" i="1" s="1"/>
  <c r="P400" i="1"/>
  <c r="O204" i="1" a="1"/>
  <c r="O204" i="1"/>
  <c r="P204" i="1" s="1"/>
  <c r="O207" i="1" a="1"/>
  <c r="O207" i="1" s="1"/>
  <c r="O446" i="1" a="1"/>
  <c r="O446" i="1" s="1"/>
  <c r="P446" i="1" s="1"/>
  <c r="O319" i="1" a="1"/>
  <c r="O319" i="1"/>
  <c r="P319" i="1" s="1"/>
  <c r="O210" i="1" a="1"/>
  <c r="O210" i="1" s="1"/>
  <c r="P210" i="1" s="1"/>
  <c r="O213" i="1" a="1"/>
  <c r="O213" i="1"/>
  <c r="P213" i="1" s="1"/>
  <c r="O326" i="1" a="1"/>
  <c r="O326" i="1" s="1"/>
  <c r="O215" i="1" a="1"/>
  <c r="O215" i="1" s="1"/>
  <c r="O217" i="1" a="1"/>
  <c r="O217" i="1" s="1"/>
  <c r="P217" i="1" s="1"/>
  <c r="O220" i="1" a="1"/>
  <c r="O220" i="1"/>
  <c r="P220" i="1" s="1"/>
  <c r="O221" i="1" a="1"/>
  <c r="O221" i="1" s="1"/>
  <c r="P221" i="1" s="1"/>
  <c r="O222" i="1" a="1"/>
  <c r="O222" i="1"/>
  <c r="P222" i="1" s="1"/>
  <c r="O225" i="1" a="1"/>
  <c r="O225" i="1" s="1"/>
  <c r="P225" i="1" s="1"/>
  <c r="O226" i="1" a="1"/>
  <c r="O226" i="1"/>
  <c r="P226" i="1" s="1"/>
  <c r="O228" i="1" a="1"/>
  <c r="O228" i="1" s="1"/>
  <c r="O229" i="1" a="1"/>
  <c r="O229" i="1" s="1"/>
  <c r="O230" i="1" a="1"/>
  <c r="O230" i="1" s="1"/>
  <c r="P230" i="1" s="1"/>
  <c r="O231" i="1" a="1"/>
  <c r="O231" i="1"/>
  <c r="P231" i="1" s="1"/>
  <c r="O426" i="1" a="1"/>
  <c r="O426" i="1" s="1"/>
  <c r="O233" i="1" a="1"/>
  <c r="O233" i="1" s="1"/>
  <c r="P233" i="1"/>
  <c r="O234" i="1" a="1"/>
  <c r="O234" i="1"/>
  <c r="P234" i="1" s="1"/>
  <c r="O16" i="1" a="1"/>
  <c r="O16" i="1" s="1"/>
  <c r="P16" i="1"/>
  <c r="O146" i="1" a="1"/>
  <c r="O146" i="1"/>
  <c r="P146" i="1" s="1"/>
  <c r="O241" i="1" a="1"/>
  <c r="O241" i="1" s="1"/>
  <c r="P241" i="1"/>
  <c r="O244" i="1" a="1"/>
  <c r="O244" i="1"/>
  <c r="O245" i="1" a="1"/>
  <c r="O245" i="1"/>
  <c r="P245" i="1" s="1"/>
  <c r="O247" i="1" a="1"/>
  <c r="O247" i="1" s="1"/>
  <c r="P247" i="1"/>
  <c r="O249" i="1" a="1"/>
  <c r="O249" i="1"/>
  <c r="P249" i="1" s="1"/>
  <c r="O250" i="1" a="1"/>
  <c r="O250" i="1" s="1"/>
  <c r="O251" i="1" a="1"/>
  <c r="O251" i="1" s="1"/>
  <c r="P251" i="1" s="1"/>
  <c r="O253" i="1" a="1"/>
  <c r="O253" i="1"/>
  <c r="P253" i="1" s="1"/>
  <c r="O455" i="1" a="1"/>
  <c r="O455" i="1" s="1"/>
  <c r="P455" i="1" s="1"/>
  <c r="O255" i="1" a="1"/>
  <c r="O255" i="1"/>
  <c r="O257" i="1" a="1"/>
  <c r="O257" i="1"/>
  <c r="O258" i="1" a="1"/>
  <c r="O258" i="1"/>
  <c r="O259" i="1" a="1"/>
  <c r="O259" i="1"/>
  <c r="P259" i="1" s="1"/>
  <c r="O264" i="1" a="1"/>
  <c r="O264" i="1" s="1"/>
  <c r="P264" i="1" s="1"/>
  <c r="O141" i="1" a="1"/>
  <c r="O141" i="1"/>
  <c r="P141" i="1" s="1"/>
  <c r="O265" i="1" a="1"/>
  <c r="O265" i="1" s="1"/>
  <c r="P265" i="1" s="1"/>
  <c r="O373" i="1" a="1"/>
  <c r="O373" i="1"/>
  <c r="P373" i="1" s="1"/>
  <c r="O77" i="1" a="1"/>
  <c r="O77" i="1" s="1"/>
  <c r="P77" i="1" s="1"/>
  <c r="O274" i="1" a="1"/>
  <c r="O274" i="1"/>
  <c r="P274" i="1" s="1"/>
  <c r="O277" i="1" a="1"/>
  <c r="O277" i="1" s="1"/>
  <c r="P277" i="1" s="1"/>
  <c r="O279" i="1" a="1"/>
  <c r="O279" i="1"/>
  <c r="P279" i="1" s="1"/>
  <c r="O281" i="1" a="1"/>
  <c r="O281" i="1" s="1"/>
  <c r="O282" i="1" a="1"/>
  <c r="O282" i="1" s="1"/>
  <c r="P282" i="1"/>
  <c r="O460" i="1" a="1"/>
  <c r="O460" i="1"/>
  <c r="P460" i="1" s="1"/>
  <c r="O283" i="1" a="1"/>
  <c r="O283" i="1" s="1"/>
  <c r="P283" i="1"/>
  <c r="O284" i="1" a="1"/>
  <c r="O284" i="1"/>
  <c r="O286" i="1" a="1"/>
  <c r="O286" i="1"/>
  <c r="P286" i="1" s="1"/>
  <c r="O287" i="1" a="1"/>
  <c r="O287" i="1" s="1"/>
  <c r="P287" i="1"/>
  <c r="O370" i="1" a="1"/>
  <c r="O370" i="1"/>
  <c r="O293" i="1" a="1"/>
  <c r="O293" i="1"/>
  <c r="P293" i="1" s="1"/>
  <c r="O294" i="1" a="1"/>
  <c r="O294" i="1" s="1"/>
  <c r="P294" i="1"/>
  <c r="O295" i="1" a="1"/>
  <c r="O295" i="1"/>
  <c r="P295" i="1" s="1"/>
  <c r="O297" i="1" a="1"/>
  <c r="O297" i="1" s="1"/>
  <c r="O320" i="1" a="1"/>
  <c r="O320" i="1" s="1"/>
  <c r="P320" i="1" s="1"/>
  <c r="O298" i="1" a="1"/>
  <c r="O298" i="1"/>
  <c r="P298" i="1" s="1"/>
  <c r="O299" i="1" a="1"/>
  <c r="O299" i="1" s="1"/>
  <c r="P299" i="1" s="1"/>
  <c r="O470" i="1" a="1"/>
  <c r="O470" i="1"/>
  <c r="O301" i="1" a="1"/>
  <c r="O301" i="1"/>
  <c r="P301" i="1" s="1"/>
  <c r="O306" i="1" a="1"/>
  <c r="O306" i="1" s="1"/>
  <c r="P306" i="1" s="1"/>
  <c r="O308" i="1" a="1"/>
  <c r="O308" i="1"/>
  <c r="P308" i="1" s="1"/>
  <c r="O311" i="1" a="1"/>
  <c r="O311" i="1" s="1"/>
  <c r="P311" i="1" s="1"/>
  <c r="O314" i="1" a="1"/>
  <c r="O314" i="1"/>
  <c r="P314" i="1" s="1"/>
  <c r="O315" i="1" a="1"/>
  <c r="O315" i="1" s="1"/>
  <c r="P315" i="1" s="1"/>
  <c r="O316" i="1" a="1"/>
  <c r="O316" i="1"/>
  <c r="P316" i="1" s="1"/>
  <c r="O382" i="1" a="1"/>
  <c r="O382" i="1" s="1"/>
  <c r="O317" i="1" a="1"/>
  <c r="O317" i="1" s="1"/>
  <c r="P317" i="1"/>
  <c r="O318" i="1" a="1"/>
  <c r="O318" i="1"/>
  <c r="P318" i="1" s="1"/>
  <c r="O162" i="1" a="1"/>
  <c r="O162" i="1" s="1"/>
  <c r="O322" i="1" a="1"/>
  <c r="O322" i="1" s="1"/>
  <c r="P322" i="1" s="1"/>
  <c r="O327" i="1" a="1"/>
  <c r="O327" i="1"/>
  <c r="O328" i="1" a="1"/>
  <c r="O328" i="1"/>
  <c r="O329" i="1" a="1"/>
  <c r="O329" i="1"/>
  <c r="P329" i="1" s="1"/>
  <c r="O471" i="1" a="1"/>
  <c r="O471" i="1" s="1"/>
  <c r="P471" i="1" s="1"/>
  <c r="O332" i="1" a="1"/>
  <c r="O332" i="1"/>
  <c r="P332" i="1" s="1"/>
  <c r="O335" i="1" a="1"/>
  <c r="O335" i="1" s="1"/>
  <c r="P335" i="1" s="1"/>
  <c r="O337" i="1" a="1"/>
  <c r="O337" i="1"/>
  <c r="P337" i="1" s="1"/>
  <c r="O338" i="1" a="1"/>
  <c r="O338" i="1" s="1"/>
  <c r="P338" i="1" s="1"/>
  <c r="O191" i="1" a="1"/>
  <c r="O191" i="1"/>
  <c r="P191" i="1" s="1"/>
  <c r="O341" i="1" a="1"/>
  <c r="O341" i="1" s="1"/>
  <c r="P341" i="1" s="1"/>
  <c r="O389" i="1" a="1"/>
  <c r="O389" i="1"/>
  <c r="P389" i="1" s="1"/>
  <c r="O344" i="1" a="1"/>
  <c r="O344" i="1" s="1"/>
  <c r="O345" i="1" a="1"/>
  <c r="O345" i="1" s="1"/>
  <c r="P345" i="1"/>
  <c r="O346" i="1" a="1"/>
  <c r="O346" i="1"/>
  <c r="P346" i="1" s="1"/>
  <c r="O347" i="1" a="1"/>
  <c r="O347" i="1" s="1"/>
  <c r="P347" i="1"/>
  <c r="O348" i="1" a="1"/>
  <c r="O348" i="1"/>
  <c r="P348" i="1" s="1"/>
  <c r="O349" i="1" a="1"/>
  <c r="O349" i="1" s="1"/>
  <c r="P349" i="1"/>
  <c r="O351" i="1" a="1"/>
  <c r="O351" i="1"/>
  <c r="O43" i="1" a="1"/>
  <c r="O43" i="1"/>
  <c r="P43" i="1" s="1"/>
  <c r="O473" i="1" a="1"/>
  <c r="O473" i="1" s="1"/>
  <c r="P473" i="1"/>
  <c r="O357" i="1" a="1"/>
  <c r="O357" i="1"/>
  <c r="P357" i="1" s="1"/>
  <c r="O358" i="1" a="1"/>
  <c r="O358" i="1" s="1"/>
  <c r="O360" i="1" a="1"/>
  <c r="O360" i="1" s="1"/>
  <c r="O361" i="1" a="1"/>
  <c r="O361" i="1" s="1"/>
  <c r="P361" i="1"/>
  <c r="O425" i="1" a="1"/>
  <c r="O425" i="1"/>
  <c r="P425" i="1" s="1"/>
  <c r="O365" i="1" a="1"/>
  <c r="O365" i="1" s="1"/>
  <c r="O367" i="1" a="1"/>
  <c r="O367" i="1" s="1"/>
  <c r="P367" i="1" s="1"/>
  <c r="O369" i="1" a="1"/>
  <c r="O369" i="1"/>
  <c r="P369" i="1" s="1"/>
  <c r="O310" i="1" a="1"/>
  <c r="O310" i="1" s="1"/>
  <c r="P310" i="1" s="1"/>
  <c r="O331" i="1" a="1"/>
  <c r="O331" i="1"/>
  <c r="P331" i="1" s="1"/>
  <c r="O374" i="1" a="1"/>
  <c r="O374" i="1" s="1"/>
  <c r="P374" i="1" s="1"/>
  <c r="O375" i="1" a="1"/>
  <c r="O375" i="1"/>
  <c r="O379" i="1" a="1"/>
  <c r="O379" i="1"/>
  <c r="P379" i="1" s="1"/>
  <c r="O478" i="1" a="1"/>
  <c r="O478" i="1" s="1"/>
  <c r="P478" i="1" s="1"/>
  <c r="O117" i="1" a="1"/>
  <c r="O117" i="1"/>
  <c r="P117" i="1" s="1"/>
  <c r="O387" i="1" a="1"/>
  <c r="O387" i="1" s="1"/>
  <c r="P387" i="1" s="1"/>
  <c r="O384" i="1" a="1"/>
  <c r="O384" i="1"/>
  <c r="P384" i="1" s="1"/>
  <c r="O116" i="1" a="1"/>
  <c r="O116" i="1" s="1"/>
  <c r="P116" i="1" s="1"/>
  <c r="O388" i="1" a="1"/>
  <c r="O388" i="1"/>
  <c r="P388" i="1" s="1"/>
  <c r="O390" i="1" a="1"/>
  <c r="O390" i="1" s="1"/>
  <c r="P390" i="1" s="1"/>
  <c r="O392" i="1" a="1"/>
  <c r="O392" i="1"/>
  <c r="O393" i="1" a="1"/>
  <c r="O393" i="1"/>
  <c r="P393" i="1" s="1"/>
  <c r="O394" i="1" a="1"/>
  <c r="O394" i="1" s="1"/>
  <c r="P394" i="1" s="1"/>
  <c r="O395" i="1" a="1"/>
  <c r="O395" i="1"/>
  <c r="P395" i="1" s="1"/>
  <c r="O105" i="1" a="1"/>
  <c r="O105" i="1" s="1"/>
  <c r="P105" i="1" s="1"/>
  <c r="O396" i="1" a="1"/>
  <c r="O396" i="1"/>
  <c r="P396" i="1" s="1"/>
  <c r="O402" i="1" a="1"/>
  <c r="O402" i="1" s="1"/>
  <c r="P402" i="1" s="1"/>
  <c r="O403" i="1" a="1"/>
  <c r="O403" i="1" s="1"/>
  <c r="P403" i="1" s="1"/>
  <c r="O405" i="1" a="1"/>
  <c r="O405" i="1" s="1"/>
  <c r="P405" i="1" s="1"/>
  <c r="O406" i="1" a="1"/>
  <c r="O406" i="1"/>
  <c r="P406" i="1" s="1"/>
  <c r="O399" i="1" a="1"/>
  <c r="O399" i="1" s="1"/>
  <c r="P399" i="1" s="1"/>
  <c r="O408" i="1" a="1"/>
  <c r="O408" i="1" s="1"/>
  <c r="O409" i="1" a="1"/>
  <c r="O409" i="1"/>
  <c r="P409" i="1"/>
  <c r="O411" i="1" a="1"/>
  <c r="O411" i="1" s="1"/>
  <c r="P411" i="1"/>
  <c r="O135" i="1" a="1"/>
  <c r="O135" i="1"/>
  <c r="P135" i="1" s="1"/>
  <c r="O479" i="1" a="1"/>
  <c r="O479" i="1"/>
  <c r="P479" i="1" s="1"/>
  <c r="O304" i="1" a="1"/>
  <c r="O304" i="1"/>
  <c r="P304" i="1"/>
  <c r="O416" i="1" a="1"/>
  <c r="O416" i="1" s="1"/>
  <c r="P416" i="1"/>
  <c r="O417" i="1" a="1"/>
  <c r="O417" i="1"/>
  <c r="P417" i="1" s="1"/>
  <c r="O420" i="1" a="1"/>
  <c r="O420" i="1"/>
  <c r="P420" i="1" s="1"/>
  <c r="O422" i="1" a="1"/>
  <c r="O422" i="1"/>
  <c r="P422" i="1"/>
  <c r="O482" i="1" a="1"/>
  <c r="O482" i="1" s="1"/>
  <c r="P482" i="1"/>
  <c r="O423" i="1" a="1"/>
  <c r="O423" i="1"/>
  <c r="P423" i="1" s="1"/>
  <c r="O424" i="1" a="1"/>
  <c r="O424" i="1"/>
  <c r="P424" i="1" s="1"/>
  <c r="O353" i="1" a="1"/>
  <c r="O353" i="1"/>
  <c r="P353" i="1"/>
  <c r="O504" i="1" a="1"/>
  <c r="O504" i="1" s="1"/>
  <c r="P504" i="1"/>
  <c r="O429" i="1" a="1"/>
  <c r="O429" i="1"/>
  <c r="P429" i="1" s="1"/>
  <c r="O362" i="1" a="1"/>
  <c r="O362" i="1"/>
  <c r="P362" i="1" s="1"/>
  <c r="O430" i="1" a="1"/>
  <c r="O430" i="1"/>
  <c r="P430" i="1"/>
  <c r="O432" i="1" a="1"/>
  <c r="O432" i="1" s="1"/>
  <c r="O434" i="1" a="1"/>
  <c r="O434" i="1" s="1"/>
  <c r="P434" i="1" s="1"/>
  <c r="O435" i="1" a="1"/>
  <c r="O435" i="1"/>
  <c r="O437" i="1" a="1"/>
  <c r="O437" i="1"/>
  <c r="P437" i="1" s="1"/>
  <c r="O438" i="1" a="1"/>
  <c r="O438" i="1"/>
  <c r="P438" i="1" s="1"/>
  <c r="O439" i="1" a="1"/>
  <c r="O439" i="1"/>
  <c r="P439" i="1"/>
  <c r="O440" i="1" a="1"/>
  <c r="O440" i="1" s="1"/>
  <c r="P440" i="1" s="1"/>
  <c r="O441" i="1" a="1"/>
  <c r="O441" i="1"/>
  <c r="P441" i="1" s="1"/>
  <c r="O488" i="1" a="1"/>
  <c r="O488" i="1" s="1"/>
  <c r="P488" i="1" s="1"/>
  <c r="O448" i="1" a="1"/>
  <c r="O448" i="1"/>
  <c r="P448" i="1" s="1"/>
  <c r="O449" i="1" a="1"/>
  <c r="O449" i="1" s="1"/>
  <c r="P449" i="1"/>
  <c r="O450" i="1" a="1"/>
  <c r="O450" i="1" s="1"/>
  <c r="P450" i="1" s="1"/>
  <c r="O451" i="1" a="1"/>
  <c r="O451" i="1"/>
  <c r="P451" i="1" s="1"/>
  <c r="O452" i="1" a="1"/>
  <c r="O452" i="1"/>
  <c r="P452" i="1"/>
  <c r="O453" i="1" a="1"/>
  <c r="O453" i="1" s="1"/>
  <c r="P453" i="1" s="1"/>
  <c r="O511" i="1" a="1"/>
  <c r="O511" i="1"/>
  <c r="P511" i="1" s="1"/>
  <c r="O457" i="1" a="1"/>
  <c r="O457" i="1" s="1"/>
  <c r="P457" i="1" s="1"/>
  <c r="O458" i="1" a="1"/>
  <c r="O458" i="1"/>
  <c r="P458" i="1" s="1"/>
  <c r="O459" i="1" a="1"/>
  <c r="O459" i="1" s="1"/>
  <c r="P459" i="1"/>
  <c r="O461" i="1" a="1"/>
  <c r="O461" i="1" s="1"/>
  <c r="P461" i="1" s="1"/>
  <c r="O462" i="1" a="1"/>
  <c r="O462" i="1"/>
  <c r="P462" i="1" s="1"/>
  <c r="O463" i="1" a="1"/>
  <c r="O463" i="1"/>
  <c r="P463" i="1"/>
  <c r="O465" i="1" a="1"/>
  <c r="O465" i="1" s="1"/>
  <c r="O467" i="1" a="1"/>
  <c r="O467" i="1" s="1"/>
  <c r="O469" i="1" a="1"/>
  <c r="O469" i="1" s="1"/>
  <c r="O472" i="1" a="1"/>
  <c r="O472" i="1" s="1"/>
  <c r="P472" i="1" s="1"/>
  <c r="O333" i="1" a="1"/>
  <c r="O333" i="1"/>
  <c r="P333" i="1" s="1"/>
  <c r="O474" i="1" a="1"/>
  <c r="O474" i="1" s="1"/>
  <c r="P474" i="1"/>
  <c r="O475" i="1" a="1"/>
  <c r="O475" i="1" s="1"/>
  <c r="P475" i="1" s="1"/>
  <c r="O476" i="1" a="1"/>
  <c r="O476" i="1"/>
  <c r="P476" i="1" s="1"/>
  <c r="O477" i="1" a="1"/>
  <c r="O477" i="1"/>
  <c r="P477" i="1"/>
  <c r="O481" i="1" a="1"/>
  <c r="O481" i="1" s="1"/>
  <c r="P481" i="1" s="1"/>
  <c r="O17" i="1" a="1"/>
  <c r="O17" i="1"/>
  <c r="O484" i="1" a="1"/>
  <c r="O484" i="1"/>
  <c r="P484" i="1" s="1"/>
  <c r="O485" i="1" a="1"/>
  <c r="O485" i="1" s="1"/>
  <c r="P485" i="1" s="1"/>
  <c r="O42" i="1" a="1"/>
  <c r="O42" i="1" s="1"/>
  <c r="P42" i="1" s="1"/>
  <c r="O487" i="1" a="1"/>
  <c r="O487" i="1" s="1"/>
  <c r="P487" i="1" s="1"/>
  <c r="O489" i="1" a="1"/>
  <c r="O489" i="1"/>
  <c r="P489" i="1" s="1"/>
  <c r="O261" i="1" a="1"/>
  <c r="O261" i="1" s="1"/>
  <c r="O491" i="1" a="1"/>
  <c r="O491" i="1"/>
  <c r="P491" i="1" s="1"/>
  <c r="O492" i="1" a="1"/>
  <c r="O492" i="1"/>
  <c r="O493" i="1" a="1"/>
  <c r="O493" i="1" s="1"/>
  <c r="P493" i="1" s="1"/>
  <c r="O495" i="1" a="1"/>
  <c r="O495" i="1" s="1"/>
  <c r="P495" i="1" s="1"/>
  <c r="O496" i="1" a="1"/>
  <c r="O496" i="1"/>
  <c r="O497" i="1" a="1"/>
  <c r="O497" i="1"/>
  <c r="P497" i="1" s="1"/>
  <c r="O498" i="1" a="1"/>
  <c r="O498" i="1" s="1"/>
  <c r="P498" i="1" s="1"/>
  <c r="O499" i="1" a="1"/>
  <c r="O499" i="1"/>
  <c r="P499" i="1" s="1"/>
  <c r="O500" i="1" a="1"/>
  <c r="O500" i="1" s="1"/>
  <c r="P500" i="1"/>
  <c r="O216" i="1" a="1"/>
  <c r="O216" i="1" s="1"/>
  <c r="P216" i="1" s="1"/>
  <c r="O501" i="1" a="1"/>
  <c r="O501" i="1"/>
  <c r="P501" i="1" s="1"/>
  <c r="O502" i="1" a="1"/>
  <c r="O502" i="1"/>
  <c r="O505" i="1" a="1"/>
  <c r="O505" i="1" s="1"/>
  <c r="P505" i="1" s="1"/>
  <c r="O506" i="1" a="1"/>
  <c r="O506" i="1" s="1"/>
  <c r="P506" i="1" s="1"/>
  <c r="O507" i="1" a="1"/>
  <c r="O507" i="1"/>
  <c r="P507" i="1" s="1"/>
  <c r="O268" i="1" a="1"/>
  <c r="O268" i="1" s="1"/>
  <c r="O508" i="1" a="1"/>
  <c r="O508" i="1" s="1"/>
  <c r="P508" i="1" s="1"/>
  <c r="O76" i="1" a="1"/>
  <c r="O76" i="1"/>
  <c r="P76" i="1" s="1"/>
  <c r="O509" i="1" a="1"/>
  <c r="O509" i="1" s="1"/>
  <c r="P509" i="1"/>
  <c r="O510" i="1" a="1"/>
  <c r="O510" i="1" s="1"/>
  <c r="P510" i="1" s="1"/>
  <c r="G2" i="1" a="1"/>
  <c r="G2" i="1"/>
  <c r="N2" i="1" s="1"/>
  <c r="G3" i="1" a="1"/>
  <c r="G3" i="1"/>
  <c r="N3" i="1"/>
  <c r="G133" i="1" a="1"/>
  <c r="G133" i="1" s="1"/>
  <c r="N133" i="1" s="1"/>
  <c r="G445" i="1" a="1"/>
  <c r="G445" i="1"/>
  <c r="G5" i="1" a="1"/>
  <c r="G5" i="1"/>
  <c r="N5" i="1" s="1"/>
  <c r="G6" i="1" a="1"/>
  <c r="G6" i="1" s="1"/>
  <c r="N6" i="1" s="1"/>
  <c r="G8" i="1" a="1"/>
  <c r="G8" i="1" s="1"/>
  <c r="N8" i="1" s="1"/>
  <c r="G9" i="1" a="1"/>
  <c r="G9" i="1" s="1"/>
  <c r="N9" i="1" s="1"/>
  <c r="G10" i="1" a="1"/>
  <c r="G10" i="1"/>
  <c r="G11" i="1" a="1"/>
  <c r="G11" i="1" s="1"/>
  <c r="N11" i="1" s="1"/>
  <c r="G12" i="1" a="1"/>
  <c r="G12" i="1"/>
  <c r="N12" i="1" s="1"/>
  <c r="G13" i="1" a="1"/>
  <c r="G13" i="1"/>
  <c r="N13" i="1"/>
  <c r="G235" i="1" a="1"/>
  <c r="G235" i="1" s="1"/>
  <c r="N235" i="1" s="1"/>
  <c r="G14" i="1" a="1"/>
  <c r="G14" i="1"/>
  <c r="N14" i="1" s="1"/>
  <c r="G330" i="1" a="1"/>
  <c r="G330" i="1" s="1"/>
  <c r="N330" i="1" s="1"/>
  <c r="G238" i="1" a="1"/>
  <c r="G238" i="1"/>
  <c r="N238" i="1" s="1"/>
  <c r="G18" i="1" a="1"/>
  <c r="G18" i="1" s="1"/>
  <c r="N18" i="1"/>
  <c r="G19" i="1" a="1"/>
  <c r="G19" i="1" s="1"/>
  <c r="N19" i="1" s="1"/>
  <c r="G20" i="1" a="1"/>
  <c r="G20" i="1" s="1"/>
  <c r="N20" i="1" s="1"/>
  <c r="G290" i="1" a="1"/>
  <c r="G290" i="1"/>
  <c r="G22" i="1" a="1"/>
  <c r="G22" i="1" s="1"/>
  <c r="N22" i="1" s="1"/>
  <c r="G23" i="1" a="1"/>
  <c r="G23" i="1" s="1"/>
  <c r="N23" i="1" s="1"/>
  <c r="G24" i="1" a="1"/>
  <c r="G24" i="1"/>
  <c r="G25" i="1" a="1"/>
  <c r="G25" i="1" s="1"/>
  <c r="N25" i="1" s="1"/>
  <c r="G26" i="1" a="1"/>
  <c r="G26" i="1" s="1"/>
  <c r="N26" i="1" s="1"/>
  <c r="G27" i="1" a="1"/>
  <c r="G27" i="1"/>
  <c r="G28" i="1" a="1"/>
  <c r="G28" i="1" s="1"/>
  <c r="N28" i="1" s="1"/>
  <c r="G4" i="1" a="1"/>
  <c r="G4" i="1" s="1"/>
  <c r="N4" i="1" s="1"/>
  <c r="G29" i="1" a="1"/>
  <c r="G29" i="1"/>
  <c r="N29" i="1" s="1"/>
  <c r="G31" i="1" a="1"/>
  <c r="G31" i="1"/>
  <c r="N31" i="1"/>
  <c r="G32" i="1" a="1"/>
  <c r="G32" i="1" s="1"/>
  <c r="N32" i="1" s="1"/>
  <c r="G33" i="1" a="1"/>
  <c r="G33" i="1" s="1"/>
  <c r="N33" i="1" s="1"/>
  <c r="G36" i="1" a="1"/>
  <c r="G36" i="1"/>
  <c r="N36" i="1" s="1"/>
  <c r="G37" i="1" a="1"/>
  <c r="G37" i="1"/>
  <c r="N37" i="1"/>
  <c r="G38" i="1" a="1"/>
  <c r="G38" i="1" s="1"/>
  <c r="N38" i="1" s="1"/>
  <c r="G39" i="1" a="1"/>
  <c r="G39" i="1" s="1"/>
  <c r="N39" i="1" s="1"/>
  <c r="G363" i="1" a="1"/>
  <c r="G363" i="1"/>
  <c r="N363" i="1" s="1"/>
  <c r="G165" i="1" a="1"/>
  <c r="G165" i="1"/>
  <c r="N165" i="1"/>
  <c r="G40" i="1" a="1"/>
  <c r="G40" i="1" s="1"/>
  <c r="N40" i="1" s="1"/>
  <c r="G41" i="1" a="1"/>
  <c r="G41" i="1" s="1"/>
  <c r="N41" i="1" s="1"/>
  <c r="G44" i="1" a="1"/>
  <c r="G44" i="1"/>
  <c r="N44" i="1" s="1"/>
  <c r="G45" i="1" a="1"/>
  <c r="G45" i="1"/>
  <c r="N45" i="1"/>
  <c r="G115" i="1" a="1"/>
  <c r="G115" i="1" s="1"/>
  <c r="N115" i="1" s="1"/>
  <c r="G46" i="1" a="1"/>
  <c r="G46" i="1" s="1"/>
  <c r="N46" i="1" s="1"/>
  <c r="G47" i="1" a="1"/>
  <c r="G47" i="1"/>
  <c r="G48" i="1" a="1"/>
  <c r="G48" i="1" s="1"/>
  <c r="N48" i="1" s="1"/>
  <c r="G49" i="1" a="1"/>
  <c r="G49" i="1" s="1"/>
  <c r="N49" i="1" s="1"/>
  <c r="G50" i="1" a="1"/>
  <c r="G50" i="1"/>
  <c r="N50" i="1" s="1"/>
  <c r="G52" i="1" a="1"/>
  <c r="G52" i="1"/>
  <c r="G53" i="1" a="1"/>
  <c r="G53" i="1" s="1"/>
  <c r="N53" i="1" s="1"/>
  <c r="G55" i="1" a="1"/>
  <c r="G55" i="1"/>
  <c r="N55" i="1" s="1"/>
  <c r="G56" i="1" a="1"/>
  <c r="G56" i="1"/>
  <c r="G57" i="1" a="1"/>
  <c r="G57" i="1" s="1"/>
  <c r="G58" i="1" a="1"/>
  <c r="G58" i="1"/>
  <c r="N58" i="1"/>
  <c r="G59" i="1" a="1"/>
  <c r="G59" i="1" s="1"/>
  <c r="N59" i="1" s="1"/>
  <c r="G60" i="1" a="1"/>
  <c r="G60" i="1" s="1"/>
  <c r="N60" i="1" s="1"/>
  <c r="G61" i="1" a="1"/>
  <c r="G61" i="1"/>
  <c r="G271" i="1" a="1"/>
  <c r="G271" i="1" s="1"/>
  <c r="N271" i="1" s="1"/>
  <c r="G114" i="1" a="1"/>
  <c r="G114" i="1" s="1"/>
  <c r="N114" i="1" s="1"/>
  <c r="G63" i="1" a="1"/>
  <c r="G63" i="1"/>
  <c r="N63" i="1" s="1"/>
  <c r="G64" i="1" a="1"/>
  <c r="G64" i="1"/>
  <c r="G65" i="1" a="1"/>
  <c r="G65" i="1" s="1"/>
  <c r="N65" i="1" s="1"/>
  <c r="G66" i="1" a="1"/>
  <c r="G66" i="1"/>
  <c r="N66" i="1" s="1"/>
  <c r="G67" i="1" a="1"/>
  <c r="G67" i="1"/>
  <c r="N67" i="1"/>
  <c r="G68" i="1" a="1"/>
  <c r="G68" i="1" s="1"/>
  <c r="G69" i="1" a="1"/>
  <c r="G69" i="1"/>
  <c r="N69" i="1" s="1"/>
  <c r="G70" i="1" a="1"/>
  <c r="G70" i="1"/>
  <c r="N70" i="1"/>
  <c r="G71" i="1" a="1"/>
  <c r="G71" i="1" s="1"/>
  <c r="G72" i="1" a="1"/>
  <c r="G72" i="1"/>
  <c r="G73" i="1" a="1"/>
  <c r="G73" i="1" s="1"/>
  <c r="N73" i="1" s="1"/>
  <c r="G74" i="1" a="1"/>
  <c r="G74" i="1" s="1"/>
  <c r="N74" i="1" s="1"/>
  <c r="G262" i="1" a="1"/>
  <c r="G262" i="1"/>
  <c r="G134" i="1" a="1"/>
  <c r="G134" i="1" s="1"/>
  <c r="N134" i="1" s="1"/>
  <c r="G78" i="1" a="1"/>
  <c r="G78" i="1" s="1"/>
  <c r="N78" i="1" s="1"/>
  <c r="G62" i="1" a="1"/>
  <c r="G62" i="1"/>
  <c r="N62" i="1" s="1"/>
  <c r="G79" i="1" a="1"/>
  <c r="G79" i="1"/>
  <c r="G81" i="1" a="1"/>
  <c r="G81" i="1" s="1"/>
  <c r="G82" i="1" a="1"/>
  <c r="G82" i="1"/>
  <c r="N82" i="1"/>
  <c r="G270" i="1" a="1"/>
  <c r="G270" i="1" s="1"/>
  <c r="G413" i="1" a="1"/>
  <c r="G413" i="1"/>
  <c r="G85" i="1" a="1"/>
  <c r="G85" i="1" s="1"/>
  <c r="G352" i="1" a="1"/>
  <c r="G352" i="1"/>
  <c r="N352" i="1" s="1"/>
  <c r="G88" i="1" a="1"/>
  <c r="G88" i="1"/>
  <c r="N88" i="1"/>
  <c r="G418" i="1" a="1"/>
  <c r="G418" i="1" s="1"/>
  <c r="N418" i="1" s="1"/>
  <c r="G90" i="1" a="1"/>
  <c r="G90" i="1" s="1"/>
  <c r="N90" i="1" s="1"/>
  <c r="G92" i="1" a="1"/>
  <c r="G92" i="1"/>
  <c r="N92" i="1" s="1"/>
  <c r="G289" i="1" a="1"/>
  <c r="G289" i="1"/>
  <c r="N289" i="1"/>
  <c r="G132" i="1" a="1"/>
  <c r="G132" i="1" s="1"/>
  <c r="G93" i="1" a="1"/>
  <c r="G93" i="1"/>
  <c r="N93" i="1" s="1"/>
  <c r="G96" i="1" a="1"/>
  <c r="G96" i="1"/>
  <c r="N96" i="1"/>
  <c r="G97" i="1" a="1"/>
  <c r="G97" i="1" s="1"/>
  <c r="N97" i="1" s="1"/>
  <c r="G98" i="1" a="1"/>
  <c r="G98" i="1" s="1"/>
  <c r="N98" i="1" s="1"/>
  <c r="G99" i="1" a="1"/>
  <c r="G99" i="1"/>
  <c r="N99" i="1" s="1"/>
  <c r="G100" i="1" a="1"/>
  <c r="G100" i="1"/>
  <c r="N100" i="1"/>
  <c r="G101" i="1" a="1"/>
  <c r="G101" i="1" s="1"/>
  <c r="N101" i="1" s="1"/>
  <c r="G102" i="1" a="1"/>
  <c r="G102" i="1" s="1"/>
  <c r="G205" i="1" a="1"/>
  <c r="G205" i="1"/>
  <c r="G103" i="1" a="1"/>
  <c r="G103" i="1" s="1"/>
  <c r="N103" i="1" s="1"/>
  <c r="G104" i="1" a="1"/>
  <c r="G104" i="1"/>
  <c r="N104" i="1" s="1"/>
  <c r="G383" i="1" a="1"/>
  <c r="G383" i="1"/>
  <c r="N383" i="1"/>
  <c r="G83" i="1" a="1"/>
  <c r="G83" i="1" s="1"/>
  <c r="N83" i="1" s="1"/>
  <c r="G109" i="1" a="1"/>
  <c r="G109" i="1" s="1"/>
  <c r="N109" i="1" s="1"/>
  <c r="G410" i="1" a="1"/>
  <c r="G410" i="1"/>
  <c r="N410" i="1" s="1"/>
  <c r="G428" i="1" a="1"/>
  <c r="G428" i="1"/>
  <c r="N428" i="1"/>
  <c r="G110" i="1" a="1"/>
  <c r="G110" i="1" s="1"/>
  <c r="G111" i="1" a="1"/>
  <c r="G111" i="1"/>
  <c r="N111" i="1" s="1"/>
  <c r="G433" i="1" a="1"/>
  <c r="G433" i="1"/>
  <c r="G323" i="1" a="1"/>
  <c r="G323" i="1" s="1"/>
  <c r="N323" i="1" s="1"/>
  <c r="G184" i="1" a="1"/>
  <c r="G184" i="1"/>
  <c r="N184" i="1" s="1"/>
  <c r="G118" i="1" a="1"/>
  <c r="G118" i="1"/>
  <c r="N118" i="1"/>
  <c r="G219" i="1" a="1"/>
  <c r="G219" i="1" s="1"/>
  <c r="N219" i="1" s="1"/>
  <c r="G120" i="1" a="1"/>
  <c r="G120" i="1" s="1"/>
  <c r="G342" i="1" a="1"/>
  <c r="G342" i="1"/>
  <c r="N342" i="1"/>
  <c r="G122" i="1" a="1"/>
  <c r="G122" i="1" s="1"/>
  <c r="N122" i="1" s="1"/>
  <c r="G124" i="1" a="1"/>
  <c r="G124" i="1" s="1"/>
  <c r="G125" i="1" a="1"/>
  <c r="G125" i="1"/>
  <c r="N125" i="1"/>
  <c r="G126" i="1" a="1"/>
  <c r="G126" i="1" s="1"/>
  <c r="N126" i="1" s="1"/>
  <c r="G94" i="1" a="1"/>
  <c r="G94" i="1" s="1"/>
  <c r="N94" i="1" s="1"/>
  <c r="G128" i="1" a="1"/>
  <c r="G128" i="1"/>
  <c r="N128" i="1" s="1"/>
  <c r="G129" i="1" a="1"/>
  <c r="G129" i="1"/>
  <c r="G121" i="1" a="1"/>
  <c r="G121" i="1" s="1"/>
  <c r="G130" i="1" a="1"/>
  <c r="G130" i="1"/>
  <c r="N130" i="1"/>
  <c r="G131" i="1" a="1"/>
  <c r="G131" i="1" s="1"/>
  <c r="N131" i="1" s="1"/>
  <c r="G180" i="1" a="1"/>
  <c r="G180" i="1" s="1"/>
  <c r="N180" i="1" s="1"/>
  <c r="G414" i="1" a="1"/>
  <c r="G414" i="1"/>
  <c r="N414" i="1" s="1"/>
  <c r="G137" i="1" a="1"/>
  <c r="G137" i="1"/>
  <c r="N137" i="1"/>
  <c r="G138" i="1" a="1"/>
  <c r="G138" i="1" s="1"/>
  <c r="N138" i="1" s="1"/>
  <c r="G139" i="1" a="1"/>
  <c r="G139" i="1" s="1"/>
  <c r="G106" i="1" a="1"/>
  <c r="G106" i="1"/>
  <c r="N106" i="1"/>
  <c r="G436" i="1" a="1"/>
  <c r="G436" i="1" s="1"/>
  <c r="N436" i="1" s="1"/>
  <c r="G140" i="1" a="1"/>
  <c r="G140" i="1" s="1"/>
  <c r="N140" i="1" s="1"/>
  <c r="G142" i="1" a="1"/>
  <c r="G142" i="1"/>
  <c r="N142" i="1" s="1"/>
  <c r="G144" i="1" a="1"/>
  <c r="G144" i="1"/>
  <c r="N144" i="1"/>
  <c r="G145" i="1" a="1"/>
  <c r="G145" i="1" s="1"/>
  <c r="N145" i="1" s="1"/>
  <c r="G80" i="1" a="1"/>
  <c r="G80" i="1" s="1"/>
  <c r="G149" i="1" a="1"/>
  <c r="G149" i="1" s="1"/>
  <c r="N149" i="1" s="1"/>
  <c r="G150" i="1" a="1"/>
  <c r="G150" i="1" s="1"/>
  <c r="N150" i="1" s="1"/>
  <c r="G152" i="1" a="1"/>
  <c r="G152" i="1" s="1"/>
  <c r="N152" i="1" s="1"/>
  <c r="G154" i="1" a="1"/>
  <c r="G154" i="1"/>
  <c r="G155" i="1" a="1"/>
  <c r="G155" i="1" s="1"/>
  <c r="N155" i="1" s="1"/>
  <c r="G156" i="1" a="1"/>
  <c r="G156" i="1" s="1"/>
  <c r="N156" i="1" s="1"/>
  <c r="G158" i="1" a="1"/>
  <c r="G158" i="1"/>
  <c r="N158" i="1" s="1"/>
  <c r="G309" i="1" a="1"/>
  <c r="G309" i="1"/>
  <c r="N309" i="1"/>
  <c r="G159" i="1" a="1"/>
  <c r="G159" i="1" s="1"/>
  <c r="G160" i="1" a="1"/>
  <c r="G160" i="1"/>
  <c r="N160" i="1" s="1"/>
  <c r="G161" i="1" a="1"/>
  <c r="G161" i="1"/>
  <c r="N161" i="1"/>
  <c r="G163" i="1" a="1"/>
  <c r="G163" i="1" s="1"/>
  <c r="N163" i="1" s="1"/>
  <c r="G164" i="1" a="1"/>
  <c r="G164" i="1" s="1"/>
  <c r="G490" i="1" a="1"/>
  <c r="G490" i="1" s="1"/>
  <c r="G166" i="1" a="1"/>
  <c r="G166" i="1" s="1"/>
  <c r="G167" i="1" a="1"/>
  <c r="G167" i="1" s="1"/>
  <c r="N167" i="1" s="1"/>
  <c r="G168" i="1" a="1"/>
  <c r="G168" i="1" s="1"/>
  <c r="N168" i="1" s="1"/>
  <c r="G170" i="1" a="1"/>
  <c r="G170" i="1" s="1"/>
  <c r="N170" i="1" s="1"/>
  <c r="G171" i="1" a="1"/>
  <c r="G171" i="1"/>
  <c r="N171" i="1" s="1"/>
  <c r="G172" i="1" a="1"/>
  <c r="G172" i="1" s="1"/>
  <c r="G174" i="1" a="1"/>
  <c r="G174" i="1" s="1"/>
  <c r="N174" i="1" s="1"/>
  <c r="G175" i="1" a="1"/>
  <c r="G175" i="1"/>
  <c r="N175" i="1" s="1"/>
  <c r="G89" i="1" a="1"/>
  <c r="G89" i="1" s="1"/>
  <c r="N89" i="1" s="1"/>
  <c r="G176" i="1" a="1"/>
  <c r="G176" i="1" s="1"/>
  <c r="G177" i="1" a="1"/>
  <c r="G177" i="1"/>
  <c r="G21" i="1" a="1"/>
  <c r="G21" i="1" s="1"/>
  <c r="N21" i="1" s="1"/>
  <c r="G178" i="1" a="1"/>
  <c r="G178" i="1" s="1"/>
  <c r="N178" i="1" s="1"/>
  <c r="G179" i="1" a="1"/>
  <c r="G179" i="1"/>
  <c r="G182" i="1" a="1"/>
  <c r="G182" i="1" s="1"/>
  <c r="N182" i="1" s="1"/>
  <c r="G183" i="1" a="1"/>
  <c r="G183" i="1" s="1"/>
  <c r="N183" i="1" s="1"/>
  <c r="G236" i="1" a="1"/>
  <c r="G236" i="1"/>
  <c r="N236" i="1" s="1"/>
  <c r="G186" i="1" a="1"/>
  <c r="G186" i="1"/>
  <c r="N186" i="1"/>
  <c r="G188" i="1" a="1"/>
  <c r="G188" i="1" s="1"/>
  <c r="N188" i="1" s="1"/>
  <c r="G313" i="1" a="1"/>
  <c r="G313" i="1" s="1"/>
  <c r="G412" i="1" a="1"/>
  <c r="G412" i="1" s="1"/>
  <c r="N412" i="1" s="1"/>
  <c r="G192" i="1" a="1"/>
  <c r="G192" i="1" s="1"/>
  <c r="G193" i="1" a="1"/>
  <c r="G193" i="1"/>
  <c r="N193" i="1" s="1"/>
  <c r="G194" i="1" a="1"/>
  <c r="G194" i="1" s="1"/>
  <c r="N194" i="1"/>
  <c r="G195" i="1" a="1"/>
  <c r="G195" i="1" s="1"/>
  <c r="N195" i="1" s="1"/>
  <c r="G196" i="1" a="1"/>
  <c r="G196" i="1" s="1"/>
  <c r="N196" i="1" s="1"/>
  <c r="G197" i="1" a="1"/>
  <c r="G197" i="1"/>
  <c r="N197" i="1" s="1"/>
  <c r="G190" i="1" a="1"/>
  <c r="G190" i="1" s="1"/>
  <c r="G200" i="1" a="1"/>
  <c r="G200" i="1" s="1"/>
  <c r="N200" i="1" s="1"/>
  <c r="G201" i="1" a="1"/>
  <c r="G201" i="1"/>
  <c r="N201" i="1" s="1"/>
  <c r="G202" i="1" a="1"/>
  <c r="G202" i="1" s="1"/>
  <c r="N202" i="1"/>
  <c r="G203" i="1" a="1"/>
  <c r="G203" i="1" s="1"/>
  <c r="N203" i="1" s="1"/>
  <c r="G400" i="1" a="1"/>
  <c r="G400" i="1" s="1"/>
  <c r="N400" i="1" s="1"/>
  <c r="G204" i="1" a="1"/>
  <c r="G204" i="1"/>
  <c r="N204" i="1" s="1"/>
  <c r="G206" i="1" a="1"/>
  <c r="G206" i="1" s="1"/>
  <c r="N206" i="1"/>
  <c r="G207" i="1" a="1"/>
  <c r="G207" i="1" s="1"/>
  <c r="N207" i="1" s="1"/>
  <c r="G208" i="1" a="1"/>
  <c r="G208" i="1" s="1"/>
  <c r="G209" i="1" a="1"/>
  <c r="G209" i="1" s="1"/>
  <c r="N209" i="1"/>
  <c r="G446" i="1" a="1"/>
  <c r="G446" i="1" s="1"/>
  <c r="N446" i="1" s="1"/>
  <c r="G319" i="1" a="1"/>
  <c r="G319" i="1" s="1"/>
  <c r="N319" i="1" s="1"/>
  <c r="G210" i="1" a="1"/>
  <c r="G210" i="1"/>
  <c r="N210" i="1" s="1"/>
  <c r="G212" i="1" a="1"/>
  <c r="G212" i="1" s="1"/>
  <c r="N212" i="1"/>
  <c r="G213" i="1" a="1"/>
  <c r="G213" i="1" s="1"/>
  <c r="G456" i="1" a="1"/>
  <c r="G456" i="1"/>
  <c r="G326" i="1" a="1"/>
  <c r="G326" i="1" s="1"/>
  <c r="N326" i="1" s="1"/>
  <c r="G215" i="1" a="1"/>
  <c r="G215" i="1" s="1"/>
  <c r="N215" i="1" s="1"/>
  <c r="G217" i="1" a="1"/>
  <c r="G217" i="1"/>
  <c r="N217" i="1" s="1"/>
  <c r="G75" i="1" a="1"/>
  <c r="G75" i="1" s="1"/>
  <c r="N75" i="1" s="1"/>
  <c r="G220" i="1" a="1"/>
  <c r="G220" i="1" s="1"/>
  <c r="N220" i="1" s="1"/>
  <c r="G221" i="1" a="1"/>
  <c r="G221" i="1" s="1"/>
  <c r="N221" i="1" s="1"/>
  <c r="G222" i="1" a="1"/>
  <c r="G222" i="1"/>
  <c r="G223" i="1" a="1"/>
  <c r="G223" i="1" s="1"/>
  <c r="N223" i="1" s="1"/>
  <c r="G224" i="1" a="1"/>
  <c r="G224" i="1" s="1"/>
  <c r="N224" i="1" s="1"/>
  <c r="G225" i="1" a="1"/>
  <c r="G225" i="1"/>
  <c r="N225" i="1" s="1"/>
  <c r="G226" i="1" a="1"/>
  <c r="G226" i="1" s="1"/>
  <c r="G227" i="1" a="1"/>
  <c r="G227" i="1" s="1"/>
  <c r="N227" i="1" s="1"/>
  <c r="G228" i="1" a="1"/>
  <c r="G228" i="1"/>
  <c r="N228" i="1" s="1"/>
  <c r="G229" i="1" a="1"/>
  <c r="G229" i="1" s="1"/>
  <c r="N229" i="1"/>
  <c r="G230" i="1" a="1"/>
  <c r="G230" i="1" s="1"/>
  <c r="N230" i="1" s="1"/>
  <c r="G211" i="1" a="1"/>
  <c r="G211" i="1" s="1"/>
  <c r="N211" i="1" s="1"/>
  <c r="G231" i="1" a="1"/>
  <c r="G231" i="1"/>
  <c r="N231" i="1" s="1"/>
  <c r="G426" i="1" a="1"/>
  <c r="G426" i="1" s="1"/>
  <c r="N426" i="1" s="1"/>
  <c r="G232" i="1" a="1"/>
  <c r="G232" i="1" s="1"/>
  <c r="G233" i="1" a="1"/>
  <c r="G233" i="1"/>
  <c r="N233" i="1" s="1"/>
  <c r="G234" i="1" a="1"/>
  <c r="G234" i="1" s="1"/>
  <c r="N234" i="1" s="1"/>
  <c r="G237" i="1" a="1"/>
  <c r="G237" i="1" s="1"/>
  <c r="N237" i="1" s="1"/>
  <c r="G16" i="1" a="1"/>
  <c r="G16" i="1" s="1"/>
  <c r="N16" i="1" s="1"/>
  <c r="G239" i="1" a="1"/>
  <c r="G239" i="1"/>
  <c r="N239" i="1" s="1"/>
  <c r="G240" i="1" a="1"/>
  <c r="G240" i="1" s="1"/>
  <c r="N240" i="1"/>
  <c r="G146" i="1" a="1"/>
  <c r="G146" i="1" s="1"/>
  <c r="N146" i="1" s="1"/>
  <c r="G241" i="1" a="1"/>
  <c r="G241" i="1" s="1"/>
  <c r="G243" i="1" a="1"/>
  <c r="G243" i="1" s="1"/>
  <c r="N243" i="1"/>
  <c r="G244" i="1" a="1"/>
  <c r="G244" i="1" s="1"/>
  <c r="N244" i="1" s="1"/>
  <c r="G245" i="1" a="1"/>
  <c r="G245" i="1" s="1"/>
  <c r="N245" i="1" s="1"/>
  <c r="G247" i="1" a="1"/>
  <c r="G247" i="1"/>
  <c r="G248" i="1" a="1"/>
  <c r="G248" i="1" s="1"/>
  <c r="N248" i="1" s="1"/>
  <c r="G249" i="1" a="1"/>
  <c r="G249" i="1" s="1"/>
  <c r="N249" i="1" s="1"/>
  <c r="G251" i="1" a="1"/>
  <c r="G251" i="1"/>
  <c r="N251" i="1" s="1"/>
  <c r="G252" i="1" a="1"/>
  <c r="G252" i="1" s="1"/>
  <c r="N252" i="1"/>
  <c r="G253" i="1" a="1"/>
  <c r="G253" i="1" s="1"/>
  <c r="G254" i="1" a="1"/>
  <c r="G254" i="1"/>
  <c r="N254" i="1" s="1"/>
  <c r="G255" i="1" a="1"/>
  <c r="G255" i="1" s="1"/>
  <c r="N255" i="1" s="1"/>
  <c r="G494" i="1" a="1"/>
  <c r="G494" i="1" s="1"/>
  <c r="N494" i="1" s="1"/>
  <c r="G256" i="1" a="1"/>
  <c r="G256" i="1" s="1"/>
  <c r="N256" i="1" s="1"/>
  <c r="G257" i="1" a="1"/>
  <c r="G257" i="1"/>
  <c r="N257" i="1" s="1"/>
  <c r="G258" i="1" a="1"/>
  <c r="G258" i="1" s="1"/>
  <c r="N258" i="1" s="1"/>
  <c r="G259" i="1" a="1"/>
  <c r="G259" i="1" s="1"/>
  <c r="N259" i="1" s="1"/>
  <c r="G260" i="1" a="1"/>
  <c r="G260" i="1" s="1"/>
  <c r="N260" i="1" s="1"/>
  <c r="G263" i="1" a="1"/>
  <c r="G263" i="1"/>
  <c r="N263" i="1" s="1"/>
  <c r="G264" i="1" a="1"/>
  <c r="G264" i="1" s="1"/>
  <c r="N264" i="1"/>
  <c r="G141" i="1" a="1"/>
  <c r="G141" i="1" s="1"/>
  <c r="G265" i="1" a="1"/>
  <c r="G265" i="1"/>
  <c r="N265" i="1"/>
  <c r="G266" i="1" a="1"/>
  <c r="G266" i="1" s="1"/>
  <c r="N266" i="1" s="1"/>
  <c r="G267" i="1" a="1"/>
  <c r="G267" i="1" s="1"/>
  <c r="N267" i="1" s="1"/>
  <c r="G302" i="1" a="1"/>
  <c r="G302" i="1" s="1"/>
  <c r="N302" i="1" s="1"/>
  <c r="G373" i="1" a="1"/>
  <c r="G373" i="1"/>
  <c r="N373" i="1"/>
  <c r="G354" i="1" a="1"/>
  <c r="G354" i="1" s="1"/>
  <c r="N354" i="1" s="1"/>
  <c r="G77" i="1" a="1"/>
  <c r="G77" i="1" s="1"/>
  <c r="N77" i="1" s="1"/>
  <c r="G274" i="1" a="1"/>
  <c r="G274" i="1" s="1"/>
  <c r="N274" i="1" s="1"/>
  <c r="G35" i="1" a="1"/>
  <c r="G35" i="1" s="1"/>
  <c r="G189" i="1" a="1"/>
  <c r="G189" i="1"/>
  <c r="N189" i="1" s="1"/>
  <c r="G277" i="1" a="1"/>
  <c r="G277" i="1"/>
  <c r="N277" i="1"/>
  <c r="G279" i="1" a="1"/>
  <c r="G279" i="1" s="1"/>
  <c r="N279" i="1" s="1"/>
  <c r="G280" i="1" a="1"/>
  <c r="G280" i="1" s="1"/>
  <c r="N280" i="1" s="1"/>
  <c r="G281" i="1" a="1"/>
  <c r="G281" i="1"/>
  <c r="N281" i="1" s="1"/>
  <c r="G282" i="1" a="1"/>
  <c r="G282" i="1"/>
  <c r="N282" i="1"/>
  <c r="G460" i="1" a="1"/>
  <c r="G460" i="1" s="1"/>
  <c r="N460" i="1" s="1"/>
  <c r="G284" i="1" a="1"/>
  <c r="G284" i="1" s="1"/>
  <c r="N284" i="1" s="1"/>
  <c r="G285" i="1" a="1"/>
  <c r="G285" i="1"/>
  <c r="N285" i="1" s="1"/>
  <c r="G286" i="1" a="1"/>
  <c r="G286" i="1"/>
  <c r="N286" i="1"/>
  <c r="G288" i="1" a="1"/>
  <c r="G288" i="1" s="1"/>
  <c r="N288" i="1" s="1"/>
  <c r="G370" i="1" a="1"/>
  <c r="G370" i="1" s="1"/>
  <c r="N370" i="1" s="1"/>
  <c r="G291" i="1" a="1"/>
  <c r="G291" i="1"/>
  <c r="N291" i="1" s="1"/>
  <c r="G292" i="1" a="1"/>
  <c r="G292" i="1"/>
  <c r="G293" i="1" a="1"/>
  <c r="G293" i="1" s="1"/>
  <c r="G294" i="1" a="1"/>
  <c r="G294" i="1"/>
  <c r="G295" i="1" a="1"/>
  <c r="G295" i="1" s="1"/>
  <c r="N295" i="1" s="1"/>
  <c r="G296" i="1" a="1"/>
  <c r="G296" i="1" s="1"/>
  <c r="N296" i="1" s="1"/>
  <c r="G297" i="1" a="1"/>
  <c r="G297" i="1"/>
  <c r="N297" i="1"/>
  <c r="G320" i="1" a="1"/>
  <c r="G320" i="1" s="1"/>
  <c r="N320" i="1" s="1"/>
  <c r="G298" i="1" a="1"/>
  <c r="G298" i="1" s="1"/>
  <c r="N298" i="1" s="1"/>
  <c r="G470" i="1" a="1"/>
  <c r="G470" i="1" s="1"/>
  <c r="N470" i="1" s="1"/>
  <c r="G300" i="1" a="1"/>
  <c r="G300" i="1"/>
  <c r="N300" i="1"/>
  <c r="G301" i="1" a="1"/>
  <c r="G301" i="1" s="1"/>
  <c r="N301" i="1" s="1"/>
  <c r="G305" i="1" a="1"/>
  <c r="G305" i="1" s="1"/>
  <c r="N305" i="1" s="1"/>
  <c r="G419" i="1" a="1"/>
  <c r="G419" i="1" s="1"/>
  <c r="N419" i="1" s="1"/>
  <c r="G218" i="1" a="1"/>
  <c r="G218" i="1"/>
  <c r="N218" i="1"/>
  <c r="G306" i="1" a="1"/>
  <c r="G306" i="1" s="1"/>
  <c r="N306" i="1" s="1"/>
  <c r="G307" i="1" a="1"/>
  <c r="G307" i="1" s="1"/>
  <c r="N307" i="1" s="1"/>
  <c r="G308" i="1" a="1"/>
  <c r="G308" i="1" s="1"/>
  <c r="N308" i="1" s="1"/>
  <c r="G311" i="1" a="1"/>
  <c r="G311" i="1"/>
  <c r="N311" i="1"/>
  <c r="G15" i="1" a="1"/>
  <c r="G15" i="1" s="1"/>
  <c r="N15" i="1" s="1"/>
  <c r="G314" i="1" a="1"/>
  <c r="G314" i="1" s="1"/>
  <c r="N314" i="1" s="1"/>
  <c r="G315" i="1" a="1"/>
  <c r="G315" i="1" s="1"/>
  <c r="N315" i="1" s="1"/>
  <c r="G316" i="1" a="1"/>
  <c r="G316" i="1"/>
  <c r="N316" i="1"/>
  <c r="G382" i="1" a="1"/>
  <c r="G382" i="1" s="1"/>
  <c r="N382" i="1" s="1"/>
  <c r="G317" i="1" a="1"/>
  <c r="G317" i="1" s="1"/>
  <c r="N317" i="1" s="1"/>
  <c r="G7" i="1" a="1"/>
  <c r="G7" i="1" s="1"/>
  <c r="N7" i="1" s="1"/>
  <c r="G318" i="1" a="1"/>
  <c r="G318" i="1"/>
  <c r="N318" i="1"/>
  <c r="G427" i="1" a="1"/>
  <c r="G427" i="1" s="1"/>
  <c r="N427" i="1" s="1"/>
  <c r="G321" i="1" a="1"/>
  <c r="G321" i="1" s="1"/>
  <c r="N321" i="1" s="1"/>
  <c r="G322" i="1" a="1"/>
  <c r="G322" i="1" s="1"/>
  <c r="N322" i="1" s="1"/>
  <c r="G327" i="1" a="1"/>
  <c r="G327" i="1"/>
  <c r="N327" i="1"/>
  <c r="G328" i="1" a="1"/>
  <c r="G328" i="1" s="1"/>
  <c r="N328" i="1" s="1"/>
  <c r="G329" i="1" a="1"/>
  <c r="G329" i="1" s="1"/>
  <c r="N329" i="1" s="1"/>
  <c r="G273" i="1" a="1"/>
  <c r="G273" i="1" s="1"/>
  <c r="N273" i="1" s="1"/>
  <c r="G471" i="1" a="1"/>
  <c r="G471" i="1"/>
  <c r="N471" i="1"/>
  <c r="G332" i="1" a="1"/>
  <c r="G332" i="1" s="1"/>
  <c r="N332" i="1" s="1"/>
  <c r="G334" i="1" a="1"/>
  <c r="G334" i="1" s="1"/>
  <c r="N334" i="1" s="1"/>
  <c r="G335" i="1" a="1"/>
  <c r="G335" i="1" s="1"/>
  <c r="N335" i="1" s="1"/>
  <c r="G336" i="1" a="1"/>
  <c r="G336" i="1"/>
  <c r="N336" i="1"/>
  <c r="G337" i="1" a="1"/>
  <c r="G337" i="1" s="1"/>
  <c r="N337" i="1" s="1"/>
  <c r="G338" i="1" a="1"/>
  <c r="G338" i="1" s="1"/>
  <c r="N338" i="1" s="1"/>
  <c r="G339" i="1" a="1"/>
  <c r="G339" i="1" s="1"/>
  <c r="N339" i="1" s="1"/>
  <c r="G340" i="1" a="1"/>
  <c r="G340" i="1" s="1"/>
  <c r="N340" i="1"/>
  <c r="G191" i="1" a="1"/>
  <c r="G191" i="1" s="1"/>
  <c r="N191" i="1" s="1"/>
  <c r="G341" i="1" a="1"/>
  <c r="G341" i="1" s="1"/>
  <c r="N341" i="1" s="1"/>
  <c r="G389" i="1" a="1"/>
  <c r="G389" i="1"/>
  <c r="N389" i="1" s="1"/>
  <c r="G343" i="1" a="1"/>
  <c r="G343" i="1" s="1"/>
  <c r="N343" i="1"/>
  <c r="G344" i="1" a="1"/>
  <c r="G344" i="1" s="1"/>
  <c r="N344" i="1" s="1"/>
  <c r="G345" i="1" a="1"/>
  <c r="G345" i="1"/>
  <c r="N345" i="1"/>
  <c r="G346" i="1" a="1"/>
  <c r="G346" i="1"/>
  <c r="G214" i="1" a="1"/>
  <c r="G214" i="1"/>
  <c r="N214" i="1" s="1"/>
  <c r="G347" i="1" a="1"/>
  <c r="G347" i="1"/>
  <c r="N347" i="1"/>
  <c r="G348" i="1" a="1"/>
  <c r="G348" i="1" s="1"/>
  <c r="N348" i="1" s="1"/>
  <c r="G349" i="1" a="1"/>
  <c r="G349" i="1" s="1"/>
  <c r="N349" i="1" s="1"/>
  <c r="G350" i="1" a="1"/>
  <c r="G350" i="1"/>
  <c r="N350" i="1" s="1"/>
  <c r="G351" i="1" a="1"/>
  <c r="G351" i="1"/>
  <c r="N351" i="1"/>
  <c r="G43" i="1" a="1"/>
  <c r="G43" i="1" s="1"/>
  <c r="N43" i="1" s="1"/>
  <c r="G355" i="1" a="1"/>
  <c r="G355" i="1" s="1"/>
  <c r="N355" i="1" s="1"/>
  <c r="G356" i="1" a="1"/>
  <c r="G356" i="1"/>
  <c r="N356" i="1" s="1"/>
  <c r="G473" i="1" a="1"/>
  <c r="G473" i="1"/>
  <c r="N473" i="1"/>
  <c r="G358" i="1" a="1"/>
  <c r="G358" i="1" s="1"/>
  <c r="N358" i="1" s="1"/>
  <c r="G359" i="1" a="1"/>
  <c r="G359" i="1" s="1"/>
  <c r="N359" i="1" s="1"/>
  <c r="G360" i="1" a="1"/>
  <c r="G360" i="1"/>
  <c r="N360" i="1" s="1"/>
  <c r="G425" i="1" a="1"/>
  <c r="G425" i="1"/>
  <c r="N425" i="1"/>
  <c r="G364" i="1" a="1"/>
  <c r="G364" i="1" s="1"/>
  <c r="N364" i="1" s="1"/>
  <c r="G365" i="1" a="1"/>
  <c r="G365" i="1" s="1"/>
  <c r="N365" i="1" s="1"/>
  <c r="G366" i="1" a="1"/>
  <c r="G366" i="1"/>
  <c r="N366" i="1" s="1"/>
  <c r="G367" i="1" a="1"/>
  <c r="G367" i="1"/>
  <c r="N367" i="1"/>
  <c r="G368" i="1" a="1"/>
  <c r="G368" i="1" s="1"/>
  <c r="N368" i="1" s="1"/>
  <c r="G369" i="1" a="1"/>
  <c r="G369" i="1" s="1"/>
  <c r="N369" i="1" s="1"/>
  <c r="G371" i="1" a="1"/>
  <c r="G371" i="1"/>
  <c r="N371" i="1" s="1"/>
  <c r="G372" i="1" a="1"/>
  <c r="G372" i="1"/>
  <c r="N372" i="1"/>
  <c r="G331" i="1" a="1"/>
  <c r="G331" i="1" s="1"/>
  <c r="N331" i="1" s="1"/>
  <c r="G374" i="1" a="1"/>
  <c r="G374" i="1" s="1"/>
  <c r="N374" i="1" s="1"/>
  <c r="G375" i="1" a="1"/>
  <c r="G375" i="1"/>
  <c r="G376" i="1" a="1"/>
  <c r="G376" i="1" s="1"/>
  <c r="N376" i="1" s="1"/>
  <c r="G377" i="1" a="1"/>
  <c r="G377" i="1" s="1"/>
  <c r="N377" i="1" s="1"/>
  <c r="G378" i="1" a="1"/>
  <c r="G378" i="1"/>
  <c r="N378" i="1" s="1"/>
  <c r="G379" i="1" a="1"/>
  <c r="G379" i="1"/>
  <c r="N379" i="1"/>
  <c r="G380" i="1" a="1"/>
  <c r="G380" i="1" s="1"/>
  <c r="N380" i="1" s="1"/>
  <c r="G478" i="1" a="1"/>
  <c r="G478" i="1" s="1"/>
  <c r="N478" i="1" s="1"/>
  <c r="G117" i="1" a="1"/>
  <c r="G117" i="1"/>
  <c r="N117" i="1" s="1"/>
  <c r="G381" i="1" a="1"/>
  <c r="G381" i="1"/>
  <c r="N381" i="1"/>
  <c r="G386" i="1" a="1"/>
  <c r="G386" i="1" s="1"/>
  <c r="N386" i="1" s="1"/>
  <c r="G387" i="1" a="1"/>
  <c r="G387" i="1" s="1"/>
  <c r="N387" i="1" s="1"/>
  <c r="G384" i="1" a="1"/>
  <c r="G384" i="1"/>
  <c r="N384" i="1" s="1"/>
  <c r="G199" i="1" a="1"/>
  <c r="G199" i="1"/>
  <c r="N199" i="1"/>
  <c r="G385" i="1" a="1"/>
  <c r="G385" i="1" s="1"/>
  <c r="N385" i="1" s="1"/>
  <c r="G116" i="1" a="1"/>
  <c r="G116" i="1" s="1"/>
  <c r="N116" i="1" s="1"/>
  <c r="G388" i="1" a="1"/>
  <c r="G388" i="1"/>
  <c r="N388" i="1" s="1"/>
  <c r="G390" i="1" a="1"/>
  <c r="G390" i="1"/>
  <c r="N390" i="1"/>
  <c r="G391" i="1" a="1"/>
  <c r="G391" i="1" s="1"/>
  <c r="N391" i="1" s="1"/>
  <c r="G392" i="1" a="1"/>
  <c r="G392" i="1" s="1"/>
  <c r="N392" i="1" s="1"/>
  <c r="G393" i="1" a="1"/>
  <c r="G393" i="1"/>
  <c r="N393" i="1"/>
  <c r="G394" i="1" a="1"/>
  <c r="G394" i="1" s="1"/>
  <c r="N394" i="1" s="1"/>
  <c r="G398" i="1" a="1"/>
  <c r="G398" i="1" s="1"/>
  <c r="N398" i="1" s="1"/>
  <c r="G395" i="1" a="1"/>
  <c r="G395" i="1"/>
  <c r="N395" i="1" s="1"/>
  <c r="G105" i="1" a="1"/>
  <c r="G105" i="1"/>
  <c r="N105" i="1"/>
  <c r="G396" i="1" a="1"/>
  <c r="G396" i="1" s="1"/>
  <c r="N396" i="1" s="1"/>
  <c r="G397" i="1" a="1"/>
  <c r="G397" i="1" s="1"/>
  <c r="N397" i="1" s="1"/>
  <c r="G402" i="1" a="1"/>
  <c r="G402" i="1" s="1"/>
  <c r="N402" i="1" s="1"/>
  <c r="G403" i="1" a="1"/>
  <c r="G403" i="1"/>
  <c r="N403" i="1" s="1"/>
  <c r="G404" i="1" a="1"/>
  <c r="G404" i="1" s="1"/>
  <c r="N404" i="1" s="1"/>
  <c r="G406" i="1" a="1"/>
  <c r="G406" i="1" s="1"/>
  <c r="N406" i="1" s="1"/>
  <c r="G399" i="1" a="1"/>
  <c r="G399" i="1" s="1"/>
  <c r="N399" i="1" s="1"/>
  <c r="G407" i="1" a="1"/>
  <c r="G407" i="1"/>
  <c r="N407" i="1" s="1"/>
  <c r="G408" i="1" a="1"/>
  <c r="G408" i="1" s="1"/>
  <c r="N408" i="1" s="1"/>
  <c r="G409" i="1" a="1"/>
  <c r="G409" i="1" s="1"/>
  <c r="N409" i="1" s="1"/>
  <c r="G411" i="1" a="1"/>
  <c r="G411" i="1" s="1"/>
  <c r="N411" i="1" s="1"/>
  <c r="G276" i="1" a="1"/>
  <c r="G276" i="1"/>
  <c r="N276" i="1" s="1"/>
  <c r="G135" i="1" a="1"/>
  <c r="G135" i="1" s="1"/>
  <c r="N135" i="1" s="1"/>
  <c r="G479" i="1" a="1"/>
  <c r="G479" i="1" s="1"/>
  <c r="N479" i="1" s="1"/>
  <c r="G304" i="1" a="1"/>
  <c r="G304" i="1" s="1"/>
  <c r="N304" i="1" s="1"/>
  <c r="G415" i="1" a="1"/>
  <c r="G415" i="1"/>
  <c r="N415" i="1" s="1"/>
  <c r="G416" i="1" a="1"/>
  <c r="G416" i="1" s="1"/>
  <c r="N416" i="1" s="1"/>
  <c r="G417" i="1" a="1"/>
  <c r="G417" i="1" s="1"/>
  <c r="N417" i="1" s="1"/>
  <c r="G420" i="1" a="1"/>
  <c r="G420" i="1" s="1"/>
  <c r="N420" i="1" s="1"/>
  <c r="G422" i="1" a="1"/>
  <c r="G422" i="1" s="1"/>
  <c r="N422" i="1" s="1"/>
  <c r="G482" i="1" a="1"/>
  <c r="G482" i="1" s="1"/>
  <c r="N482" i="1" s="1"/>
  <c r="G423" i="1" a="1"/>
  <c r="G423" i="1" s="1"/>
  <c r="N423" i="1" s="1"/>
  <c r="G113" i="1" a="1"/>
  <c r="G113" i="1"/>
  <c r="N113" i="1" s="1"/>
  <c r="G424" i="1" a="1"/>
  <c r="G424" i="1" s="1"/>
  <c r="N424" i="1" s="1"/>
  <c r="G353" i="1" a="1"/>
  <c r="G353" i="1" s="1"/>
  <c r="N353" i="1" s="1"/>
  <c r="G181" i="1" a="1"/>
  <c r="G181" i="1" s="1"/>
  <c r="N181" i="1" s="1"/>
  <c r="G429" i="1" a="1"/>
  <c r="G429" i="1"/>
  <c r="N429" i="1" s="1"/>
  <c r="G362" i="1" a="1"/>
  <c r="G362" i="1" s="1"/>
  <c r="N362" i="1" s="1"/>
  <c r="G430" i="1" a="1"/>
  <c r="G430" i="1" s="1"/>
  <c r="N430" i="1" s="1"/>
  <c r="G431" i="1" a="1"/>
  <c r="G431" i="1" s="1"/>
  <c r="N431" i="1" s="1"/>
  <c r="G432" i="1" a="1"/>
  <c r="G432" i="1"/>
  <c r="N432" i="1" s="1"/>
  <c r="G434" i="1" a="1"/>
  <c r="G434" i="1" s="1"/>
  <c r="N434" i="1" s="1"/>
  <c r="G435" i="1" a="1"/>
  <c r="G435" i="1" s="1"/>
  <c r="N435" i="1" s="1"/>
  <c r="G112" i="1" a="1"/>
  <c r="G112" i="1" s="1"/>
  <c r="N112" i="1" s="1"/>
  <c r="G437" i="1" a="1"/>
  <c r="G437" i="1"/>
  <c r="N437" i="1" s="1"/>
  <c r="G438" i="1" a="1"/>
  <c r="G438" i="1" s="1"/>
  <c r="N438" i="1" s="1"/>
  <c r="G439" i="1" a="1"/>
  <c r="G439" i="1" s="1"/>
  <c r="N439" i="1" s="1"/>
  <c r="G91" i="1" a="1"/>
  <c r="G91" i="1" s="1"/>
  <c r="N91" i="1" s="1"/>
  <c r="G440" i="1" a="1"/>
  <c r="G440" i="1"/>
  <c r="G441" i="1" a="1"/>
  <c r="G441" i="1" s="1"/>
  <c r="N441" i="1" s="1"/>
  <c r="G488" i="1" a="1"/>
  <c r="G488" i="1" s="1"/>
  <c r="N488" i="1" s="1"/>
  <c r="G447" i="1" a="1"/>
  <c r="G447" i="1"/>
  <c r="G448" i="1" a="1"/>
  <c r="G448" i="1" s="1"/>
  <c r="N448" i="1" s="1"/>
  <c r="G449" i="1" a="1"/>
  <c r="G449" i="1" s="1"/>
  <c r="N449" i="1" s="1"/>
  <c r="G450" i="1" a="1"/>
  <c r="G450" i="1"/>
  <c r="N450" i="1" s="1"/>
  <c r="G86" i="1" a="1"/>
  <c r="G86" i="1" s="1"/>
  <c r="G451" i="1" a="1"/>
  <c r="G451" i="1" s="1"/>
  <c r="N451" i="1" s="1"/>
  <c r="G452" i="1" a="1"/>
  <c r="G452" i="1"/>
  <c r="N452" i="1" s="1"/>
  <c r="G453" i="1" a="1"/>
  <c r="G453" i="1" s="1"/>
  <c r="N453" i="1" s="1"/>
  <c r="G454" i="1" a="1"/>
  <c r="G454" i="1" s="1"/>
  <c r="N454" i="1" s="1"/>
  <c r="G511" i="1" a="1"/>
  <c r="G511" i="1" s="1"/>
  <c r="N511" i="1" s="1"/>
  <c r="G457" i="1" a="1"/>
  <c r="G457" i="1"/>
  <c r="N457" i="1" s="1"/>
  <c r="G458" i="1" a="1"/>
  <c r="G458" i="1" s="1"/>
  <c r="N458" i="1" s="1"/>
  <c r="G87" i="1" a="1"/>
  <c r="G87" i="1"/>
  <c r="N87" i="1" s="1"/>
  <c r="G459" i="1" a="1"/>
  <c r="G459" i="1" s="1"/>
  <c r="N459" i="1" s="1"/>
  <c r="G461" i="1" a="1"/>
  <c r="G461" i="1"/>
  <c r="N461" i="1" s="1"/>
  <c r="G462" i="1" a="1"/>
  <c r="G462" i="1" s="1"/>
  <c r="N462" i="1" s="1"/>
  <c r="G275" i="1" a="1"/>
  <c r="G275" i="1"/>
  <c r="N275" i="1" s="1"/>
  <c r="G463" i="1" a="1"/>
  <c r="G463" i="1" s="1"/>
  <c r="N463" i="1" s="1"/>
  <c r="G464" i="1" a="1"/>
  <c r="G464" i="1"/>
  <c r="N464" i="1" s="1"/>
  <c r="G465" i="1" a="1"/>
  <c r="G465" i="1" s="1"/>
  <c r="N465" i="1" s="1"/>
  <c r="G466" i="1" a="1"/>
  <c r="G466" i="1"/>
  <c r="N466" i="1" s="1"/>
  <c r="G467" i="1" a="1"/>
  <c r="G467" i="1" s="1"/>
  <c r="N467" i="1" s="1"/>
  <c r="G468" i="1" a="1"/>
  <c r="G468" i="1"/>
  <c r="N468" i="1" s="1"/>
  <c r="G469" i="1" a="1"/>
  <c r="G469" i="1" s="1"/>
  <c r="N469" i="1" s="1"/>
  <c r="G503" i="1" a="1"/>
  <c r="G503" i="1"/>
  <c r="N503" i="1" s="1"/>
  <c r="G472" i="1" a="1"/>
  <c r="G472" i="1" s="1"/>
  <c r="N472" i="1" s="1"/>
  <c r="G333" i="1" a="1"/>
  <c r="G333" i="1" s="1"/>
  <c r="N333" i="1" s="1"/>
  <c r="G474" i="1" a="1"/>
  <c r="G474" i="1"/>
  <c r="N474" i="1" s="1"/>
  <c r="G278" i="1" a="1"/>
  <c r="G278" i="1" s="1"/>
  <c r="N278" i="1" s="1"/>
  <c r="G475" i="1" a="1"/>
  <c r="G475" i="1"/>
  <c r="N475" i="1" s="1"/>
  <c r="G476" i="1" a="1"/>
  <c r="G476" i="1" s="1"/>
  <c r="N476" i="1" s="1"/>
  <c r="G477" i="1" a="1"/>
  <c r="G477" i="1"/>
  <c r="N477" i="1" s="1"/>
  <c r="G84" i="1" a="1"/>
  <c r="G84" i="1" s="1"/>
  <c r="N84" i="1" s="1"/>
  <c r="G480" i="1" a="1"/>
  <c r="G480" i="1"/>
  <c r="N480" i="1" s="1"/>
  <c r="G481" i="1" a="1"/>
  <c r="G481" i="1" s="1"/>
  <c r="N481" i="1" s="1"/>
  <c r="G17" i="1" a="1"/>
  <c r="G17" i="1"/>
  <c r="N17" i="1" s="1"/>
  <c r="G483" i="1" a="1"/>
  <c r="G483" i="1" s="1"/>
  <c r="N483" i="1" s="1"/>
  <c r="G484" i="1" a="1"/>
  <c r="G484" i="1"/>
  <c r="N484" i="1" s="1"/>
  <c r="G485" i="1" a="1"/>
  <c r="G485" i="1" s="1"/>
  <c r="N485" i="1" s="1"/>
  <c r="G42" i="1" a="1"/>
  <c r="G42" i="1"/>
  <c r="N42" i="1" s="1"/>
  <c r="G486" i="1" a="1"/>
  <c r="G486" i="1" s="1"/>
  <c r="N486" i="1" s="1"/>
  <c r="G487" i="1" a="1"/>
  <c r="G487" i="1"/>
  <c r="N487" i="1" s="1"/>
  <c r="G489" i="1" a="1"/>
  <c r="G489" i="1" s="1"/>
  <c r="N489" i="1" s="1"/>
  <c r="G261" i="1" a="1"/>
  <c r="G261" i="1"/>
  <c r="N261" i="1" s="1"/>
  <c r="G491" i="1" a="1"/>
  <c r="G491" i="1" s="1"/>
  <c r="N491" i="1" s="1"/>
  <c r="G492" i="1" a="1"/>
  <c r="G492" i="1"/>
  <c r="G493" i="1" a="1"/>
  <c r="G493" i="1"/>
  <c r="N493" i="1" s="1"/>
  <c r="G108" i="1" a="1"/>
  <c r="G108" i="1" s="1"/>
  <c r="N108" i="1" s="1"/>
  <c r="G495" i="1" a="1"/>
  <c r="G495" i="1"/>
  <c r="N495" i="1" s="1"/>
  <c r="G496" i="1" a="1"/>
  <c r="G496" i="1" s="1"/>
  <c r="N496" i="1" s="1"/>
  <c r="G497" i="1" a="1"/>
  <c r="G497" i="1"/>
  <c r="N497" i="1" s="1"/>
  <c r="G498" i="1" a="1"/>
  <c r="G498" i="1" s="1"/>
  <c r="N498" i="1" s="1"/>
  <c r="G499" i="1" a="1"/>
  <c r="G499" i="1"/>
  <c r="N499" i="1" s="1"/>
  <c r="G500" i="1" a="1"/>
  <c r="G500" i="1" s="1"/>
  <c r="N500" i="1" s="1"/>
  <c r="G216" i="1" a="1"/>
  <c r="G216" i="1"/>
  <c r="N216" i="1" s="1"/>
  <c r="G501" i="1" a="1"/>
  <c r="G501" i="1" s="1"/>
  <c r="N501" i="1" s="1"/>
  <c r="G502" i="1" a="1"/>
  <c r="G502" i="1"/>
  <c r="N502" i="1" s="1"/>
  <c r="G505" i="1" a="1"/>
  <c r="G505" i="1" s="1"/>
  <c r="N505" i="1" s="1"/>
  <c r="G506" i="1" a="1"/>
  <c r="G506" i="1"/>
  <c r="N506" i="1" s="1"/>
  <c r="G507" i="1" a="1"/>
  <c r="G507" i="1" s="1"/>
  <c r="N507" i="1" s="1"/>
  <c r="G268" i="1" a="1"/>
  <c r="G268" i="1"/>
  <c r="N268" i="1" s="1"/>
  <c r="G508" i="1" a="1"/>
  <c r="G508" i="1" s="1"/>
  <c r="N508" i="1" s="1"/>
  <c r="G76" i="1" a="1"/>
  <c r="G76" i="1"/>
  <c r="N76" i="1" s="1"/>
  <c r="G509" i="1" a="1"/>
  <c r="G509" i="1" s="1"/>
  <c r="N509" i="1" s="1"/>
  <c r="G510" i="1" a="1"/>
  <c r="G510" i="1"/>
  <c r="N510" i="1" s="1"/>
  <c r="R24" i="1"/>
  <c r="R54" i="1"/>
  <c r="R59" i="1"/>
  <c r="R63" i="1"/>
  <c r="R97" i="1"/>
  <c r="R100" i="1"/>
  <c r="R124" i="1"/>
  <c r="R80" i="1"/>
  <c r="R148" i="1"/>
  <c r="R166" i="1"/>
  <c r="R21" i="1"/>
  <c r="R236" i="1"/>
  <c r="R243" i="1"/>
  <c r="R245" i="1"/>
  <c r="R460" i="1"/>
  <c r="R343" i="1"/>
  <c r="R376" i="1"/>
  <c r="R417" i="1"/>
  <c r="R438" i="1"/>
  <c r="R87" i="1"/>
  <c r="R485" i="1"/>
  <c r="P3" i="1"/>
  <c r="P115" i="1"/>
  <c r="P47" i="1"/>
  <c r="P66" i="1"/>
  <c r="P71" i="1"/>
  <c r="P79" i="1"/>
  <c r="P96" i="1"/>
  <c r="P97" i="1"/>
  <c r="P101" i="1"/>
  <c r="P110" i="1"/>
  <c r="P111" i="1"/>
  <c r="P118" i="1"/>
  <c r="P127" i="1"/>
  <c r="P94" i="1"/>
  <c r="P130" i="1"/>
  <c r="P138" i="1"/>
  <c r="P106" i="1"/>
  <c r="P145" i="1"/>
  <c r="P149" i="1"/>
  <c r="P154" i="1"/>
  <c r="P160" i="1"/>
  <c r="P171" i="1"/>
  <c r="P21" i="1"/>
  <c r="P186" i="1"/>
  <c r="P188" i="1"/>
  <c r="P196" i="1"/>
  <c r="P200" i="1"/>
  <c r="P201" i="1"/>
  <c r="P207" i="1"/>
  <c r="P326" i="1"/>
  <c r="P215" i="1"/>
  <c r="P228" i="1"/>
  <c r="P229" i="1"/>
  <c r="P426" i="1"/>
  <c r="P244" i="1"/>
  <c r="P250" i="1"/>
  <c r="P255" i="1"/>
  <c r="P257" i="1"/>
  <c r="P258" i="1"/>
  <c r="P281" i="1"/>
  <c r="P284" i="1"/>
  <c r="P370" i="1"/>
  <c r="P297" i="1"/>
  <c r="P470" i="1"/>
  <c r="P382" i="1"/>
  <c r="P162" i="1"/>
  <c r="P327" i="1"/>
  <c r="P328" i="1"/>
  <c r="P344" i="1"/>
  <c r="P351" i="1"/>
  <c r="P358" i="1"/>
  <c r="P360" i="1"/>
  <c r="P365" i="1"/>
  <c r="P375" i="1"/>
  <c r="P392" i="1"/>
  <c r="P408" i="1"/>
  <c r="P432" i="1"/>
  <c r="P435" i="1"/>
  <c r="P465" i="1"/>
  <c r="P467" i="1"/>
  <c r="P469" i="1"/>
  <c r="P17" i="1"/>
  <c r="P261" i="1"/>
  <c r="P492" i="1"/>
  <c r="P496" i="1"/>
  <c r="P502" i="1"/>
  <c r="P268" i="1"/>
  <c r="N445" i="1"/>
  <c r="N10" i="1"/>
  <c r="N290" i="1"/>
  <c r="N27" i="1"/>
  <c r="N47" i="1"/>
  <c r="N52" i="1"/>
  <c r="N56" i="1"/>
  <c r="N57" i="1"/>
  <c r="N61" i="1"/>
  <c r="N64" i="1"/>
  <c r="N68" i="1"/>
  <c r="N71" i="1"/>
  <c r="N72" i="1"/>
  <c r="N262" i="1"/>
  <c r="N79" i="1"/>
  <c r="N81" i="1"/>
  <c r="N270" i="1"/>
  <c r="N413" i="1"/>
  <c r="N85" i="1"/>
  <c r="N132" i="1"/>
  <c r="N102" i="1"/>
  <c r="N205" i="1"/>
  <c r="N110" i="1"/>
  <c r="N433" i="1"/>
  <c r="N120" i="1"/>
  <c r="N124" i="1"/>
  <c r="N129" i="1"/>
  <c r="N121" i="1"/>
  <c r="N139" i="1"/>
  <c r="N80" i="1"/>
  <c r="N154" i="1"/>
  <c r="N159" i="1"/>
  <c r="N164" i="1"/>
  <c r="N490" i="1"/>
  <c r="N166" i="1"/>
  <c r="N172" i="1"/>
  <c r="N176" i="1"/>
  <c r="N177" i="1"/>
  <c r="N179" i="1"/>
  <c r="N313" i="1"/>
  <c r="N192" i="1"/>
  <c r="N190" i="1"/>
  <c r="N208" i="1"/>
  <c r="N213" i="1"/>
  <c r="N456" i="1"/>
  <c r="N222" i="1"/>
  <c r="N226" i="1"/>
  <c r="N232" i="1"/>
  <c r="N241" i="1"/>
  <c r="N247" i="1"/>
  <c r="N253" i="1"/>
  <c r="N141" i="1"/>
  <c r="N292" i="1"/>
  <c r="N293" i="1"/>
  <c r="N294" i="1"/>
  <c r="N346" i="1"/>
  <c r="N375" i="1"/>
  <c r="N440" i="1"/>
  <c r="N447" i="1"/>
  <c r="N492" i="1"/>
  <c r="T136" i="1" a="1"/>
  <c r="T136" i="1"/>
  <c r="Q136" i="1" a="1"/>
  <c r="Q136" i="1"/>
  <c r="R136" i="1" s="1"/>
  <c r="O136" i="1" a="1"/>
  <c r="O136" i="1" s="1"/>
  <c r="P136" i="1" s="1"/>
  <c r="G136" i="1" a="1"/>
  <c r="G136" i="1"/>
  <c r="N136" i="1" s="1"/>
  <c r="U13" i="12"/>
  <c r="U34" i="12"/>
  <c r="U42" i="12"/>
  <c r="U43" i="12"/>
  <c r="U21" i="12"/>
  <c r="U30" i="12"/>
  <c r="U53" i="12"/>
  <c r="U51" i="12"/>
  <c r="U38" i="12"/>
  <c r="U9" i="12"/>
  <c r="U12" i="12"/>
  <c r="U4" i="12"/>
  <c r="U14" i="12"/>
  <c r="U35" i="12"/>
  <c r="U32" i="12"/>
  <c r="U48" i="12"/>
  <c r="U44" i="12"/>
  <c r="U41" i="12"/>
  <c r="U19" i="12"/>
  <c r="U23" i="12"/>
  <c r="U47" i="12"/>
  <c r="U27" i="12"/>
  <c r="U46" i="12"/>
  <c r="U37" i="12"/>
  <c r="U39" i="12"/>
  <c r="U24" i="12"/>
  <c r="U36" i="12"/>
  <c r="U45" i="12"/>
  <c r="U52" i="12"/>
  <c r="U11" i="12"/>
  <c r="U6" i="12"/>
  <c r="U33" i="12"/>
  <c r="U31" i="12"/>
  <c r="U16" i="12"/>
  <c r="U22" i="12"/>
  <c r="U7" i="12"/>
  <c r="U49" i="12"/>
  <c r="U50" i="12"/>
  <c r="U40" i="12"/>
  <c r="U10" i="12"/>
  <c r="U26" i="12"/>
  <c r="U5" i="12"/>
  <c r="M361" i="1"/>
  <c r="M306" i="1"/>
  <c r="M77" i="1"/>
  <c r="O339" i="1" a="1"/>
  <c r="O339" i="1"/>
  <c r="P339" i="1" s="1"/>
  <c r="M339" i="1"/>
  <c r="O232" i="1" a="1"/>
  <c r="O232" i="1"/>
  <c r="P232" i="1" s="1"/>
  <c r="O208" i="1" a="1"/>
  <c r="O208" i="1" s="1"/>
  <c r="P208" i="1" s="1"/>
  <c r="O150" i="1" a="1"/>
  <c r="O150" i="1"/>
  <c r="P150" i="1" s="1"/>
  <c r="O144" i="1" a="1"/>
  <c r="O144" i="1" s="1"/>
  <c r="P144" i="1" s="1"/>
  <c r="M144" i="1"/>
  <c r="M3" i="1"/>
  <c r="G405" i="1" a="1"/>
  <c r="G405" i="1"/>
  <c r="N405" i="1" s="1"/>
  <c r="M405" i="1"/>
  <c r="O377" i="1" a="1"/>
  <c r="O377" i="1"/>
  <c r="P377" i="1" s="1"/>
  <c r="O199" i="1" a="1"/>
  <c r="O199" i="1" s="1"/>
  <c r="P199" i="1" s="1"/>
  <c r="M199" i="1"/>
  <c r="Q291" i="1" a="1"/>
  <c r="Q291" i="1" s="1"/>
  <c r="R291" i="1" s="1"/>
  <c r="G242" i="1" a="1"/>
  <c r="G242" i="1"/>
  <c r="N242" i="1" s="1"/>
  <c r="M242" i="1"/>
  <c r="K17" i="1"/>
  <c r="M17" i="1"/>
  <c r="K15" i="1"/>
  <c r="M15" i="1"/>
  <c r="M83" i="1"/>
  <c r="O464" i="1" a="1"/>
  <c r="O464" i="1" s="1"/>
  <c r="P464" i="1" s="1"/>
  <c r="M464" i="1"/>
  <c r="Q275" i="1" a="1"/>
  <c r="Q275" i="1" s="1"/>
  <c r="R275" i="1" s="1"/>
  <c r="M275" i="1"/>
  <c r="G51" i="1" a="1"/>
  <c r="G51" i="1" s="1"/>
  <c r="N51" i="1" s="1"/>
  <c r="M51" i="1"/>
  <c r="G310" i="1" a="1"/>
  <c r="G310" i="1" s="1"/>
  <c r="N310" i="1" s="1"/>
  <c r="M310" i="1"/>
  <c r="Q329" i="1" a="1"/>
  <c r="Q329" i="1" s="1"/>
  <c r="R329" i="1" s="1"/>
  <c r="M329" i="1"/>
  <c r="G299" i="1" a="1"/>
  <c r="G299" i="1" s="1"/>
  <c r="N299" i="1" s="1"/>
  <c r="O266" i="1" a="1"/>
  <c r="O266" i="1"/>
  <c r="P266" i="1" s="1"/>
  <c r="O202" i="1" a="1"/>
  <c r="O202" i="1" s="1"/>
  <c r="P202" i="1" s="1"/>
  <c r="M202" i="1"/>
  <c r="G198" i="1" a="1"/>
  <c r="G198" i="1" s="1"/>
  <c r="N198" i="1" s="1"/>
  <c r="M198" i="1"/>
  <c r="G169" i="1" a="1"/>
  <c r="G169" i="1" s="1"/>
  <c r="N169" i="1" s="1"/>
  <c r="M169" i="1"/>
  <c r="G148" i="1" a="1"/>
  <c r="G148" i="1" s="1"/>
  <c r="N148" i="1" s="1"/>
  <c r="G127" i="1" a="1"/>
  <c r="G127" i="1"/>
  <c r="N127" i="1" s="1"/>
  <c r="M127" i="1"/>
  <c r="G34" i="1" a="1"/>
  <c r="G34" i="1"/>
  <c r="N34" i="1" s="1"/>
  <c r="M34" i="1"/>
  <c r="O468" i="1" a="1"/>
  <c r="O468" i="1"/>
  <c r="P468" i="1" s="1"/>
  <c r="O401" i="1" a="1"/>
  <c r="O401" i="1" s="1"/>
  <c r="P401" i="1" s="1"/>
  <c r="O378" i="1" a="1"/>
  <c r="O378" i="1"/>
  <c r="P378" i="1" s="1"/>
  <c r="O371" i="1" a="1"/>
  <c r="O371" i="1" s="1"/>
  <c r="P371" i="1" s="1"/>
  <c r="O366" i="1" a="1"/>
  <c r="O366" i="1"/>
  <c r="P366" i="1" s="1"/>
  <c r="O355" i="1" a="1"/>
  <c r="O355" i="1" s="1"/>
  <c r="P355" i="1" s="1"/>
  <c r="O321" i="1" a="1"/>
  <c r="O321" i="1"/>
  <c r="P321" i="1" s="1"/>
  <c r="O305" i="1" a="1"/>
  <c r="O305" i="1" s="1"/>
  <c r="P305" i="1" s="1"/>
  <c r="O189" i="1" a="1"/>
  <c r="O189" i="1"/>
  <c r="P189" i="1" s="1"/>
  <c r="O302" i="1" a="1"/>
  <c r="O302" i="1" s="1"/>
  <c r="P302" i="1" s="1"/>
  <c r="O263" i="1" a="1"/>
  <c r="O263" i="1"/>
  <c r="P263" i="1" s="1"/>
  <c r="O494" i="1" a="1"/>
  <c r="O494" i="1" s="1"/>
  <c r="P494" i="1" s="1"/>
  <c r="O248" i="1" a="1"/>
  <c r="O248" i="1"/>
  <c r="P248" i="1" s="1"/>
  <c r="O243" i="1" a="1"/>
  <c r="O243" i="1" s="1"/>
  <c r="P243" i="1" s="1"/>
  <c r="O212" i="1" a="1"/>
  <c r="O212" i="1"/>
  <c r="P212" i="1" s="1"/>
  <c r="O177" i="1" a="1"/>
  <c r="O177" i="1" s="1"/>
  <c r="P177" i="1" s="1"/>
  <c r="O173" i="1" a="1"/>
  <c r="O173" i="1"/>
  <c r="P173" i="1" s="1"/>
  <c r="O157" i="1" a="1"/>
  <c r="O157" i="1" s="1"/>
  <c r="P157" i="1" s="1"/>
  <c r="O342" i="1" a="1"/>
  <c r="O342" i="1"/>
  <c r="P342" i="1" s="1"/>
  <c r="O103" i="1" a="1"/>
  <c r="O103" i="1" s="1"/>
  <c r="P103" i="1" s="1"/>
  <c r="O132" i="1" a="1"/>
  <c r="O132" i="1"/>
  <c r="P132" i="1" s="1"/>
  <c r="O51" i="1" a="1"/>
  <c r="O51" i="1" s="1"/>
  <c r="P51" i="1" s="1"/>
  <c r="O68" i="1" a="1"/>
  <c r="O68" i="1"/>
  <c r="P68" i="1" s="1"/>
  <c r="O48" i="1" a="1"/>
  <c r="O48" i="1" s="1"/>
  <c r="P48" i="1" s="1"/>
  <c r="O44" i="1" a="1"/>
  <c r="O44" i="1"/>
  <c r="P44" i="1" s="1"/>
  <c r="O34" i="1" a="1"/>
  <c r="O34" i="1" s="1"/>
  <c r="P34" i="1" s="1"/>
  <c r="O19" i="1" a="1"/>
  <c r="O19" i="1"/>
  <c r="P19" i="1" s="1"/>
  <c r="Q278" i="1" a="1"/>
  <c r="Q278" i="1" s="1"/>
  <c r="R278" i="1" s="1"/>
  <c r="Q464" i="1" a="1"/>
  <c r="Q464" i="1"/>
  <c r="R464" i="1" s="1"/>
  <c r="Q434" i="1" a="1"/>
  <c r="Q434" i="1" s="1"/>
  <c r="R434" i="1" s="1"/>
  <c r="Q407" i="1" a="1"/>
  <c r="Q407" i="1"/>
  <c r="R407" i="1" s="1"/>
  <c r="Q318" i="1" a="1"/>
  <c r="Q318" i="1" s="1"/>
  <c r="R318" i="1" s="1"/>
  <c r="Q279" i="1" a="1"/>
  <c r="Q279" i="1"/>
  <c r="R279" i="1" s="1"/>
  <c r="Q231" i="1" a="1"/>
  <c r="Q231" i="1" s="1"/>
  <c r="R231" i="1" s="1"/>
  <c r="Q206" i="1" a="1"/>
  <c r="Q206" i="1"/>
  <c r="R206" i="1" s="1"/>
  <c r="Q26" i="1" a="1"/>
  <c r="Q26" i="1" s="1"/>
  <c r="R26" i="1" s="1"/>
  <c r="T501" i="1" a="1"/>
  <c r="T501" i="1"/>
  <c r="T461" i="1" a="1"/>
  <c r="T461" i="1"/>
  <c r="T403" i="1" a="1"/>
  <c r="T403" i="1"/>
  <c r="T312" i="1" a="1"/>
  <c r="T312" i="1"/>
  <c r="T455" i="1" a="1"/>
  <c r="T455" i="1"/>
  <c r="T155" i="1" a="1"/>
  <c r="T155" i="1"/>
  <c r="T96" i="1" a="1"/>
  <c r="T96" i="1"/>
  <c r="T262" i="1" a="1"/>
  <c r="T262" i="1"/>
  <c r="T4" i="1" a="1"/>
  <c r="T4" i="1"/>
  <c r="M476" i="1"/>
  <c r="M119" i="1"/>
  <c r="K42" i="1"/>
  <c r="M42" i="1"/>
  <c r="G504" i="1" a="1"/>
  <c r="G504" i="1"/>
  <c r="N504" i="1" s="1"/>
  <c r="G357" i="1" a="1"/>
  <c r="G357" i="1" s="1"/>
  <c r="N357" i="1" s="1"/>
  <c r="G162" i="1" a="1"/>
  <c r="G162" i="1" s="1"/>
  <c r="N162" i="1" s="1"/>
  <c r="G312" i="1" a="1"/>
  <c r="G312" i="1" s="1"/>
  <c r="N312" i="1" s="1"/>
  <c r="G287" i="1" a="1"/>
  <c r="G287" i="1"/>
  <c r="N287" i="1" s="1"/>
  <c r="G246" i="1" a="1"/>
  <c r="G246" i="1" s="1"/>
  <c r="N246" i="1" s="1"/>
  <c r="G185" i="1" a="1"/>
  <c r="G185" i="1" s="1"/>
  <c r="N185" i="1" s="1"/>
  <c r="G173" i="1" a="1"/>
  <c r="G173" i="1" s="1"/>
  <c r="N173" i="1" s="1"/>
  <c r="G143" i="1" a="1"/>
  <c r="G143" i="1"/>
  <c r="N143" i="1" s="1"/>
  <c r="G123" i="1" a="1"/>
  <c r="G123" i="1" s="1"/>
  <c r="N123" i="1" s="1"/>
  <c r="G119" i="1" a="1"/>
  <c r="G119" i="1" s="1"/>
  <c r="N119" i="1" s="1"/>
  <c r="G107" i="1" a="1"/>
  <c r="G107" i="1" s="1"/>
  <c r="N107" i="1" s="1"/>
  <c r="G30" i="1" a="1"/>
  <c r="G30" i="1"/>
  <c r="N30" i="1" s="1"/>
  <c r="O218" i="1" a="1"/>
  <c r="O218" i="1" s="1"/>
  <c r="P218" i="1" s="1"/>
  <c r="O291" i="1" a="1"/>
  <c r="O291" i="1" s="1"/>
  <c r="P291" i="1" s="1"/>
  <c r="O143" i="1" a="1"/>
  <c r="O143" i="1" s="1"/>
  <c r="P143" i="1" s="1"/>
  <c r="O123" i="1" a="1"/>
  <c r="O123" i="1"/>
  <c r="P123" i="1" s="1"/>
  <c r="O107" i="1" a="1"/>
  <c r="O107" i="1" s="1"/>
  <c r="P107" i="1" s="1"/>
  <c r="O90" i="1" a="1"/>
  <c r="O90" i="1" s="1"/>
  <c r="P90" i="1" s="1"/>
  <c r="O74" i="1" a="1"/>
  <c r="O74" i="1" s="1"/>
  <c r="P74" i="1" s="1"/>
  <c r="O58" i="1" a="1"/>
  <c r="O58" i="1"/>
  <c r="P58" i="1" s="1"/>
  <c r="Q354" i="1" a="1"/>
  <c r="Q354" i="1" s="1"/>
  <c r="R354" i="1" s="1"/>
  <c r="Q143" i="1" a="1"/>
  <c r="Q143" i="1" s="1"/>
  <c r="R143" i="1" s="1"/>
  <c r="Q107" i="1" a="1"/>
  <c r="Q107" i="1" s="1"/>
  <c r="R107" i="1" s="1"/>
  <c r="Q78" i="1" a="1"/>
  <c r="Q78" i="1"/>
  <c r="R78" i="1" s="1"/>
  <c r="Q38" i="1" a="1"/>
  <c r="Q38" i="1" s="1"/>
  <c r="R38" i="1" s="1"/>
  <c r="Q18" i="1" a="1"/>
  <c r="Q18" i="1" s="1"/>
  <c r="R18" i="1" s="1"/>
  <c r="T162" i="1" a="1"/>
  <c r="T162" i="1" s="1"/>
  <c r="T342" i="1" a="1"/>
  <c r="T342" i="1" s="1"/>
  <c r="T107" i="1" a="1"/>
  <c r="T107" i="1" s="1"/>
  <c r="T70" i="1" a="1"/>
  <c r="T70" i="1" s="1"/>
  <c r="T46" i="1" a="1"/>
  <c r="T46" i="1" s="1"/>
  <c r="M505" i="1"/>
  <c r="M501" i="1"/>
  <c r="M489" i="1"/>
  <c r="M485" i="1"/>
  <c r="M504" i="1"/>
  <c r="M468" i="1"/>
  <c r="M87" i="1"/>
  <c r="M452" i="1"/>
  <c r="M441" i="1"/>
  <c r="M427" i="1"/>
  <c r="M420" i="1"/>
  <c r="M456" i="1"/>
  <c r="M404" i="1"/>
  <c r="M394" i="1"/>
  <c r="M379" i="1"/>
  <c r="M372" i="1"/>
  <c r="M364" i="1"/>
  <c r="M356" i="1"/>
  <c r="M347" i="1"/>
  <c r="M340" i="1"/>
  <c r="M399" i="1"/>
  <c r="M322" i="1"/>
  <c r="M314" i="1"/>
  <c r="M363" i="1"/>
  <c r="M297" i="1"/>
  <c r="M353" i="1"/>
  <c r="M282" i="1"/>
  <c r="M333" i="1"/>
  <c r="M264" i="1"/>
  <c r="M255" i="1"/>
  <c r="M247" i="1"/>
  <c r="M241" i="1"/>
  <c r="M232" i="1"/>
  <c r="M224" i="1"/>
  <c r="M304" i="1"/>
  <c r="M208" i="1"/>
  <c r="M201" i="1"/>
  <c r="M193" i="1"/>
  <c r="M183" i="1"/>
  <c r="M174" i="1"/>
  <c r="M166" i="1"/>
  <c r="M159" i="1"/>
  <c r="M150" i="1"/>
  <c r="M245" i="1"/>
  <c r="M218" i="1"/>
  <c r="M124" i="1"/>
  <c r="M118" i="1"/>
  <c r="M445" i="1"/>
  <c r="M432" i="1"/>
  <c r="M509" i="1"/>
  <c r="M511" i="1"/>
  <c r="M498" i="1"/>
  <c r="M481" i="1"/>
  <c r="M479" i="1"/>
  <c r="M454" i="1"/>
  <c r="M471" i="1"/>
  <c r="M422" i="1"/>
  <c r="M455" i="1"/>
  <c r="M406" i="1"/>
  <c r="M395" i="1"/>
  <c r="M490" i="1"/>
  <c r="M381" i="1"/>
  <c r="M115" i="1"/>
  <c r="M366" i="1"/>
  <c r="M358" i="1"/>
  <c r="M349" i="1"/>
  <c r="M43" i="1"/>
  <c r="M334" i="1"/>
  <c r="M187" i="1"/>
  <c r="M316" i="1"/>
  <c r="M307" i="1"/>
  <c r="M299" i="1"/>
  <c r="M291" i="1"/>
  <c r="M283" i="1"/>
  <c r="M342" i="1"/>
  <c r="M266" i="1"/>
  <c r="M257" i="1"/>
  <c r="M249" i="1"/>
  <c r="M319" i="1"/>
  <c r="M234" i="1"/>
  <c r="M226" i="1"/>
  <c r="M309" i="1"/>
  <c r="M210" i="1"/>
  <c r="M203" i="1"/>
  <c r="M195" i="1"/>
  <c r="M186" i="1"/>
  <c r="M176" i="1"/>
  <c r="M168" i="1"/>
  <c r="M161" i="1"/>
  <c r="M153" i="1"/>
  <c r="M143" i="1"/>
  <c r="M412" i="1"/>
  <c r="M126" i="1"/>
  <c r="M110" i="1"/>
  <c r="M497" i="1"/>
  <c r="M108" i="1"/>
  <c r="M483" i="1"/>
  <c r="M466" i="1"/>
  <c r="M461" i="1"/>
  <c r="M438" i="1"/>
  <c r="M431" i="1"/>
  <c r="M460" i="1"/>
  <c r="M415" i="1"/>
  <c r="M387" i="1"/>
  <c r="M397" i="1"/>
  <c r="M390" i="1"/>
  <c r="M325" i="1"/>
  <c r="M375" i="1"/>
  <c r="M368" i="1"/>
  <c r="M360" i="1"/>
  <c r="M351" i="1"/>
  <c r="M343" i="1"/>
  <c r="M336" i="1"/>
  <c r="M324" i="1"/>
  <c r="M318" i="1"/>
  <c r="M311" i="1"/>
  <c r="M301" i="1"/>
  <c r="M293" i="1"/>
  <c r="M285" i="1"/>
  <c r="M352" i="1"/>
  <c r="M320" i="1"/>
  <c r="M259" i="1"/>
  <c r="M251" i="1"/>
  <c r="M244" i="1"/>
  <c r="M237" i="1"/>
  <c r="M228" i="1"/>
  <c r="M220" i="1"/>
  <c r="M212" i="1"/>
  <c r="M204" i="1"/>
  <c r="M197" i="1"/>
  <c r="M188" i="1"/>
  <c r="M178" i="1"/>
  <c r="M170" i="1"/>
  <c r="M163" i="1"/>
  <c r="M155" i="1"/>
  <c r="M145" i="1"/>
  <c r="M138" i="1"/>
  <c r="M128" i="1"/>
  <c r="M21" i="1"/>
  <c r="M211" i="1"/>
  <c r="M96" i="1"/>
  <c r="M272" i="1"/>
  <c r="M151" i="1"/>
  <c r="M506" i="1"/>
  <c r="M493" i="1"/>
  <c r="M488" i="1"/>
  <c r="M84" i="1"/>
  <c r="M482" i="1"/>
  <c r="M478" i="1"/>
  <c r="M457" i="1"/>
  <c r="M91" i="1"/>
  <c r="M434" i="1"/>
  <c r="M470" i="1"/>
  <c r="M417" i="1"/>
  <c r="M409" i="1"/>
  <c r="M402" i="1"/>
  <c r="M392" i="1"/>
  <c r="M384" i="1"/>
  <c r="M377" i="1"/>
  <c r="M433" i="1"/>
  <c r="M328" i="1"/>
  <c r="M413" i="1"/>
  <c r="M345" i="1"/>
  <c r="M338" i="1"/>
  <c r="M373" i="1"/>
  <c r="M312" i="1"/>
  <c r="M305" i="1"/>
  <c r="M295" i="1"/>
  <c r="M287" i="1"/>
  <c r="M280" i="1"/>
  <c r="M326" i="1"/>
  <c r="M35" i="1"/>
  <c r="M253" i="1"/>
  <c r="M24" i="1"/>
  <c r="M239" i="1"/>
  <c r="M230" i="1"/>
  <c r="M222" i="1"/>
  <c r="M302" i="1"/>
  <c r="M206" i="1"/>
  <c r="M16" i="1"/>
  <c r="M276" i="1"/>
  <c r="M273" i="1"/>
  <c r="M172" i="1"/>
  <c r="M270" i="1"/>
  <c r="M157" i="1"/>
  <c r="M148" i="1"/>
  <c r="M236" i="1"/>
  <c r="M130" i="1"/>
  <c r="M122" i="1"/>
  <c r="M214" i="1"/>
  <c r="M136" i="1"/>
  <c r="H10" i="1"/>
  <c r="I10" i="1"/>
  <c r="H66" i="1"/>
  <c r="I66" i="1"/>
  <c r="H127" i="1"/>
  <c r="I127" i="1"/>
  <c r="H151" i="1"/>
  <c r="I151" i="1"/>
  <c r="H166" i="1"/>
  <c r="I166" i="1"/>
  <c r="H191" i="1"/>
  <c r="I191" i="1"/>
  <c r="H208" i="1"/>
  <c r="I208" i="1"/>
  <c r="H228" i="1"/>
  <c r="I228" i="1"/>
  <c r="H247" i="1"/>
  <c r="I247" i="1"/>
  <c r="H263" i="1"/>
  <c r="I263" i="1"/>
  <c r="H270" i="1"/>
  <c r="I270" i="1"/>
  <c r="H238" i="1"/>
  <c r="I238" i="1"/>
  <c r="H324" i="1"/>
  <c r="I324" i="1"/>
  <c r="H473" i="1"/>
  <c r="I473" i="1"/>
  <c r="H77" i="1"/>
  <c r="I77" i="1"/>
  <c r="H388" i="1"/>
  <c r="I388" i="1"/>
  <c r="H402" i="1"/>
  <c r="I402" i="1"/>
  <c r="H420" i="1"/>
  <c r="I420" i="1"/>
  <c r="H438" i="1"/>
  <c r="I438" i="1"/>
  <c r="H450" i="1"/>
  <c r="I450" i="1"/>
  <c r="H465" i="1"/>
  <c r="I465" i="1"/>
  <c r="H475" i="1"/>
  <c r="I475" i="1"/>
  <c r="H487" i="1"/>
  <c r="I487" i="1"/>
  <c r="H502" i="1"/>
  <c r="I502" i="1"/>
  <c r="H14" i="1"/>
  <c r="I14" i="1"/>
  <c r="H180" i="1"/>
  <c r="I180" i="1"/>
  <c r="H144" i="1"/>
  <c r="I144" i="1"/>
  <c r="H172" i="1"/>
  <c r="I172" i="1"/>
  <c r="H194" i="1"/>
  <c r="I194" i="1"/>
  <c r="H226" i="1"/>
  <c r="I226" i="1"/>
  <c r="H250" i="1"/>
  <c r="I250" i="1"/>
  <c r="H274" i="1"/>
  <c r="I274" i="1"/>
  <c r="H298" i="1"/>
  <c r="I298" i="1"/>
  <c r="H278" i="1"/>
  <c r="I278" i="1"/>
  <c r="H478" i="1"/>
  <c r="I478" i="1"/>
  <c r="H16" i="1"/>
  <c r="I16" i="1"/>
  <c r="H21" i="1"/>
  <c r="I21" i="1"/>
  <c r="H24" i="1"/>
  <c r="I24" i="1"/>
  <c r="H86" i="1"/>
  <c r="I86" i="1"/>
  <c r="H466" i="1"/>
  <c r="I466" i="1"/>
  <c r="H42" i="1"/>
  <c r="I42" i="1"/>
  <c r="H497" i="1"/>
  <c r="I497" i="1"/>
  <c r="T133" i="1" a="1"/>
  <c r="T133" i="1" s="1"/>
  <c r="T31" i="1" a="1"/>
  <c r="T31" i="1" s="1"/>
  <c r="T44" i="1" a="1"/>
  <c r="T44" i="1" s="1"/>
  <c r="T53" i="1" a="1"/>
  <c r="T53" i="1" s="1"/>
  <c r="T71" i="1" a="1"/>
  <c r="T71" i="1" s="1"/>
  <c r="T81" i="1" a="1"/>
  <c r="T81" i="1" s="1"/>
  <c r="T90" i="1" a="1"/>
  <c r="T90" i="1" s="1"/>
  <c r="T98" i="1" a="1"/>
  <c r="T98" i="1" s="1"/>
  <c r="T109" i="1" a="1"/>
  <c r="T109" i="1" s="1"/>
  <c r="T219" i="1" a="1"/>
  <c r="T219" i="1" s="1"/>
  <c r="T126" i="1" a="1"/>
  <c r="T126" i="1" s="1"/>
  <c r="T138" i="1" a="1"/>
  <c r="T138" i="1" s="1"/>
  <c r="T144" i="1" a="1"/>
  <c r="T144" i="1" s="1"/>
  <c r="T156" i="1" a="1"/>
  <c r="T156" i="1" s="1"/>
  <c r="T164" i="1" a="1"/>
  <c r="T164" i="1" s="1"/>
  <c r="T179" i="1" a="1"/>
  <c r="T179" i="1" s="1"/>
  <c r="T194" i="1" a="1"/>
  <c r="T194" i="1" s="1"/>
  <c r="T400" i="1" a="1"/>
  <c r="T400" i="1" s="1"/>
  <c r="T446" i="1" a="1"/>
  <c r="T446" i="1" s="1"/>
  <c r="T222" i="1" a="1"/>
  <c r="T222" i="1" s="1"/>
  <c r="T229" i="1" a="1"/>
  <c r="T229" i="1" s="1"/>
  <c r="T239" i="1" a="1"/>
  <c r="T239" i="1" s="1"/>
  <c r="T246" i="1" a="1"/>
  <c r="T246" i="1" s="1"/>
  <c r="T255" i="1" a="1"/>
  <c r="T255" i="1" s="1"/>
  <c r="T264" i="1" a="1"/>
  <c r="T264" i="1" s="1"/>
  <c r="T189" i="1" a="1"/>
  <c r="T189" i="1" s="1"/>
  <c r="T286" i="1" a="1"/>
  <c r="T286" i="1" s="1"/>
  <c r="T294" i="1" a="1"/>
  <c r="T294" i="1" s="1"/>
  <c r="T218" i="1" a="1"/>
  <c r="T218" i="1" s="1"/>
  <c r="T316" i="1" a="1"/>
  <c r="T316" i="1" s="1"/>
  <c r="T322" i="1" a="1"/>
  <c r="T322" i="1" s="1"/>
  <c r="T336" i="1" a="1"/>
  <c r="T336" i="1" s="1"/>
  <c r="T343" i="1" a="1"/>
  <c r="T343" i="1" s="1"/>
  <c r="T43" i="1" a="1"/>
  <c r="T43" i="1" s="1"/>
  <c r="T360" i="1" a="1"/>
  <c r="T360" i="1" s="1"/>
  <c r="T371" i="1" a="1"/>
  <c r="T371" i="1" s="1"/>
  <c r="T379" i="1" a="1"/>
  <c r="T379" i="1" s="1"/>
  <c r="T116" i="1" a="1"/>
  <c r="T116" i="1" s="1"/>
  <c r="T395" i="1" a="1"/>
  <c r="T395" i="1" s="1"/>
  <c r="T405" i="1" a="1"/>
  <c r="T405" i="1" s="1"/>
  <c r="T416" i="1" a="1"/>
  <c r="T416" i="1" s="1"/>
  <c r="T113" i="1" a="1"/>
  <c r="T113" i="1" s="1"/>
  <c r="T432" i="1" a="1"/>
  <c r="T432" i="1" s="1"/>
  <c r="T488" i="1" a="1"/>
  <c r="T488" i="1" s="1"/>
  <c r="T511" i="1" a="1"/>
  <c r="T511" i="1" s="1"/>
  <c r="T463" i="1" a="1"/>
  <c r="T463" i="1" s="1"/>
  <c r="T333" i="1" a="1"/>
  <c r="T333" i="1" s="1"/>
  <c r="T484" i="1" a="1"/>
  <c r="T484" i="1" s="1"/>
  <c r="T491" i="1" a="1"/>
  <c r="T491" i="1" s="1"/>
  <c r="T500" i="1" a="1"/>
  <c r="T500" i="1" s="1"/>
  <c r="T76" i="1" a="1"/>
  <c r="T76" i="1" s="1"/>
  <c r="Q6" i="1" a="1"/>
  <c r="Q6" i="1" s="1"/>
  <c r="R6" i="1"/>
  <c r="Q14" i="1" a="1"/>
  <c r="Q14" i="1"/>
  <c r="R14" i="1" s="1"/>
  <c r="Q31" i="1" a="1"/>
  <c r="Q31" i="1" s="1"/>
  <c r="R31" i="1"/>
  <c r="Q41" i="1" a="1"/>
  <c r="Q41" i="1"/>
  <c r="R41" i="1" s="1"/>
  <c r="Q53" i="1" a="1"/>
  <c r="Q53" i="1" s="1"/>
  <c r="R53" i="1"/>
  <c r="Q61" i="1" a="1"/>
  <c r="Q61" i="1"/>
  <c r="R61" i="1" s="1"/>
  <c r="Q69" i="1" a="1"/>
  <c r="Q69" i="1" s="1"/>
  <c r="R69" i="1" s="1"/>
  <c r="Q74" i="1" a="1"/>
  <c r="Q74" i="1" s="1"/>
  <c r="R74" i="1" s="1"/>
  <c r="Q82" i="1" a="1"/>
  <c r="Q82" i="1" s="1"/>
  <c r="R82" i="1" s="1"/>
  <c r="Q88" i="1" a="1"/>
  <c r="Q88" i="1"/>
  <c r="R88" i="1" s="1"/>
  <c r="Q96" i="1" a="1"/>
  <c r="Q96" i="1" s="1"/>
  <c r="R96" i="1" s="1"/>
  <c r="Q103" i="1" a="1"/>
  <c r="Q103" i="1" s="1"/>
  <c r="R103" i="1" s="1"/>
  <c r="Q83" i="1" a="1"/>
  <c r="Q83" i="1" s="1"/>
  <c r="R83" i="1" s="1"/>
  <c r="Q323" i="1" a="1"/>
  <c r="Q323" i="1"/>
  <c r="R323" i="1" s="1"/>
  <c r="Q123" i="1" a="1"/>
  <c r="Q123" i="1" s="1"/>
  <c r="R123" i="1" s="1"/>
  <c r="Q128" i="1" a="1"/>
  <c r="Q128" i="1" s="1"/>
  <c r="R128" i="1" s="1"/>
  <c r="Q137" i="1" a="1"/>
  <c r="Q137" i="1" s="1"/>
  <c r="R137" i="1" s="1"/>
  <c r="Q436" i="1" a="1"/>
  <c r="Q436" i="1"/>
  <c r="R436" i="1" s="1"/>
  <c r="Q154" i="1" a="1"/>
  <c r="Q154" i="1" s="1"/>
  <c r="R154" i="1" s="1"/>
  <c r="Q161" i="1" a="1"/>
  <c r="Q161" i="1" s="1"/>
  <c r="R161" i="1" s="1"/>
  <c r="Q168" i="1" a="1"/>
  <c r="Q168" i="1" s="1"/>
  <c r="R168" i="1" s="1"/>
  <c r="Q89" i="1" a="1"/>
  <c r="Q89" i="1"/>
  <c r="R89" i="1" s="1"/>
  <c r="Q182" i="1" a="1"/>
  <c r="Q182" i="1" s="1"/>
  <c r="R182" i="1" s="1"/>
  <c r="Q194" i="1" a="1"/>
  <c r="Q194" i="1" s="1"/>
  <c r="R194" i="1" s="1"/>
  <c r="Q200" i="1" a="1"/>
  <c r="Q200" i="1" s="1"/>
  <c r="R200" i="1" s="1"/>
  <c r="Q213" i="1" a="1"/>
  <c r="Q213" i="1"/>
  <c r="R213" i="1" s="1"/>
  <c r="Q220" i="1" a="1"/>
  <c r="Q220" i="1" s="1"/>
  <c r="R220" i="1" s="1"/>
  <c r="Q228" i="1" a="1"/>
  <c r="Q228" i="1" s="1"/>
  <c r="R228" i="1" s="1"/>
  <c r="Q232" i="1" a="1"/>
  <c r="Q232" i="1" s="1"/>
  <c r="R232" i="1" s="1"/>
  <c r="Q240" i="1" a="1"/>
  <c r="Q240" i="1"/>
  <c r="R240" i="1" s="1"/>
  <c r="Q253" i="1" a="1"/>
  <c r="Q253" i="1" s="1"/>
  <c r="R253" i="1" s="1"/>
  <c r="Q259" i="1" a="1"/>
  <c r="Q259" i="1" s="1"/>
  <c r="R259" i="1" s="1"/>
  <c r="Q266" i="1" a="1"/>
  <c r="Q266" i="1" s="1"/>
  <c r="R266" i="1" s="1"/>
  <c r="Q274" i="1" a="1"/>
  <c r="Q274" i="1"/>
  <c r="R274" i="1" s="1"/>
  <c r="Q281" i="1" a="1"/>
  <c r="Q281" i="1" s="1"/>
  <c r="R281" i="1" s="1"/>
  <c r="Q288" i="1" a="1"/>
  <c r="Q288" i="1" s="1"/>
  <c r="R288" i="1" s="1"/>
  <c r="Q301" i="1" a="1"/>
  <c r="Q301" i="1" s="1"/>
  <c r="R301" i="1" s="1"/>
  <c r="Q308" i="1" a="1"/>
  <c r="Q308" i="1"/>
  <c r="R308" i="1" s="1"/>
  <c r="Q316" i="1" a="1"/>
  <c r="Q316" i="1" s="1"/>
  <c r="R316" i="1" s="1"/>
  <c r="Q322" i="1" a="1"/>
  <c r="Q322" i="1" s="1"/>
  <c r="R322" i="1" s="1"/>
  <c r="Q471" i="1" a="1"/>
  <c r="Q471" i="1" s="1"/>
  <c r="R471" i="1" s="1"/>
  <c r="Q345" i="1" a="1"/>
  <c r="Q345" i="1"/>
  <c r="R345" i="1" s="1"/>
  <c r="Q350" i="1" a="1"/>
  <c r="Q350" i="1" s="1"/>
  <c r="R350" i="1" s="1"/>
  <c r="Q359" i="1" a="1"/>
  <c r="Q359" i="1" s="1"/>
  <c r="R359" i="1" s="1"/>
  <c r="Q366" i="1" a="1"/>
  <c r="Q366" i="1" s="1"/>
  <c r="R366" i="1" s="1"/>
  <c r="Q372" i="1" a="1"/>
  <c r="Q372" i="1"/>
  <c r="R372" i="1" s="1"/>
  <c r="Q384" i="1" a="1"/>
  <c r="Q384" i="1" s="1"/>
  <c r="R384" i="1" s="1"/>
  <c r="Q393" i="1" a="1"/>
  <c r="Q393" i="1" s="1"/>
  <c r="R393" i="1" s="1"/>
  <c r="Q397" i="1" a="1"/>
  <c r="Q397" i="1" s="1"/>
  <c r="R397" i="1"/>
  <c r="Q406" i="1" a="1"/>
  <c r="Q406" i="1"/>
  <c r="R406" i="1" s="1"/>
  <c r="Q276" i="1" a="1"/>
  <c r="Q276" i="1" s="1"/>
  <c r="R276" i="1" s="1"/>
  <c r="Q421" i="1" a="1"/>
  <c r="Q421" i="1" s="1"/>
  <c r="R421" i="1" s="1"/>
  <c r="Q91" i="1" a="1"/>
  <c r="Q91" i="1" s="1"/>
  <c r="R91" i="1" s="1"/>
  <c r="Q449" i="1" a="1"/>
  <c r="Q449" i="1"/>
  <c r="R449" i="1" s="1"/>
  <c r="Q454" i="1" a="1"/>
  <c r="Q454" i="1" s="1"/>
  <c r="R454" i="1" s="1"/>
  <c r="Q481" i="1" a="1"/>
  <c r="Q481" i="1" s="1"/>
  <c r="R481" i="1" s="1"/>
  <c r="Q489" i="1" a="1"/>
  <c r="Q489" i="1" s="1"/>
  <c r="R489" i="1"/>
  <c r="Q495" i="1" a="1"/>
  <c r="Q495" i="1"/>
  <c r="R495" i="1" s="1"/>
  <c r="Q502" i="1" a="1"/>
  <c r="Q502" i="1" s="1"/>
  <c r="R502" i="1" s="1"/>
  <c r="Q76" i="1" a="1"/>
  <c r="Q76" i="1" s="1"/>
  <c r="R76" i="1" s="1"/>
  <c r="O6" i="1" a="1"/>
  <c r="O6" i="1" s="1"/>
  <c r="P6" i="1" s="1"/>
  <c r="O12" i="1" a="1"/>
  <c r="O12" i="1"/>
  <c r="P12" i="1" s="1"/>
  <c r="O235" i="1" a="1"/>
  <c r="O235" i="1" s="1"/>
  <c r="P235" i="1" s="1"/>
  <c r="O330" i="1" a="1"/>
  <c r="O330" i="1" s="1"/>
  <c r="P330" i="1" s="1"/>
  <c r="O18" i="1" a="1"/>
  <c r="O18" i="1" s="1"/>
  <c r="P18" i="1"/>
  <c r="O20" i="1" a="1"/>
  <c r="O20" i="1"/>
  <c r="P20" i="1" s="1"/>
  <c r="O22" i="1" a="1"/>
  <c r="O22" i="1" s="1"/>
  <c r="P22" i="1" s="1"/>
  <c r="O24" i="1" a="1"/>
  <c r="O24" i="1" s="1"/>
  <c r="P24" i="1" s="1"/>
  <c r="O26" i="1" a="1"/>
  <c r="O26" i="1" s="1"/>
  <c r="P26" i="1" s="1"/>
  <c r="O30" i="1" a="1"/>
  <c r="O30" i="1"/>
  <c r="P30" i="1" s="1"/>
  <c r="O33" i="1" a="1"/>
  <c r="O33" i="1" s="1"/>
  <c r="P33" i="1" s="1"/>
  <c r="O39" i="1" a="1"/>
  <c r="O39" i="1" s="1"/>
  <c r="P39" i="1" s="1"/>
  <c r="O40" i="1" a="1"/>
  <c r="O40" i="1" s="1"/>
  <c r="P40" i="1" s="1"/>
  <c r="O49" i="1" a="1"/>
  <c r="O49" i="1"/>
  <c r="P49" i="1" s="1"/>
  <c r="O54" i="1" a="1"/>
  <c r="O54" i="1" s="1"/>
  <c r="P54" i="1" s="1"/>
  <c r="O57" i="1" a="1"/>
  <c r="O57" i="1" s="1"/>
  <c r="P57" i="1" s="1"/>
  <c r="O60" i="1" a="1"/>
  <c r="O60" i="1" s="1"/>
  <c r="P60" i="1" s="1"/>
  <c r="O65" i="1" a="1"/>
  <c r="O65" i="1"/>
  <c r="P65" i="1" s="1"/>
  <c r="O69" i="1" a="1"/>
  <c r="O69" i="1" s="1"/>
  <c r="P69" i="1" s="1"/>
  <c r="O72" i="1" a="1"/>
  <c r="O72" i="1" s="1"/>
  <c r="P72" i="1" s="1"/>
  <c r="O262" i="1" a="1"/>
  <c r="O262" i="1" s="1"/>
  <c r="P262" i="1"/>
  <c r="O82" i="1" a="1"/>
  <c r="O82" i="1"/>
  <c r="P82" i="1" s="1"/>
  <c r="O352" i="1" a="1"/>
  <c r="O352" i="1" s="1"/>
  <c r="P352" i="1" s="1"/>
  <c r="O418" i="1" a="1"/>
  <c r="O418" i="1" s="1"/>
  <c r="P418" i="1" s="1"/>
  <c r="O289" i="1" a="1"/>
  <c r="O289" i="1" s="1"/>
  <c r="P289" i="1" s="1"/>
  <c r="O99" i="1" a="1"/>
  <c r="O99" i="1"/>
  <c r="P99" i="1" s="1"/>
  <c r="O205" i="1" a="1"/>
  <c r="O205" i="1" s="1"/>
  <c r="P205" i="1" s="1"/>
  <c r="O383" i="1" a="1"/>
  <c r="O383" i="1" s="1"/>
  <c r="P383" i="1" s="1"/>
  <c r="O109" i="1" a="1"/>
  <c r="O109" i="1" s="1"/>
  <c r="P109" i="1"/>
  <c r="O323" i="1" a="1"/>
  <c r="O323" i="1"/>
  <c r="P323" i="1" s="1"/>
  <c r="O119" i="1" a="1"/>
  <c r="O119" i="1" s="1"/>
  <c r="P119" i="1" s="1"/>
  <c r="O122" i="1" a="1"/>
  <c r="O122" i="1" s="1"/>
  <c r="P122" i="1" s="1"/>
  <c r="O125" i="1" a="1"/>
  <c r="O125" i="1" s="1"/>
  <c r="P125" i="1" s="1"/>
  <c r="O121" i="1" a="1"/>
  <c r="O121" i="1"/>
  <c r="P121" i="1" s="1"/>
  <c r="O414" i="1" a="1"/>
  <c r="O414" i="1" s="1"/>
  <c r="P414" i="1" s="1"/>
  <c r="O139" i="1" a="1"/>
  <c r="O139" i="1" s="1"/>
  <c r="P139" i="1" s="1"/>
  <c r="O140" i="1" a="1"/>
  <c r="O140" i="1" s="1"/>
  <c r="P140" i="1"/>
  <c r="O148" i="1" a="1"/>
  <c r="O148" i="1"/>
  <c r="P148" i="1" s="1"/>
  <c r="O153" i="1" a="1"/>
  <c r="O153" i="1" s="1"/>
  <c r="P153" i="1" s="1"/>
  <c r="O156" i="1" a="1"/>
  <c r="O156" i="1" s="1"/>
  <c r="P156" i="1" s="1"/>
  <c r="O309" i="1" a="1"/>
  <c r="O309" i="1" s="1"/>
  <c r="P309" i="1" s="1"/>
  <c r="O490" i="1" a="1"/>
  <c r="O490" i="1"/>
  <c r="P490" i="1" s="1"/>
  <c r="O169" i="1" a="1"/>
  <c r="O169" i="1" s="1"/>
  <c r="P169" i="1" s="1"/>
  <c r="O172" i="1" a="1"/>
  <c r="O172" i="1" s="1"/>
  <c r="P172" i="1" s="1"/>
  <c r="O175" i="1" a="1"/>
  <c r="O175" i="1" s="1"/>
  <c r="P175" i="1" s="1"/>
  <c r="O179" i="1" a="1"/>
  <c r="O179" i="1"/>
  <c r="P179" i="1" s="1"/>
  <c r="O185" i="1" a="1"/>
  <c r="O185" i="1" s="1"/>
  <c r="P185" i="1" s="1"/>
  <c r="O313" i="1" a="1"/>
  <c r="O313" i="1" s="1"/>
  <c r="P313" i="1" s="1"/>
  <c r="O193" i="1" a="1"/>
  <c r="O193" i="1" s="1"/>
  <c r="P193" i="1" s="1"/>
  <c r="O198" i="1" a="1"/>
  <c r="O198" i="1"/>
  <c r="P198" i="1" s="1"/>
  <c r="O203" i="1" a="1"/>
  <c r="O203" i="1" s="1"/>
  <c r="P203" i="1" s="1"/>
  <c r="O206" i="1" a="1"/>
  <c r="O206" i="1" s="1"/>
  <c r="P206" i="1" s="1"/>
  <c r="O209" i="1" a="1"/>
  <c r="O209" i="1" s="1"/>
  <c r="P209" i="1"/>
  <c r="O456" i="1" a="1"/>
  <c r="O456" i="1"/>
  <c r="P456" i="1" s="1"/>
  <c r="O75" i="1" a="1"/>
  <c r="O75" i="1" s="1"/>
  <c r="P75" i="1" s="1"/>
  <c r="O224" i="1" a="1"/>
  <c r="O224" i="1" s="1"/>
  <c r="P224" i="1" s="1"/>
  <c r="O227" i="1" a="1"/>
  <c r="O227" i="1" s="1"/>
  <c r="P227" i="1" s="1"/>
  <c r="O211" i="1" a="1"/>
  <c r="O211" i="1"/>
  <c r="P211" i="1" s="1"/>
  <c r="O237" i="1" a="1"/>
  <c r="O237" i="1" s="1"/>
  <c r="P237" i="1" s="1"/>
  <c r="O240" i="1" a="1"/>
  <c r="O240" i="1" s="1"/>
  <c r="P240" i="1" s="1"/>
  <c r="O242" i="1" a="1"/>
  <c r="O242" i="1" s="1"/>
  <c r="P242" i="1"/>
  <c r="O246" i="1" a="1"/>
  <c r="O246" i="1"/>
  <c r="P246" i="1" s="1"/>
  <c r="O252" i="1" a="1"/>
  <c r="O252" i="1" s="1"/>
  <c r="P252" i="1" s="1"/>
  <c r="O254" i="1" a="1"/>
  <c r="O254" i="1" s="1"/>
  <c r="P254" i="1" s="1"/>
  <c r="O256" i="1" a="1"/>
  <c r="O256" i="1" s="1"/>
  <c r="P256" i="1" s="1"/>
  <c r="O260" i="1" a="1"/>
  <c r="O260" i="1"/>
  <c r="P260" i="1" s="1"/>
  <c r="O267" i="1" a="1"/>
  <c r="O267" i="1" s="1"/>
  <c r="P267" i="1"/>
  <c r="O354" i="1" a="1"/>
  <c r="O354" i="1"/>
  <c r="P354" i="1" s="1"/>
  <c r="O35" i="1" a="1"/>
  <c r="O35" i="1" s="1"/>
  <c r="P35" i="1" s="1"/>
  <c r="O280" i="1" a="1"/>
  <c r="O280" i="1"/>
  <c r="P280" i="1" s="1"/>
  <c r="O285" i="1" a="1"/>
  <c r="O285" i="1" s="1"/>
  <c r="P285" i="1"/>
  <c r="O288" i="1" a="1"/>
  <c r="O288" i="1"/>
  <c r="P288" i="1" s="1"/>
  <c r="O292" i="1" a="1"/>
  <c r="O292" i="1" s="1"/>
  <c r="P292" i="1" s="1"/>
  <c r="O296" i="1" a="1"/>
  <c r="O296" i="1"/>
  <c r="P296" i="1" s="1"/>
  <c r="O300" i="1" a="1"/>
  <c r="O300" i="1" s="1"/>
  <c r="P300" i="1"/>
  <c r="O419" i="1" a="1"/>
  <c r="O419" i="1"/>
  <c r="P419" i="1" s="1"/>
  <c r="O307" i="1" a="1"/>
  <c r="O307" i="1" s="1"/>
  <c r="P307" i="1" s="1"/>
  <c r="O312" i="1" a="1"/>
  <c r="O312" i="1"/>
  <c r="P312" i="1" s="1"/>
  <c r="O7" i="1" a="1"/>
  <c r="O7" i="1" s="1"/>
  <c r="P7" i="1" s="1"/>
  <c r="O427" i="1" a="1"/>
  <c r="O427" i="1"/>
  <c r="P427" i="1" s="1"/>
  <c r="O324" i="1" a="1"/>
  <c r="O324" i="1" s="1"/>
  <c r="P324" i="1" s="1"/>
  <c r="O273" i="1" a="1"/>
  <c r="O273" i="1"/>
  <c r="P273" i="1" s="1"/>
  <c r="O336" i="1" a="1"/>
  <c r="O336" i="1" s="1"/>
  <c r="P336" i="1"/>
  <c r="O340" i="1" a="1"/>
  <c r="O340" i="1"/>
  <c r="P340" i="1" s="1"/>
  <c r="O343" i="1" a="1"/>
  <c r="O343" i="1" s="1"/>
  <c r="P343" i="1" s="1"/>
  <c r="O214" i="1" a="1"/>
  <c r="O214" i="1"/>
  <c r="P214" i="1" s="1"/>
  <c r="O350" i="1" a="1"/>
  <c r="O350" i="1" s="1"/>
  <c r="P350" i="1"/>
  <c r="O356" i="1" a="1"/>
  <c r="O356" i="1"/>
  <c r="P356" i="1" s="1"/>
  <c r="O359" i="1" a="1"/>
  <c r="O359" i="1" s="1"/>
  <c r="P359" i="1" s="1"/>
  <c r="O364" i="1" a="1"/>
  <c r="O364" i="1"/>
  <c r="P364" i="1" s="1"/>
  <c r="O368" i="1" a="1"/>
  <c r="O368" i="1" s="1"/>
  <c r="P368" i="1"/>
  <c r="O372" i="1" a="1"/>
  <c r="O372" i="1"/>
  <c r="P372" i="1" s="1"/>
  <c r="O376" i="1" a="1"/>
  <c r="O376" i="1" s="1"/>
  <c r="P376" i="1" s="1"/>
  <c r="O380" i="1" a="1"/>
  <c r="O380" i="1"/>
  <c r="P380" i="1" s="1"/>
  <c r="O386" i="1" a="1"/>
  <c r="O386" i="1" s="1"/>
  <c r="P386" i="1" s="1"/>
  <c r="O385" i="1" a="1"/>
  <c r="O385" i="1"/>
  <c r="P385" i="1" s="1"/>
  <c r="O391" i="1" a="1"/>
  <c r="O391" i="1" s="1"/>
  <c r="P391" i="1" s="1"/>
  <c r="O398" i="1" a="1"/>
  <c r="O398" i="1"/>
  <c r="P398" i="1" s="1"/>
  <c r="O397" i="1" a="1"/>
  <c r="O397" i="1" s="1"/>
  <c r="P397" i="1"/>
  <c r="O404" i="1" a="1"/>
  <c r="O404" i="1"/>
  <c r="P404" i="1" s="1"/>
  <c r="O407" i="1" a="1"/>
  <c r="O407" i="1" s="1"/>
  <c r="P407" i="1" s="1"/>
  <c r="O276" i="1" a="1"/>
  <c r="O276" i="1"/>
  <c r="P276" i="1" s="1"/>
  <c r="O415" i="1" a="1"/>
  <c r="O415" i="1" s="1"/>
  <c r="P415" i="1"/>
  <c r="O421" i="1" a="1"/>
  <c r="O421" i="1"/>
  <c r="P421" i="1" s="1"/>
  <c r="O113" i="1" a="1"/>
  <c r="O113" i="1" s="1"/>
  <c r="P113" i="1" s="1"/>
  <c r="O181" i="1" a="1"/>
  <c r="O181" i="1"/>
  <c r="P181" i="1" s="1"/>
  <c r="O431" i="1" a="1"/>
  <c r="O431" i="1" s="1"/>
  <c r="P431" i="1"/>
  <c r="O112" i="1" a="1"/>
  <c r="O112" i="1"/>
  <c r="P112" i="1" s="1"/>
  <c r="O91" i="1" a="1"/>
  <c r="O91" i="1" s="1"/>
  <c r="P91" i="1" s="1"/>
  <c r="O447" i="1" a="1"/>
  <c r="O447" i="1"/>
  <c r="P447" i="1" s="1"/>
  <c r="O86" i="1" a="1"/>
  <c r="O86" i="1" s="1"/>
  <c r="P86" i="1" s="1"/>
  <c r="O454" i="1" a="1"/>
  <c r="O454" i="1"/>
  <c r="P454" i="1" s="1"/>
  <c r="O87" i="1" a="1"/>
  <c r="O87" i="1" s="1"/>
  <c r="P87" i="1" s="1"/>
  <c r="O275" i="1" a="1"/>
  <c r="O275" i="1"/>
  <c r="P275" i="1" s="1"/>
  <c r="O466" i="1" a="1"/>
  <c r="O466" i="1" s="1"/>
  <c r="P466" i="1"/>
  <c r="O503" i="1" a="1"/>
  <c r="O503" i="1"/>
  <c r="P503" i="1" s="1"/>
  <c r="O278" i="1" a="1"/>
  <c r="O278" i="1" s="1"/>
  <c r="P278" i="1" s="1"/>
  <c r="O84" i="1" a="1"/>
  <c r="O84" i="1"/>
  <c r="P84" i="1" s="1"/>
  <c r="O483" i="1" a="1"/>
  <c r="O483" i="1" s="1"/>
  <c r="P483" i="1"/>
  <c r="O486" i="1" a="1"/>
  <c r="O486" i="1"/>
  <c r="P486" i="1" s="1"/>
  <c r="H507" i="1"/>
  <c r="I507" i="1" s="1"/>
  <c r="H486" i="1"/>
  <c r="I486" i="1" s="1"/>
  <c r="H459" i="1"/>
  <c r="I459" i="1" s="1"/>
  <c r="H439" i="1"/>
  <c r="I439" i="1" s="1"/>
  <c r="H411" i="1"/>
  <c r="I411" i="1" s="1"/>
  <c r="H378" i="1"/>
  <c r="I378" i="1" s="1"/>
  <c r="H340" i="1"/>
  <c r="I340" i="1" s="1"/>
  <c r="H311" i="1"/>
  <c r="I311" i="1" s="1"/>
  <c r="H267" i="1"/>
  <c r="I267" i="1" s="1"/>
  <c r="H239" i="1"/>
  <c r="I239" i="1" s="1"/>
  <c r="H202" i="1"/>
  <c r="I202" i="1" s="1"/>
  <c r="H164" i="1"/>
  <c r="I164" i="1" s="1"/>
  <c r="H128" i="1"/>
  <c r="I128" i="1" s="1"/>
  <c r="H205" i="1"/>
  <c r="I205" i="1" s="1"/>
  <c r="O63" i="1" a="1"/>
  <c r="O63" i="1" s="1"/>
  <c r="P63" i="1" s="1"/>
  <c r="O59" i="1" a="1"/>
  <c r="O59" i="1"/>
  <c r="P59" i="1" s="1"/>
  <c r="O50" i="1" a="1"/>
  <c r="O50" i="1" s="1"/>
  <c r="P50" i="1"/>
  <c r="O46" i="1" a="1"/>
  <c r="O46" i="1"/>
  <c r="P46" i="1" s="1"/>
  <c r="O41" i="1" a="1"/>
  <c r="O41" i="1" s="1"/>
  <c r="P41" i="1" s="1"/>
  <c r="O363" i="1" a="1"/>
  <c r="O363" i="1"/>
  <c r="P363" i="1" s="1"/>
  <c r="O36" i="1" a="1"/>
  <c r="O36" i="1" s="1"/>
  <c r="P36" i="1"/>
  <c r="O4" i="1" a="1"/>
  <c r="O4" i="1"/>
  <c r="P4" i="1" s="1"/>
  <c r="O23" i="1" a="1"/>
  <c r="O23" i="1" s="1"/>
  <c r="P23" i="1" s="1"/>
  <c r="O14" i="1" a="1"/>
  <c r="O14" i="1"/>
  <c r="P14" i="1" s="1"/>
  <c r="O445" i="1" a="1"/>
  <c r="O445" i="1" s="1"/>
  <c r="P445" i="1"/>
  <c r="Q497" i="1" a="1"/>
  <c r="Q497" i="1"/>
  <c r="R497" i="1" s="1"/>
  <c r="Q486" i="1" a="1"/>
  <c r="Q486" i="1" s="1"/>
  <c r="R486" i="1" s="1"/>
  <c r="Q476" i="1" a="1"/>
  <c r="Q476" i="1"/>
  <c r="R476" i="1" s="1"/>
  <c r="Q468" i="1" a="1"/>
  <c r="Q468" i="1" s="1"/>
  <c r="R468" i="1" s="1"/>
  <c r="Q461" i="1" a="1"/>
  <c r="Q461" i="1"/>
  <c r="R461" i="1" s="1"/>
  <c r="Q441" i="1" a="1"/>
  <c r="Q441" i="1" s="1"/>
  <c r="R441" i="1" s="1"/>
  <c r="Q431" i="1" a="1"/>
  <c r="Q431" i="1"/>
  <c r="R431" i="1" s="1"/>
  <c r="Q113" i="1" a="1"/>
  <c r="Q113" i="1" s="1"/>
  <c r="R113" i="1"/>
  <c r="Q479" i="1" a="1"/>
  <c r="Q479" i="1"/>
  <c r="R479" i="1" s="1"/>
  <c r="Q404" i="1" a="1"/>
  <c r="Q404" i="1" s="1"/>
  <c r="R404" i="1" s="1"/>
  <c r="Q398" i="1" a="1"/>
  <c r="Q398" i="1"/>
  <c r="R398" i="1" s="1"/>
  <c r="Q385" i="1" a="1"/>
  <c r="Q385" i="1" s="1"/>
  <c r="R385" i="1"/>
  <c r="Q378" i="1" a="1"/>
  <c r="Q378" i="1"/>
  <c r="R378" i="1" s="1"/>
  <c r="Q310" i="1" a="1"/>
  <c r="Q310" i="1" s="1"/>
  <c r="R310" i="1" s="1"/>
  <c r="Q361" i="1" a="1"/>
  <c r="Q361" i="1"/>
  <c r="R361" i="1" s="1"/>
  <c r="Q348" i="1" a="1"/>
  <c r="Q348" i="1" s="1"/>
  <c r="R348" i="1"/>
  <c r="Q341" i="1" a="1"/>
  <c r="Q341" i="1"/>
  <c r="R341" i="1" s="1"/>
  <c r="Q334" i="1" a="1"/>
  <c r="Q334" i="1" s="1"/>
  <c r="R334" i="1" s="1"/>
  <c r="Q427" i="1" a="1"/>
  <c r="Q427" i="1"/>
  <c r="R427" i="1" s="1"/>
  <c r="Q295" i="1" a="1"/>
  <c r="Q295" i="1" s="1"/>
  <c r="R295" i="1" s="1"/>
  <c r="Q284" i="1" a="1"/>
  <c r="Q284" i="1"/>
  <c r="R284" i="1" s="1"/>
  <c r="Q189" i="1" a="1"/>
  <c r="Q189" i="1" s="1"/>
  <c r="R189" i="1" s="1"/>
  <c r="Q141" i="1" a="1"/>
  <c r="Q141" i="1"/>
  <c r="R141" i="1" s="1"/>
  <c r="Q494" i="1" a="1"/>
  <c r="Q494" i="1" s="1"/>
  <c r="R494" i="1"/>
  <c r="Q247" i="1" a="1"/>
  <c r="Q247" i="1"/>
  <c r="R247" i="1" s="1"/>
  <c r="Q222" i="1" a="1"/>
  <c r="Q222" i="1" s="1"/>
  <c r="R222" i="1" s="1"/>
  <c r="Q210" i="1" a="1"/>
  <c r="Q210" i="1"/>
  <c r="R210" i="1" s="1"/>
  <c r="Q400" i="1" a="1"/>
  <c r="Q400" i="1" s="1"/>
  <c r="R400" i="1"/>
  <c r="Q196" i="1" a="1"/>
  <c r="Q196" i="1"/>
  <c r="R196" i="1" s="1"/>
  <c r="Q179" i="1" a="1"/>
  <c r="Q179" i="1" s="1"/>
  <c r="R179" i="1" s="1"/>
  <c r="Q170" i="1" a="1"/>
  <c r="Q170" i="1"/>
  <c r="R170" i="1" s="1"/>
  <c r="Q163" i="1" a="1"/>
  <c r="Q163" i="1" s="1"/>
  <c r="R163" i="1"/>
  <c r="Q152" i="1" a="1"/>
  <c r="Q152" i="1"/>
  <c r="R152" i="1" s="1"/>
  <c r="Q144" i="1" a="1"/>
  <c r="Q144" i="1" s="1"/>
  <c r="R144" i="1" s="1"/>
  <c r="Q106" i="1" a="1"/>
  <c r="Q106" i="1"/>
  <c r="R106" i="1" s="1"/>
  <c r="Q342" i="1" a="1"/>
  <c r="Q342" i="1" s="1"/>
  <c r="R342" i="1" s="1"/>
  <c r="Q428" i="1" a="1"/>
  <c r="Q428" i="1"/>
  <c r="R428" i="1" s="1"/>
  <c r="Q104" i="1" a="1"/>
  <c r="Q104" i="1" s="1"/>
  <c r="R104" i="1" s="1"/>
  <c r="Q132" i="1" a="1"/>
  <c r="Q132" i="1"/>
  <c r="R132" i="1" s="1"/>
  <c r="Q85" i="1" a="1"/>
  <c r="Q85" i="1" s="1"/>
  <c r="R85" i="1"/>
  <c r="Q134" i="1" a="1"/>
  <c r="Q134" i="1"/>
  <c r="R134" i="1" s="1"/>
  <c r="Q66" i="1" a="1"/>
  <c r="Q66" i="1" s="1"/>
  <c r="R66" i="1" s="1"/>
  <c r="Q58" i="1" a="1"/>
  <c r="Q58" i="1"/>
  <c r="R58" i="1" s="1"/>
  <c r="Q45" i="1" a="1"/>
  <c r="Q45" i="1" s="1"/>
  <c r="R45" i="1"/>
  <c r="Q30" i="1" a="1"/>
  <c r="Q30" i="1"/>
  <c r="R30" i="1" s="1"/>
  <c r="Q290" i="1" a="1"/>
  <c r="Q290" i="1" s="1"/>
  <c r="R290" i="1" s="1"/>
  <c r="Q10" i="1" a="1"/>
  <c r="Q10" i="1"/>
  <c r="R10" i="1" s="1"/>
  <c r="T268" i="1" a="1"/>
  <c r="T268" i="1" s="1"/>
  <c r="T496" i="1" a="1"/>
  <c r="T496" i="1" s="1"/>
  <c r="T485" i="1" a="1"/>
  <c r="T485" i="1" s="1"/>
  <c r="T469" i="1" a="1"/>
  <c r="T469" i="1" s="1"/>
  <c r="T459" i="1" a="1"/>
  <c r="T459" i="1" s="1"/>
  <c r="T449" i="1" a="1"/>
  <c r="T449" i="1" s="1"/>
  <c r="T431" i="1" a="1"/>
  <c r="T431" i="1" s="1"/>
  <c r="T420" i="1" a="1"/>
  <c r="T420" i="1" s="1"/>
  <c r="T407" i="1" a="1"/>
  <c r="T407" i="1" s="1"/>
  <c r="T393" i="1" a="1"/>
  <c r="T393" i="1" s="1"/>
  <c r="T387" i="1" a="1"/>
  <c r="T387" i="1" s="1"/>
  <c r="T331" i="1" a="1"/>
  <c r="T331" i="1" s="1"/>
  <c r="T357" i="1" a="1"/>
  <c r="T357" i="1" s="1"/>
  <c r="T348" i="1" a="1"/>
  <c r="T348" i="1" s="1"/>
  <c r="T337" i="1" a="1"/>
  <c r="T337" i="1" s="1"/>
  <c r="T321" i="1" a="1"/>
  <c r="T321" i="1" s="1"/>
  <c r="T308" i="1" a="1"/>
  <c r="T308" i="1" s="1"/>
  <c r="T320" i="1" a="1"/>
  <c r="T320" i="1" s="1"/>
  <c r="T285" i="1" a="1"/>
  <c r="T285" i="1" s="1"/>
  <c r="T373" i="1" a="1"/>
  <c r="T373" i="1" s="1"/>
  <c r="T494" i="1" a="1"/>
  <c r="T494" i="1" s="1"/>
  <c r="T243" i="1" a="1"/>
  <c r="T243" i="1" s="1"/>
  <c r="T234" i="1" a="1"/>
  <c r="T234" i="1" s="1"/>
  <c r="T223" i="1" a="1"/>
  <c r="T223" i="1" s="1"/>
  <c r="T209" i="1" a="1"/>
  <c r="T209" i="1" s="1"/>
  <c r="T197" i="1" a="1"/>
  <c r="T197" i="1" s="1"/>
  <c r="T188" i="1" a="1"/>
  <c r="T188" i="1" s="1"/>
  <c r="T173" i="1" a="1"/>
  <c r="T173" i="1" s="1"/>
  <c r="T159" i="1" a="1"/>
  <c r="T159" i="1" s="1"/>
  <c r="T131" i="1" a="1"/>
  <c r="T131" i="1" s="1"/>
  <c r="T123" i="1" a="1"/>
  <c r="T123" i="1" s="1"/>
  <c r="T410" i="1" a="1"/>
  <c r="T410" i="1" s="1"/>
  <c r="T97" i="1" a="1"/>
  <c r="T97" i="1" s="1"/>
  <c r="T85" i="1" a="1"/>
  <c r="T85" i="1" s="1"/>
  <c r="T49" i="1" a="1"/>
  <c r="T49" i="1" s="1"/>
  <c r="T363" i="1" a="1"/>
  <c r="T363" i="1" s="1"/>
  <c r="T6" i="1" a="1"/>
  <c r="T6" i="1" s="1"/>
  <c r="H106" i="1"/>
  <c r="I106" i="1" s="1"/>
  <c r="H89" i="1"/>
  <c r="I89" i="1" s="1"/>
  <c r="H457" i="1"/>
  <c r="I457" i="1" s="1"/>
  <c r="H434" i="1"/>
  <c r="I434" i="1" s="1"/>
  <c r="H271" i="1"/>
  <c r="I271" i="1" s="1"/>
  <c r="H374" i="1"/>
  <c r="I374" i="1" s="1"/>
  <c r="H335" i="1"/>
  <c r="I335" i="1" s="1"/>
  <c r="H295" i="1"/>
  <c r="I295" i="1" s="1"/>
  <c r="H260" i="1"/>
  <c r="I260" i="1" s="1"/>
  <c r="H290" i="1"/>
  <c r="I290" i="1" s="1"/>
  <c r="H192" i="1"/>
  <c r="I192" i="1" s="1"/>
  <c r="H319" i="1"/>
  <c r="I319" i="1" s="1"/>
  <c r="H490" i="1"/>
  <c r="I490" i="1" s="1"/>
  <c r="H9" i="1"/>
  <c r="I9" i="1" s="1"/>
  <c r="T67" i="1" a="1"/>
  <c r="T67" i="1"/>
  <c r="T61" i="1" a="1"/>
  <c r="T61" i="1"/>
  <c r="T64" i="1" a="1"/>
  <c r="T64" i="1"/>
  <c r="T56" i="1" a="1"/>
  <c r="T56" i="1"/>
  <c r="T32" i="1" a="1"/>
  <c r="T32" i="1"/>
  <c r="T290" i="1" a="1"/>
  <c r="T290" i="1"/>
  <c r="T12" i="1" a="1"/>
  <c r="T12" i="1"/>
  <c r="T26" i="1" a="1"/>
  <c r="T26" i="1"/>
  <c r="T8" i="1" a="1"/>
  <c r="T8" i="1"/>
  <c r="T95" i="1" a="1"/>
  <c r="T95" i="1"/>
  <c r="T443" i="1" a="1"/>
  <c r="T443" i="1"/>
  <c r="O303" i="1" a="1"/>
  <c r="O303" i="1"/>
  <c r="P303" i="1" s="1"/>
  <c r="Q443" i="1" a="1"/>
  <c r="Q443" i="1" s="1"/>
  <c r="R443" i="1" s="1"/>
  <c r="Q325" i="1" a="1"/>
  <c r="Q325" i="1"/>
  <c r="R325" i="1" s="1"/>
  <c r="O444" i="1" a="1"/>
  <c r="O444" i="1" s="1"/>
  <c r="P444" i="1" s="1"/>
  <c r="O151" i="1" a="1"/>
  <c r="O151" i="1"/>
  <c r="P151" i="1" s="1"/>
  <c r="T18" i="1" a="1"/>
  <c r="T18" i="1" s="1"/>
  <c r="T36" i="1" a="1"/>
  <c r="T36" i="1" s="1"/>
  <c r="T48" i="1" a="1"/>
  <c r="T48" i="1" s="1"/>
  <c r="T114" i="1" a="1"/>
  <c r="T114" i="1" s="1"/>
  <c r="T73" i="1" a="1"/>
  <c r="T73" i="1" s="1"/>
  <c r="T62" i="1" a="1"/>
  <c r="T62" i="1" s="1"/>
  <c r="T88" i="1" a="1"/>
  <c r="T88" i="1" s="1"/>
  <c r="T132" i="1" a="1"/>
  <c r="T132" i="1" s="1"/>
  <c r="T101" i="1" a="1"/>
  <c r="T101" i="1" s="1"/>
  <c r="T433" i="1" a="1"/>
  <c r="T433" i="1" s="1"/>
  <c r="T122" i="1" a="1"/>
  <c r="T122" i="1" s="1"/>
  <c r="T94" i="1" a="1"/>
  <c r="T94" i="1" s="1"/>
  <c r="T137" i="1" a="1"/>
  <c r="T137" i="1" s="1"/>
  <c r="T140" i="1" a="1"/>
  <c r="T140" i="1" s="1"/>
  <c r="T148" i="1" a="1"/>
  <c r="T148" i="1" s="1"/>
  <c r="T157" i="1" a="1"/>
  <c r="T157" i="1" s="1"/>
  <c r="T163" i="1" a="1"/>
  <c r="T163" i="1" s="1"/>
  <c r="T171" i="1" a="1"/>
  <c r="T171" i="1" s="1"/>
  <c r="T89" i="1" a="1"/>
  <c r="T89" i="1" s="1"/>
  <c r="T236" i="1" a="1"/>
  <c r="T236" i="1" s="1"/>
  <c r="T193" i="1" a="1"/>
  <c r="T193" i="1" s="1"/>
  <c r="T190" i="1" a="1"/>
  <c r="T190" i="1" s="1"/>
  <c r="T207" i="1" a="1"/>
  <c r="T207" i="1" s="1"/>
  <c r="T210" i="1" a="1"/>
  <c r="T210" i="1" s="1"/>
  <c r="T221" i="1" a="1"/>
  <c r="T221" i="1" s="1"/>
  <c r="T226" i="1" a="1"/>
  <c r="T226" i="1" s="1"/>
  <c r="T426" i="1" a="1"/>
  <c r="T426" i="1" s="1"/>
  <c r="T245" i="1" a="1"/>
  <c r="T245" i="1" s="1"/>
  <c r="T253" i="1" a="1"/>
  <c r="T253" i="1" s="1"/>
  <c r="T257" i="1" a="1"/>
  <c r="T257" i="1" s="1"/>
  <c r="T266" i="1" a="1"/>
  <c r="T266" i="1" s="1"/>
  <c r="T274" i="1" a="1"/>
  <c r="T274" i="1" s="1"/>
  <c r="T460" i="1" a="1"/>
  <c r="T460" i="1" s="1"/>
  <c r="T370" i="1" a="1"/>
  <c r="T370" i="1" s="1"/>
  <c r="T295" i="1" a="1"/>
  <c r="T295" i="1" s="1"/>
  <c r="T305" i="1" a="1"/>
  <c r="T305" i="1" s="1"/>
  <c r="T15" i="1" a="1"/>
  <c r="T15" i="1" s="1"/>
  <c r="T318" i="1" a="1"/>
  <c r="T318" i="1" s="1"/>
  <c r="T327" i="1" a="1"/>
  <c r="T327" i="1" s="1"/>
  <c r="T191" i="1" a="1"/>
  <c r="T191" i="1" s="1"/>
  <c r="T346" i="1" a="1"/>
  <c r="T346" i="1" s="1"/>
  <c r="T355" i="1" a="1"/>
  <c r="T355" i="1" s="1"/>
  <c r="T359" i="1" a="1"/>
  <c r="T359" i="1" s="1"/>
  <c r="T368" i="1" a="1"/>
  <c r="T368" i="1" s="1"/>
  <c r="T374" i="1" a="1"/>
  <c r="T374" i="1" s="1"/>
  <c r="T199" i="1" a="1"/>
  <c r="T199" i="1" s="1"/>
  <c r="T392" i="1" a="1"/>
  <c r="T392" i="1" s="1"/>
  <c r="T401" i="1" a="1"/>
  <c r="T401" i="1" s="1"/>
  <c r="T406" i="1" a="1"/>
  <c r="T406" i="1" s="1"/>
  <c r="T479" i="1" a="1"/>
  <c r="T479" i="1" s="1"/>
  <c r="T422" i="1" a="1"/>
  <c r="T422" i="1" s="1"/>
  <c r="T353" i="1" a="1"/>
  <c r="T353" i="1" s="1"/>
  <c r="T435" i="1" a="1"/>
  <c r="T435" i="1" s="1"/>
  <c r="T441" i="1" a="1"/>
  <c r="T441" i="1" s="1"/>
  <c r="T452" i="1" a="1"/>
  <c r="T452" i="1" s="1"/>
  <c r="T87" i="1" a="1"/>
  <c r="T87" i="1" s="1"/>
  <c r="T472" i="1" a="1"/>
  <c r="T472" i="1" s="1"/>
  <c r="T477" i="1" a="1"/>
  <c r="T477" i="1" s="1"/>
  <c r="T42" i="1" a="1"/>
  <c r="T42" i="1" s="1"/>
  <c r="T492" i="1" a="1"/>
  <c r="T492" i="1" s="1"/>
  <c r="T499" i="1" a="1"/>
  <c r="T499" i="1" s="1"/>
  <c r="T506" i="1" a="1"/>
  <c r="T506" i="1" s="1"/>
  <c r="Q8" i="1" a="1"/>
  <c r="Q8" i="1" s="1"/>
  <c r="R8" i="1"/>
  <c r="Q235" i="1" a="1"/>
  <c r="Q235" i="1"/>
  <c r="R235" i="1" s="1"/>
  <c r="Q22" i="1" a="1"/>
  <c r="Q22" i="1" s="1"/>
  <c r="R22" i="1"/>
  <c r="Q27" i="1" a="1"/>
  <c r="Q27" i="1"/>
  <c r="R27" i="1" s="1"/>
  <c r="Q34" i="1" a="1"/>
  <c r="Q34" i="1" s="1"/>
  <c r="R34" i="1"/>
  <c r="Q40" i="1" a="1"/>
  <c r="Q40" i="1"/>
  <c r="R40" i="1" s="1"/>
  <c r="Q46" i="1" a="1"/>
  <c r="Q46" i="1" s="1"/>
  <c r="R46" i="1"/>
  <c r="Q56" i="1" a="1"/>
  <c r="Q56" i="1"/>
  <c r="R56" i="1" s="1"/>
  <c r="H183" i="1"/>
  <c r="I183" i="1" s="1"/>
  <c r="H346" i="1"/>
  <c r="I346" i="1" s="1"/>
  <c r="H332" i="1"/>
  <c r="I332" i="1" s="1"/>
  <c r="H112" i="1"/>
  <c r="I112" i="1" s="1"/>
  <c r="H313" i="1"/>
  <c r="I313" i="1" s="1"/>
  <c r="H414" i="1"/>
  <c r="I414" i="1" s="1"/>
  <c r="H76" i="1"/>
  <c r="I76" i="1" s="1"/>
  <c r="H3" i="1"/>
  <c r="I3" i="1" s="1"/>
  <c r="H6" i="1"/>
  <c r="I6" i="1" s="1"/>
  <c r="H30" i="1"/>
  <c r="I30" i="1" s="1"/>
  <c r="H95" i="1"/>
  <c r="I95" i="1" s="1"/>
  <c r="H123" i="1"/>
  <c r="I123" i="1" s="1"/>
  <c r="H138" i="1"/>
  <c r="I138" i="1" s="1"/>
  <c r="H156" i="1"/>
  <c r="I156" i="1" s="1"/>
  <c r="H171" i="1"/>
  <c r="I171" i="1" s="1"/>
  <c r="H186" i="1"/>
  <c r="I186" i="1" s="1"/>
  <c r="H511" i="1"/>
  <c r="I511" i="1" s="1"/>
  <c r="H302" i="1"/>
  <c r="I302" i="1" s="1"/>
  <c r="H231" i="1"/>
  <c r="I231" i="1" s="1"/>
  <c r="H246" i="1"/>
  <c r="I246" i="1" s="1"/>
  <c r="H256" i="1"/>
  <c r="I256" i="1" s="1"/>
  <c r="H189" i="1"/>
  <c r="I189" i="1" s="1"/>
  <c r="H284" i="1"/>
  <c r="I284" i="1" s="1"/>
  <c r="H303" i="1"/>
  <c r="I303" i="1" s="1"/>
  <c r="H316" i="1"/>
  <c r="I316" i="1" s="1"/>
  <c r="H262" i="1"/>
  <c r="I262" i="1" s="1"/>
  <c r="H348" i="1"/>
  <c r="I348" i="1" s="1"/>
  <c r="H368" i="1"/>
  <c r="I368" i="1" s="1"/>
  <c r="H380" i="1"/>
  <c r="I380" i="1" s="1"/>
  <c r="H391" i="1"/>
  <c r="I391" i="1" s="1"/>
  <c r="H406" i="1"/>
  <c r="I406" i="1" s="1"/>
  <c r="H43" i="1"/>
  <c r="I43" i="1" s="1"/>
  <c r="H431" i="1"/>
  <c r="I431" i="1" s="1"/>
  <c r="H443" i="1"/>
  <c r="I443" i="1" s="1"/>
  <c r="H451" i="1"/>
  <c r="I451" i="1" s="1"/>
  <c r="H461" i="1"/>
  <c r="I461" i="1" s="1"/>
  <c r="H333" i="1"/>
  <c r="I333" i="1" s="1"/>
  <c r="H481" i="1"/>
  <c r="I481" i="1" s="1"/>
  <c r="H489" i="1"/>
  <c r="I489" i="1" s="1"/>
  <c r="H499" i="1"/>
  <c r="I499" i="1" s="1"/>
  <c r="H509" i="1"/>
  <c r="I509" i="1" s="1"/>
  <c r="T58" i="1" a="1"/>
  <c r="T58" i="1"/>
  <c r="T30" i="1" a="1"/>
  <c r="T30" i="1"/>
  <c r="T14" i="1" a="1"/>
  <c r="T14" i="1"/>
  <c r="T187" i="1" a="1"/>
  <c r="T187" i="1"/>
  <c r="T272" i="1" a="1"/>
  <c r="T272" i="1"/>
  <c r="H425" i="1"/>
  <c r="I425" i="1"/>
  <c r="H283" i="1"/>
  <c r="I283" i="1"/>
  <c r="H57" i="1"/>
  <c r="I57" i="1"/>
  <c r="H352" i="1"/>
  <c r="I352" i="1"/>
  <c r="T57" i="1" a="1"/>
  <c r="T57" i="1" s="1"/>
  <c r="T25" i="1" a="1"/>
  <c r="T25" i="1" s="1"/>
  <c r="T303" i="1" a="1"/>
  <c r="T303" i="1" s="1"/>
  <c r="Q444" i="1" a="1"/>
  <c r="Q444" i="1" s="1"/>
  <c r="R444" i="1" s="1"/>
  <c r="H353" i="1"/>
  <c r="I353" i="1"/>
  <c r="H143" i="1"/>
  <c r="I143" i="1"/>
  <c r="H359" i="1"/>
  <c r="I359" i="1" s="1"/>
  <c r="T24" i="1" a="1"/>
  <c r="T24" i="1"/>
  <c r="O442" i="1" a="1"/>
  <c r="O442" i="1"/>
  <c r="P442" i="1" s="1"/>
  <c r="T238" i="1" a="1"/>
  <c r="T238" i="1" s="1"/>
  <c r="G442" i="1" a="1"/>
  <c r="G442" i="1" s="1"/>
  <c r="N442" i="1" s="1"/>
  <c r="T13" i="1" a="1"/>
  <c r="T13" i="1"/>
  <c r="G444" i="1" a="1"/>
  <c r="G444" i="1"/>
  <c r="N444" i="1" s="1"/>
  <c r="T10" i="1" a="1"/>
  <c r="T10" i="1" s="1"/>
  <c r="T269" i="1" a="1"/>
  <c r="T269" i="1" s="1"/>
  <c r="O325" i="1" a="1"/>
  <c r="O325" i="1" s="1"/>
  <c r="P325" i="1" s="1"/>
  <c r="H306" i="1"/>
  <c r="I306" i="1"/>
  <c r="H288" i="1"/>
  <c r="I288" i="1"/>
  <c r="H107" i="1"/>
  <c r="I107" i="1"/>
  <c r="H261" i="1"/>
  <c r="I261" i="1"/>
  <c r="H79" i="1"/>
  <c r="I79" i="1"/>
  <c r="H70" i="1"/>
  <c r="I70" i="1"/>
  <c r="H58" i="1"/>
  <c r="I58" i="1"/>
  <c r="H113" i="1"/>
  <c r="I113" i="1"/>
  <c r="H148" i="1"/>
  <c r="I148" i="1"/>
  <c r="H119" i="1"/>
  <c r="I119" i="1"/>
  <c r="H276" i="1"/>
  <c r="I276" i="1"/>
  <c r="H373" i="1"/>
  <c r="I373" i="1"/>
  <c r="H428" i="1"/>
  <c r="I428" i="1"/>
  <c r="H71" i="1"/>
  <c r="I71" i="1"/>
  <c r="H25" i="1"/>
  <c r="I25" i="1"/>
  <c r="O272" i="1" a="1"/>
  <c r="O272" i="1" s="1"/>
  <c r="P272" i="1"/>
  <c r="Q272" i="1" a="1"/>
  <c r="Q272" i="1"/>
  <c r="R272" i="1" s="1"/>
  <c r="G443" i="1" a="1"/>
  <c r="G443" i="1" s="1"/>
  <c r="N443" i="1"/>
  <c r="O443" i="1" a="1"/>
  <c r="O443" i="1"/>
  <c r="P443" i="1" s="1"/>
  <c r="T442" i="1" a="1"/>
  <c r="T442" i="1" s="1"/>
  <c r="Q269" i="1" a="1"/>
  <c r="Q269" i="1" s="1"/>
  <c r="R269" i="1" s="1"/>
  <c r="Q187" i="1" a="1"/>
  <c r="Q187" i="1"/>
  <c r="R187" i="1" s="1"/>
  <c r="G151" i="1" a="1"/>
  <c r="G151" i="1" s="1"/>
  <c r="N151" i="1" s="1"/>
  <c r="Q151" i="1" a="1"/>
  <c r="Q151" i="1"/>
  <c r="R151" i="1" s="1"/>
  <c r="G147" i="1" a="1"/>
  <c r="G147" i="1" s="1"/>
  <c r="N147" i="1" s="1"/>
  <c r="G95" i="1" a="1"/>
  <c r="G95" i="1"/>
  <c r="N95" i="1" s="1"/>
  <c r="T3" i="1" a="1"/>
  <c r="T3" i="1" s="1"/>
  <c r="T5" i="1" a="1"/>
  <c r="T5" i="1" s="1"/>
  <c r="T11" i="1" a="1"/>
  <c r="T11" i="1" s="1"/>
  <c r="T235" i="1" a="1"/>
  <c r="T235" i="1" s="1"/>
  <c r="T19" i="1" a="1"/>
  <c r="T19" i="1" s="1"/>
  <c r="T22" i="1" a="1"/>
  <c r="T22" i="1" s="1"/>
  <c r="T27" i="1" a="1"/>
  <c r="T27" i="1" s="1"/>
  <c r="T29" i="1" a="1"/>
  <c r="T29" i="1" s="1"/>
  <c r="T34" i="1" a="1"/>
  <c r="T34" i="1" s="1"/>
  <c r="T38" i="1" a="1"/>
  <c r="T38" i="1" s="1"/>
  <c r="T41" i="1" a="1"/>
  <c r="T41" i="1" s="1"/>
  <c r="T115" i="1" a="1"/>
  <c r="T115" i="1" s="1"/>
  <c r="T50" i="1" a="1"/>
  <c r="T50" i="1" s="1"/>
  <c r="T54" i="1" a="1"/>
  <c r="T54" i="1" s="1"/>
  <c r="T59" i="1" a="1"/>
  <c r="T59" i="1" s="1"/>
  <c r="T271" i="1" a="1"/>
  <c r="T271" i="1" s="1"/>
  <c r="T66" i="1" a="1"/>
  <c r="T66" i="1" s="1"/>
  <c r="T69" i="1" a="1"/>
  <c r="T69" i="1" s="1"/>
  <c r="T74" i="1" a="1"/>
  <c r="T74" i="1" s="1"/>
  <c r="T78" i="1" a="1"/>
  <c r="T78" i="1" s="1"/>
  <c r="T270" i="1" a="1"/>
  <c r="T270" i="1" s="1"/>
  <c r="T352" i="1" a="1"/>
  <c r="T352" i="1" s="1"/>
  <c r="T92" i="1" a="1"/>
  <c r="T92" i="1" s="1"/>
  <c r="T93" i="1" a="1"/>
  <c r="T93" i="1" s="1"/>
  <c r="T100" i="1" a="1"/>
  <c r="T100" i="1" s="1"/>
  <c r="T205" i="1" a="1"/>
  <c r="T205" i="1" s="1"/>
  <c r="T83" i="1" a="1"/>
  <c r="T83" i="1" s="1"/>
  <c r="T428" i="1" a="1"/>
  <c r="T428" i="1" s="1"/>
  <c r="T184" i="1" a="1"/>
  <c r="T184" i="1" s="1"/>
  <c r="T119" i="1" a="1"/>
  <c r="T119" i="1" s="1"/>
  <c r="T124" i="1" a="1"/>
  <c r="T124" i="1" s="1"/>
  <c r="T127" i="1" a="1"/>
  <c r="T127" i="1" s="1"/>
  <c r="T130" i="1" a="1"/>
  <c r="T130" i="1" s="1"/>
  <c r="T414" i="1" a="1"/>
  <c r="T414" i="1" s="1"/>
  <c r="T436" i="1" a="1"/>
  <c r="T436" i="1" s="1"/>
  <c r="T143" i="1" a="1"/>
  <c r="T143" i="1" s="1"/>
  <c r="T149" i="1" a="1"/>
  <c r="T149" i="1" s="1"/>
  <c r="T153" i="1" a="1"/>
  <c r="T153" i="1" s="1"/>
  <c r="T158" i="1" a="1"/>
  <c r="T158" i="1" s="1"/>
  <c r="T160" i="1" a="1"/>
  <c r="T160" i="1" s="1"/>
  <c r="T166" i="1" a="1"/>
  <c r="T166" i="1" s="1"/>
  <c r="T169" i="1" a="1"/>
  <c r="T169" i="1" s="1"/>
  <c r="T174" i="1" a="1"/>
  <c r="T174" i="1" s="1"/>
  <c r="T176" i="1" a="1"/>
  <c r="T176" i="1" s="1"/>
  <c r="T182" i="1" a="1"/>
  <c r="T182" i="1" s="1"/>
  <c r="T185" i="1" a="1"/>
  <c r="T185" i="1" s="1"/>
  <c r="T192" i="1" a="1"/>
  <c r="T192" i="1" s="1"/>
  <c r="T195" i="1" a="1"/>
  <c r="T195" i="1" s="1"/>
  <c r="T200" i="1" a="1"/>
  <c r="T200" i="1" s="1"/>
  <c r="T203" i="1" a="1"/>
  <c r="T203" i="1" s="1"/>
  <c r="T208" i="1" a="1"/>
  <c r="T208" i="1" s="1"/>
  <c r="T319" i="1" a="1"/>
  <c r="T319" i="1" s="1"/>
  <c r="T326" i="1" a="1"/>
  <c r="T326" i="1" s="1"/>
  <c r="T75" i="1" a="1"/>
  <c r="T75" i="1" s="1"/>
  <c r="T224" i="1" a="1"/>
  <c r="T224" i="1" s="1"/>
  <c r="T227" i="1" a="1"/>
  <c r="T227" i="1" s="1"/>
  <c r="T231" i="1" a="1"/>
  <c r="T231" i="1" s="1"/>
  <c r="T233" i="1" a="1"/>
  <c r="T233" i="1" s="1"/>
  <c r="T240" i="1" a="1"/>
  <c r="T240" i="1" s="1"/>
  <c r="T242" i="1" a="1"/>
  <c r="T242" i="1" s="1"/>
  <c r="T247" i="1" a="1"/>
  <c r="T247" i="1" s="1"/>
  <c r="T250" i="1" a="1"/>
  <c r="T250" i="1" s="1"/>
  <c r="T254" i="1" a="1"/>
  <c r="T254" i="1" s="1"/>
  <c r="T256" i="1" a="1"/>
  <c r="T256" i="1" s="1"/>
  <c r="T263" i="1" a="1"/>
  <c r="T263" i="1" s="1"/>
  <c r="T265" i="1" a="1"/>
  <c r="T265" i="1" s="1"/>
  <c r="T354" i="1" a="1"/>
  <c r="T354" i="1" s="1"/>
  <c r="T35" i="1" a="1"/>
  <c r="T35" i="1" s="1"/>
  <c r="T281" i="1" a="1"/>
  <c r="T281" i="1" s="1"/>
  <c r="T283" i="1" a="1"/>
  <c r="T283" i="1" s="1"/>
  <c r="T288" i="1" a="1"/>
  <c r="T288" i="1" s="1"/>
  <c r="T292" i="1" a="1"/>
  <c r="T292" i="1" s="1"/>
  <c r="T297" i="1" a="1"/>
  <c r="T297" i="1" s="1"/>
  <c r="T299" i="1" a="1"/>
  <c r="T299" i="1" s="1"/>
  <c r="T419" i="1" a="1"/>
  <c r="T419" i="1" s="1"/>
  <c r="T307" i="1" a="1"/>
  <c r="T307" i="1" s="1"/>
  <c r="T314" i="1" a="1"/>
  <c r="T314" i="1" s="1"/>
  <c r="T382" i="1" a="1"/>
  <c r="T382" i="1" s="1"/>
  <c r="T427" i="1" a="1"/>
  <c r="T427" i="1" s="1"/>
  <c r="T324" i="1" a="1"/>
  <c r="T324" i="1" s="1"/>
  <c r="T471" i="1" a="1"/>
  <c r="T471" i="1" s="1"/>
  <c r="T335" i="1" a="1"/>
  <c r="T335" i="1" s="1"/>
  <c r="T340" i="1" a="1"/>
  <c r="T340" i="1" s="1"/>
  <c r="T389" i="1" a="1"/>
  <c r="T389" i="1" s="1"/>
  <c r="T214" i="1" a="1"/>
  <c r="T214" i="1" s="1"/>
  <c r="T349" i="1" a="1"/>
  <c r="T349" i="1" s="1"/>
  <c r="T356" i="1" a="1"/>
  <c r="T356" i="1" s="1"/>
  <c r="T358" i="1" a="1"/>
  <c r="T358" i="1" s="1"/>
  <c r="T364" i="1" a="1"/>
  <c r="T364" i="1" s="1"/>
  <c r="T367" i="1" a="1"/>
  <c r="T367" i="1" s="1"/>
  <c r="T372" i="1" a="1"/>
  <c r="T372" i="1" s="1"/>
  <c r="T375" i="1" a="1"/>
  <c r="T375" i="1" s="1"/>
  <c r="T380" i="1" a="1"/>
  <c r="T380" i="1" s="1"/>
  <c r="T381" i="1" a="1"/>
  <c r="T381" i="1" s="1"/>
  <c r="T385" i="1" a="1"/>
  <c r="T385" i="1" s="1"/>
  <c r="T390" i="1" a="1"/>
  <c r="T390" i="1" s="1"/>
  <c r="T398" i="1" a="1"/>
  <c r="T398" i="1" s="1"/>
  <c r="T396" i="1" a="1"/>
  <c r="T396" i="1" s="1"/>
  <c r="T404" i="1" a="1"/>
  <c r="T404" i="1" s="1"/>
  <c r="T399" i="1" a="1"/>
  <c r="T399" i="1" s="1"/>
  <c r="T276" i="1" a="1"/>
  <c r="T276" i="1" s="1"/>
  <c r="T304" i="1" a="1"/>
  <c r="T304" i="1" s="1"/>
  <c r="T421" i="1" a="1"/>
  <c r="T421" i="1" s="1"/>
  <c r="T423" i="1" a="1"/>
  <c r="T423" i="1" s="1"/>
  <c r="T181" i="1" a="1"/>
  <c r="T181" i="1" s="1"/>
  <c r="T430" i="1" a="1"/>
  <c r="T430" i="1" s="1"/>
  <c r="T112" i="1" a="1"/>
  <c r="T112" i="1" s="1"/>
  <c r="T439" i="1" a="1"/>
  <c r="T439" i="1" s="1"/>
  <c r="T447" i="1" a="1"/>
  <c r="T447" i="1" s="1"/>
  <c r="T450" i="1" a="1"/>
  <c r="T450" i="1" s="1"/>
  <c r="T454" i="1" a="1"/>
  <c r="T454" i="1" s="1"/>
  <c r="T458" i="1" a="1"/>
  <c r="T458" i="1" s="1"/>
  <c r="T275" i="1" a="1"/>
  <c r="T275" i="1" s="1"/>
  <c r="T465" i="1" a="1"/>
  <c r="T465" i="1" s="1"/>
  <c r="T503" i="1" a="1"/>
  <c r="T503" i="1" s="1"/>
  <c r="T474" i="1" a="1"/>
  <c r="T474" i="1" s="1"/>
  <c r="T84" i="1" a="1"/>
  <c r="T84" i="1" s="1"/>
  <c r="T17" i="1" a="1"/>
  <c r="T17" i="1" s="1"/>
  <c r="T486" i="1" a="1"/>
  <c r="T486" i="1" s="1"/>
  <c r="T261" i="1" a="1"/>
  <c r="T261" i="1" s="1"/>
  <c r="T495" i="1" a="1"/>
  <c r="T495" i="1" s="1"/>
  <c r="T498" i="1" a="1"/>
  <c r="T498" i="1" s="1"/>
  <c r="T502" i="1" a="1"/>
  <c r="T502" i="1" s="1"/>
  <c r="T507" i="1" a="1"/>
  <c r="T507" i="1" s="1"/>
  <c r="T510" i="1" a="1"/>
  <c r="T510" i="1" s="1"/>
  <c r="Q133" i="1" a="1"/>
  <c r="Q133" i="1" s="1"/>
  <c r="R133" i="1" s="1"/>
  <c r="Q9" i="1" a="1"/>
  <c r="Q9" i="1"/>
  <c r="R9" i="1" s="1"/>
  <c r="Q12" i="1" a="1"/>
  <c r="Q12" i="1" s="1"/>
  <c r="R12" i="1" s="1"/>
  <c r="Q238" i="1" a="1"/>
  <c r="Q238" i="1"/>
  <c r="R238" i="1" s="1"/>
  <c r="Q20" i="1" a="1"/>
  <c r="Q20" i="1" s="1"/>
  <c r="R20" i="1" s="1"/>
  <c r="Q25" i="1" a="1"/>
  <c r="Q25" i="1"/>
  <c r="R25" i="1" s="1"/>
  <c r="Q28" i="1" a="1"/>
  <c r="Q28" i="1" s="1"/>
  <c r="R28" i="1" s="1"/>
  <c r="Q32" i="1" a="1"/>
  <c r="Q32" i="1"/>
  <c r="R32" i="1" s="1"/>
  <c r="Q36" i="1" a="1"/>
  <c r="Q36" i="1" s="1"/>
  <c r="R36" i="1" s="1"/>
  <c r="Q165" i="1" a="1"/>
  <c r="Q165" i="1"/>
  <c r="R165" i="1" s="1"/>
  <c r="Q44" i="1" a="1"/>
  <c r="Q44" i="1" s="1"/>
  <c r="R44" i="1" s="1"/>
  <c r="Q48" i="1" a="1"/>
  <c r="Q48" i="1"/>
  <c r="R48" i="1" s="1"/>
  <c r="Q52" i="1" a="1"/>
  <c r="Q52" i="1" s="1"/>
  <c r="R52" i="1" s="1"/>
  <c r="Q57" i="1" a="1"/>
  <c r="Q57" i="1"/>
  <c r="R57" i="1" s="1"/>
  <c r="Q60" i="1" a="1"/>
  <c r="Q60" i="1" s="1"/>
  <c r="R60" i="1" s="1"/>
  <c r="Q64" i="1" a="1"/>
  <c r="Q64" i="1"/>
  <c r="R64" i="1" s="1"/>
  <c r="Q67" i="1" a="1"/>
  <c r="Q67" i="1" s="1"/>
  <c r="R67" i="1" s="1"/>
  <c r="Q72" i="1" a="1"/>
  <c r="Q72" i="1"/>
  <c r="R72" i="1" s="1"/>
  <c r="Q262" i="1" a="1"/>
  <c r="Q262" i="1" s="1"/>
  <c r="R262" i="1" s="1"/>
  <c r="Q81" i="1" a="1"/>
  <c r="Q81" i="1"/>
  <c r="R81" i="1" s="1"/>
  <c r="Q413" i="1" a="1"/>
  <c r="Q413" i="1" s="1"/>
  <c r="R413" i="1" s="1"/>
  <c r="Q418" i="1" a="1"/>
  <c r="Q418" i="1"/>
  <c r="R418" i="1" s="1"/>
  <c r="Q289" i="1" a="1"/>
  <c r="Q289" i="1" s="1"/>
  <c r="R289" i="1" s="1"/>
  <c r="Q98" i="1" a="1"/>
  <c r="Q98" i="1"/>
  <c r="R98" i="1" s="1"/>
  <c r="Q101" i="1" a="1"/>
  <c r="Q101" i="1" s="1"/>
  <c r="R101" i="1" s="1"/>
  <c r="Q383" i="1" a="1"/>
  <c r="Q383" i="1"/>
  <c r="R383" i="1" s="1"/>
  <c r="Q109" i="1" a="1"/>
  <c r="Q109" i="1" s="1"/>
  <c r="R109" i="1" s="1"/>
  <c r="Q433" i="1" a="1"/>
  <c r="Q433" i="1"/>
  <c r="R433" i="1" s="1"/>
  <c r="Q118" i="1" a="1"/>
  <c r="Q118" i="1" s="1"/>
  <c r="R118" i="1" s="1"/>
  <c r="Q122" i="1" a="1"/>
  <c r="Q122" i="1"/>
  <c r="R122" i="1" s="1"/>
  <c r="Q125" i="1" a="1"/>
  <c r="Q125" i="1" s="1"/>
  <c r="R125" i="1" s="1"/>
  <c r="Q129" i="1" a="1"/>
  <c r="Q129" i="1"/>
  <c r="R129" i="1" s="1"/>
  <c r="Q131" i="1" a="1"/>
  <c r="Q131" i="1" s="1"/>
  <c r="R131" i="1" s="1"/>
  <c r="Q139" i="1" a="1"/>
  <c r="Q139" i="1"/>
  <c r="R139" i="1" s="1"/>
  <c r="Q140" i="1" a="1"/>
  <c r="Q140" i="1" s="1"/>
  <c r="R140" i="1" s="1"/>
  <c r="Q150" i="1" a="1"/>
  <c r="Q150" i="1"/>
  <c r="R150" i="1" s="1"/>
  <c r="Q156" i="1" a="1"/>
  <c r="Q156" i="1" s="1"/>
  <c r="R156" i="1" s="1"/>
  <c r="Q309" i="1" a="1"/>
  <c r="Q309" i="1"/>
  <c r="R309" i="1" s="1"/>
  <c r="Q164" i="1" a="1"/>
  <c r="Q164" i="1" s="1"/>
  <c r="R164" i="1" s="1"/>
  <c r="Q167" i="1" a="1"/>
  <c r="Q167" i="1"/>
  <c r="R167" i="1" s="1"/>
  <c r="Q172" i="1" a="1"/>
  <c r="Q172" i="1" s="1"/>
  <c r="R172" i="1" s="1"/>
  <c r="Q175" i="1" a="1"/>
  <c r="Q175" i="1"/>
  <c r="R175" i="1" s="1"/>
  <c r="Q178" i="1" a="1"/>
  <c r="Q178" i="1" s="1"/>
  <c r="R178" i="1" s="1"/>
  <c r="Q183" i="1" a="1"/>
  <c r="Q183" i="1"/>
  <c r="R183" i="1" s="1"/>
  <c r="Q185" i="1" a="1"/>
  <c r="Q185" i="1" s="1"/>
  <c r="R185" i="1" s="1"/>
  <c r="Q188" i="1" a="1"/>
  <c r="Q188" i="1"/>
  <c r="R188" i="1" s="1"/>
  <c r="Q412" i="1" a="1"/>
  <c r="Q412" i="1" s="1"/>
  <c r="R412" i="1" s="1"/>
  <c r="Q193" i="1" a="1"/>
  <c r="Q193" i="1"/>
  <c r="R193" i="1" s="1"/>
  <c r="Q195" i="1" a="1"/>
  <c r="Q195" i="1" s="1"/>
  <c r="R195" i="1" s="1"/>
  <c r="T444" i="1" a="1"/>
  <c r="T444" i="1"/>
  <c r="O10" i="1" a="1"/>
  <c r="O10" i="1"/>
  <c r="P10" i="1" s="1"/>
  <c r="O8" i="1" a="1"/>
  <c r="O8" i="1" s="1"/>
  <c r="P8" i="1"/>
  <c r="O5" i="1" a="1"/>
  <c r="O5" i="1"/>
  <c r="P5" i="1" s="1"/>
  <c r="O133" i="1" a="1"/>
  <c r="O133" i="1" s="1"/>
  <c r="P133" i="1"/>
  <c r="O2" i="1" a="1"/>
  <c r="O2" i="1"/>
  <c r="P2" i="1" s="1"/>
  <c r="Q509" i="1" a="1"/>
  <c r="Q509" i="1" s="1"/>
  <c r="R509" i="1"/>
  <c r="Q508" i="1" a="1"/>
  <c r="Q508" i="1"/>
  <c r="R508" i="1" s="1"/>
  <c r="Q507" i="1" a="1"/>
  <c r="Q507" i="1" s="1"/>
  <c r="R507" i="1"/>
  <c r="Q505" i="1" a="1"/>
  <c r="Q505" i="1"/>
  <c r="R505" i="1" s="1"/>
  <c r="Q501" i="1" a="1"/>
  <c r="Q501" i="1" s="1"/>
  <c r="R501" i="1"/>
  <c r="Q500" i="1" a="1"/>
  <c r="Q500" i="1"/>
  <c r="R500" i="1" s="1"/>
  <c r="Q498" i="1" a="1"/>
  <c r="Q498" i="1" s="1"/>
  <c r="R498" i="1"/>
  <c r="Q496" i="1" a="1"/>
  <c r="Q496" i="1"/>
  <c r="R496" i="1" s="1"/>
  <c r="Q108" i="1" a="1"/>
  <c r="Q108" i="1" s="1"/>
  <c r="R108" i="1"/>
  <c r="Q492" i="1" a="1"/>
  <c r="Q492" i="1"/>
  <c r="R492" i="1" s="1"/>
  <c r="Q261" i="1" a="1"/>
  <c r="Q261" i="1" s="1"/>
  <c r="R261" i="1"/>
  <c r="Q487" i="1" a="1"/>
  <c r="Q487" i="1"/>
  <c r="R487" i="1" s="1"/>
  <c r="Q42" i="1" a="1"/>
  <c r="Q42" i="1" s="1"/>
  <c r="R42" i="1"/>
  <c r="Q484" i="1" a="1"/>
  <c r="Q484" i="1"/>
  <c r="R484" i="1" s="1"/>
  <c r="Q17" i="1" a="1"/>
  <c r="Q17" i="1" s="1"/>
  <c r="R17" i="1"/>
  <c r="Q480" i="1" a="1"/>
  <c r="Q480" i="1"/>
  <c r="R480" i="1" s="1"/>
  <c r="Q477" i="1" a="1"/>
  <c r="Q477" i="1" s="1"/>
  <c r="R477" i="1"/>
  <c r="Q475" i="1" a="1"/>
  <c r="Q475" i="1"/>
  <c r="R475" i="1" s="1"/>
  <c r="Q474" i="1" a="1"/>
  <c r="Q474" i="1" s="1"/>
  <c r="R474" i="1"/>
  <c r="Q472" i="1" a="1"/>
  <c r="Q472" i="1"/>
  <c r="R472" i="1" s="1"/>
  <c r="Q469" i="1" a="1"/>
  <c r="Q469" i="1" s="1"/>
  <c r="R469" i="1"/>
  <c r="Q467" i="1" a="1"/>
  <c r="Q467" i="1"/>
  <c r="R467" i="1" s="1"/>
  <c r="Q465" i="1" a="1"/>
  <c r="Q465" i="1" s="1"/>
  <c r="R465" i="1"/>
  <c r="Q463" i="1" a="1"/>
  <c r="Q463" i="1"/>
  <c r="R463" i="1" s="1"/>
  <c r="Q462" i="1" a="1"/>
  <c r="Q462" i="1" s="1"/>
  <c r="R462" i="1"/>
  <c r="Q459" i="1" a="1"/>
  <c r="Q459" i="1"/>
  <c r="R459" i="1" s="1"/>
  <c r="Q458" i="1" a="1"/>
  <c r="Q458" i="1" s="1"/>
  <c r="R458" i="1"/>
  <c r="Q511" i="1" a="1"/>
  <c r="Q511" i="1"/>
  <c r="R511" i="1" s="1"/>
  <c r="Q453" i="1" a="1"/>
  <c r="Q453" i="1" s="1"/>
  <c r="R453" i="1"/>
  <c r="Q451" i="1" a="1"/>
  <c r="Q451" i="1"/>
  <c r="R451" i="1" s="1"/>
  <c r="Q450" i="1" a="1"/>
  <c r="Q450" i="1" s="1"/>
  <c r="R450" i="1"/>
  <c r="Q448" i="1" a="1"/>
  <c r="Q448" i="1"/>
  <c r="R448" i="1" s="1"/>
  <c r="Q488" i="1" a="1"/>
  <c r="Q488" i="1" s="1"/>
  <c r="R488" i="1"/>
  <c r="Q440" i="1" a="1"/>
  <c r="Q440" i="1"/>
  <c r="R440" i="1" s="1"/>
  <c r="Q439" i="1" a="1"/>
  <c r="Q439" i="1" s="1"/>
  <c r="R439" i="1"/>
  <c r="Q437" i="1" a="1"/>
  <c r="Q437" i="1"/>
  <c r="R437" i="1" s="1"/>
  <c r="Q435" i="1" a="1"/>
  <c r="Q435" i="1" s="1"/>
  <c r="R435" i="1"/>
  <c r="Q432" i="1" a="1"/>
  <c r="Q432" i="1"/>
  <c r="R432" i="1" s="1"/>
  <c r="Q430" i="1" a="1"/>
  <c r="Q430" i="1" s="1"/>
  <c r="R430" i="1"/>
  <c r="Q429" i="1" a="1"/>
  <c r="Q429" i="1"/>
  <c r="R429" i="1" s="1"/>
  <c r="Q504" i="1" a="1"/>
  <c r="Q504" i="1" s="1"/>
  <c r="R504" i="1"/>
  <c r="Q424" i="1" a="1"/>
  <c r="Q424" i="1"/>
  <c r="R424" i="1" s="1"/>
  <c r="Q423" i="1" a="1"/>
  <c r="Q423" i="1" s="1"/>
  <c r="R423" i="1"/>
  <c r="Q422" i="1" a="1"/>
  <c r="Q422" i="1"/>
  <c r="R422" i="1" s="1"/>
  <c r="Q420" i="1" a="1"/>
  <c r="Q420" i="1" s="1"/>
  <c r="R420" i="1"/>
  <c r="Q416" i="1" a="1"/>
  <c r="Q416" i="1"/>
  <c r="R416" i="1" s="1"/>
  <c r="Q304" i="1" a="1"/>
  <c r="Q304" i="1" s="1"/>
  <c r="R304" i="1"/>
  <c r="Q135" i="1" a="1"/>
  <c r="Q135" i="1"/>
  <c r="R135" i="1" s="1"/>
  <c r="Q411" i="1" a="1"/>
  <c r="Q411" i="1" s="1"/>
  <c r="R411" i="1"/>
  <c r="Q408" i="1" a="1"/>
  <c r="Q408" i="1"/>
  <c r="R408" i="1" s="1"/>
  <c r="Q399" i="1" a="1"/>
  <c r="Q399" i="1" s="1"/>
  <c r="R399" i="1"/>
  <c r="Q405" i="1" a="1"/>
  <c r="Q405" i="1"/>
  <c r="R405" i="1" s="1"/>
  <c r="Q403" i="1" a="1"/>
  <c r="Q403" i="1" s="1"/>
  <c r="R403" i="1"/>
  <c r="Q401" i="1" a="1"/>
  <c r="Q401" i="1"/>
  <c r="R401" i="1" s="1"/>
  <c r="Q396" i="1" a="1"/>
  <c r="Q396" i="1" s="1"/>
  <c r="R396" i="1"/>
  <c r="Q395" i="1" a="1"/>
  <c r="Q395" i="1"/>
  <c r="R395" i="1" s="1"/>
  <c r="Q394" i="1" a="1"/>
  <c r="Q394" i="1" s="1"/>
  <c r="R394" i="1"/>
  <c r="Q392" i="1" a="1"/>
  <c r="Q392" i="1"/>
  <c r="R392" i="1" s="1"/>
  <c r="Q390" i="1" a="1"/>
  <c r="Q390" i="1" s="1"/>
  <c r="R390" i="1"/>
  <c r="Q116" i="1" a="1"/>
  <c r="Q116" i="1"/>
  <c r="R116" i="1" s="1"/>
  <c r="Q199" i="1" a="1"/>
  <c r="Q199" i="1" s="1"/>
  <c r="R199" i="1"/>
  <c r="Q387" i="1" a="1"/>
  <c r="Q387" i="1"/>
  <c r="R387" i="1" s="1"/>
  <c r="Q381" i="1" a="1"/>
  <c r="Q381" i="1" s="1"/>
  <c r="R381" i="1"/>
  <c r="Q478" i="1" a="1"/>
  <c r="Q478" i="1"/>
  <c r="R478" i="1" s="1"/>
  <c r="Q379" i="1" a="1"/>
  <c r="Q379" i="1" s="1"/>
  <c r="R379" i="1"/>
  <c r="Q377" i="1" a="1"/>
  <c r="Q377" i="1"/>
  <c r="R377" i="1" s="1"/>
  <c r="Q375" i="1" a="1"/>
  <c r="Q375" i="1" s="1"/>
  <c r="R375" i="1"/>
  <c r="Q331" i="1" a="1"/>
  <c r="Q331" i="1"/>
  <c r="R331" i="1" s="1"/>
  <c r="Q371" i="1" a="1"/>
  <c r="Q371" i="1" s="1"/>
  <c r="R371" i="1"/>
  <c r="Q369" i="1" a="1"/>
  <c r="Q369" i="1"/>
  <c r="R369" i="1" s="1"/>
  <c r="Q367" i="1" a="1"/>
  <c r="Q367" i="1" s="1"/>
  <c r="R367" i="1"/>
  <c r="Q365" i="1" a="1"/>
  <c r="Q365" i="1"/>
  <c r="R365" i="1" s="1"/>
  <c r="Q425" i="1" a="1"/>
  <c r="Q425" i="1" s="1"/>
  <c r="R425" i="1"/>
  <c r="Q360" i="1" a="1"/>
  <c r="Q360" i="1"/>
  <c r="R360" i="1" s="1"/>
  <c r="Q358" i="1" a="1"/>
  <c r="Q358" i="1" s="1"/>
  <c r="R358" i="1"/>
  <c r="Q473" i="1" a="1"/>
  <c r="Q473" i="1"/>
  <c r="R473" i="1" s="1"/>
  <c r="Q355" i="1" a="1"/>
  <c r="Q355" i="1" s="1"/>
  <c r="R355" i="1"/>
  <c r="Q351" i="1" a="1"/>
  <c r="Q351" i="1"/>
  <c r="R351" i="1" s="1"/>
  <c r="Q349" i="1" a="1"/>
  <c r="Q349" i="1" s="1"/>
  <c r="R349" i="1" s="1"/>
  <c r="Q347" i="1" a="1"/>
  <c r="Q347" i="1"/>
  <c r="R347" i="1" s="1"/>
  <c r="Q346" i="1" a="1"/>
  <c r="Q346" i="1" s="1"/>
  <c r="R346" i="1" s="1"/>
  <c r="Q344" i="1" a="1"/>
  <c r="Q344" i="1"/>
  <c r="R344" i="1" s="1"/>
  <c r="Q389" i="1" a="1"/>
  <c r="Q389" i="1" s="1"/>
  <c r="R389" i="1" s="1"/>
  <c r="Q191" i="1" a="1"/>
  <c r="Q191" i="1"/>
  <c r="R191" i="1" s="1"/>
  <c r="Q339" i="1" a="1"/>
  <c r="Q339" i="1" s="1"/>
  <c r="R339" i="1" s="1"/>
  <c r="Q337" i="1" a="1"/>
  <c r="Q337" i="1"/>
  <c r="R337" i="1" s="1"/>
  <c r="Q335" i="1" a="1"/>
  <c r="Q335" i="1" s="1"/>
  <c r="R335" i="1" s="1"/>
  <c r="Q332" i="1" a="1"/>
  <c r="Q332" i="1"/>
  <c r="R332" i="1" s="1"/>
  <c r="Q273" i="1" a="1"/>
  <c r="Q273" i="1" s="1"/>
  <c r="R273" i="1" s="1"/>
  <c r="Q328" i="1" a="1"/>
  <c r="Q328" i="1"/>
  <c r="R328" i="1" s="1"/>
  <c r="Q324" i="1" a="1"/>
  <c r="Q324" i="1" s="1"/>
  <c r="R324" i="1" s="1"/>
  <c r="Q321" i="1" a="1"/>
  <c r="Q321" i="1"/>
  <c r="R321" i="1" s="1"/>
  <c r="Q162" i="1" a="1"/>
  <c r="Q162" i="1" s="1"/>
  <c r="R162" i="1" s="1"/>
  <c r="Q7" i="1" a="1"/>
  <c r="Q7" i="1"/>
  <c r="R7" i="1" s="1"/>
  <c r="Q382" i="1" a="1"/>
  <c r="Q382" i="1" s="1"/>
  <c r="R382" i="1" s="1"/>
  <c r="Q315" i="1" a="1"/>
  <c r="Q315" i="1"/>
  <c r="R315" i="1" s="1"/>
  <c r="Q312" i="1" a="1"/>
  <c r="Q312" i="1" s="1"/>
  <c r="R312" i="1" s="1"/>
  <c r="Q311" i="1" a="1"/>
  <c r="Q311" i="1"/>
  <c r="R311" i="1" s="1"/>
  <c r="Q307" i="1" a="1"/>
  <c r="Q307" i="1" s="1"/>
  <c r="R307" i="1" s="1"/>
  <c r="Q218" i="1" a="1"/>
  <c r="Q218" i="1"/>
  <c r="R218" i="1" s="1"/>
  <c r="Q305" i="1" a="1"/>
  <c r="Q305" i="1" s="1"/>
  <c r="R305" i="1" s="1"/>
  <c r="Q300" i="1" a="1"/>
  <c r="Q300" i="1"/>
  <c r="R300" i="1" s="1"/>
  <c r="Q299" i="1" a="1"/>
  <c r="Q299" i="1" s="1"/>
  <c r="R299" i="1" s="1"/>
  <c r="Q320" i="1" a="1"/>
  <c r="Q320" i="1"/>
  <c r="R320" i="1" s="1"/>
  <c r="Q296" i="1" a="1"/>
  <c r="Q296" i="1" s="1"/>
  <c r="R296" i="1" s="1"/>
  <c r="Q294" i="1" a="1"/>
  <c r="Q294" i="1"/>
  <c r="R294" i="1" s="1"/>
  <c r="Q292" i="1" a="1"/>
  <c r="Q292" i="1" s="1"/>
  <c r="R292" i="1" s="1"/>
  <c r="Q370" i="1" a="1"/>
  <c r="Q370" i="1"/>
  <c r="R370" i="1" s="1"/>
  <c r="Q287" i="1" a="1"/>
  <c r="Q287" i="1" s="1"/>
  <c r="R287" i="1" s="1"/>
  <c r="Q285" i="1" a="1"/>
  <c r="Q285" i="1"/>
  <c r="R285" i="1" s="1"/>
  <c r="Q283" i="1" a="1"/>
  <c r="Q283" i="1" s="1"/>
  <c r="R283" i="1" s="1"/>
  <c r="Q282" i="1" a="1"/>
  <c r="Q282" i="1"/>
  <c r="R282" i="1" s="1"/>
  <c r="Q280" i="1" a="1"/>
  <c r="Q280" i="1" s="1"/>
  <c r="R280" i="1" s="1"/>
  <c r="Q277" i="1" a="1"/>
  <c r="Q277" i="1"/>
  <c r="R277" i="1" s="1"/>
  <c r="Q35" i="1" a="1"/>
  <c r="Q35" i="1" s="1"/>
  <c r="R35" i="1" s="1"/>
  <c r="Q77" i="1" a="1"/>
  <c r="Q77" i="1"/>
  <c r="R77" i="1" s="1"/>
  <c r="Q373" i="1" a="1"/>
  <c r="Q373" i="1" s="1"/>
  <c r="R373" i="1" s="1"/>
  <c r="Q267" i="1" a="1"/>
  <c r="Q267" i="1"/>
  <c r="R267" i="1" s="1"/>
  <c r="Q265" i="1" a="1"/>
  <c r="Q265" i="1" s="1"/>
  <c r="R265" i="1" s="1"/>
  <c r="Q264" i="1" a="1"/>
  <c r="Q264" i="1"/>
  <c r="R264" i="1" s="1"/>
  <c r="Q260" i="1" a="1"/>
  <c r="Q260" i="1" s="1"/>
  <c r="R260" i="1" s="1"/>
  <c r="Q258" i="1" a="1"/>
  <c r="Q258" i="1"/>
  <c r="R258" i="1" s="1"/>
  <c r="Q256" i="1" a="1"/>
  <c r="Q256" i="1" s="1"/>
  <c r="R256" i="1" s="1"/>
  <c r="Q255" i="1" a="1"/>
  <c r="Q255" i="1"/>
  <c r="R255" i="1" s="1"/>
  <c r="Q455" i="1" a="1"/>
  <c r="Q455" i="1" s="1"/>
  <c r="R455" i="1" s="1"/>
  <c r="Q252" i="1" a="1"/>
  <c r="Q252" i="1"/>
  <c r="R252" i="1" s="1"/>
  <c r="Q250" i="1" a="1"/>
  <c r="Q250" i="1" s="1"/>
  <c r="R250" i="1" s="1"/>
  <c r="Q248" i="1" a="1"/>
  <c r="Q248" i="1"/>
  <c r="R248" i="1" s="1"/>
  <c r="Q246" i="1" a="1"/>
  <c r="Q246" i="1" s="1"/>
  <c r="R246" i="1" s="1"/>
  <c r="Q244" i="1" a="1"/>
  <c r="Q244" i="1"/>
  <c r="R244" i="1" s="1"/>
  <c r="Q242" i="1" a="1"/>
  <c r="Q242" i="1" s="1"/>
  <c r="R242" i="1" s="1"/>
  <c r="Q146" i="1" a="1"/>
  <c r="Q146" i="1"/>
  <c r="R146" i="1" s="1"/>
  <c r="Q239" i="1" a="1"/>
  <c r="Q239" i="1" s="1"/>
  <c r="R239" i="1" s="1"/>
  <c r="Q237" i="1" a="1"/>
  <c r="Q237" i="1"/>
  <c r="R237" i="1" s="1"/>
  <c r="Q233" i="1" a="1"/>
  <c r="Q233" i="1" s="1"/>
  <c r="R233" i="1" s="1"/>
  <c r="Q426" i="1" a="1"/>
  <c r="Q426" i="1"/>
  <c r="R426" i="1" s="1"/>
  <c r="Q211" i="1" a="1"/>
  <c r="Q211" i="1" s="1"/>
  <c r="R211" i="1" s="1"/>
  <c r="Q229" i="1" a="1"/>
  <c r="Q229" i="1"/>
  <c r="R229" i="1" s="1"/>
  <c r="Q227" i="1" a="1"/>
  <c r="Q227" i="1" s="1"/>
  <c r="R227" i="1" s="1"/>
  <c r="Q225" i="1" a="1"/>
  <c r="Q225" i="1"/>
  <c r="R225" i="1" s="1"/>
  <c r="Q223" i="1" a="1"/>
  <c r="Q223" i="1" s="1"/>
  <c r="R223" i="1" s="1"/>
  <c r="Q221" i="1" a="1"/>
  <c r="Q221" i="1"/>
  <c r="R221" i="1" s="1"/>
  <c r="Q75" i="1" a="1"/>
  <c r="Q75" i="1" s="1"/>
  <c r="R75" i="1" s="1"/>
  <c r="Q215" i="1" a="1"/>
  <c r="Q215" i="1"/>
  <c r="R215" i="1" s="1"/>
  <c r="Q456" i="1" a="1"/>
  <c r="Q456" i="1" s="1"/>
  <c r="R456" i="1" s="1"/>
  <c r="Q212" i="1" a="1"/>
  <c r="Q212" i="1"/>
  <c r="R212" i="1" s="1"/>
  <c r="Q319" i="1" a="1"/>
  <c r="Q319" i="1" s="1"/>
  <c r="R319" i="1" s="1"/>
  <c r="Q209" i="1" a="1"/>
  <c r="Q209" i="1"/>
  <c r="R209" i="1" s="1"/>
  <c r="Q207" i="1" a="1"/>
  <c r="Q207" i="1" s="1"/>
  <c r="R207" i="1" s="1"/>
  <c r="Q204" i="1" a="1"/>
  <c r="Q204" i="1"/>
  <c r="R204" i="1" s="1"/>
  <c r="Q203" i="1" a="1"/>
  <c r="Q203" i="1" s="1"/>
  <c r="R203" i="1" s="1"/>
  <c r="Q201" i="1" a="1"/>
  <c r="Q201" i="1"/>
  <c r="R201" i="1" s="1"/>
  <c r="Q198" i="1" a="1"/>
  <c r="Q198" i="1" s="1"/>
  <c r="R198" i="1" s="1"/>
  <c r="Q197" i="1" a="1"/>
  <c r="Q197" i="1"/>
  <c r="R197" i="1" s="1"/>
  <c r="Q192" i="1" a="1"/>
  <c r="Q192" i="1" s="1"/>
  <c r="R192" i="1" s="1"/>
  <c r="Q177" i="1" a="1"/>
  <c r="Q177" i="1"/>
  <c r="R177" i="1" s="1"/>
  <c r="Q174" i="1" a="1"/>
  <c r="Q174" i="1" s="1"/>
  <c r="R174" i="1" s="1"/>
  <c r="Q171" i="1" a="1"/>
  <c r="Q171" i="1"/>
  <c r="R171" i="1" s="1"/>
  <c r="Q159" i="1" a="1"/>
  <c r="Q159" i="1" s="1"/>
  <c r="R159" i="1" s="1"/>
  <c r="Q157" i="1" a="1"/>
  <c r="Q157" i="1"/>
  <c r="R157" i="1" s="1"/>
  <c r="Q153" i="1" a="1"/>
  <c r="Q153" i="1" s="1"/>
  <c r="R153" i="1" s="1"/>
  <c r="Q145" i="1" a="1"/>
  <c r="Q145" i="1"/>
  <c r="R145" i="1" s="1"/>
  <c r="Q180" i="1" a="1"/>
  <c r="Q180" i="1" s="1"/>
  <c r="R180" i="1" s="1"/>
  <c r="Q121" i="1" a="1"/>
  <c r="Q121" i="1"/>
  <c r="R121" i="1" s="1"/>
  <c r="Q127" i="1" a="1"/>
  <c r="Q127" i="1" s="1"/>
  <c r="R127" i="1" s="1"/>
  <c r="Q120" i="1" a="1"/>
  <c r="Q120" i="1"/>
  <c r="R120" i="1" s="1"/>
  <c r="Q184" i="1" a="1"/>
  <c r="Q184" i="1" s="1"/>
  <c r="R184" i="1" s="1"/>
  <c r="Q111" i="1" a="1"/>
  <c r="Q111" i="1"/>
  <c r="R111" i="1" s="1"/>
  <c r="Q102" i="1" a="1"/>
  <c r="Q102" i="1" s="1"/>
  <c r="R102" i="1" s="1"/>
  <c r="Q99" i="1" a="1"/>
  <c r="Q99" i="1"/>
  <c r="R99" i="1" s="1"/>
  <c r="Q93" i="1" a="1"/>
  <c r="Q93" i="1" s="1"/>
  <c r="R93" i="1" s="1"/>
  <c r="Q51" i="1" a="1"/>
  <c r="Q51" i="1"/>
  <c r="R51" i="1" s="1"/>
  <c r="Q270" i="1" a="1"/>
  <c r="Q270" i="1" s="1"/>
  <c r="R270" i="1" s="1"/>
  <c r="Q79" i="1" a="1"/>
  <c r="Q79" i="1"/>
  <c r="R79" i="1" s="1"/>
  <c r="Q68" i="1" a="1"/>
  <c r="Q68" i="1" s="1"/>
  <c r="R68" i="1" s="1"/>
  <c r="Q65" i="1" a="1"/>
  <c r="Q65" i="1"/>
  <c r="R65" i="1" s="1"/>
  <c r="Q271" i="1" a="1"/>
  <c r="Q271" i="1" s="1"/>
  <c r="R271" i="1" s="1"/>
  <c r="Q55" i="1" a="1"/>
  <c r="Q55" i="1"/>
  <c r="R55" i="1" s="1"/>
  <c r="Q50" i="1" a="1"/>
  <c r="Q50" i="1" s="1"/>
  <c r="R50" i="1" s="1"/>
  <c r="Q47" i="1" a="1"/>
  <c r="Q47" i="1"/>
  <c r="R47" i="1" s="1"/>
  <c r="Q37" i="1" a="1"/>
  <c r="Q37" i="1" s="1"/>
  <c r="R37" i="1" s="1"/>
  <c r="Q33" i="1" a="1"/>
  <c r="Q33" i="1"/>
  <c r="R33" i="1" s="1"/>
  <c r="Q29" i="1" a="1"/>
  <c r="Q29" i="1" s="1"/>
  <c r="R29" i="1" s="1"/>
  <c r="Q23" i="1" a="1"/>
  <c r="Q23" i="1"/>
  <c r="R23" i="1" s="1"/>
  <c r="Q19" i="1" a="1"/>
  <c r="Q19" i="1" s="1"/>
  <c r="R19" i="1" s="1"/>
  <c r="Q330" i="1" a="1"/>
  <c r="Q330" i="1"/>
  <c r="R330" i="1" s="1"/>
  <c r="Q445" i="1" a="1"/>
  <c r="Q445" i="1" s="1"/>
  <c r="R445" i="1" s="1"/>
  <c r="Q2" i="1" a="1"/>
  <c r="Q2" i="1"/>
  <c r="R2" i="1" s="1"/>
  <c r="T508" i="1" a="1"/>
  <c r="T508" i="1" s="1"/>
  <c r="T216" i="1" a="1"/>
  <c r="T216" i="1" s="1"/>
  <c r="T497" i="1" a="1"/>
  <c r="T497" i="1" s="1"/>
  <c r="T108" i="1" a="1"/>
  <c r="T108" i="1" s="1"/>
  <c r="T483" i="1" a="1"/>
  <c r="T483" i="1" s="1"/>
  <c r="T480" i="1" a="1"/>
  <c r="T480" i="1" s="1"/>
  <c r="T475" i="1" a="1"/>
  <c r="T475" i="1" s="1"/>
  <c r="T468" i="1" a="1"/>
  <c r="T468" i="1" s="1"/>
  <c r="T464" i="1" a="1"/>
  <c r="T464" i="1" s="1"/>
  <c r="T462" i="1" a="1"/>
  <c r="T462" i="1" s="1"/>
  <c r="T86" i="1" a="1"/>
  <c r="T86" i="1" s="1"/>
  <c r="T448" i="1" a="1"/>
  <c r="T448" i="1" s="1"/>
  <c r="T440" i="1" a="1"/>
  <c r="T440" i="1" s="1"/>
  <c r="T434" i="1" a="1"/>
  <c r="T434" i="1" s="1"/>
  <c r="T362" i="1" a="1"/>
  <c r="T362" i="1" s="1"/>
  <c r="T504" i="1" a="1"/>
  <c r="T504" i="1" s="1"/>
  <c r="T415" i="1" a="1"/>
  <c r="T415" i="1" s="1"/>
  <c r="T135" i="1" a="1"/>
  <c r="T135" i="1" s="1"/>
  <c r="T408" i="1" a="1"/>
  <c r="T408" i="1" s="1"/>
  <c r="T402" i="1" a="1"/>
  <c r="T402" i="1" s="1"/>
  <c r="T105" i="1" a="1"/>
  <c r="T105" i="1" s="1"/>
  <c r="T394" i="1" a="1"/>
  <c r="T394" i="1" s="1"/>
  <c r="T386" i="1" a="1"/>
  <c r="T386" i="1" s="1"/>
  <c r="T478" i="1" a="1"/>
  <c r="T478" i="1" s="1"/>
  <c r="T377" i="1" a="1"/>
  <c r="T377" i="1" s="1"/>
  <c r="T310" i="1" a="1"/>
  <c r="T310" i="1" s="1"/>
  <c r="T366" i="1" a="1"/>
  <c r="T366" i="1" s="1"/>
  <c r="T425" i="1" a="1"/>
  <c r="T425" i="1" s="1"/>
  <c r="T350" i="1" a="1"/>
  <c r="T350" i="1" s="1"/>
  <c r="T347" i="1" a="1"/>
  <c r="T347" i="1" s="1"/>
  <c r="T344" i="1" a="1"/>
  <c r="T344" i="1" s="1"/>
  <c r="T338" i="1" a="1"/>
  <c r="T338" i="1" s="1"/>
  <c r="T334" i="1" a="1"/>
  <c r="T334" i="1" s="1"/>
  <c r="T273" i="1" a="1"/>
  <c r="T273" i="1" s="1"/>
  <c r="T317" i="1" a="1"/>
  <c r="T317" i="1" s="1"/>
  <c r="T315" i="1" a="1"/>
  <c r="T315" i="1" s="1"/>
  <c r="T311" i="1" a="1"/>
  <c r="T311" i="1" s="1"/>
  <c r="T301" i="1" a="1"/>
  <c r="T301" i="1" s="1"/>
  <c r="T298" i="1" a="1"/>
  <c r="T298" i="1" s="1"/>
  <c r="T296" i="1" a="1"/>
  <c r="T296" i="1" s="1"/>
  <c r="T284" i="1" a="1"/>
  <c r="T284" i="1" s="1"/>
  <c r="T282" i="1" a="1"/>
  <c r="T282" i="1" s="1"/>
  <c r="T277" i="1" a="1"/>
  <c r="T277" i="1" s="1"/>
  <c r="T302" i="1" a="1"/>
  <c r="T302" i="1" s="1"/>
  <c r="T141" i="1" a="1"/>
  <c r="T141" i="1" s="1"/>
  <c r="T260" i="1" a="1"/>
  <c r="T260" i="1" s="1"/>
  <c r="T251" i="1" a="1"/>
  <c r="T251" i="1" s="1"/>
  <c r="T248" i="1" a="1"/>
  <c r="T248" i="1" s="1"/>
  <c r="T244" i="1" a="1"/>
  <c r="T244" i="1" s="1"/>
  <c r="T16" i="1" a="1"/>
  <c r="T16" i="1" s="1"/>
  <c r="T232" i="1" a="1"/>
  <c r="T232" i="1" s="1"/>
  <c r="T211" i="1" a="1"/>
  <c r="T211" i="1" s="1"/>
  <c r="T220" i="1" a="1"/>
  <c r="T220" i="1" s="1"/>
  <c r="T215" i="1" a="1"/>
  <c r="T215" i="1" s="1"/>
  <c r="T212" i="1" a="1"/>
  <c r="T212" i="1" s="1"/>
  <c r="T206" i="1" a="1"/>
  <c r="T206" i="1" s="1"/>
  <c r="T202" i="1" a="1"/>
  <c r="T202" i="1" s="1"/>
  <c r="T198" i="1" a="1"/>
  <c r="T198" i="1" s="1"/>
  <c r="T186" i="1" a="1"/>
  <c r="T186" i="1" s="1"/>
  <c r="T183" i="1" a="1"/>
  <c r="T183" i="1" s="1"/>
  <c r="T21" i="1" a="1"/>
  <c r="T21" i="1" s="1"/>
  <c r="T172" i="1" a="1"/>
  <c r="T172" i="1" s="1"/>
  <c r="T168" i="1" a="1"/>
  <c r="T168" i="1" s="1"/>
  <c r="T490" i="1" a="1"/>
  <c r="T490" i="1" s="1"/>
  <c r="T154" i="1" a="1"/>
  <c r="T154" i="1" s="1"/>
  <c r="T150" i="1" a="1"/>
  <c r="T150" i="1" s="1"/>
  <c r="T145" i="1" a="1"/>
  <c r="T145" i="1" s="1"/>
  <c r="T139" i="1" a="1"/>
  <c r="T139" i="1" s="1"/>
  <c r="T180" i="1" a="1"/>
  <c r="T180" i="1" s="1"/>
  <c r="T121" i="1" a="1"/>
  <c r="T121" i="1" s="1"/>
  <c r="T120" i="1" a="1"/>
  <c r="T120" i="1" s="1"/>
  <c r="T118" i="1" a="1"/>
  <c r="T118" i="1" s="1"/>
  <c r="T111" i="1" a="1"/>
  <c r="T111" i="1" s="1"/>
  <c r="T383" i="1" a="1"/>
  <c r="T383" i="1" s="1"/>
  <c r="T102" i="1" a="1"/>
  <c r="T102" i="1" s="1"/>
  <c r="T99" i="1" a="1"/>
  <c r="T99" i="1" s="1"/>
  <c r="T51" i="1" a="1"/>
  <c r="T51" i="1" s="1"/>
  <c r="T413" i="1" a="1"/>
  <c r="T413" i="1" s="1"/>
  <c r="T79" i="1" a="1"/>
  <c r="T79" i="1" s="1"/>
  <c r="T72" i="1" a="1"/>
  <c r="T72" i="1" s="1"/>
  <c r="T68" i="1" a="1"/>
  <c r="T68" i="1" s="1"/>
  <c r="T65" i="1" a="1"/>
  <c r="T65" i="1" s="1"/>
  <c r="T55" i="1" a="1"/>
  <c r="T55" i="1" s="1"/>
  <c r="T52" i="1" a="1"/>
  <c r="T52" i="1" s="1"/>
  <c r="T47" i="1" a="1"/>
  <c r="T47" i="1" s="1"/>
  <c r="T165" i="1" a="1"/>
  <c r="T165" i="1" s="1"/>
  <c r="T37" i="1" a="1"/>
  <c r="T37" i="1" s="1"/>
  <c r="T33" i="1" a="1"/>
  <c r="T33" i="1" s="1"/>
  <c r="T23" i="1" a="1"/>
  <c r="T23" i="1" s="1"/>
  <c r="T20" i="1" a="1"/>
  <c r="T20" i="1" s="1"/>
  <c r="T330" i="1" a="1"/>
  <c r="T330" i="1" s="1"/>
  <c r="T9" i="1" a="1"/>
  <c r="T9" i="1" s="1"/>
  <c r="T445" i="1" a="1"/>
  <c r="T445" i="1" s="1"/>
  <c r="T2" i="1" a="1"/>
  <c r="T2" i="1" s="1"/>
  <c r="Q95" i="1" a="1"/>
  <c r="Q95" i="1" s="1"/>
  <c r="R95" i="1" s="1"/>
  <c r="T147" i="1" a="1"/>
  <c r="T147" i="1"/>
  <c r="O147" i="1" a="1"/>
  <c r="O147" i="1"/>
  <c r="P147" i="1"/>
  <c r="O187" i="1" a="1"/>
  <c r="O187" i="1" s="1"/>
  <c r="P187" i="1" s="1"/>
  <c r="G269" i="1" a="1"/>
  <c r="G269" i="1"/>
  <c r="N269" i="1" s="1"/>
  <c r="G325" i="1" a="1"/>
  <c r="G325" i="1" s="1"/>
  <c r="N325" i="1" s="1"/>
  <c r="G272" i="1" a="1"/>
  <c r="G272" i="1"/>
  <c r="N272" i="1" s="1"/>
  <c r="H212" i="1"/>
  <c r="I212" i="1" s="1"/>
  <c r="H204" i="1"/>
  <c r="I204" i="1" s="1"/>
  <c r="H100" i="1"/>
  <c r="I100" i="1" s="1"/>
  <c r="H63" i="1"/>
  <c r="I63" i="1"/>
  <c r="H49" i="1"/>
  <c r="I49" i="1" s="1"/>
  <c r="H37" i="1"/>
  <c r="I37" i="1" s="1"/>
  <c r="H289" i="1"/>
  <c r="I289" i="1" s="1"/>
  <c r="H22" i="1"/>
  <c r="I22" i="1"/>
  <c r="H31" i="1"/>
  <c r="I31" i="1"/>
  <c r="H162" i="1"/>
  <c r="I162" i="1"/>
  <c r="H427" i="1"/>
  <c r="I427" i="1"/>
  <c r="H59" i="1"/>
  <c r="I59" i="1"/>
  <c r="H68" i="1"/>
  <c r="I68" i="1"/>
  <c r="H116" i="1"/>
  <c r="I116" i="1"/>
  <c r="H82" i="1"/>
  <c r="I82" i="1"/>
  <c r="H90" i="1"/>
  <c r="I90" i="1"/>
  <c r="H96" i="1"/>
  <c r="I96" i="1"/>
  <c r="H103" i="1"/>
  <c r="I103" i="1"/>
  <c r="H111" i="1"/>
  <c r="I111" i="1"/>
  <c r="H118" i="1"/>
  <c r="I118" i="1"/>
  <c r="H124" i="1"/>
  <c r="I124" i="1"/>
  <c r="H304" i="1"/>
  <c r="I304" i="1"/>
  <c r="H139" i="1"/>
  <c r="I139" i="1"/>
  <c r="H446" i="1"/>
  <c r="I446" i="1"/>
  <c r="H154" i="1"/>
  <c r="I154" i="1"/>
  <c r="H160" i="1"/>
  <c r="I160" i="1"/>
  <c r="H167" i="1"/>
  <c r="I167" i="1"/>
  <c r="H175" i="1"/>
  <c r="I175" i="1"/>
  <c r="H182" i="1"/>
  <c r="I182" i="1"/>
  <c r="H188" i="1"/>
  <c r="I188" i="1"/>
  <c r="H196" i="1"/>
  <c r="I196" i="1"/>
  <c r="H203" i="1"/>
  <c r="I203" i="1"/>
  <c r="H210" i="1"/>
  <c r="I210" i="1"/>
  <c r="H215" i="1"/>
  <c r="I215" i="1"/>
  <c r="H223" i="1"/>
  <c r="I223" i="1"/>
  <c r="H230" i="1"/>
  <c r="I230" i="1"/>
  <c r="H184" i="1"/>
  <c r="I184" i="1"/>
  <c r="H244" i="1"/>
  <c r="I244" i="1"/>
  <c r="H251" i="1"/>
  <c r="I251" i="1"/>
  <c r="H258" i="1"/>
  <c r="I258" i="1"/>
  <c r="H266" i="1"/>
  <c r="I266" i="1"/>
  <c r="H141" i="1"/>
  <c r="I141" i="1"/>
  <c r="H279" i="1"/>
  <c r="I279" i="1"/>
  <c r="H287" i="1"/>
  <c r="I287" i="1"/>
  <c r="H294" i="1"/>
  <c r="I294" i="1"/>
  <c r="H300" i="1"/>
  <c r="I300" i="1"/>
  <c r="H308" i="1"/>
  <c r="I308" i="1"/>
  <c r="H315" i="1"/>
  <c r="I315" i="1"/>
  <c r="H322" i="1"/>
  <c r="I322" i="1"/>
  <c r="H389" i="1"/>
  <c r="I389" i="1"/>
  <c r="H336" i="1"/>
  <c r="I336" i="1"/>
  <c r="H343" i="1"/>
  <c r="I343" i="1"/>
  <c r="H351" i="1"/>
  <c r="I351" i="1"/>
  <c r="H358" i="1"/>
  <c r="I358" i="1"/>
  <c r="H364" i="1"/>
  <c r="I364" i="1"/>
  <c r="H372" i="1"/>
  <c r="I372" i="1"/>
  <c r="H379" i="1"/>
  <c r="I379" i="1"/>
  <c r="H386" i="1"/>
  <c r="I386" i="1"/>
  <c r="H394" i="1"/>
  <c r="I394" i="1"/>
  <c r="H75" i="1"/>
  <c r="I75" i="1"/>
  <c r="H407" i="1"/>
  <c r="I407" i="1"/>
  <c r="H415" i="1"/>
  <c r="I415" i="1"/>
  <c r="H422" i="1"/>
  <c r="I422" i="1"/>
  <c r="H362" i="1"/>
  <c r="I362" i="1"/>
  <c r="H105" i="1"/>
  <c r="I105" i="1"/>
  <c r="H442" i="1"/>
  <c r="I442" i="1"/>
  <c r="H447" i="1"/>
  <c r="I447" i="1"/>
  <c r="H453" i="1"/>
  <c r="I453" i="1"/>
  <c r="H458" i="1"/>
  <c r="I458" i="1"/>
  <c r="H463" i="1"/>
  <c r="I463" i="1"/>
  <c r="H469" i="1"/>
  <c r="I469" i="1"/>
  <c r="H474" i="1"/>
  <c r="I474" i="1"/>
  <c r="H87" i="1"/>
  <c r="I87" i="1"/>
  <c r="H485" i="1"/>
  <c r="I485" i="1"/>
  <c r="H84" i="1"/>
  <c r="I84" i="1"/>
  <c r="H495" i="1"/>
  <c r="I495" i="1"/>
  <c r="H501" i="1"/>
  <c r="I501" i="1"/>
  <c r="H506" i="1"/>
  <c r="I506" i="1"/>
  <c r="H272" i="1"/>
  <c r="I272" i="1"/>
  <c r="T325" i="1" a="1"/>
  <c r="T325" i="1" s="1"/>
  <c r="Q303" i="1" a="1"/>
  <c r="Q303" i="1"/>
  <c r="R303" i="1" s="1"/>
  <c r="O269" i="1" a="1"/>
  <c r="O269" i="1" s="1"/>
  <c r="P269" i="1" s="1"/>
  <c r="G187" i="1" a="1"/>
  <c r="G187" i="1" s="1"/>
  <c r="N187" i="1" s="1"/>
  <c r="T151" i="1" a="1"/>
  <c r="T151" i="1" s="1"/>
  <c r="Q147" i="1" a="1"/>
  <c r="Q147" i="1" s="1"/>
  <c r="R147" i="1" s="1"/>
  <c r="O95" i="1" a="1"/>
  <c r="O95" i="1" s="1"/>
  <c r="P95" i="1" s="1"/>
  <c r="H505" i="1"/>
  <c r="I505" i="1" s="1"/>
  <c r="H498" i="1"/>
  <c r="I498" i="1" s="1"/>
  <c r="H491" i="1"/>
  <c r="I491" i="1"/>
  <c r="H483" i="1"/>
  <c r="I483" i="1" s="1"/>
  <c r="H477" i="1"/>
  <c r="I477" i="1" s="1"/>
  <c r="H503" i="1"/>
  <c r="I503" i="1" s="1"/>
  <c r="H462" i="1"/>
  <c r="I462" i="1"/>
  <c r="H94" i="1"/>
  <c r="I94" i="1" s="1"/>
  <c r="H449" i="1"/>
  <c r="I449" i="1" s="1"/>
  <c r="H441" i="1"/>
  <c r="I441" i="1" s="1"/>
  <c r="H432" i="1"/>
  <c r="I432" i="1"/>
  <c r="H423" i="1"/>
  <c r="I423" i="1" s="1"/>
  <c r="H479" i="1"/>
  <c r="I479" i="1" s="1"/>
  <c r="H404" i="1"/>
  <c r="I404" i="1" s="1"/>
  <c r="H395" i="1"/>
  <c r="I395" i="1"/>
  <c r="H384" i="1"/>
  <c r="I384" i="1" s="1"/>
  <c r="H375" i="1"/>
  <c r="I375" i="1" s="1"/>
  <c r="H367" i="1"/>
  <c r="I367" i="1" s="1"/>
  <c r="H356" i="1"/>
  <c r="I356" i="1"/>
  <c r="H347" i="1"/>
  <c r="I347" i="1" s="1"/>
  <c r="H338" i="1"/>
  <c r="I338" i="1" s="1"/>
  <c r="H327" i="1"/>
  <c r="I327" i="1" s="1"/>
  <c r="H165" i="1"/>
  <c r="I165" i="1"/>
  <c r="H460" i="1"/>
  <c r="I460" i="1" s="1"/>
  <c r="H299" i="1"/>
  <c r="I299" i="1" s="1"/>
  <c r="H456" i="1"/>
  <c r="I456" i="1" s="1"/>
  <c r="H282" i="1"/>
  <c r="I282" i="1"/>
  <c r="H370" i="1"/>
  <c r="I370" i="1" s="1"/>
  <c r="H214" i="1"/>
  <c r="I214" i="1" s="1"/>
  <c r="H252" i="1"/>
  <c r="I252" i="1" s="1"/>
  <c r="H242" i="1"/>
  <c r="I242" i="1"/>
  <c r="H234" i="1"/>
  <c r="I234" i="1" s="1"/>
  <c r="H224" i="1"/>
  <c r="I224" i="1" s="1"/>
  <c r="H455" i="1"/>
  <c r="I455" i="1" s="1"/>
  <c r="H207" i="1"/>
  <c r="I207" i="1"/>
  <c r="H198" i="1"/>
  <c r="I198" i="1" s="1"/>
  <c r="H187" i="1"/>
  <c r="I187" i="1" s="1"/>
  <c r="H178" i="1"/>
  <c r="I178" i="1" s="1"/>
  <c r="H170" i="1"/>
  <c r="I170" i="1"/>
  <c r="H159" i="1"/>
  <c r="I159" i="1" s="1"/>
  <c r="H150" i="1"/>
  <c r="I150" i="1" s="1"/>
  <c r="H140" i="1"/>
  <c r="I140" i="1" s="1"/>
  <c r="H130" i="1"/>
  <c r="I130" i="1"/>
  <c r="H122" i="1"/>
  <c r="I122" i="1" s="1"/>
  <c r="H436" i="1"/>
  <c r="I436" i="1" s="1"/>
  <c r="H102" i="1"/>
  <c r="I102" i="1" s="1"/>
  <c r="H92" i="1"/>
  <c r="I92" i="1"/>
  <c r="H323" i="1"/>
  <c r="I323" i="1" s="1"/>
  <c r="H74" i="1"/>
  <c r="I74" i="1" s="1"/>
  <c r="H64" i="1"/>
  <c r="I64" i="1" s="1"/>
  <c r="H53" i="1"/>
  <c r="I53" i="1"/>
  <c r="H38" i="1"/>
  <c r="I38" i="1" s="1"/>
  <c r="H27" i="1"/>
  <c r="I27" i="1" s="1"/>
  <c r="H136" i="1"/>
  <c r="I136" i="1" s="1"/>
  <c r="H117" i="1"/>
  <c r="I117" i="1"/>
  <c r="H8" i="1"/>
  <c r="I8" i="1" s="1"/>
  <c r="H12" i="1"/>
  <c r="I12" i="1" s="1"/>
  <c r="H413" i="1"/>
  <c r="I413" i="1" s="1"/>
  <c r="H20" i="1"/>
  <c r="I20" i="1"/>
  <c r="H418" i="1"/>
  <c r="I418" i="1" s="1"/>
  <c r="H28" i="1"/>
  <c r="I28" i="1" s="1"/>
  <c r="H32" i="1"/>
  <c r="I32" i="1" s="1"/>
  <c r="H36" i="1"/>
  <c r="I36" i="1"/>
  <c r="H40" i="1"/>
  <c r="I40" i="1" s="1"/>
  <c r="H44" i="1"/>
  <c r="I44" i="1" s="1"/>
  <c r="H48" i="1"/>
  <c r="I48" i="1" s="1"/>
  <c r="H52" i="1"/>
  <c r="I52" i="1"/>
  <c r="H56" i="1"/>
  <c r="I56" i="1" s="1"/>
  <c r="H60" i="1"/>
  <c r="I60" i="1" s="1"/>
  <c r="H146" i="1"/>
  <c r="I146" i="1" s="1"/>
  <c r="H13" i="1"/>
  <c r="I13" i="1"/>
  <c r="H18" i="1"/>
  <c r="I18" i="1" s="1"/>
  <c r="H23" i="1"/>
  <c r="I23" i="1" s="1"/>
  <c r="H29" i="1"/>
  <c r="I29" i="1" s="1"/>
  <c r="H34" i="1"/>
  <c r="I34" i="1"/>
  <c r="H39" i="1"/>
  <c r="I39" i="1" s="1"/>
  <c r="H45" i="1"/>
  <c r="I45" i="1" s="1"/>
  <c r="H50" i="1"/>
  <c r="I50" i="1" s="1"/>
  <c r="H55" i="1"/>
  <c r="I55" i="1"/>
  <c r="H61" i="1"/>
  <c r="I61" i="1" s="1"/>
  <c r="H65" i="1"/>
  <c r="I65" i="1" s="1"/>
  <c r="H69" i="1"/>
  <c r="I69" i="1" s="1"/>
  <c r="H73" i="1"/>
  <c r="I73" i="1"/>
  <c r="H410" i="1"/>
  <c r="I410" i="1" s="1"/>
  <c r="H81" i="1"/>
  <c r="I81" i="1" s="1"/>
  <c r="H85" i="1"/>
  <c r="I85" i="1" s="1"/>
  <c r="H245" i="1"/>
  <c r="I245" i="1"/>
  <c r="H93" i="1"/>
  <c r="I93" i="1" s="1"/>
  <c r="H97" i="1"/>
  <c r="I97" i="1" s="1"/>
  <c r="H101" i="1"/>
  <c r="I101" i="1" s="1"/>
  <c r="H135" i="1"/>
  <c r="I135" i="1"/>
  <c r="H109" i="1"/>
  <c r="I109" i="1" s="1"/>
  <c r="H445" i="1"/>
  <c r="I445" i="1" s="1"/>
  <c r="H268" i="1"/>
  <c r="I268" i="1" s="1"/>
  <c r="H132" i="1"/>
  <c r="I132" i="1"/>
  <c r="H125" i="1"/>
  <c r="I125" i="1" s="1"/>
  <c r="H129" i="1"/>
  <c r="I129" i="1" s="1"/>
  <c r="H235" i="1"/>
  <c r="I235" i="1" s="1"/>
  <c r="H137" i="1"/>
  <c r="I137" i="1"/>
  <c r="H400" i="1"/>
  <c r="I400" i="1" s="1"/>
  <c r="H145" i="1"/>
  <c r="I145" i="1" s="1"/>
  <c r="H149" i="1"/>
  <c r="I149" i="1" s="1"/>
  <c r="H153" i="1"/>
  <c r="I153" i="1"/>
  <c r="H157" i="1"/>
  <c r="I157" i="1" s="1"/>
  <c r="H161" i="1"/>
  <c r="I161" i="1" s="1"/>
  <c r="H218" i="1"/>
  <c r="I218" i="1" s="1"/>
  <c r="H169" i="1"/>
  <c r="I169" i="1"/>
  <c r="H173" i="1"/>
  <c r="I173" i="1" s="1"/>
  <c r="H177" i="1"/>
  <c r="I177" i="1" s="1"/>
  <c r="H342" i="1"/>
  <c r="I342" i="1" s="1"/>
  <c r="H185" i="1"/>
  <c r="I185" i="1"/>
  <c r="H211" i="1"/>
  <c r="I211" i="1" s="1"/>
  <c r="H193" i="1"/>
  <c r="I193" i="1" s="1"/>
  <c r="H197" i="1"/>
  <c r="I197" i="1" s="1"/>
  <c r="H201" i="1"/>
  <c r="I201" i="1"/>
  <c r="H382" i="1"/>
  <c r="I382" i="1" s="1"/>
  <c r="H209" i="1"/>
  <c r="I209" i="1" s="1"/>
  <c r="H213" i="1"/>
  <c r="I213" i="1" s="1"/>
  <c r="H217" i="1"/>
  <c r="I217" i="1"/>
  <c r="H221" i="1"/>
  <c r="I221" i="1" s="1"/>
  <c r="H225" i="1"/>
  <c r="I225" i="1" s="1"/>
  <c r="H229" i="1"/>
  <c r="I229" i="1" s="1"/>
  <c r="H233" i="1"/>
  <c r="I233" i="1"/>
  <c r="H237" i="1"/>
  <c r="I237" i="1" s="1"/>
  <c r="H241" i="1"/>
  <c r="I241" i="1" s="1"/>
  <c r="H320" i="1"/>
  <c r="I320" i="1" s="1"/>
  <c r="H249" i="1"/>
  <c r="I249" i="1"/>
  <c r="H253" i="1"/>
  <c r="I253" i="1" s="1"/>
  <c r="H257" i="1"/>
  <c r="I257" i="1" s="1"/>
  <c r="H236" i="1"/>
  <c r="I236" i="1" s="1"/>
  <c r="H265" i="1"/>
  <c r="I265" i="1"/>
  <c r="H269" i="1"/>
  <c r="I269" i="1" s="1"/>
  <c r="H219" i="1"/>
  <c r="I219" i="1" s="1"/>
  <c r="H277" i="1"/>
  <c r="I277" i="1" s="1"/>
  <c r="H281" i="1"/>
  <c r="I281" i="1"/>
  <c r="H285" i="1"/>
  <c r="I285" i="1" s="1"/>
  <c r="H133" i="1"/>
  <c r="I133" i="1" s="1"/>
  <c r="H293" i="1"/>
  <c r="I293" i="1" s="1"/>
  <c r="H297" i="1"/>
  <c r="I297" i="1"/>
  <c r="H301" i="1"/>
  <c r="I301" i="1" s="1"/>
  <c r="H305" i="1"/>
  <c r="I305" i="1" s="1"/>
  <c r="H363" i="1"/>
  <c r="I363" i="1" s="1"/>
  <c r="H470" i="1"/>
  <c r="I470" i="1"/>
  <c r="H317" i="1"/>
  <c r="I317" i="1" s="1"/>
  <c r="H321" i="1"/>
  <c r="I321" i="1" s="1"/>
  <c r="H325" i="1"/>
  <c r="I325" i="1" s="1"/>
  <c r="H329" i="1"/>
  <c r="I329" i="1"/>
  <c r="H15" i="1"/>
  <c r="I15" i="1" s="1"/>
  <c r="H337" i="1"/>
  <c r="I337" i="1" s="1"/>
  <c r="H341" i="1"/>
  <c r="I341" i="1" s="1"/>
  <c r="H345" i="1"/>
  <c r="I345" i="1"/>
  <c r="H349" i="1"/>
  <c r="I349" i="1" s="1"/>
  <c r="H310" i="1"/>
  <c r="I310" i="1" s="1"/>
  <c r="H357" i="1"/>
  <c r="I357" i="1" s="1"/>
  <c r="H361" i="1"/>
  <c r="I361" i="1"/>
  <c r="H365" i="1"/>
  <c r="I365" i="1" s="1"/>
  <c r="H369" i="1"/>
  <c r="I369" i="1" s="1"/>
  <c r="H7" i="1"/>
  <c r="I7" i="1" s="1"/>
  <c r="H377" i="1"/>
  <c r="I377" i="1"/>
  <c r="H381" i="1"/>
  <c r="I381" i="1" s="1"/>
  <c r="H385" i="1"/>
  <c r="I385" i="1" s="1"/>
  <c r="H399" i="1"/>
  <c r="I399" i="1" s="1"/>
  <c r="H393" i="1"/>
  <c r="I393" i="1"/>
  <c r="H397" i="1"/>
  <c r="I397" i="1" s="1"/>
  <c r="H401" i="1"/>
  <c r="I401" i="1" s="1"/>
  <c r="H405" i="1"/>
  <c r="I405" i="1" s="1"/>
  <c r="H409" i="1"/>
  <c r="I409" i="1"/>
  <c r="H62" i="1"/>
  <c r="I62" i="1" s="1"/>
  <c r="H417" i="1"/>
  <c r="I417" i="1" s="1"/>
  <c r="H421" i="1"/>
  <c r="I421" i="1" s="1"/>
  <c r="H51" i="1"/>
  <c r="I51" i="1"/>
  <c r="H429" i="1"/>
  <c r="I429" i="1" s="1"/>
  <c r="H4" i="1"/>
  <c r="I4" i="1" s="1"/>
  <c r="H437" i="1"/>
  <c r="I437" i="1" s="1"/>
  <c r="H5" i="1"/>
  <c r="I5" i="1"/>
  <c r="H11" i="1"/>
  <c r="I11" i="1" s="1"/>
  <c r="H19" i="1"/>
  <c r="I19" i="1" s="1"/>
  <c r="H26" i="1"/>
  <c r="I26" i="1" s="1"/>
  <c r="H33" i="1"/>
  <c r="I33" i="1"/>
  <c r="H41" i="1"/>
  <c r="I41" i="1" s="1"/>
  <c r="H47" i="1"/>
  <c r="I47" i="1" s="1"/>
  <c r="H54" i="1"/>
  <c r="I54" i="1" s="1"/>
  <c r="H383" i="1"/>
  <c r="I383" i="1"/>
  <c r="H67" i="1"/>
  <c r="I67" i="1" s="1"/>
  <c r="H72" i="1"/>
  <c r="I72" i="1" s="1"/>
  <c r="H78" i="1"/>
  <c r="I78" i="1" s="1"/>
  <c r="H433" i="1"/>
  <c r="I433" i="1"/>
  <c r="H88" i="1"/>
  <c r="I88" i="1" s="1"/>
  <c r="H504" i="1"/>
  <c r="I504" i="1" s="1"/>
  <c r="H99" i="1"/>
  <c r="I99" i="1" s="1"/>
  <c r="H104" i="1"/>
  <c r="I104" i="1"/>
  <c r="H110" i="1"/>
  <c r="I110" i="1" s="1"/>
  <c r="H309" i="1"/>
  <c r="I309" i="1" s="1"/>
  <c r="H120" i="1"/>
  <c r="I120" i="1" s="1"/>
  <c r="H126" i="1"/>
  <c r="I126" i="1"/>
  <c r="H131" i="1"/>
  <c r="I131" i="1" s="1"/>
  <c r="H190" i="1"/>
  <c r="I190" i="1" s="1"/>
  <c r="H142" i="1"/>
  <c r="I142" i="1" s="1"/>
  <c r="H147" i="1"/>
  <c r="I147" i="1"/>
  <c r="H152" i="1"/>
  <c r="I152" i="1" s="1"/>
  <c r="H158" i="1"/>
  <c r="I158" i="1" s="1"/>
  <c r="H163" i="1"/>
  <c r="I163" i="1" s="1"/>
  <c r="H168" i="1"/>
  <c r="I168" i="1"/>
  <c r="H174" i="1"/>
  <c r="I174" i="1" s="1"/>
  <c r="H179" i="1"/>
  <c r="I179" i="1" s="1"/>
  <c r="H121" i="1"/>
  <c r="I121" i="1" s="1"/>
  <c r="H426" i="1"/>
  <c r="I426" i="1"/>
  <c r="H195" i="1"/>
  <c r="I195" i="1" s="1"/>
  <c r="H200" i="1"/>
  <c r="I200" i="1" s="1"/>
  <c r="H206" i="1"/>
  <c r="I206" i="1" s="1"/>
  <c r="H494" i="1"/>
  <c r="I494" i="1"/>
  <c r="H222" i="1"/>
  <c r="I222" i="1" s="1"/>
  <c r="H227" i="1"/>
  <c r="I227" i="1" s="1"/>
  <c r="H232" i="1"/>
  <c r="I232" i="1" s="1"/>
  <c r="H354" i="1"/>
  <c r="I354" i="1"/>
  <c r="H243" i="1"/>
  <c r="I243" i="1" s="1"/>
  <c r="H248" i="1"/>
  <c r="I248" i="1" s="1"/>
  <c r="H254" i="1"/>
  <c r="I254" i="1" s="1"/>
  <c r="H259" i="1"/>
  <c r="I259" i="1"/>
  <c r="H264" i="1"/>
  <c r="I264" i="1" s="1"/>
  <c r="H273" i="1"/>
  <c r="I273" i="1" s="1"/>
  <c r="H419" i="1"/>
  <c r="I419" i="1" s="1"/>
  <c r="H280" i="1"/>
  <c r="I280" i="1"/>
  <c r="H286" i="1"/>
  <c r="I286" i="1" s="1"/>
  <c r="H291" i="1"/>
  <c r="I291" i="1" s="1"/>
  <c r="H296" i="1"/>
  <c r="I296" i="1" s="1"/>
  <c r="H330" i="1"/>
  <c r="I330" i="1"/>
  <c r="H307" i="1"/>
  <c r="I307" i="1" s="1"/>
  <c r="H312" i="1"/>
  <c r="I312" i="1" s="1"/>
  <c r="H318" i="1"/>
  <c r="I318" i="1" s="1"/>
  <c r="H471" i="1"/>
  <c r="I471" i="1"/>
  <c r="H328" i="1"/>
  <c r="I328" i="1" s="1"/>
  <c r="H334" i="1"/>
  <c r="I334" i="1" s="1"/>
  <c r="H339" i="1"/>
  <c r="I339" i="1" s="1"/>
  <c r="H344" i="1"/>
  <c r="I344" i="1"/>
  <c r="H350" i="1"/>
  <c r="I350" i="1" s="1"/>
  <c r="H355" i="1"/>
  <c r="I355" i="1" s="1"/>
  <c r="H360" i="1"/>
  <c r="I360" i="1" s="1"/>
  <c r="H366" i="1"/>
  <c r="I366" i="1"/>
  <c r="H371" i="1"/>
  <c r="I371" i="1" s="1"/>
  <c r="H376" i="1"/>
  <c r="I376" i="1" s="1"/>
  <c r="H115" i="1"/>
  <c r="I115" i="1" s="1"/>
  <c r="H387" i="1"/>
  <c r="I387" i="1"/>
  <c r="H392" i="1"/>
  <c r="I392" i="1" s="1"/>
  <c r="H398" i="1"/>
  <c r="I398" i="1" s="1"/>
  <c r="H403" i="1"/>
  <c r="I403" i="1" s="1"/>
  <c r="H408" i="1"/>
  <c r="I408" i="1"/>
  <c r="H482" i="1"/>
  <c r="I482" i="1" s="1"/>
  <c r="H412" i="1"/>
  <c r="I412" i="1" s="1"/>
  <c r="H424" i="1"/>
  <c r="I424" i="1" s="1"/>
  <c r="H430" i="1"/>
  <c r="I430" i="1"/>
  <c r="H435" i="1"/>
  <c r="I435" i="1" s="1"/>
  <c r="H440" i="1"/>
  <c r="I440" i="1" s="1"/>
  <c r="H444" i="1"/>
  <c r="I444" i="1" s="1"/>
  <c r="H448" i="1"/>
  <c r="I448" i="1"/>
  <c r="H452" i="1"/>
  <c r="I452" i="1" s="1"/>
  <c r="H80" i="1"/>
  <c r="I80" i="1" s="1"/>
  <c r="H275" i="1"/>
  <c r="I275" i="1" s="1"/>
  <c r="H464" i="1"/>
  <c r="I464" i="1"/>
  <c r="H468" i="1"/>
  <c r="I468" i="1" s="1"/>
  <c r="H472" i="1"/>
  <c r="I472" i="1" s="1"/>
  <c r="H476" i="1"/>
  <c r="I476" i="1" s="1"/>
  <c r="H480" i="1"/>
  <c r="I480" i="1"/>
  <c r="H484" i="1"/>
  <c r="I484" i="1" s="1"/>
  <c r="H108" i="1"/>
  <c r="I108" i="1" s="1"/>
  <c r="H492" i="1"/>
  <c r="I492" i="1" s="1"/>
  <c r="H496" i="1"/>
  <c r="I496" i="1"/>
  <c r="H500" i="1"/>
  <c r="I500" i="1" s="1"/>
  <c r="H83" i="1"/>
  <c r="I83" i="1" s="1"/>
  <c r="H508" i="1"/>
  <c r="I508" i="1" s="1"/>
  <c r="K26" i="1"/>
  <c r="K61" i="1"/>
  <c r="K93" i="1"/>
  <c r="K48" i="1"/>
  <c r="K504" i="1"/>
  <c r="K181" i="1"/>
  <c r="K167" i="1"/>
  <c r="K179" i="1"/>
  <c r="K511" i="1"/>
  <c r="K134" i="1"/>
  <c r="K231" i="1"/>
  <c r="K243" i="1"/>
  <c r="K263" i="1"/>
  <c r="K419" i="1"/>
  <c r="K20" i="1"/>
  <c r="K54" i="1"/>
  <c r="K40" i="1"/>
  <c r="K58" i="1"/>
  <c r="K107" i="1"/>
  <c r="K145" i="1"/>
  <c r="K161" i="1"/>
  <c r="K186" i="1"/>
  <c r="K202" i="1"/>
  <c r="K232" i="1"/>
  <c r="K248" i="1"/>
  <c r="K219" i="1"/>
  <c r="K133" i="1"/>
  <c r="K311" i="1"/>
  <c r="K471" i="1"/>
  <c r="K345" i="1"/>
  <c r="K357" i="1"/>
  <c r="K379" i="1"/>
  <c r="K391" i="1"/>
  <c r="K411" i="1"/>
  <c r="K423" i="1"/>
  <c r="K443" i="1"/>
  <c r="K475" i="1"/>
  <c r="K485" i="1"/>
  <c r="K489" i="1"/>
  <c r="K352" i="1"/>
  <c r="K31" i="1"/>
  <c r="K162" i="1"/>
  <c r="L82" i="1"/>
  <c r="K276" i="1"/>
  <c r="K120" i="1"/>
  <c r="K122" i="1"/>
  <c r="K446" i="1"/>
  <c r="K160" i="1"/>
  <c r="K319" i="1"/>
  <c r="K192" i="1"/>
  <c r="K201" i="1"/>
  <c r="K208" i="1"/>
  <c r="K233" i="1"/>
  <c r="K242" i="1"/>
  <c r="K249" i="1"/>
  <c r="K274" i="1"/>
  <c r="K288" i="1"/>
  <c r="K456" i="1"/>
  <c r="K363" i="1"/>
  <c r="K317" i="1"/>
  <c r="K9" i="1"/>
  <c r="K99" i="1"/>
  <c r="K118" i="1"/>
  <c r="K123" i="1"/>
  <c r="K173" i="1"/>
  <c r="K198" i="1"/>
  <c r="K382" i="1"/>
  <c r="K214" i="1"/>
  <c r="K114" i="1"/>
  <c r="K296" i="1"/>
  <c r="K338" i="1"/>
  <c r="K347" i="1"/>
  <c r="K331" i="1"/>
  <c r="K385" i="1"/>
  <c r="K25" i="1"/>
  <c r="K32" i="1"/>
  <c r="K142" i="1"/>
  <c r="K156" i="1"/>
  <c r="K174" i="1"/>
  <c r="K220" i="1"/>
  <c r="K320" i="1"/>
  <c r="K252" i="1"/>
  <c r="K330" i="1"/>
  <c r="K318" i="1"/>
  <c r="K199" i="1"/>
  <c r="K344" i="1"/>
  <c r="K358" i="1"/>
  <c r="K360" i="1"/>
  <c r="K115" i="1"/>
  <c r="K396" i="1"/>
  <c r="K398" i="1"/>
  <c r="K92" i="1"/>
  <c r="K111" i="1"/>
  <c r="K490" i="1"/>
  <c r="K164" i="1"/>
  <c r="K211" i="1"/>
  <c r="K196" i="1"/>
  <c r="K253" i="1"/>
  <c r="K270" i="1"/>
  <c r="K285" i="1"/>
  <c r="K146" i="1"/>
  <c r="K59" i="1"/>
  <c r="K235" i="1"/>
  <c r="K158" i="1"/>
  <c r="K218" i="1"/>
  <c r="K222" i="1"/>
  <c r="K184" i="1"/>
  <c r="K254" i="1"/>
  <c r="K306" i="1"/>
  <c r="K321" i="1"/>
  <c r="K328" i="1"/>
  <c r="K350" i="1"/>
  <c r="K359" i="1"/>
  <c r="K365" i="1"/>
  <c r="K390" i="1"/>
  <c r="K404" i="1"/>
  <c r="K278" i="1"/>
  <c r="K402" i="1"/>
  <c r="K416" i="1"/>
  <c r="K43" i="1"/>
  <c r="K448" i="1"/>
  <c r="K457" i="1"/>
  <c r="K464" i="1"/>
  <c r="K108" i="1"/>
  <c r="K502" i="1"/>
  <c r="K83" i="1"/>
  <c r="K377" i="1"/>
  <c r="K62" i="1"/>
  <c r="K429" i="1"/>
  <c r="L105" i="1"/>
  <c r="K438" i="1"/>
  <c r="K454" i="1"/>
  <c r="K503" i="1"/>
  <c r="K483" i="1"/>
  <c r="K499" i="1"/>
  <c r="K386" i="1"/>
  <c r="K75" i="1"/>
  <c r="K417" i="1"/>
  <c r="K4" i="1"/>
  <c r="K442" i="1"/>
  <c r="K458" i="1"/>
  <c r="K474" i="1"/>
  <c r="K487" i="1"/>
  <c r="K106" i="1"/>
  <c r="K324" i="1"/>
  <c r="K346" i="1"/>
  <c r="K362" i="1"/>
  <c r="K437" i="1"/>
  <c r="K469" i="1"/>
  <c r="K89" i="1"/>
  <c r="L500" i="1"/>
  <c r="K500" i="1"/>
  <c r="L89" i="1"/>
  <c r="L275" i="1"/>
  <c r="K275" i="1"/>
  <c r="L437" i="1"/>
  <c r="L482" i="1"/>
  <c r="K482" i="1"/>
  <c r="L346" i="1"/>
  <c r="L509" i="1"/>
  <c r="K509" i="1"/>
  <c r="L487" i="1"/>
  <c r="L465" i="1"/>
  <c r="K465" i="1"/>
  <c r="L442" i="1"/>
  <c r="L424" i="1"/>
  <c r="K424" i="1"/>
  <c r="L75" i="1"/>
  <c r="L506" i="1"/>
  <c r="K506" i="1"/>
  <c r="L483" i="1"/>
  <c r="L461" i="1"/>
  <c r="K461" i="1"/>
  <c r="L438" i="1"/>
  <c r="L420" i="1"/>
  <c r="K420" i="1"/>
  <c r="L377" i="1"/>
  <c r="L507" i="1"/>
  <c r="K507" i="1"/>
  <c r="L108" i="1"/>
  <c r="L466" i="1"/>
  <c r="K466" i="1"/>
  <c r="L448" i="1"/>
  <c r="L51" i="1"/>
  <c r="K51" i="1"/>
  <c r="L402" i="1"/>
  <c r="L348" i="1"/>
  <c r="K348" i="1"/>
  <c r="L390" i="1"/>
  <c r="L372" i="1"/>
  <c r="K372" i="1"/>
  <c r="L350" i="1"/>
  <c r="L389" i="1"/>
  <c r="K389" i="1"/>
  <c r="L306" i="1"/>
  <c r="L236" i="1"/>
  <c r="K236" i="1"/>
  <c r="L222" i="1"/>
  <c r="L172" i="1"/>
  <c r="K172" i="1"/>
  <c r="L235" i="1"/>
  <c r="L79" i="1"/>
  <c r="K79" i="1"/>
  <c r="L146" i="1"/>
  <c r="L292" i="1"/>
  <c r="K292" i="1"/>
  <c r="L253" i="1"/>
  <c r="L455" i="1"/>
  <c r="K455" i="1"/>
  <c r="L164" i="1"/>
  <c r="L125" i="1"/>
  <c r="K125" i="1"/>
  <c r="L92" i="1"/>
  <c r="L405" i="1"/>
  <c r="K405" i="1"/>
  <c r="L115" i="1"/>
  <c r="L364" i="1"/>
  <c r="K364" i="1"/>
  <c r="L344" i="1"/>
  <c r="L322" i="1"/>
  <c r="K322" i="1"/>
  <c r="L330" i="1"/>
  <c r="L273" i="1"/>
  <c r="K273" i="1"/>
  <c r="L220" i="1"/>
  <c r="L342" i="1"/>
  <c r="K342" i="1"/>
  <c r="L142" i="1"/>
  <c r="L39" i="1"/>
  <c r="K39" i="1"/>
  <c r="L385" i="1"/>
  <c r="L356" i="1"/>
  <c r="K356" i="1"/>
  <c r="L338" i="1"/>
  <c r="L238" i="1"/>
  <c r="K238" i="1"/>
  <c r="L214" i="1"/>
  <c r="L212" i="1"/>
  <c r="K212" i="1"/>
  <c r="L173" i="1"/>
  <c r="L313" i="1"/>
  <c r="K313" i="1"/>
  <c r="L99" i="1"/>
  <c r="L413" i="1"/>
  <c r="K413" i="1"/>
  <c r="L363" i="1"/>
  <c r="L293" i="1"/>
  <c r="K293" i="1"/>
  <c r="L274" i="1"/>
  <c r="L256" i="1"/>
  <c r="K256" i="1"/>
  <c r="L233" i="1"/>
  <c r="L210" i="1"/>
  <c r="K210" i="1"/>
  <c r="L192" i="1"/>
  <c r="L169" i="1"/>
  <c r="K169" i="1"/>
  <c r="L446" i="1"/>
  <c r="L128" i="1"/>
  <c r="K128" i="1"/>
  <c r="L276" i="1"/>
  <c r="L60" i="1"/>
  <c r="K60" i="1"/>
  <c r="L352" i="1"/>
  <c r="L493" i="1"/>
  <c r="K493" i="1"/>
  <c r="L475" i="1"/>
  <c r="L459" i="1"/>
  <c r="K459" i="1"/>
  <c r="L443" i="1"/>
  <c r="L24" i="1"/>
  <c r="K24" i="1"/>
  <c r="L411" i="1"/>
  <c r="L395" i="1"/>
  <c r="K395" i="1"/>
  <c r="L379" i="1"/>
  <c r="L361" i="1"/>
  <c r="K361" i="1"/>
  <c r="L345" i="1"/>
  <c r="L327" i="1"/>
  <c r="K327" i="1"/>
  <c r="L311" i="1"/>
  <c r="L295" i="1"/>
  <c r="K295" i="1"/>
  <c r="L219" i="1"/>
  <c r="L250" i="1"/>
  <c r="K250" i="1"/>
  <c r="L232" i="1"/>
  <c r="L209" i="1"/>
  <c r="K209" i="1"/>
  <c r="L186" i="1"/>
  <c r="L168" i="1"/>
  <c r="K168" i="1"/>
  <c r="L145" i="1"/>
  <c r="L180" i="1"/>
  <c r="K180" i="1"/>
  <c r="L95" i="1"/>
  <c r="L76" i="1"/>
  <c r="K76" i="1"/>
  <c r="L40" i="1"/>
  <c r="L72" i="1"/>
  <c r="K72" i="1"/>
  <c r="L54" i="1"/>
  <c r="L27" i="1"/>
  <c r="K27" i="1"/>
  <c r="L117" i="1"/>
  <c r="L279" i="1"/>
  <c r="K279" i="1"/>
  <c r="L263" i="1"/>
  <c r="L247" i="1"/>
  <c r="K247" i="1"/>
  <c r="L231" i="1"/>
  <c r="L215" i="1"/>
  <c r="K215" i="1"/>
  <c r="L511" i="1"/>
  <c r="L183" i="1"/>
  <c r="K183" i="1"/>
  <c r="L167" i="1"/>
  <c r="L151" i="1"/>
  <c r="K151" i="1"/>
  <c r="L181" i="1"/>
  <c r="L436" i="1"/>
  <c r="K436" i="1"/>
  <c r="L504" i="1"/>
  <c r="L71" i="1"/>
  <c r="K71" i="1"/>
  <c r="L48" i="1"/>
  <c r="L28" i="1"/>
  <c r="K28" i="1"/>
  <c r="L5" i="1"/>
  <c r="L109" i="1"/>
  <c r="L93" i="1"/>
  <c r="L410" i="1"/>
  <c r="K410" i="1"/>
  <c r="L61" i="1"/>
  <c r="L45" i="1"/>
  <c r="K45" i="1"/>
  <c r="L26" i="1"/>
  <c r="L10" i="1"/>
  <c r="L476" i="1"/>
  <c r="K476" i="1"/>
  <c r="L430" i="1"/>
  <c r="K430" i="1"/>
  <c r="L339" i="1"/>
  <c r="K339" i="1"/>
  <c r="L106" i="1"/>
  <c r="L458" i="1"/>
  <c r="L417" i="1"/>
  <c r="L499" i="1"/>
  <c r="L454" i="1"/>
  <c r="L62" i="1"/>
  <c r="L83" i="1"/>
  <c r="L464" i="1"/>
  <c r="L43" i="1"/>
  <c r="L278" i="1"/>
  <c r="L365" i="1"/>
  <c r="L328" i="1"/>
  <c r="L254" i="1"/>
  <c r="L218" i="1"/>
  <c r="L66" i="1"/>
  <c r="L285" i="1"/>
  <c r="L196" i="1"/>
  <c r="L490" i="1"/>
  <c r="L398" i="1"/>
  <c r="L360" i="1"/>
  <c r="L199" i="1"/>
  <c r="L252" i="1"/>
  <c r="L174" i="1"/>
  <c r="L32" i="1"/>
  <c r="L331" i="1"/>
  <c r="L296" i="1"/>
  <c r="L382" i="1"/>
  <c r="L123" i="1"/>
  <c r="L9" i="1"/>
  <c r="L456" i="1"/>
  <c r="L249" i="1"/>
  <c r="L208" i="1"/>
  <c r="L319" i="1"/>
  <c r="L122" i="1"/>
  <c r="L162" i="1"/>
  <c r="L489" i="1"/>
  <c r="L94" i="1"/>
  <c r="L423" i="1"/>
  <c r="L391" i="1"/>
  <c r="L357" i="1"/>
  <c r="L471" i="1"/>
  <c r="L133" i="1"/>
  <c r="L248" i="1"/>
  <c r="L202" i="1"/>
  <c r="L161" i="1"/>
  <c r="L107" i="1"/>
  <c r="L90" i="1"/>
  <c r="L58" i="1"/>
  <c r="L33" i="1"/>
  <c r="K33" i="1"/>
  <c r="L70" i="1"/>
  <c r="L47" i="1"/>
  <c r="K47" i="1"/>
  <c r="L20" i="1"/>
  <c r="L291" i="1"/>
  <c r="K291" i="1"/>
  <c r="L419" i="1"/>
  <c r="L259" i="1"/>
  <c r="K259" i="1"/>
  <c r="L243" i="1"/>
  <c r="L227" i="1"/>
  <c r="K227" i="1"/>
  <c r="L134" i="1"/>
  <c r="L195" i="1"/>
  <c r="K195" i="1"/>
  <c r="L179" i="1"/>
  <c r="L163" i="1"/>
  <c r="K163" i="1"/>
  <c r="L147" i="1"/>
  <c r="K147" i="1"/>
  <c r="L131" i="1"/>
  <c r="K131" i="1"/>
  <c r="L110" i="1"/>
  <c r="K110" i="1"/>
  <c r="L261" i="1"/>
  <c r="K261" i="1"/>
  <c r="L64" i="1"/>
  <c r="K64" i="1"/>
  <c r="L46" i="1"/>
  <c r="K46" i="1"/>
  <c r="L113" i="1"/>
  <c r="L132" i="1"/>
  <c r="K132" i="1"/>
  <c r="L135" i="1"/>
  <c r="K135" i="1"/>
  <c r="L245" i="1"/>
  <c r="K245" i="1"/>
  <c r="L73" i="1"/>
  <c r="K73" i="1"/>
  <c r="L57" i="1"/>
  <c r="K57" i="1"/>
  <c r="L38" i="1"/>
  <c r="K38" i="1"/>
  <c r="L22" i="1"/>
  <c r="K22" i="1"/>
  <c r="L6" i="1"/>
  <c r="K6" i="1"/>
  <c r="L491" i="1"/>
  <c r="K491" i="1"/>
  <c r="L469" i="1"/>
  <c r="L86" i="1"/>
  <c r="L362" i="1"/>
  <c r="L401" i="1"/>
  <c r="K401" i="1"/>
  <c r="L324" i="1"/>
  <c r="L496" i="1"/>
  <c r="K496" i="1"/>
  <c r="L474" i="1"/>
  <c r="L80" i="1"/>
  <c r="K80" i="1"/>
  <c r="L4" i="1"/>
  <c r="L21" i="1"/>
  <c r="K21" i="1"/>
  <c r="L386" i="1"/>
  <c r="L492" i="1"/>
  <c r="K492" i="1"/>
  <c r="L503" i="1"/>
  <c r="L452" i="1"/>
  <c r="K452" i="1"/>
  <c r="L429" i="1"/>
  <c r="L406" i="1"/>
  <c r="K406" i="1"/>
  <c r="L502" i="1"/>
  <c r="L480" i="1"/>
  <c r="K480" i="1"/>
  <c r="L457" i="1"/>
  <c r="L434" i="1"/>
  <c r="K434" i="1"/>
  <c r="L416" i="1"/>
  <c r="L478" i="1"/>
  <c r="K478" i="1"/>
  <c r="L404" i="1"/>
  <c r="L381" i="1"/>
  <c r="K381" i="1"/>
  <c r="L359" i="1"/>
  <c r="L336" i="1"/>
  <c r="K336" i="1"/>
  <c r="L321" i="1"/>
  <c r="L286" i="1"/>
  <c r="K286" i="1"/>
  <c r="L184" i="1"/>
  <c r="L197" i="1"/>
  <c r="K197" i="1"/>
  <c r="L158" i="1"/>
  <c r="L98" i="1"/>
  <c r="K98" i="1"/>
  <c r="L59" i="1"/>
  <c r="L308" i="1"/>
  <c r="K308" i="1"/>
  <c r="L270" i="1"/>
  <c r="L228" i="1"/>
  <c r="K228" i="1"/>
  <c r="L211" i="1"/>
  <c r="L150" i="1"/>
  <c r="K150" i="1"/>
  <c r="L111" i="1"/>
  <c r="L205" i="1"/>
  <c r="K205" i="1"/>
  <c r="L396" i="1"/>
  <c r="L7" i="1"/>
  <c r="L358" i="1"/>
  <c r="L335" i="1"/>
  <c r="K335" i="1"/>
  <c r="L318" i="1"/>
  <c r="L284" i="1"/>
  <c r="K284" i="1"/>
  <c r="L320" i="1"/>
  <c r="L206" i="1"/>
  <c r="K206" i="1"/>
  <c r="L156" i="1"/>
  <c r="L373" i="1"/>
  <c r="K373" i="1"/>
  <c r="L25" i="1"/>
  <c r="L376" i="1"/>
  <c r="K376" i="1"/>
  <c r="L347" i="1"/>
  <c r="L325" i="1"/>
  <c r="K325" i="1"/>
  <c r="L114" i="1"/>
  <c r="L237" i="1"/>
  <c r="K237" i="1"/>
  <c r="L198" i="1"/>
  <c r="L148" i="1"/>
  <c r="K148" i="1"/>
  <c r="L118" i="1"/>
  <c r="L68" i="1"/>
  <c r="K68" i="1"/>
  <c r="L317" i="1"/>
  <c r="L301" i="1"/>
  <c r="K301" i="1"/>
  <c r="L288" i="1"/>
  <c r="L265" i="1"/>
  <c r="K265" i="1"/>
  <c r="L242" i="1"/>
  <c r="L224" i="1"/>
  <c r="K224" i="1"/>
  <c r="L201" i="1"/>
  <c r="L178" i="1"/>
  <c r="K178" i="1"/>
  <c r="L160" i="1"/>
  <c r="L137" i="1"/>
  <c r="K137" i="1"/>
  <c r="L120" i="1"/>
  <c r="L74" i="1"/>
  <c r="L31" i="1"/>
  <c r="L501" i="1"/>
  <c r="K501" i="1"/>
  <c r="L485" i="1"/>
  <c r="L467" i="1"/>
  <c r="K467" i="1"/>
  <c r="L451" i="1"/>
  <c r="K451" i="1"/>
  <c r="L435" i="1"/>
  <c r="K435" i="1"/>
  <c r="L412" i="1"/>
  <c r="K412" i="1"/>
  <c r="L403" i="1"/>
  <c r="K403" i="1"/>
  <c r="L387" i="1"/>
  <c r="K387" i="1"/>
  <c r="L371" i="1"/>
  <c r="K371" i="1"/>
  <c r="L310" i="1"/>
  <c r="K310" i="1"/>
  <c r="L337" i="1"/>
  <c r="K337" i="1"/>
  <c r="L165" i="1"/>
  <c r="K165" i="1"/>
  <c r="L303" i="1"/>
  <c r="K303" i="1"/>
  <c r="L282" i="1"/>
  <c r="K282" i="1"/>
  <c r="L264" i="1"/>
  <c r="K264" i="1"/>
  <c r="L241" i="1"/>
  <c r="K241" i="1"/>
  <c r="L353" i="1"/>
  <c r="K353" i="1"/>
  <c r="L200" i="1"/>
  <c r="K200" i="1"/>
  <c r="L177" i="1"/>
  <c r="K177" i="1"/>
  <c r="L154" i="1"/>
  <c r="K154" i="1"/>
  <c r="L190" i="1"/>
  <c r="K190" i="1"/>
  <c r="L102" i="1"/>
  <c r="K102" i="1"/>
  <c r="L88" i="1"/>
  <c r="K88" i="1"/>
  <c r="L427" i="1"/>
  <c r="K427" i="1"/>
  <c r="L136" i="1"/>
  <c r="K136" i="1"/>
  <c r="L63" i="1"/>
  <c r="K63" i="1"/>
  <c r="L36" i="1"/>
  <c r="K36" i="1"/>
  <c r="L13" i="1"/>
  <c r="K13" i="1"/>
  <c r="L287" i="1"/>
  <c r="K287" i="1"/>
  <c r="L370" i="1"/>
  <c r="K370" i="1"/>
  <c r="L255" i="1"/>
  <c r="K255" i="1"/>
  <c r="L239" i="1"/>
  <c r="K239" i="1"/>
  <c r="L223" i="1"/>
  <c r="K223" i="1"/>
  <c r="L207" i="1"/>
  <c r="K207" i="1"/>
  <c r="L191" i="1"/>
  <c r="K191" i="1"/>
  <c r="L175" i="1"/>
  <c r="K175" i="1"/>
  <c r="L159" i="1"/>
  <c r="K159" i="1"/>
  <c r="L143" i="1"/>
  <c r="K143" i="1"/>
  <c r="L127" i="1"/>
  <c r="K127" i="1"/>
  <c r="L103" i="1"/>
  <c r="K103" i="1"/>
  <c r="L428" i="1"/>
  <c r="K428" i="1"/>
  <c r="L383" i="1"/>
  <c r="K383" i="1"/>
  <c r="L37" i="1"/>
  <c r="K37" i="1"/>
  <c r="L19" i="1"/>
  <c r="K19" i="1"/>
  <c r="L268" i="1"/>
  <c r="K268" i="1"/>
  <c r="L101" i="1"/>
  <c r="L85" i="1"/>
  <c r="K85" i="1"/>
  <c r="L69" i="1"/>
  <c r="K69" i="1"/>
  <c r="L53" i="1"/>
  <c r="K53" i="1"/>
  <c r="L34" i="1"/>
  <c r="K34" i="1"/>
  <c r="L18" i="1"/>
  <c r="K18" i="1"/>
  <c r="L3" i="1"/>
  <c r="K3" i="1"/>
  <c r="L129" i="1"/>
  <c r="K129" i="1"/>
  <c r="L100" i="1"/>
  <c r="K100" i="1"/>
  <c r="L433" i="1"/>
  <c r="K433" i="1"/>
  <c r="L44" i="1"/>
  <c r="K44" i="1"/>
  <c r="L8" i="1"/>
  <c r="L56" i="1"/>
  <c r="K56" i="1"/>
  <c r="L29" i="1"/>
  <c r="K29" i="1"/>
  <c r="L11" i="1"/>
  <c r="K11" i="1"/>
  <c r="L283" i="1"/>
  <c r="K283" i="1"/>
  <c r="L267" i="1"/>
  <c r="K267" i="1"/>
  <c r="L251" i="1"/>
  <c r="K251" i="1"/>
  <c r="L290" i="1"/>
  <c r="K290" i="1"/>
  <c r="L302" i="1"/>
  <c r="K302" i="1"/>
  <c r="L203" i="1"/>
  <c r="K203" i="1"/>
  <c r="L187" i="1"/>
  <c r="K187" i="1"/>
  <c r="L171" i="1"/>
  <c r="K171" i="1"/>
  <c r="L155" i="1"/>
  <c r="K155" i="1"/>
  <c r="L139" i="1"/>
  <c r="K139" i="1"/>
  <c r="L119" i="1"/>
  <c r="K119" i="1"/>
  <c r="L96" i="1"/>
  <c r="K96" i="1"/>
  <c r="L78" i="1"/>
  <c r="L55" i="1"/>
  <c r="K55" i="1"/>
  <c r="L289" i="1"/>
  <c r="K289" i="1"/>
  <c r="L12" i="1"/>
  <c r="K12" i="1"/>
  <c r="L445" i="1"/>
  <c r="K445" i="1"/>
  <c r="L97" i="1"/>
  <c r="L81" i="1"/>
  <c r="K81" i="1"/>
  <c r="L65" i="1"/>
  <c r="K65" i="1"/>
  <c r="L49" i="1"/>
  <c r="K49" i="1"/>
  <c r="L30" i="1"/>
  <c r="K30" i="1"/>
  <c r="L14" i="1"/>
  <c r="K14" i="1"/>
  <c r="L2" i="1"/>
  <c r="G324" i="1" a="1"/>
  <c r="G324" i="1" s="1"/>
  <c r="N324" i="1" s="1"/>
  <c r="G250" i="1" a="1"/>
  <c r="G250" i="1" s="1"/>
  <c r="N250" i="1" s="1"/>
  <c r="G153" i="1" a="1"/>
  <c r="G153" i="1"/>
  <c r="N153" i="1" s="1"/>
  <c r="O480" i="1" a="1"/>
  <c r="O480" i="1"/>
  <c r="P480" i="1"/>
  <c r="O56" i="1" a="1"/>
  <c r="O56" i="1" s="1"/>
  <c r="P56" i="1" s="1"/>
  <c r="Q506" i="1" a="1"/>
  <c r="Q506" i="1" s="1"/>
  <c r="R506" i="1" s="1"/>
  <c r="Q86" i="1" a="1"/>
  <c r="Q86" i="1"/>
  <c r="R86" i="1" s="1"/>
  <c r="Q482" i="1" a="1"/>
  <c r="Q482" i="1"/>
  <c r="R482" i="1"/>
  <c r="Q357" i="1" a="1"/>
  <c r="Q357" i="1" s="1"/>
  <c r="R357" i="1" s="1"/>
  <c r="Q306" i="1" a="1"/>
  <c r="Q306" i="1" s="1"/>
  <c r="R306" i="1" s="1"/>
  <c r="O239" i="1" a="1"/>
  <c r="O239" i="1"/>
  <c r="P239" i="1" s="1"/>
  <c r="O64" i="1" a="1"/>
  <c r="O64" i="1"/>
  <c r="P64" i="1"/>
  <c r="O108" i="1" a="1"/>
  <c r="O108" i="1" s="1"/>
  <c r="P108" i="1" s="1"/>
  <c r="T481" i="1" a="1"/>
  <c r="T481" i="1" s="1"/>
  <c r="T476" i="1" a="1"/>
  <c r="T476" i="1"/>
  <c r="T91" i="1" a="1"/>
  <c r="T91" i="1" s="1"/>
  <c r="G421" i="1" a="1"/>
  <c r="G421" i="1"/>
  <c r="N421" i="1"/>
  <c r="O412" i="1" a="1"/>
  <c r="O412" i="1" s="1"/>
  <c r="P412" i="1" s="1"/>
  <c r="T409" i="1" a="1"/>
  <c r="T409" i="1" s="1"/>
  <c r="G401" i="1" a="1"/>
  <c r="G401" i="1"/>
  <c r="N401" i="1"/>
  <c r="Q115" i="1" a="1"/>
  <c r="Q115" i="1" s="1"/>
  <c r="R115" i="1" s="1"/>
  <c r="O381" i="1" a="1"/>
  <c r="O381" i="1" s="1"/>
  <c r="P381" i="1" s="1"/>
  <c r="T77" i="1" a="1"/>
  <c r="T77" i="1"/>
  <c r="T369" i="1" a="1"/>
  <c r="T369" i="1" s="1"/>
  <c r="G361" i="1" a="1"/>
  <c r="G361" i="1"/>
  <c r="N361" i="1" s="1"/>
  <c r="T351" i="1" a="1"/>
  <c r="T351" i="1"/>
  <c r="O334" i="1" a="1"/>
  <c r="O334" i="1" s="1"/>
  <c r="P334" i="1" s="1"/>
  <c r="O15" i="1" a="1"/>
  <c r="O15" i="1"/>
  <c r="P15" i="1" s="1"/>
  <c r="Q297" i="1" a="1"/>
  <c r="Q297" i="1"/>
  <c r="R297" i="1"/>
  <c r="T293" i="1" a="1"/>
  <c r="T293" i="1" s="1"/>
  <c r="T287" i="1" a="1"/>
  <c r="T287" i="1"/>
  <c r="G283" i="1" a="1"/>
  <c r="G283" i="1" s="1"/>
  <c r="N283" i="1" s="1"/>
  <c r="Q114" i="1" a="1"/>
  <c r="Q114" i="1" s="1"/>
  <c r="R114" i="1" s="1"/>
  <c r="O184" i="1" a="1"/>
  <c r="O184" i="1"/>
  <c r="P184" i="1" s="1"/>
  <c r="Q234" i="1" a="1"/>
  <c r="Q234" i="1"/>
  <c r="R234" i="1"/>
  <c r="O223" i="1" a="1"/>
  <c r="O223" i="1" s="1"/>
  <c r="P223" i="1" s="1"/>
  <c r="G455" i="1" a="1"/>
  <c r="G455" i="1" s="1"/>
  <c r="N455" i="1" s="1"/>
  <c r="O134" i="1" a="1"/>
  <c r="O134" i="1"/>
  <c r="P134" i="1" s="1"/>
  <c r="T204" i="1" a="1"/>
  <c r="T204" i="1"/>
  <c r="O194" i="1" a="1"/>
  <c r="O194" i="1" s="1"/>
  <c r="P194" i="1" s="1"/>
  <c r="O183" i="1" a="1"/>
  <c r="O183" i="1"/>
  <c r="P183" i="1" s="1"/>
  <c r="T170" i="1" a="1"/>
  <c r="T170" i="1"/>
  <c r="O167" i="1" a="1"/>
  <c r="O167" i="1" s="1"/>
  <c r="P167" i="1" s="1"/>
  <c r="O161" i="1" a="1"/>
  <c r="O161" i="1"/>
  <c r="P161" i="1" s="1"/>
  <c r="G157" i="1" a="1"/>
  <c r="G157" i="1"/>
  <c r="N157" i="1"/>
  <c r="Q149" i="1" a="1"/>
  <c r="Q149" i="1" s="1"/>
  <c r="R149" i="1" s="1"/>
  <c r="Q119" i="1" a="1"/>
  <c r="Q119" i="1" s="1"/>
  <c r="R119" i="1" s="1"/>
  <c r="Q490" i="1" a="1"/>
  <c r="Q490" i="1"/>
  <c r="R490" i="1" s="1"/>
  <c r="Q92" i="1" a="1"/>
  <c r="Q92" i="1"/>
  <c r="R92" i="1"/>
  <c r="T323" i="1" a="1"/>
  <c r="T323" i="1" s="1"/>
  <c r="O428" i="1" a="1"/>
  <c r="O428" i="1"/>
  <c r="P428" i="1" s="1"/>
  <c r="G54" i="1" a="1"/>
  <c r="G54" i="1"/>
  <c r="N54" i="1"/>
  <c r="O28" i="1" a="1"/>
  <c r="O28" i="1" s="1"/>
  <c r="P28" i="1" s="1"/>
  <c r="T146" i="1" a="1"/>
  <c r="T146" i="1" s="1"/>
  <c r="K453" i="1" l="1"/>
  <c r="L453" i="1"/>
  <c r="L440" i="1"/>
  <c r="K440" i="1"/>
  <c r="K84" i="1"/>
  <c r="L84" i="1"/>
  <c r="L468" i="1"/>
  <c r="K468" i="1"/>
  <c r="L77" i="1"/>
  <c r="K77" i="1"/>
  <c r="K450" i="1"/>
  <c r="L450" i="1"/>
  <c r="L432" i="1"/>
  <c r="K432" i="1"/>
  <c r="L388" i="1"/>
  <c r="K388" i="1"/>
  <c r="K314" i="1"/>
  <c r="L314" i="1"/>
  <c r="L189" i="1"/>
  <c r="K189" i="1"/>
  <c r="L126" i="1"/>
  <c r="K126" i="1"/>
  <c r="K260" i="1"/>
  <c r="L260" i="1"/>
  <c r="L221" i="1"/>
  <c r="K221" i="1"/>
  <c r="L50" i="1"/>
  <c r="K50" i="1"/>
  <c r="K351" i="1"/>
  <c r="L351" i="1"/>
  <c r="L329" i="1"/>
  <c r="K329" i="1"/>
  <c r="L213" i="1"/>
  <c r="K213" i="1"/>
  <c r="K392" i="1"/>
  <c r="L392" i="1"/>
  <c r="L369" i="1"/>
  <c r="K369" i="1"/>
  <c r="L244" i="1"/>
  <c r="K244" i="1"/>
  <c r="K104" i="1"/>
  <c r="L104" i="1"/>
  <c r="L23" i="1"/>
  <c r="K23" i="1"/>
  <c r="L141" i="1"/>
  <c r="K141" i="1"/>
  <c r="L194" i="1"/>
  <c r="K194" i="1"/>
  <c r="L176" i="1"/>
  <c r="K176" i="1"/>
  <c r="K87" i="1"/>
  <c r="L87" i="1"/>
  <c r="L463" i="1"/>
  <c r="K463" i="1"/>
  <c r="L407" i="1"/>
  <c r="K407" i="1"/>
  <c r="K349" i="1"/>
  <c r="L349" i="1"/>
  <c r="L262" i="1"/>
  <c r="K262" i="1"/>
  <c r="L266" i="1"/>
  <c r="K266" i="1"/>
  <c r="K193" i="1"/>
  <c r="L193" i="1"/>
  <c r="L170" i="1"/>
  <c r="K170" i="1"/>
  <c r="L508" i="1"/>
  <c r="K508" i="1"/>
  <c r="L484" i="1"/>
  <c r="K484" i="1"/>
  <c r="K479" i="1"/>
  <c r="L479" i="1"/>
  <c r="L216" i="1"/>
  <c r="K216" i="1"/>
  <c r="L472" i="1"/>
  <c r="K472" i="1"/>
  <c r="K393" i="1"/>
  <c r="L393" i="1"/>
  <c r="K488" i="1"/>
  <c r="L488" i="1"/>
  <c r="L422" i="1"/>
  <c r="K422" i="1"/>
  <c r="K486" i="1"/>
  <c r="L486" i="1"/>
  <c r="L409" i="1"/>
  <c r="K409" i="1"/>
  <c r="L355" i="1"/>
  <c r="K355" i="1"/>
  <c r="K343" i="1"/>
  <c r="L343" i="1"/>
  <c r="K229" i="1"/>
  <c r="L229" i="1"/>
  <c r="L426" i="1"/>
  <c r="K426" i="1"/>
  <c r="K316" i="1"/>
  <c r="L316" i="1"/>
  <c r="K182" i="1"/>
  <c r="L182" i="1"/>
  <c r="L304" i="1"/>
  <c r="K304" i="1"/>
  <c r="K380" i="1"/>
  <c r="L380" i="1"/>
  <c r="L460" i="1"/>
  <c r="K460" i="1"/>
  <c r="L277" i="1"/>
  <c r="K277" i="1"/>
  <c r="K124" i="1"/>
  <c r="L124" i="1"/>
  <c r="K340" i="1"/>
  <c r="L340" i="1"/>
  <c r="L312" i="1"/>
  <c r="K312" i="1"/>
  <c r="K166" i="1"/>
  <c r="L166" i="1"/>
  <c r="K470" i="1"/>
  <c r="L470" i="1"/>
  <c r="L297" i="1"/>
  <c r="K297" i="1"/>
  <c r="K226" i="1"/>
  <c r="L226" i="1"/>
  <c r="K153" i="1"/>
  <c r="L153" i="1"/>
  <c r="L130" i="1"/>
  <c r="K130" i="1"/>
  <c r="K505" i="1"/>
  <c r="L505" i="1"/>
  <c r="K447" i="1"/>
  <c r="L447" i="1"/>
  <c r="L431" i="1"/>
  <c r="K431" i="1"/>
  <c r="K375" i="1"/>
  <c r="L375" i="1"/>
  <c r="K315" i="1"/>
  <c r="L315" i="1"/>
  <c r="L299" i="1"/>
  <c r="K299" i="1"/>
  <c r="L225" i="1"/>
  <c r="K225" i="1"/>
  <c r="K152" i="1"/>
  <c r="L152" i="1"/>
  <c r="K462" i="1"/>
  <c r="L462" i="1"/>
  <c r="L444" i="1"/>
  <c r="K444" i="1"/>
  <c r="K449" i="1"/>
  <c r="L449" i="1"/>
  <c r="L35" i="1"/>
  <c r="K35" i="1"/>
  <c r="K477" i="1"/>
  <c r="L477" i="1"/>
  <c r="K384" i="1"/>
  <c r="L384" i="1"/>
  <c r="L272" i="1"/>
  <c r="K272" i="1"/>
  <c r="K441" i="1"/>
  <c r="L441" i="1"/>
  <c r="K397" i="1"/>
  <c r="L397" i="1"/>
  <c r="L374" i="1"/>
  <c r="K374" i="1"/>
  <c r="K298" i="1"/>
  <c r="L298" i="1"/>
  <c r="K140" i="1"/>
  <c r="L140" i="1"/>
  <c r="L323" i="1"/>
  <c r="K323" i="1"/>
  <c r="K246" i="1"/>
  <c r="L246" i="1"/>
  <c r="K414" i="1"/>
  <c r="L414" i="1"/>
  <c r="L41" i="1"/>
  <c r="K41" i="1"/>
  <c r="K473" i="1"/>
  <c r="L473" i="1"/>
  <c r="K354" i="1"/>
  <c r="L354" i="1"/>
  <c r="L188" i="1"/>
  <c r="K188" i="1"/>
  <c r="K378" i="1"/>
  <c r="L378" i="1"/>
  <c r="L269" i="1"/>
  <c r="K269" i="1"/>
  <c r="L230" i="1"/>
  <c r="K230" i="1"/>
  <c r="K116" i="1"/>
  <c r="L116" i="1"/>
  <c r="K281" i="1"/>
  <c r="L281" i="1"/>
  <c r="L258" i="1"/>
  <c r="K258" i="1"/>
  <c r="K185" i="1"/>
  <c r="L185" i="1"/>
  <c r="K309" i="1"/>
  <c r="L309" i="1"/>
  <c r="L67" i="1"/>
  <c r="K67" i="1"/>
  <c r="K333" i="1"/>
  <c r="L333" i="1"/>
  <c r="L415" i="1"/>
  <c r="K415" i="1"/>
  <c r="L271" i="1"/>
  <c r="K271" i="1"/>
  <c r="K341" i="1"/>
  <c r="L341" i="1"/>
  <c r="K280" i="1"/>
  <c r="L280" i="1"/>
  <c r="L257" i="1"/>
  <c r="K257" i="1"/>
  <c r="K121" i="1"/>
  <c r="L121" i="1"/>
  <c r="K498" i="1"/>
  <c r="L498" i="1"/>
  <c r="K421" i="1"/>
  <c r="L421" i="1"/>
  <c r="L394" i="1"/>
  <c r="K394" i="1"/>
  <c r="L481" i="1"/>
  <c r="K481" i="1"/>
  <c r="K408" i="1"/>
  <c r="L408" i="1"/>
  <c r="L510" i="1"/>
  <c r="K510" i="1"/>
  <c r="L495" i="1"/>
  <c r="K495" i="1"/>
  <c r="L91" i="1"/>
  <c r="K91" i="1"/>
  <c r="L368" i="1"/>
  <c r="K368" i="1"/>
  <c r="K425" i="1"/>
  <c r="L425" i="1"/>
  <c r="L334" i="1"/>
  <c r="K334" i="1"/>
  <c r="L204" i="1"/>
  <c r="K204" i="1"/>
  <c r="K52" i="1"/>
  <c r="L52" i="1"/>
  <c r="L300" i="1"/>
  <c r="K300" i="1"/>
  <c r="L157" i="1"/>
  <c r="K157" i="1"/>
  <c r="L399" i="1"/>
  <c r="K399" i="1"/>
  <c r="L366" i="1"/>
  <c r="K366" i="1"/>
  <c r="L294" i="1"/>
  <c r="K294" i="1"/>
  <c r="K149" i="1"/>
  <c r="L149" i="1"/>
  <c r="L112" i="1"/>
  <c r="K112" i="1"/>
  <c r="L332" i="1"/>
  <c r="K332" i="1"/>
  <c r="K326" i="1"/>
  <c r="L326" i="1"/>
  <c r="L400" i="1"/>
  <c r="K400" i="1"/>
  <c r="L305" i="1"/>
  <c r="K305" i="1"/>
  <c r="K240" i="1"/>
  <c r="L240" i="1"/>
  <c r="L217" i="1"/>
  <c r="K217" i="1"/>
  <c r="L144" i="1"/>
  <c r="K144" i="1"/>
  <c r="K418" i="1"/>
  <c r="L418" i="1"/>
  <c r="L497" i="1"/>
  <c r="K497" i="1"/>
  <c r="L439" i="1"/>
  <c r="K439" i="1"/>
  <c r="K16" i="1"/>
  <c r="L16" i="1"/>
  <c r="L367" i="1"/>
  <c r="K367" i="1"/>
  <c r="L307" i="1"/>
  <c r="K307" i="1"/>
  <c r="K234" i="1"/>
  <c r="L234" i="1"/>
  <c r="L494" i="1"/>
  <c r="K494" i="1"/>
  <c r="L138" i="1"/>
  <c r="K138" i="1"/>
  <c r="X93" i="11"/>
  <c r="W93" i="11"/>
  <c r="V93" i="11"/>
  <c r="X92" i="11"/>
  <c r="W92" i="11"/>
  <c r="V92" i="11"/>
  <c r="X89" i="11"/>
  <c r="W79" i="11"/>
  <c r="X79" i="11"/>
  <c r="V79" i="11"/>
  <c r="W73" i="11"/>
  <c r="V73" i="11"/>
  <c r="Y73" i="11" s="1"/>
  <c r="X73" i="11"/>
  <c r="W71" i="11"/>
  <c r="V71" i="11"/>
  <c r="X71" i="11"/>
  <c r="V67" i="11"/>
  <c r="X67" i="11"/>
  <c r="W67" i="11"/>
  <c r="V94" i="11"/>
  <c r="X95" i="11"/>
  <c r="W95" i="11"/>
  <c r="Z95" i="11" s="1"/>
  <c r="V95" i="11"/>
  <c r="V91" i="11"/>
  <c r="X86" i="11"/>
  <c r="W82" i="11"/>
  <c r="Z82" i="11" s="1"/>
  <c r="V82" i="11"/>
  <c r="X82" i="11"/>
  <c r="V74" i="11"/>
  <c r="Y74" i="11" s="1"/>
  <c r="W74" i="11"/>
  <c r="Z74" i="11" s="1"/>
  <c r="X74" i="11"/>
  <c r="O25" i="1" a="1"/>
  <c r="O25" i="1" s="1"/>
  <c r="P25" i="1" s="1"/>
  <c r="Q452" i="1" a="1"/>
  <c r="Q452" i="1" s="1"/>
  <c r="R452" i="1" s="1"/>
  <c r="Q112" i="1" a="1"/>
  <c r="Q112" i="1" s="1"/>
  <c r="R112" i="1" s="1"/>
  <c r="Q402" i="1" a="1"/>
  <c r="Q402" i="1" s="1"/>
  <c r="R402" i="1" s="1"/>
  <c r="Q388" i="1" a="1"/>
  <c r="Q388" i="1" s="1"/>
  <c r="R388" i="1" s="1"/>
  <c r="Q364" i="1" a="1"/>
  <c r="Q364" i="1" s="1"/>
  <c r="R364" i="1" s="1"/>
  <c r="Q336" i="1" a="1"/>
  <c r="Q336" i="1" s="1"/>
  <c r="R336" i="1" s="1"/>
  <c r="Q15" i="1" a="1"/>
  <c r="Q15" i="1" s="1"/>
  <c r="R15" i="1" s="1"/>
  <c r="Q293" i="1" a="1"/>
  <c r="Q293" i="1" s="1"/>
  <c r="R293" i="1" s="1"/>
  <c r="Q302" i="1" a="1"/>
  <c r="Q302" i="1" s="1"/>
  <c r="R302" i="1" s="1"/>
  <c r="Q251" i="1" a="1"/>
  <c r="Q251" i="1" s="1"/>
  <c r="R251" i="1" s="1"/>
  <c r="Q230" i="1" a="1"/>
  <c r="Q230" i="1" s="1"/>
  <c r="R230" i="1" s="1"/>
  <c r="Q326" i="1" a="1"/>
  <c r="Q326" i="1" s="1"/>
  <c r="R326" i="1" s="1"/>
  <c r="Q202" i="1" a="1"/>
  <c r="Q202" i="1" s="1"/>
  <c r="R202" i="1" s="1"/>
  <c r="Q176" i="1" a="1"/>
  <c r="Q176" i="1" s="1"/>
  <c r="R176" i="1" s="1"/>
  <c r="Q158" i="1" a="1"/>
  <c r="Q158" i="1" s="1"/>
  <c r="R158" i="1" s="1"/>
  <c r="Q414" i="1" a="1"/>
  <c r="Q414" i="1" s="1"/>
  <c r="R414" i="1" s="1"/>
  <c r="Q94" i="1" a="1"/>
  <c r="Q94" i="1" s="1"/>
  <c r="R94" i="1" s="1"/>
  <c r="Q219" i="1" a="1"/>
  <c r="Q219" i="1" s="1"/>
  <c r="R219" i="1" s="1"/>
  <c r="Q90" i="1" a="1"/>
  <c r="Q90" i="1" s="1"/>
  <c r="R90" i="1" s="1"/>
  <c r="Q73" i="1" a="1"/>
  <c r="Q73" i="1" s="1"/>
  <c r="R73" i="1" s="1"/>
  <c r="Q363" i="1" a="1"/>
  <c r="Q363" i="1" s="1"/>
  <c r="R363" i="1" s="1"/>
  <c r="Q5" i="1" a="1"/>
  <c r="Q5" i="1" s="1"/>
  <c r="R5" i="1" s="1"/>
  <c r="Q442" i="1" a="1"/>
  <c r="Q442" i="1" s="1"/>
  <c r="R442" i="1" s="1"/>
  <c r="W94" i="11"/>
  <c r="Z94" i="11" s="1"/>
  <c r="W91" i="11"/>
  <c r="Q88" i="11"/>
  <c r="Q85" i="11"/>
  <c r="V80" i="11"/>
  <c r="Y80" i="11" s="1"/>
  <c r="AA80" i="11" s="1"/>
  <c r="W77" i="11"/>
  <c r="Z77" i="11" s="1"/>
  <c r="Q76" i="11"/>
  <c r="U75" i="11"/>
  <c r="S75" i="11"/>
  <c r="V75" i="11" s="1"/>
  <c r="Y75" i="11" s="1"/>
  <c r="T72" i="11"/>
  <c r="W69" i="11"/>
  <c r="Z69" i="11" s="1"/>
  <c r="V69" i="11"/>
  <c r="Y69" i="11" s="1"/>
  <c r="AA69" i="11" s="1"/>
  <c r="V56" i="11"/>
  <c r="X56" i="11"/>
  <c r="W56" i="11"/>
  <c r="V54" i="11"/>
  <c r="X54" i="11"/>
  <c r="W54" i="11"/>
  <c r="W48" i="11"/>
  <c r="V48" i="11"/>
  <c r="Y48" i="11" s="1"/>
  <c r="X48" i="11"/>
  <c r="V38" i="11"/>
  <c r="Y38" i="11" s="1"/>
  <c r="X38" i="11"/>
  <c r="U31" i="11"/>
  <c r="T31" i="11"/>
  <c r="S22" i="11"/>
  <c r="R22" i="11"/>
  <c r="V22" i="11" s="1"/>
  <c r="X94" i="11"/>
  <c r="X91" i="11"/>
  <c r="W89" i="11"/>
  <c r="Z89" i="11" s="1"/>
  <c r="W86" i="11"/>
  <c r="Z86" i="11" s="1"/>
  <c r="U83" i="11"/>
  <c r="W80" i="11"/>
  <c r="Z80" i="11" s="1"/>
  <c r="S72" i="11"/>
  <c r="S65" i="11"/>
  <c r="R65" i="11"/>
  <c r="V65" i="11" s="1"/>
  <c r="Y65" i="11" s="1"/>
  <c r="U53" i="11"/>
  <c r="T53" i="11"/>
  <c r="V46" i="11"/>
  <c r="Y46" i="11" s="1"/>
  <c r="X46" i="11"/>
  <c r="W46" i="11"/>
  <c r="U19" i="11"/>
  <c r="T19" i="11"/>
  <c r="Q374" i="1" a="1"/>
  <c r="Q374" i="1" s="1"/>
  <c r="R374" i="1" s="1"/>
  <c r="Q43" i="1" a="1"/>
  <c r="Q43" i="1" s="1"/>
  <c r="R43" i="1" s="1"/>
  <c r="Q340" i="1" a="1"/>
  <c r="Q340" i="1" s="1"/>
  <c r="R340" i="1" s="1"/>
  <c r="Q317" i="1" a="1"/>
  <c r="Q317" i="1" s="1"/>
  <c r="R317" i="1" s="1"/>
  <c r="Q470" i="1" a="1"/>
  <c r="Q470" i="1" s="1"/>
  <c r="R470" i="1" s="1"/>
  <c r="Q257" i="1" a="1"/>
  <c r="Q257" i="1" s="1"/>
  <c r="R257" i="1" s="1"/>
  <c r="Q241" i="1" a="1"/>
  <c r="Q241" i="1" s="1"/>
  <c r="R241" i="1" s="1"/>
  <c r="Q224" i="1" a="1"/>
  <c r="Q224" i="1" s="1"/>
  <c r="R224" i="1" s="1"/>
  <c r="Q446" i="1" a="1"/>
  <c r="Q446" i="1" s="1"/>
  <c r="R446" i="1" s="1"/>
  <c r="Q313" i="1" a="1"/>
  <c r="Q313" i="1" s="1"/>
  <c r="R313" i="1" s="1"/>
  <c r="Q173" i="1" a="1"/>
  <c r="Q173" i="1" s="1"/>
  <c r="R173" i="1" s="1"/>
  <c r="Q160" i="1" a="1"/>
  <c r="Q160" i="1" s="1"/>
  <c r="R160" i="1" s="1"/>
  <c r="Q142" i="1" a="1"/>
  <c r="Q142" i="1" s="1"/>
  <c r="R142" i="1" s="1"/>
  <c r="Q130" i="1" a="1"/>
  <c r="Q130" i="1" s="1"/>
  <c r="R130" i="1" s="1"/>
  <c r="Q410" i="1" a="1"/>
  <c r="Q410" i="1" s="1"/>
  <c r="R410" i="1" s="1"/>
  <c r="Q352" i="1" a="1"/>
  <c r="Q352" i="1" s="1"/>
  <c r="R352" i="1" s="1"/>
  <c r="Q71" i="1" a="1"/>
  <c r="Q71" i="1" s="1"/>
  <c r="R71" i="1" s="1"/>
  <c r="Q49" i="1" a="1"/>
  <c r="Q49" i="1" s="1"/>
  <c r="R49" i="1" s="1"/>
  <c r="Q39" i="1" a="1"/>
  <c r="Q39" i="1" s="1"/>
  <c r="R39" i="1" s="1"/>
  <c r="Q13" i="1" a="1"/>
  <c r="Q13" i="1" s="1"/>
  <c r="R13" i="1" s="1"/>
  <c r="V90" i="11"/>
  <c r="R90" i="11"/>
  <c r="W90" i="11" s="1"/>
  <c r="S88" i="11"/>
  <c r="R87" i="11"/>
  <c r="W87" i="11" s="1"/>
  <c r="S85" i="11"/>
  <c r="V84" i="11"/>
  <c r="R84" i="11"/>
  <c r="W84" i="11" s="1"/>
  <c r="Q83" i="11"/>
  <c r="Q81" i="11"/>
  <c r="R78" i="11"/>
  <c r="X78" i="11" s="1"/>
  <c r="S76" i="11"/>
  <c r="X75" i="11"/>
  <c r="R72" i="11"/>
  <c r="Q72" i="11"/>
  <c r="U66" i="11"/>
  <c r="T66" i="11"/>
  <c r="V64" i="11"/>
  <c r="X64" i="11"/>
  <c r="Z64" i="11" s="1"/>
  <c r="V62" i="11"/>
  <c r="Y62" i="11" s="1"/>
  <c r="AA62" i="11" s="1"/>
  <c r="X62" i="11"/>
  <c r="W62" i="11"/>
  <c r="Z62" i="11" s="1"/>
  <c r="S51" i="11"/>
  <c r="R51" i="11"/>
  <c r="R42" i="11"/>
  <c r="Q42" i="11"/>
  <c r="W41" i="11"/>
  <c r="W38" i="11"/>
  <c r="Z38" i="11" s="1"/>
  <c r="R35" i="11"/>
  <c r="Q35" i="11"/>
  <c r="V33" i="11"/>
  <c r="Y33" i="11" s="1"/>
  <c r="AA33" i="11" s="1"/>
  <c r="X33" i="11"/>
  <c r="W33" i="11"/>
  <c r="Z33" i="11" s="1"/>
  <c r="S31" i="11"/>
  <c r="R31" i="11"/>
  <c r="V31" i="11" s="1"/>
  <c r="X24" i="11"/>
  <c r="V89" i="11"/>
  <c r="Y89" i="11" s="1"/>
  <c r="AA89" i="11" s="1"/>
  <c r="V86" i="11"/>
  <c r="Y86" i="11" s="1"/>
  <c r="AA86" i="11" s="1"/>
  <c r="V77" i="11"/>
  <c r="Y77" i="11" s="1"/>
  <c r="AA77" i="11" s="1"/>
  <c r="S70" i="11"/>
  <c r="X70" i="11" s="1"/>
  <c r="T70" i="11"/>
  <c r="T68" i="11"/>
  <c r="S68" i="11"/>
  <c r="X68" i="11" s="1"/>
  <c r="U65" i="11"/>
  <c r="T65" i="11"/>
  <c r="X65" i="11"/>
  <c r="U61" i="11"/>
  <c r="T61" i="11"/>
  <c r="T60" i="11"/>
  <c r="S60" i="11"/>
  <c r="W60" i="11" s="1"/>
  <c r="V57" i="11"/>
  <c r="Y57" i="11" s="1"/>
  <c r="X57" i="11"/>
  <c r="W57" i="11"/>
  <c r="Z57" i="11" s="1"/>
  <c r="S53" i="11"/>
  <c r="R53" i="11"/>
  <c r="V53" i="11" s="1"/>
  <c r="R50" i="11"/>
  <c r="Q50" i="11"/>
  <c r="X49" i="11"/>
  <c r="W49" i="11"/>
  <c r="Z49" i="11" s="1"/>
  <c r="V44" i="11"/>
  <c r="Y44" i="11" s="1"/>
  <c r="W44" i="11"/>
  <c r="Z44" i="11" s="1"/>
  <c r="T43" i="11"/>
  <c r="S43" i="11"/>
  <c r="W43" i="11" s="1"/>
  <c r="W40" i="11"/>
  <c r="V40" i="11"/>
  <c r="Y40" i="11" s="1"/>
  <c r="X40" i="11"/>
  <c r="X39" i="11"/>
  <c r="V32" i="11"/>
  <c r="Y32" i="11" s="1"/>
  <c r="W32" i="11"/>
  <c r="X32" i="11"/>
  <c r="V30" i="11"/>
  <c r="X30" i="11"/>
  <c r="Z30" i="11" s="1"/>
  <c r="V19" i="11"/>
  <c r="X60" i="11"/>
  <c r="U59" i="11"/>
  <c r="R52" i="11"/>
  <c r="S49" i="11"/>
  <c r="V49" i="11" s="1"/>
  <c r="Y49" i="11" s="1"/>
  <c r="AA49" i="11" s="1"/>
  <c r="T47" i="11"/>
  <c r="S41" i="11"/>
  <c r="V41" i="11" s="1"/>
  <c r="T39" i="11"/>
  <c r="U37" i="11"/>
  <c r="T34" i="11"/>
  <c r="R28" i="11"/>
  <c r="S26" i="11"/>
  <c r="X26" i="11" s="1"/>
  <c r="T25" i="11"/>
  <c r="T24" i="11"/>
  <c r="S23" i="11"/>
  <c r="X23" i="11" s="1"/>
  <c r="W22" i="11"/>
  <c r="U20" i="11"/>
  <c r="W18" i="11"/>
  <c r="X18" i="11"/>
  <c r="R15" i="11"/>
  <c r="V15" i="11" s="1"/>
  <c r="S11" i="11"/>
  <c r="W11" i="11" s="1"/>
  <c r="W7" i="11"/>
  <c r="Z7" i="11" s="1"/>
  <c r="U5" i="11"/>
  <c r="AJ95" i="11"/>
  <c r="AJ75" i="11"/>
  <c r="AJ69" i="11"/>
  <c r="AJ63" i="11"/>
  <c r="AJ57" i="11"/>
  <c r="AJ55" i="11"/>
  <c r="AJ42" i="11"/>
  <c r="AJ31" i="11"/>
  <c r="AJ25" i="11"/>
  <c r="AJ23" i="11"/>
  <c r="AJ10" i="11"/>
  <c r="U63" i="11"/>
  <c r="S63" i="11"/>
  <c r="X63" i="11" s="1"/>
  <c r="V60" i="11"/>
  <c r="Y60" i="11" s="1"/>
  <c r="Q59" i="11"/>
  <c r="U58" i="11"/>
  <c r="S58" i="11"/>
  <c r="U55" i="11"/>
  <c r="W55" i="11" s="1"/>
  <c r="Z55" i="11" s="1"/>
  <c r="S55" i="11"/>
  <c r="V55" i="11" s="1"/>
  <c r="Y55" i="11" s="1"/>
  <c r="AA55" i="11" s="1"/>
  <c r="U45" i="11"/>
  <c r="S45" i="11"/>
  <c r="V45" i="11" s="1"/>
  <c r="V43" i="11"/>
  <c r="Q37" i="11"/>
  <c r="U36" i="11"/>
  <c r="X36" i="11" s="1"/>
  <c r="S36" i="11"/>
  <c r="V36" i="11" s="1"/>
  <c r="U29" i="11"/>
  <c r="S29" i="11"/>
  <c r="W29" i="11" s="1"/>
  <c r="Q20" i="11"/>
  <c r="V18" i="11"/>
  <c r="R10" i="11"/>
  <c r="V10" i="11" s="1"/>
  <c r="S8" i="11"/>
  <c r="W8" i="11" s="1"/>
  <c r="R7" i="11"/>
  <c r="V7" i="11" s="1"/>
  <c r="W6" i="11"/>
  <c r="Q5" i="11"/>
  <c r="R4" i="11"/>
  <c r="AJ86" i="11"/>
  <c r="AJ80" i="11"/>
  <c r="AJ71" i="11"/>
  <c r="AJ64" i="11"/>
  <c r="AJ59" i="11"/>
  <c r="AJ56" i="11"/>
  <c r="AJ53" i="11"/>
  <c r="AJ44" i="11"/>
  <c r="AJ32" i="11"/>
  <c r="AJ27" i="11"/>
  <c r="AJ24" i="11"/>
  <c r="AJ21" i="11"/>
  <c r="AJ12" i="11"/>
  <c r="R3" i="11"/>
  <c r="Q3" i="11"/>
  <c r="AJ87" i="11"/>
  <c r="AJ70" i="11"/>
  <c r="AJ58" i="11"/>
  <c r="AJ47" i="11"/>
  <c r="AJ41" i="11"/>
  <c r="AJ26" i="11"/>
  <c r="AJ15" i="11"/>
  <c r="AJ9" i="11"/>
  <c r="Q66" i="11"/>
  <c r="Q61" i="11"/>
  <c r="S59" i="11"/>
  <c r="X55" i="11"/>
  <c r="Q52" i="11"/>
  <c r="U51" i="11"/>
  <c r="T50" i="11"/>
  <c r="R47" i="11"/>
  <c r="X47" i="11" s="1"/>
  <c r="T42" i="11"/>
  <c r="R39" i="11"/>
  <c r="W39" i="11" s="1"/>
  <c r="Z39" i="11" s="1"/>
  <c r="S37" i="11"/>
  <c r="T35" i="11"/>
  <c r="R34" i="11"/>
  <c r="W34" i="11" s="1"/>
  <c r="X28" i="11"/>
  <c r="S27" i="11"/>
  <c r="W27" i="11" s="1"/>
  <c r="R25" i="11"/>
  <c r="W25" i="11" s="1"/>
  <c r="R24" i="11"/>
  <c r="W24" i="11" s="1"/>
  <c r="X22" i="11"/>
  <c r="T21" i="11"/>
  <c r="V21" i="11" s="1"/>
  <c r="S20" i="11"/>
  <c r="W19" i="11"/>
  <c r="Q17" i="11"/>
  <c r="Q16" i="11"/>
  <c r="W15" i="11"/>
  <c r="Z15" i="11" s="1"/>
  <c r="X15" i="11"/>
  <c r="S14" i="11"/>
  <c r="X14" i="11" s="1"/>
  <c r="R13" i="11"/>
  <c r="V13" i="11" s="1"/>
  <c r="S12" i="11"/>
  <c r="W12" i="11" s="1"/>
  <c r="T9" i="11"/>
  <c r="V9" i="11" s="1"/>
  <c r="X7" i="11"/>
  <c r="T6" i="11"/>
  <c r="V6" i="11" s="1"/>
  <c r="S5" i="11"/>
  <c r="T4" i="11"/>
  <c r="S3" i="11"/>
  <c r="W2" i="11"/>
  <c r="AJ94" i="11"/>
  <c r="AJ81" i="11"/>
  <c r="AJ72" i="11"/>
  <c r="AJ60" i="11"/>
  <c r="AJ48" i="11"/>
  <c r="AJ43" i="11"/>
  <c r="AJ37" i="11"/>
  <c r="AJ28" i="11"/>
  <c r="AJ16" i="11"/>
  <c r="AJ11" i="11"/>
  <c r="AJ5" i="11"/>
  <c r="U2" i="11"/>
  <c r="AJ85" i="11"/>
  <c r="AJ74" i="11"/>
  <c r="AJ62" i="11"/>
  <c r="AJ46" i="11"/>
  <c r="AJ30" i="11"/>
  <c r="AJ14" i="11"/>
  <c r="S191" i="1"/>
  <c r="U18" i="12"/>
  <c r="AJ93" i="11"/>
  <c r="AJ77" i="11"/>
  <c r="AJ54" i="11"/>
  <c r="AJ38" i="11"/>
  <c r="AJ22" i="11"/>
  <c r="AJ6" i="11"/>
  <c r="Q4" i="11"/>
  <c r="S2" i="11"/>
  <c r="V2" i="11" s="1"/>
  <c r="AJ89" i="11"/>
  <c r="AJ66" i="11"/>
  <c r="AJ50" i="11"/>
  <c r="AJ34" i="11"/>
  <c r="AJ18" i="11"/>
  <c r="AJ2" i="11"/>
  <c r="U8" i="12"/>
  <c r="S509" i="1"/>
  <c r="S505" i="1"/>
  <c r="S501" i="1"/>
  <c r="S497" i="1"/>
  <c r="S493" i="1"/>
  <c r="S489" i="1"/>
  <c r="S485" i="1"/>
  <c r="S481" i="1"/>
  <c r="S477" i="1"/>
  <c r="S473" i="1"/>
  <c r="S469" i="1"/>
  <c r="S465" i="1"/>
  <c r="S461" i="1"/>
  <c r="S457" i="1"/>
  <c r="S453" i="1"/>
  <c r="S449" i="1"/>
  <c r="S445" i="1"/>
  <c r="S441" i="1"/>
  <c r="S437" i="1"/>
  <c r="S433" i="1"/>
  <c r="S429" i="1"/>
  <c r="S425" i="1"/>
  <c r="S421" i="1"/>
  <c r="S417" i="1"/>
  <c r="S413" i="1"/>
  <c r="S409" i="1"/>
  <c r="S405" i="1"/>
  <c r="S401" i="1"/>
  <c r="S397" i="1"/>
  <c r="S393" i="1"/>
  <c r="S389" i="1"/>
  <c r="S385" i="1"/>
  <c r="S381" i="1"/>
  <c r="S377" i="1"/>
  <c r="S373" i="1"/>
  <c r="S369" i="1"/>
  <c r="S365" i="1"/>
  <c r="S361" i="1"/>
  <c r="S357" i="1"/>
  <c r="S353" i="1"/>
  <c r="S349" i="1"/>
  <c r="S345" i="1"/>
  <c r="S341" i="1"/>
  <c r="S336" i="1"/>
  <c r="S331" i="1"/>
  <c r="S325" i="1"/>
  <c r="S320" i="1"/>
  <c r="S315" i="1"/>
  <c r="S309" i="1"/>
  <c r="S304" i="1"/>
  <c r="S299" i="1"/>
  <c r="S293" i="1"/>
  <c r="S288" i="1"/>
  <c r="S283" i="1"/>
  <c r="S277" i="1"/>
  <c r="S272" i="1"/>
  <c r="S267" i="1"/>
  <c r="S261" i="1"/>
  <c r="S256" i="1"/>
  <c r="S251" i="1"/>
  <c r="S245" i="1"/>
  <c r="S240" i="1"/>
  <c r="S235" i="1"/>
  <c r="S229" i="1"/>
  <c r="S224" i="1"/>
  <c r="S219" i="1"/>
  <c r="S213" i="1"/>
  <c r="S208" i="1"/>
  <c r="S203" i="1"/>
  <c r="S197" i="1"/>
  <c r="S192" i="1"/>
  <c r="S184" i="1"/>
  <c r="S176" i="1"/>
  <c r="S168" i="1"/>
  <c r="S160" i="1"/>
  <c r="S152" i="1"/>
  <c r="S144" i="1"/>
  <c r="S136" i="1"/>
  <c r="S125" i="1"/>
  <c r="S114" i="1"/>
  <c r="S104" i="1"/>
  <c r="S93" i="1"/>
  <c r="S82" i="1"/>
  <c r="S72" i="1"/>
  <c r="S61" i="1"/>
  <c r="S50" i="1"/>
  <c r="S40" i="1"/>
  <c r="S29" i="1"/>
  <c r="S18" i="1"/>
  <c r="S3" i="1"/>
  <c r="S7" i="1"/>
  <c r="S11" i="1"/>
  <c r="S15" i="1"/>
  <c r="S19" i="1"/>
  <c r="S23" i="1"/>
  <c r="S27" i="1"/>
  <c r="S31" i="1"/>
  <c r="S35" i="1"/>
  <c r="S39" i="1"/>
  <c r="S43" i="1"/>
  <c r="S47" i="1"/>
  <c r="S51" i="1"/>
  <c r="S55" i="1"/>
  <c r="S59" i="1"/>
  <c r="S63" i="1"/>
  <c r="S67" i="1"/>
  <c r="S71" i="1"/>
  <c r="S75" i="1"/>
  <c r="S79" i="1"/>
  <c r="S83" i="1"/>
  <c r="S87" i="1"/>
  <c r="S91" i="1"/>
  <c r="S95" i="1"/>
  <c r="S99" i="1"/>
  <c r="S103" i="1"/>
  <c r="S107" i="1"/>
  <c r="S111" i="1"/>
  <c r="S115" i="1"/>
  <c r="S119" i="1"/>
  <c r="S123" i="1"/>
  <c r="S127" i="1"/>
  <c r="S131" i="1"/>
  <c r="S135" i="1"/>
  <c r="S4" i="1"/>
  <c r="S9" i="1"/>
  <c r="S14" i="1"/>
  <c r="S20" i="1"/>
  <c r="S25" i="1"/>
  <c r="S30" i="1"/>
  <c r="S36" i="1"/>
  <c r="S41" i="1"/>
  <c r="S46" i="1"/>
  <c r="S52" i="1"/>
  <c r="S57" i="1"/>
  <c r="S62" i="1"/>
  <c r="S68" i="1"/>
  <c r="S73" i="1"/>
  <c r="S78" i="1"/>
  <c r="S84" i="1"/>
  <c r="S89" i="1"/>
  <c r="S94" i="1"/>
  <c r="S100" i="1"/>
  <c r="S105" i="1"/>
  <c r="S110" i="1"/>
  <c r="S116" i="1"/>
  <c r="S121" i="1"/>
  <c r="S126" i="1"/>
  <c r="S132" i="1"/>
  <c r="S137" i="1"/>
  <c r="S141" i="1"/>
  <c r="S145" i="1"/>
  <c r="S149" i="1"/>
  <c r="S153" i="1"/>
  <c r="S157" i="1"/>
  <c r="S161" i="1"/>
  <c r="S165" i="1"/>
  <c r="S169" i="1"/>
  <c r="S173" i="1"/>
  <c r="S177" i="1"/>
  <c r="S181" i="1"/>
  <c r="S185" i="1"/>
  <c r="S189" i="1"/>
  <c r="S5" i="1"/>
  <c r="S10" i="1"/>
  <c r="S16" i="1"/>
  <c r="S21" i="1"/>
  <c r="S26" i="1"/>
  <c r="S32" i="1"/>
  <c r="S37" i="1"/>
  <c r="S42" i="1"/>
  <c r="S48" i="1"/>
  <c r="S53" i="1"/>
  <c r="S58" i="1"/>
  <c r="S64" i="1"/>
  <c r="S69" i="1"/>
  <c r="S74" i="1"/>
  <c r="S80" i="1"/>
  <c r="S85" i="1"/>
  <c r="S90" i="1"/>
  <c r="S96" i="1"/>
  <c r="S101" i="1"/>
  <c r="S106" i="1"/>
  <c r="S112" i="1"/>
  <c r="S117" i="1"/>
  <c r="S122" i="1"/>
  <c r="S128" i="1"/>
  <c r="S133" i="1"/>
  <c r="S138" i="1"/>
  <c r="S142" i="1"/>
  <c r="S146" i="1"/>
  <c r="S150" i="1"/>
  <c r="S154" i="1"/>
  <c r="S158" i="1"/>
  <c r="S162" i="1"/>
  <c r="S166" i="1"/>
  <c r="S170" i="1"/>
  <c r="S174" i="1"/>
  <c r="S178" i="1"/>
  <c r="S182" i="1"/>
  <c r="S186" i="1"/>
  <c r="S190" i="1"/>
  <c r="S194" i="1"/>
  <c r="S198" i="1"/>
  <c r="S202" i="1"/>
  <c r="S206" i="1"/>
  <c r="S210" i="1"/>
  <c r="S214" i="1"/>
  <c r="S218" i="1"/>
  <c r="S222" i="1"/>
  <c r="S226" i="1"/>
  <c r="S230" i="1"/>
  <c r="S234" i="1"/>
  <c r="S238" i="1"/>
  <c r="S242" i="1"/>
  <c r="S246" i="1"/>
  <c r="S250" i="1"/>
  <c r="S254" i="1"/>
  <c r="S258" i="1"/>
  <c r="S262" i="1"/>
  <c r="S266" i="1"/>
  <c r="S270" i="1"/>
  <c r="S274" i="1"/>
  <c r="S278" i="1"/>
  <c r="S282" i="1"/>
  <c r="S286" i="1"/>
  <c r="S290" i="1"/>
  <c r="S294" i="1"/>
  <c r="S298" i="1"/>
  <c r="S302" i="1"/>
  <c r="S306" i="1"/>
  <c r="S310" i="1"/>
  <c r="S314" i="1"/>
  <c r="S318" i="1"/>
  <c r="S322" i="1"/>
  <c r="S326" i="1"/>
  <c r="S330" i="1"/>
  <c r="S334" i="1"/>
  <c r="S338" i="1"/>
  <c r="Y36" i="11" l="1"/>
  <c r="M2" i="1"/>
  <c r="K2" i="1"/>
  <c r="M74" i="1"/>
  <c r="K74" i="1"/>
  <c r="M7" i="1"/>
  <c r="K7" i="1"/>
  <c r="M117" i="1"/>
  <c r="K117" i="1"/>
  <c r="M101" i="1"/>
  <c r="K101" i="1"/>
  <c r="M86" i="1"/>
  <c r="K86" i="1"/>
  <c r="M70" i="1"/>
  <c r="K70" i="1"/>
  <c r="X2" i="11"/>
  <c r="Y2" i="11" s="1"/>
  <c r="AA2" i="11" s="1"/>
  <c r="X10" i="11"/>
  <c r="Z24" i="11"/>
  <c r="X3" i="11"/>
  <c r="W3" i="11"/>
  <c r="V3" i="11"/>
  <c r="Y7" i="11"/>
  <c r="AA7" i="11" s="1"/>
  <c r="Y18" i="11"/>
  <c r="W37" i="11"/>
  <c r="Z37" i="11" s="1"/>
  <c r="V37" i="11"/>
  <c r="X37" i="11"/>
  <c r="W58" i="11"/>
  <c r="W63" i="11"/>
  <c r="Z63" i="11" s="1"/>
  <c r="V8" i="11"/>
  <c r="Y15" i="11"/>
  <c r="AA15" i="11" s="1"/>
  <c r="Z22" i="11"/>
  <c r="W9" i="11"/>
  <c r="Y30" i="11"/>
  <c r="AA30" i="11" s="1"/>
  <c r="V39" i="11"/>
  <c r="Y39" i="11" s="1"/>
  <c r="AA39" i="11" s="1"/>
  <c r="Z40" i="11"/>
  <c r="AA44" i="11"/>
  <c r="V25" i="11"/>
  <c r="X35" i="11"/>
  <c r="W35" i="11"/>
  <c r="V35" i="11"/>
  <c r="X41" i="11"/>
  <c r="Y41" i="11" s="1"/>
  <c r="AA41" i="11" s="1"/>
  <c r="V63" i="11"/>
  <c r="Y63" i="11" s="1"/>
  <c r="AA63" i="11" s="1"/>
  <c r="X81" i="11"/>
  <c r="V81" i="11"/>
  <c r="W81" i="11"/>
  <c r="V12" i="11"/>
  <c r="X19" i="11"/>
  <c r="Z19" i="11" s="1"/>
  <c r="V29" i="11"/>
  <c r="V34" i="11"/>
  <c r="V68" i="11"/>
  <c r="Y68" i="11" s="1"/>
  <c r="X11" i="11"/>
  <c r="Z11" i="11" s="1"/>
  <c r="V27" i="11"/>
  <c r="AA38" i="11"/>
  <c r="Z54" i="11"/>
  <c r="Z56" i="11"/>
  <c r="W65" i="11"/>
  <c r="Z65" i="11" s="1"/>
  <c r="AA65" i="11" s="1"/>
  <c r="W75" i="11"/>
  <c r="Z75" i="11" s="1"/>
  <c r="AA75" i="11" s="1"/>
  <c r="Z91" i="11"/>
  <c r="Y82" i="11"/>
  <c r="AA82" i="11" s="1"/>
  <c r="Y95" i="11"/>
  <c r="AA95" i="11" s="1"/>
  <c r="Y94" i="11"/>
  <c r="AA94" i="11" s="1"/>
  <c r="Y67" i="11"/>
  <c r="Y79" i="11"/>
  <c r="Y92" i="11"/>
  <c r="Z93" i="11"/>
  <c r="M105" i="1"/>
  <c r="K105" i="1"/>
  <c r="M10" i="1"/>
  <c r="K10" i="1"/>
  <c r="M113" i="1"/>
  <c r="K113" i="1"/>
  <c r="M97" i="1"/>
  <c r="K97" i="1"/>
  <c r="M82" i="1"/>
  <c r="K82" i="1"/>
  <c r="M66" i="1"/>
  <c r="K66" i="1"/>
  <c r="W4" i="11"/>
  <c r="X4" i="11"/>
  <c r="V4" i="11"/>
  <c r="Z2" i="11"/>
  <c r="W61" i="11"/>
  <c r="V61" i="11"/>
  <c r="X61" i="11"/>
  <c r="V5" i="11"/>
  <c r="X5" i="11"/>
  <c r="W5" i="11"/>
  <c r="V20" i="11"/>
  <c r="X20" i="11"/>
  <c r="W20" i="11"/>
  <c r="W36" i="11"/>
  <c r="Z36" i="11" s="1"/>
  <c r="X8" i="11"/>
  <c r="Z8" i="11" s="1"/>
  <c r="W28" i="11"/>
  <c r="Z28" i="11" s="1"/>
  <c r="V28" i="11"/>
  <c r="Y28" i="11" s="1"/>
  <c r="AA28" i="11" s="1"/>
  <c r="X13" i="11"/>
  <c r="W23" i="11"/>
  <c r="Z23" i="11" s="1"/>
  <c r="AA57" i="11"/>
  <c r="W21" i="11"/>
  <c r="X25" i="11"/>
  <c r="Z25" i="11" s="1"/>
  <c r="X42" i="11"/>
  <c r="W42" i="11"/>
  <c r="V42" i="11"/>
  <c r="Y42" i="11" s="1"/>
  <c r="W70" i="11"/>
  <c r="Z70" i="11" s="1"/>
  <c r="V83" i="11"/>
  <c r="Y83" i="11" s="1"/>
  <c r="X83" i="11"/>
  <c r="W83" i="11"/>
  <c r="Z83" i="11" s="1"/>
  <c r="X12" i="11"/>
  <c r="Z12" i="11" s="1"/>
  <c r="X29" i="11"/>
  <c r="Z29" i="11" s="1"/>
  <c r="X34" i="11"/>
  <c r="Z34" i="11" s="1"/>
  <c r="X84" i="11"/>
  <c r="Z84" i="11" s="1"/>
  <c r="X90" i="11"/>
  <c r="Z90" i="11" s="1"/>
  <c r="Y22" i="11"/>
  <c r="AA22" i="11" s="1"/>
  <c r="X27" i="11"/>
  <c r="Z27" i="11" s="1"/>
  <c r="W47" i="11"/>
  <c r="Z47" i="11" s="1"/>
  <c r="W78" i="11"/>
  <c r="Z78" i="11" s="1"/>
  <c r="Z92" i="11"/>
  <c r="M8" i="1"/>
  <c r="K8" i="1"/>
  <c r="M5" i="1"/>
  <c r="K5" i="1"/>
  <c r="M109" i="1"/>
  <c r="K109" i="1"/>
  <c r="M94" i="1"/>
  <c r="K94" i="1"/>
  <c r="M78" i="1"/>
  <c r="K78" i="1"/>
  <c r="M95" i="1"/>
  <c r="K95" i="1"/>
  <c r="Y13" i="11"/>
  <c r="V16" i="11"/>
  <c r="W16" i="11"/>
  <c r="X16" i="11"/>
  <c r="X45" i="11"/>
  <c r="Y45" i="11" s="1"/>
  <c r="AA45" i="11" s="1"/>
  <c r="X52" i="11"/>
  <c r="W52" i="11"/>
  <c r="Z52" i="11" s="1"/>
  <c r="V52" i="11"/>
  <c r="V11" i="11"/>
  <c r="Y11" i="11" s="1"/>
  <c r="X6" i="11"/>
  <c r="Y6" i="11" s="1"/>
  <c r="AA6" i="11" s="1"/>
  <c r="X9" i="11"/>
  <c r="Y9" i="11" s="1"/>
  <c r="X21" i="11"/>
  <c r="Y21" i="11" s="1"/>
  <c r="W45" i="11"/>
  <c r="Z45" i="11" s="1"/>
  <c r="W59" i="11"/>
  <c r="Z59" i="11" s="1"/>
  <c r="V59" i="11"/>
  <c r="Y59" i="11" s="1"/>
  <c r="AA59" i="11" s="1"/>
  <c r="X59" i="11"/>
  <c r="W10" i="11"/>
  <c r="Z10" i="11" s="1"/>
  <c r="Z18" i="11"/>
  <c r="X43" i="11"/>
  <c r="Z43" i="11" s="1"/>
  <c r="W13" i="11"/>
  <c r="Z13" i="11" s="1"/>
  <c r="V23" i="11"/>
  <c r="Y23" i="11" s="1"/>
  <c r="AA23" i="11" s="1"/>
  <c r="Z32" i="11"/>
  <c r="V58" i="11"/>
  <c r="Y58" i="11" s="1"/>
  <c r="W68" i="11"/>
  <c r="Z68" i="11" s="1"/>
  <c r="V24" i="11"/>
  <c r="Y24" i="11" s="1"/>
  <c r="AA24" i="11" s="1"/>
  <c r="Y64" i="11"/>
  <c r="AA64" i="11" s="1"/>
  <c r="V70" i="11"/>
  <c r="Y70" i="11" s="1"/>
  <c r="AA70" i="11" s="1"/>
  <c r="V87" i="11"/>
  <c r="V14" i="11"/>
  <c r="Y14" i="11" s="1"/>
  <c r="W26" i="11"/>
  <c r="Z26" i="11" s="1"/>
  <c r="X53" i="11"/>
  <c r="Y53" i="11" s="1"/>
  <c r="AA53" i="11" s="1"/>
  <c r="X31" i="11"/>
  <c r="V47" i="11"/>
  <c r="Y47" i="11" s="1"/>
  <c r="Z48" i="11"/>
  <c r="AA48" i="11" s="1"/>
  <c r="Y54" i="11"/>
  <c r="AA54" i="11" s="1"/>
  <c r="Y56" i="11"/>
  <c r="AA56" i="11" s="1"/>
  <c r="W85" i="11"/>
  <c r="X85" i="11"/>
  <c r="V85" i="11"/>
  <c r="AA74" i="11"/>
  <c r="V78" i="11"/>
  <c r="Y78" i="11" s="1"/>
  <c r="AA78" i="11" s="1"/>
  <c r="Z67" i="11"/>
  <c r="Y71" i="11"/>
  <c r="Z73" i="11"/>
  <c r="AA73" i="11" s="1"/>
  <c r="Z79" i="11"/>
  <c r="M90" i="1"/>
  <c r="K90" i="1"/>
  <c r="X17" i="11"/>
  <c r="V17" i="11"/>
  <c r="Y17" i="11" s="1"/>
  <c r="W17" i="11"/>
  <c r="V66" i="11"/>
  <c r="W66" i="11"/>
  <c r="X66" i="11"/>
  <c r="Z6" i="11"/>
  <c r="Y10" i="11"/>
  <c r="AA10" i="11" s="1"/>
  <c r="AA60" i="11"/>
  <c r="W14" i="11"/>
  <c r="Z14" i="11" s="1"/>
  <c r="AA32" i="11"/>
  <c r="AA40" i="11"/>
  <c r="X50" i="11"/>
  <c r="W50" i="11"/>
  <c r="Z50" i="11" s="1"/>
  <c r="V50" i="11"/>
  <c r="Z60" i="11"/>
  <c r="Y31" i="11"/>
  <c r="Z41" i="11"/>
  <c r="V51" i="11"/>
  <c r="W51" i="11"/>
  <c r="X72" i="11"/>
  <c r="W72" i="11"/>
  <c r="Z72" i="11" s="1"/>
  <c r="V72" i="11"/>
  <c r="V26" i="11"/>
  <c r="Y26" i="11" s="1"/>
  <c r="Z46" i="11"/>
  <c r="AA46" i="11" s="1"/>
  <c r="W53" i="11"/>
  <c r="Z53" i="11" s="1"/>
  <c r="X87" i="11"/>
  <c r="Z87" i="11" s="1"/>
  <c r="W31" i="11"/>
  <c r="Z31" i="11" s="1"/>
  <c r="X51" i="11"/>
  <c r="X58" i="11"/>
  <c r="W76" i="11"/>
  <c r="X76" i="11"/>
  <c r="V76" i="11"/>
  <c r="Y76" i="11" s="1"/>
  <c r="W88" i="11"/>
  <c r="Z88" i="11" s="1"/>
  <c r="X88" i="11"/>
  <c r="V88" i="11"/>
  <c r="Y88" i="11" s="1"/>
  <c r="Y91" i="11"/>
  <c r="AA91" i="11" s="1"/>
  <c r="Z71" i="11"/>
  <c r="Y93" i="11"/>
  <c r="AA93" i="11" s="1"/>
  <c r="Z42" i="11" l="1"/>
  <c r="Y43" i="11"/>
  <c r="AA43" i="11" s="1"/>
  <c r="Y20" i="11"/>
  <c r="Y5" i="11"/>
  <c r="Z4" i="11"/>
  <c r="AA67" i="11"/>
  <c r="AA68" i="11"/>
  <c r="Y12" i="11"/>
  <c r="AA12" i="11" s="1"/>
  <c r="Z35" i="11"/>
  <c r="Z9" i="11"/>
  <c r="AA9" i="11" s="1"/>
  <c r="Z3" i="11"/>
  <c r="AA88" i="11"/>
  <c r="AA31" i="11"/>
  <c r="Z85" i="11"/>
  <c r="AA47" i="11"/>
  <c r="AA14" i="11"/>
  <c r="Z16" i="11"/>
  <c r="Y90" i="11"/>
  <c r="AA90" i="11" s="1"/>
  <c r="AA83" i="11"/>
  <c r="Y34" i="11"/>
  <c r="AA34" i="11" s="1"/>
  <c r="Z58" i="11"/>
  <c r="AA58" i="11" s="1"/>
  <c r="AA18" i="11"/>
  <c r="AA26" i="11"/>
  <c r="Z66" i="11"/>
  <c r="Z76" i="11"/>
  <c r="AA76" i="11" s="1"/>
  <c r="Y84" i="11"/>
  <c r="AA84" i="11" s="1"/>
  <c r="Z51" i="11"/>
  <c r="Y66" i="11"/>
  <c r="AA66" i="11" s="1"/>
  <c r="Y87" i="11"/>
  <c r="AA87" i="11" s="1"/>
  <c r="AA11" i="11"/>
  <c r="Y16" i="11"/>
  <c r="AA16" i="11" s="1"/>
  <c r="Z20" i="11"/>
  <c r="Z5" i="11"/>
  <c r="Y61" i="11"/>
  <c r="Y4" i="11"/>
  <c r="AA4" i="11" s="1"/>
  <c r="AA92" i="11"/>
  <c r="Y27" i="11"/>
  <c r="AA27" i="11" s="1"/>
  <c r="Y29" i="11"/>
  <c r="AA29" i="11" s="1"/>
  <c r="Z81" i="11"/>
  <c r="Y25" i="11"/>
  <c r="AA25" i="11" s="1"/>
  <c r="Y72" i="11"/>
  <c r="AA72" i="11" s="1"/>
  <c r="Y51" i="11"/>
  <c r="AA51" i="11" s="1"/>
  <c r="Y50" i="11"/>
  <c r="AA50" i="11" s="1"/>
  <c r="Z17" i="11"/>
  <c r="AA17" i="11" s="1"/>
  <c r="AA71" i="11"/>
  <c r="Y85" i="11"/>
  <c r="AA85" i="11" s="1"/>
  <c r="Y52" i="11"/>
  <c r="AA52" i="11" s="1"/>
  <c r="AA13" i="11"/>
  <c r="AA42" i="11"/>
  <c r="Z21" i="11"/>
  <c r="AA21" i="11" s="1"/>
  <c r="Z61" i="11"/>
  <c r="AA79" i="11"/>
  <c r="Y81" i="11"/>
  <c r="AA81" i="11" s="1"/>
  <c r="Y35" i="11"/>
  <c r="AA35" i="11" s="1"/>
  <c r="Y19" i="11"/>
  <c r="AA19" i="11" s="1"/>
  <c r="Y8" i="11"/>
  <c r="AA8" i="11" s="1"/>
  <c r="Y37" i="11"/>
  <c r="AA37" i="11" s="1"/>
  <c r="Y3" i="11"/>
  <c r="AA3" i="11" s="1"/>
  <c r="AA36" i="11"/>
  <c r="AA61" i="11" l="1"/>
  <c r="AA5" i="11"/>
  <c r="AA20" i="11"/>
</calcChain>
</file>

<file path=xl/comments1.xml><?xml version="1.0" encoding="utf-8"?>
<comments xmlns="http://schemas.openxmlformats.org/spreadsheetml/2006/main">
  <authors>
    <author>Grant Thornton LLP</author>
  </authors>
  <commentList>
    <comment ref="E1" authorId="0" shapeId="0">
      <text>
        <r>
          <rPr>
            <sz val="9"/>
            <color indexed="81"/>
            <rFont val="Tahoma"/>
            <family val="2"/>
          </rPr>
          <t>Actual data is sensitive. Numbers in this column are fabricated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source: Chambers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Actual data is sensitive. Numbers in this column are fabricated.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(Number of Summer 2016 NYU 2L SAs)/(Interview Slots)
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>(Number of Summer 2016 2L SAs)/(Interview Slots)
Assuming all of the firm's SAs were hired through EIW interviews, what is the probability of getting an SA position
This is the highest estimate of probability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(Number of Summer 2016 NYU 2L SAs)/(Number of Summer 2016 2L SAs)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source: Above the Law</t>
        </r>
      </text>
    </comment>
    <comment ref="U1" authorId="0" shapeId="0">
      <text>
        <r>
          <rPr>
            <sz val="9"/>
            <color indexed="81"/>
            <rFont val="Tahoma"/>
            <family val="2"/>
          </rPr>
          <t>Actual data is sensitive. Numbers in this column has been fabricated.</t>
        </r>
      </text>
    </comment>
  </commentList>
</comments>
</file>

<file path=xl/comments2.xml><?xml version="1.0" encoding="utf-8"?>
<comments xmlns="http://schemas.openxmlformats.org/spreadsheetml/2006/main">
  <authors>
    <author>Grant Thornton LLP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Actual data is sensitive. Numbers in this column are fabricated</t>
        </r>
      </text>
    </comment>
    <comment ref="F3" authorId="0" shapeId="0">
      <text>
        <r>
          <rPr>
            <sz val="9"/>
            <color indexed="81"/>
            <rFont val="Tahoma"/>
            <family val="2"/>
          </rPr>
          <t>source: Chambers</t>
        </r>
      </text>
    </comment>
    <comment ref="G3" authorId="0" shapeId="0">
      <text>
        <r>
          <rPr>
            <sz val="9"/>
            <color indexed="81"/>
            <rFont val="Tahoma"/>
            <family val="2"/>
          </rPr>
          <t>Actual data is sensitive. Numbers in this column are fabricated.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 xml:space="preserve">(Number of Summer 2016 NYU 2L SAs)/(Interview Slots)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(Number of Summer 2016 2L SAs)/(Interview Slots)
Assuming all of the firm's SAs were hired through EIW interviews, what is the probability of getting an SA position
This is the highest estimate of probability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>(Number of Summer 2016 NYU 2L SAs)/(Number of Summer 2016 2L SAs)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source: Above the Law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>Actual data is sensitive. Numbers in this column has been fabricated.</t>
        </r>
      </text>
    </comment>
  </commentList>
</comments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4e8f7568-f8ae-4a80-b7ed-635ec93d71de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 serverFill="0" serverNumberFormat="0" serverFont="0" serverFontColor="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<sst xmlns="http://schemas.openxmlformats.org/spreadsheetml/2006/main" count="5650" uniqueCount="757">
  <si>
    <t>Date Matched</t>
  </si>
  <si>
    <t>Offices Matched</t>
  </si>
  <si>
    <t>Summers Matched</t>
  </si>
  <si>
    <t>Am Law 200 PPP Rank ’16</t>
  </si>
  <si>
    <t>Cravath</t>
  </si>
  <si>
    <t>1st Year: $180K</t>
  </si>
  <si>
    <t>8th Year: $315K</t>
  </si>
  <si>
    <t>New York, NY</t>
  </si>
  <si>
    <t>TBD</t>
  </si>
  <si>
    <t>6: $3.56M</t>
  </si>
  <si>
    <t>Hueston Hennigan</t>
  </si>
  <si>
    <t>Los Angeles, CA</t>
  </si>
  <si>
    <t>Newport Beach, CA</t>
  </si>
  <si>
    <t>N/A</t>
  </si>
  <si>
    <t>Milbank Tweed</t>
  </si>
  <si>
    <t>Washington, D.C.</t>
  </si>
  <si>
    <t>Yes</t>
  </si>
  <si>
    <t>16: $2.77M</t>
  </si>
  <si>
    <t>Paul Weiss</t>
  </si>
  <si>
    <t>9th Year+: $325K</t>
  </si>
  <si>
    <t>Wilmington, DE</t>
  </si>
  <si>
    <t>3: $4.09M</t>
  </si>
  <si>
    <t>Cahill Gordon</t>
  </si>
  <si>
    <t>8: $3.36M</t>
  </si>
  <si>
    <t>Irell &amp; Manella</t>
  </si>
  <si>
    <t>10: $3.21M</t>
  </si>
  <si>
    <t>Weil Gotshal</t>
  </si>
  <si>
    <t>9th Year: $325K</t>
  </si>
  <si>
    <t>Boston, MA</t>
  </si>
  <si>
    <t>Dallas, TX</t>
  </si>
  <si>
    <t>Houston, TX</t>
  </si>
  <si>
    <t>Miami, FL</t>
  </si>
  <si>
    <t>Princeton, NJ</t>
  </si>
  <si>
    <t>Providence, RI</t>
  </si>
  <si>
    <t>Redwood Shores, CA</t>
  </si>
  <si>
    <t>20: $2.52M</t>
  </si>
  <si>
    <t>Cleary Gottlieb</t>
  </si>
  <si>
    <t>Hong Kong, China</t>
  </si>
  <si>
    <t>14: $3.08M</t>
  </si>
  <si>
    <t>Simpson Thacher</t>
  </si>
  <si>
    <t>Palo Alto, CA</t>
  </si>
  <si>
    <t>London, UK</t>
  </si>
  <si>
    <t>7: $3.47M</t>
  </si>
  <si>
    <t>Holwell Shuster</t>
  </si>
  <si>
    <t>Debevoise &amp; Plimpton</t>
  </si>
  <si>
    <t>17: $2.63M</t>
  </si>
  <si>
    <t>Quinn Emanuel</t>
  </si>
  <si>
    <t>7th Year: $300K</t>
  </si>
  <si>
    <t>Chicago, IL</t>
  </si>
  <si>
    <t>San Francisco, CA</t>
  </si>
  <si>
    <t>Seattle, WA</t>
  </si>
  <si>
    <t>2: $4.42M</t>
  </si>
  <si>
    <t>Winston &amp; Strawn</t>
  </si>
  <si>
    <t>Charlotte, NC</t>
  </si>
  <si>
    <t>Menlo Park, CA</t>
  </si>
  <si>
    <t>Newark, NJ</t>
  </si>
  <si>
    <t>44: $1.81M</t>
  </si>
  <si>
    <t>Skadden Arps</t>
  </si>
  <si>
    <t>12: $3.13M</t>
  </si>
  <si>
    <t>Sullivan &amp; Cromwell</t>
  </si>
  <si>
    <t>9th Year: $345K</t>
  </si>
  <si>
    <t>Palo Alto; CA</t>
  </si>
  <si>
    <t>4: $3.87M</t>
  </si>
  <si>
    <t>Kirkland &amp; Ellis</t>
  </si>
  <si>
    <t>6th Year: $280K</t>
  </si>
  <si>
    <t>5: $3.61M</t>
  </si>
  <si>
    <t>Freshfields</t>
  </si>
  <si>
    <t>Cooley</t>
  </si>
  <si>
    <t>Broomfield, CO</t>
  </si>
  <si>
    <t>San Diego, CA</t>
  </si>
  <si>
    <t>Reston, VA</t>
  </si>
  <si>
    <t>36: $1.89M</t>
  </si>
  <si>
    <t>Davis Polk</t>
  </si>
  <si>
    <t>Sao Paulo, Brazil</t>
  </si>
  <si>
    <t>Paris, France</t>
  </si>
  <si>
    <t>Madrid, Spain</t>
  </si>
  <si>
    <t>Beijing, China</t>
  </si>
  <si>
    <t>Tokyo, Japan</t>
  </si>
  <si>
    <t>9: $3.31M</t>
  </si>
  <si>
    <t>Keker &amp; Van Nest</t>
  </si>
  <si>
    <t>Greenberg Gross</t>
  </si>
  <si>
    <t>Costa Mesa, CA</t>
  </si>
  <si>
    <t>Willkie Farr</t>
  </si>
  <si>
    <t>19: $2.61M</t>
  </si>
  <si>
    <t>Gunderson Dettmer</t>
  </si>
  <si>
    <t>Redwood City, CA</t>
  </si>
  <si>
    <t>Vinson &amp; Elkins</t>
  </si>
  <si>
    <t>Austin, TX</t>
  </si>
  <si>
    <t>Richmond, VA</t>
  </si>
  <si>
    <t>Latham &amp; Watkins</t>
  </si>
  <si>
    <t>Century City, CA</t>
  </si>
  <si>
    <t>Orange County, CA</t>
  </si>
  <si>
    <t>Riyadh, Dubai</t>
  </si>
  <si>
    <t>Shanghai, China</t>
  </si>
  <si>
    <t>15: $2.91M</t>
  </si>
  <si>
    <t>Clifford Chance</t>
  </si>
  <si>
    <t>Sidley Austin</t>
  </si>
  <si>
    <t>28: $2.07M</t>
  </si>
  <si>
    <t>Munger Tolles</t>
  </si>
  <si>
    <t>38: $1.91M</t>
  </si>
  <si>
    <t>Proskauer Rose</t>
  </si>
  <si>
    <t>27: $2.15M</t>
  </si>
  <si>
    <t>O’Melveny &amp; Myers</t>
  </si>
  <si>
    <t>47: $1.76M</t>
  </si>
  <si>
    <t>McKool Smith</t>
  </si>
  <si>
    <t>Marshall, TX</t>
  </si>
  <si>
    <t>Fenwick &amp; West</t>
  </si>
  <si>
    <t>Tier 1, Lvl 1: $180K</t>
  </si>
  <si>
    <t>Tier 3: $300-325K</t>
  </si>
  <si>
    <t>Mountain View, CA</t>
  </si>
  <si>
    <t>51: $1.62M</t>
  </si>
  <si>
    <t>Yetter Coleman</t>
  </si>
  <si>
    <t>Desmarais LLP</t>
  </si>
  <si>
    <t>1st Year: $200K</t>
  </si>
  <si>
    <t>8th Year: $335K</t>
  </si>
  <si>
    <t>Brown Rudnick</t>
  </si>
  <si>
    <t>7th Year+: $300K</t>
  </si>
  <si>
    <t>June 17, 2016 (outside NY)</t>
  </si>
  <si>
    <t>Hartford, CT</t>
  </si>
  <si>
    <t>Irvine, CA</t>
  </si>
  <si>
    <t>67: $1.36M</t>
  </si>
  <si>
    <t>Susman Godfrey</t>
  </si>
  <si>
    <t>1st Year: $190K</t>
  </si>
  <si>
    <t>6th Year: $300K</t>
  </si>
  <si>
    <t>White &amp; Case</t>
  </si>
  <si>
    <t>30: 2.02M</t>
  </si>
  <si>
    <t>Shearman &amp; Sterling</t>
  </si>
  <si>
    <t>41: $1.84M</t>
  </si>
  <si>
    <t>Baker Botts</t>
  </si>
  <si>
    <t>Level 1: $180K</t>
  </si>
  <si>
    <t>Level 4: $305K</t>
  </si>
  <si>
    <t>Locke Lord</t>
  </si>
  <si>
    <t>8th Year: $310K</t>
  </si>
  <si>
    <t>1st Year: $155K</t>
  </si>
  <si>
    <t>8th Year: TBD</t>
  </si>
  <si>
    <t>Stamford, CT</t>
  </si>
  <si>
    <t>Small Markets</t>
  </si>
  <si>
    <t>Atlanta, GA</t>
  </si>
  <si>
    <t>Cincinnati, OH</t>
  </si>
  <si>
    <t>West Palm Beach, FL</t>
  </si>
  <si>
    <t>Morristown, NJ</t>
  </si>
  <si>
    <t>New Orleans, LA</t>
  </si>
  <si>
    <t>Sacramento, CA</t>
  </si>
  <si>
    <t>115: $890K</t>
  </si>
  <si>
    <t>Hogan Lovells</t>
  </si>
  <si>
    <t>8th Year+: $315K</t>
  </si>
  <si>
    <t>Baltimore, MD</t>
  </si>
  <si>
    <t>Denver, CO</t>
  </si>
  <si>
    <t>Tysons Corner, VA</t>
  </si>
  <si>
    <t>Philadelphia, PA</t>
  </si>
  <si>
    <t>70: $1.25M</t>
  </si>
  <si>
    <t>Morrison &amp; Foerster</t>
  </si>
  <si>
    <t>McLean, VA</t>
  </si>
  <si>
    <t>58: $1.56M</t>
  </si>
  <si>
    <t>Paul Hastings</t>
  </si>
  <si>
    <t>23: $2.51</t>
  </si>
  <si>
    <t>Wilson Sonsini</t>
  </si>
  <si>
    <t>San Francisco/SOMA, CA</t>
  </si>
  <si>
    <t>25: $2.22M</t>
  </si>
  <si>
    <t>Gibson Dunn</t>
  </si>
  <si>
    <t>11: $3.19M</t>
  </si>
  <si>
    <t>Akin Gump</t>
  </si>
  <si>
    <t>Fort Worth, TX</t>
  </si>
  <si>
    <t>Longview, TX</t>
  </si>
  <si>
    <t>San Antonia, TX</t>
  </si>
  <si>
    <t>Abu Dhabi, UAE</t>
  </si>
  <si>
    <t>Dubai, UAE</t>
  </si>
  <si>
    <t>33: $1.92M</t>
  </si>
  <si>
    <t>Baker &amp; McKenzie</t>
  </si>
  <si>
    <t>1st Year: TBD</t>
  </si>
  <si>
    <t>79: $1.14M</t>
  </si>
  <si>
    <t>Ropes &amp; Gray</t>
  </si>
  <si>
    <t>East Palo Alto, CA</t>
  </si>
  <si>
    <t>31: $2.02M</t>
  </si>
  <si>
    <t>Bracewell</t>
  </si>
  <si>
    <t>San Antonio, TX</t>
  </si>
  <si>
    <t>Waashington, D.C.</t>
  </si>
  <si>
    <t>75: $1.19M</t>
  </si>
  <si>
    <t>Fried Frank</t>
  </si>
  <si>
    <t>26: $2.21M</t>
  </si>
  <si>
    <t>Jenner &amp; Block</t>
  </si>
  <si>
    <t>49: $1.72M</t>
  </si>
  <si>
    <t>Covington &amp; Burling</t>
  </si>
  <si>
    <t>Wasington, D.C.</t>
  </si>
  <si>
    <t>69: $1.28M</t>
  </si>
  <si>
    <t>Boies Schiller</t>
  </si>
  <si>
    <t>Armonk, NY</t>
  </si>
  <si>
    <t>Albany, NY</t>
  </si>
  <si>
    <t>Las Vegas, NV</t>
  </si>
  <si>
    <t>Hanover, NH</t>
  </si>
  <si>
    <t>Fort Lauderdale, FL</t>
  </si>
  <si>
    <t>Orlando, FL</t>
  </si>
  <si>
    <t>Hollywood, FL</t>
  </si>
  <si>
    <t>Oakland, CA</t>
  </si>
  <si>
    <t>13: $3.09M</t>
  </si>
  <si>
    <t>Mayer Brown</t>
  </si>
  <si>
    <t>55: $1.56M</t>
  </si>
  <si>
    <t>DLA Piper</t>
  </si>
  <si>
    <t>54: $1.57M</t>
  </si>
  <si>
    <t>Goodwin Procter</t>
  </si>
  <si>
    <t>32: $1.99M</t>
  </si>
  <si>
    <t>Schulte Roth</t>
  </si>
  <si>
    <t>24: $2.33M</t>
  </si>
  <si>
    <t>Robbins Russell</t>
  </si>
  <si>
    <t>Arnold &amp; Porter</t>
  </si>
  <si>
    <t>74: $1.21M</t>
  </si>
  <si>
    <t>Kramer Levin</t>
  </si>
  <si>
    <t>12th+ Year: $340K</t>
  </si>
  <si>
    <t>42: $1.83M</t>
  </si>
  <si>
    <t>Hughes Hubbard</t>
  </si>
  <si>
    <t>9th Year: $315K</t>
  </si>
  <si>
    <t>Jersey City, NJ</t>
  </si>
  <si>
    <t>Kansas City, MO</t>
  </si>
  <si>
    <t>35: $1.91M</t>
  </si>
  <si>
    <t>McDermott Will</t>
  </si>
  <si>
    <t>53: $1.58M</t>
  </si>
  <si>
    <t>Cadwalader</t>
  </si>
  <si>
    <t>29: $2.06M</t>
  </si>
  <si>
    <t>Dechert</t>
  </si>
  <si>
    <t>Mountainview, CA</t>
  </si>
  <si>
    <t>22: $2.51M</t>
  </si>
  <si>
    <t>Orrick</t>
  </si>
  <si>
    <t>Major Markets</t>
  </si>
  <si>
    <t>8th Year: up to $315K</t>
  </si>
  <si>
    <t>1st Year: $165K</t>
  </si>
  <si>
    <t>8th Year: up to $285K</t>
  </si>
  <si>
    <t>Portland, OR</t>
  </si>
  <si>
    <t>46: $1.79M</t>
  </si>
  <si>
    <t>Crowell &amp; Moring</t>
  </si>
  <si>
    <t>5th Year: $260K</t>
  </si>
  <si>
    <t>Anchorage, AK</t>
  </si>
  <si>
    <t>Cheyenne, WY</t>
  </si>
  <si>
    <t>90: $1.04M</t>
  </si>
  <si>
    <t>Ashurst</t>
  </si>
  <si>
    <t>Andrews Kurth</t>
  </si>
  <si>
    <t>The Woodlands, TX</t>
  </si>
  <si>
    <t>Durham, NC</t>
  </si>
  <si>
    <t>73: $1.24M</t>
  </si>
  <si>
    <t>Morgan Lewis</t>
  </si>
  <si>
    <t>All U.S. offices on NY scale</t>
  </si>
  <si>
    <t>Other offices to receive “commensurate” bumps</t>
  </si>
  <si>
    <t>59: $1.53M</t>
  </si>
  <si>
    <t>Barack Ferrazzano</t>
  </si>
  <si>
    <t>Others: TBD</t>
  </si>
  <si>
    <t>Minneapolis, MN</t>
  </si>
  <si>
    <t>Katten Muchin</t>
  </si>
  <si>
    <t>Irving, TX</t>
  </si>
  <si>
    <t>Los Angeles/Century City, CA</t>
  </si>
  <si>
    <t>Smaller raises in Charlotte, NC</t>
  </si>
  <si>
    <t>60: $1.51M</t>
  </si>
  <si>
    <t>Allen &amp; Overy</t>
  </si>
  <si>
    <t>São Paulo, Brazil</t>
  </si>
  <si>
    <t>WilmerHale</t>
  </si>
  <si>
    <t>2nd Year Counsel+: $315K</t>
  </si>
  <si>
    <t>43: $1.81M</t>
  </si>
  <si>
    <t>King &amp; Spalding</t>
  </si>
  <si>
    <t>Smaller raises in Atlanta, GA</t>
  </si>
  <si>
    <t>21: $2.52M</t>
  </si>
  <si>
    <t>Fish &amp; Richardson</t>
  </si>
  <si>
    <t>New York NY</t>
  </si>
  <si>
    <t>61: $1.49M</t>
  </si>
  <si>
    <t>Choate Hall</t>
  </si>
  <si>
    <t>34: $1.91M</t>
  </si>
  <si>
    <t>Olshan Frome</t>
  </si>
  <si>
    <t>1st Year: $170K</t>
  </si>
  <si>
    <t>Alston &amp; Bird</t>
  </si>
  <si>
    <t>$180K Scale</t>
  </si>
  <si>
    <t>$155K Scale</t>
  </si>
  <si>
    <t>48: $1.75M</t>
  </si>
  <si>
    <t>K&amp;L Gates</t>
  </si>
  <si>
    <t>Offices on $180K Scale</t>
  </si>
  <si>
    <t>118: $870K</t>
  </si>
  <si>
    <t>Greenberg Traurig</t>
  </si>
  <si>
    <t>Others: TBD Based on Performance</t>
  </si>
  <si>
    <t>62: $1.48M</t>
  </si>
  <si>
    <t>Stroock</t>
  </si>
  <si>
    <t>Los Angeles, CA (up to 4th Year: $235K)</t>
  </si>
  <si>
    <t>Miami, FL (case-by-case basis)</t>
  </si>
  <si>
    <t>72: $1.25M</t>
  </si>
  <si>
    <t>Haynes &amp; Boone</t>
  </si>
  <si>
    <t>Offices on $180K Scale Based on Performance</t>
  </si>
  <si>
    <t>Richardson, TX</t>
  </si>
  <si>
    <t>109: $910K</t>
  </si>
  <si>
    <t>Sheppard Mullin</t>
  </si>
  <si>
    <t>Silicon Valley, CA</t>
  </si>
  <si>
    <t>63: $1.45M</t>
  </si>
  <si>
    <t>Linklaters</t>
  </si>
  <si>
    <t>Aug 12th</t>
  </si>
  <si>
    <t>Aug 10th</t>
  </si>
  <si>
    <t>Aug 11th</t>
  </si>
  <si>
    <t>Company</t>
  </si>
  <si>
    <t>1st Year</t>
  </si>
  <si>
    <t>Nth year</t>
  </si>
  <si>
    <t/>
  </si>
  <si>
    <t>1st year</t>
  </si>
  <si>
    <t>City, State</t>
  </si>
  <si>
    <t>Nth year (clean)</t>
  </si>
  <si>
    <t>Am Law 200 PPP Rank ’16 (Rank Only)</t>
  </si>
  <si>
    <t>Akin Gump Strauss Hauer &amp; Feld</t>
  </si>
  <si>
    <t>Los Angeles</t>
  </si>
  <si>
    <t>CA</t>
  </si>
  <si>
    <t>Washington</t>
  </si>
  <si>
    <t>DC</t>
  </si>
  <si>
    <t>Chicago</t>
  </si>
  <si>
    <t>IL</t>
  </si>
  <si>
    <t>Cozen O'Connor</t>
  </si>
  <si>
    <t>London</t>
  </si>
  <si>
    <t>Silicon Valley</t>
  </si>
  <si>
    <t>Atlanta</t>
  </si>
  <si>
    <t>GA</t>
  </si>
  <si>
    <t>Charlotte</t>
  </si>
  <si>
    <t>NC</t>
  </si>
  <si>
    <t>Research Triangle</t>
  </si>
  <si>
    <t>Dallas</t>
  </si>
  <si>
    <t>TX</t>
  </si>
  <si>
    <t>Foley &amp; Lardner</t>
  </si>
  <si>
    <t>San Francisco</t>
  </si>
  <si>
    <t>Holland &amp; Knight</t>
  </si>
  <si>
    <t>Axinn, Veltrop &amp; Harkrider</t>
  </si>
  <si>
    <t>Hartford</t>
  </si>
  <si>
    <t>CT</t>
  </si>
  <si>
    <t>Jones Day</t>
  </si>
  <si>
    <t>Baker &amp; Hostetler</t>
  </si>
  <si>
    <t>Orlando</t>
  </si>
  <si>
    <t>FL</t>
  </si>
  <si>
    <t>Cincinnati</t>
  </si>
  <si>
    <t>OH</t>
  </si>
  <si>
    <t>Cleveland</t>
  </si>
  <si>
    <t>Columbus</t>
  </si>
  <si>
    <t>Philadelphia</t>
  </si>
  <si>
    <t>PA</t>
  </si>
  <si>
    <t>Houston</t>
  </si>
  <si>
    <t>Seattle</t>
  </si>
  <si>
    <t>WA</t>
  </si>
  <si>
    <t>Palo Alto</t>
  </si>
  <si>
    <t>joint number with Palo Alto</t>
  </si>
  <si>
    <t>joint number with San Francisco</t>
  </si>
  <si>
    <t>Miami</t>
  </si>
  <si>
    <t>Austin</t>
  </si>
  <si>
    <t>Ballard Spahr</t>
  </si>
  <si>
    <t>Phoenix</t>
  </si>
  <si>
    <t>AZ</t>
  </si>
  <si>
    <t>Denver</t>
  </si>
  <si>
    <t>CO</t>
  </si>
  <si>
    <t>Baltimore</t>
  </si>
  <si>
    <t>MD</t>
  </si>
  <si>
    <t>Cherry Hill</t>
  </si>
  <si>
    <t>NJ</t>
  </si>
  <si>
    <t>Salt Lake City</t>
  </si>
  <si>
    <t>UT</t>
  </si>
  <si>
    <t>Bilzin Sumberg Baena Price &amp; Axelrod</t>
  </si>
  <si>
    <t>Perkins Coie</t>
  </si>
  <si>
    <t>Boies, Schiller &amp; Flexner</t>
  </si>
  <si>
    <t>Oakland</t>
  </si>
  <si>
    <t>Santa Monica</t>
  </si>
  <si>
    <t>Ft. Lauderdale</t>
  </si>
  <si>
    <t>Hollywood</t>
  </si>
  <si>
    <t>Hanover</t>
  </si>
  <si>
    <t>NH</t>
  </si>
  <si>
    <t>Las Vegas</t>
  </si>
  <si>
    <t>NV</t>
  </si>
  <si>
    <t>Albany</t>
  </si>
  <si>
    <t>NY</t>
  </si>
  <si>
    <t>Armonk</t>
  </si>
  <si>
    <t>New York</t>
  </si>
  <si>
    <t>Bredhoff &amp; Kaiser</t>
  </si>
  <si>
    <t>Brewer, Attorneys &amp; Counselors</t>
  </si>
  <si>
    <t>Boston</t>
  </si>
  <si>
    <t>MA</t>
  </si>
  <si>
    <t>Amster, Rothstein &amp; Ebenstein</t>
  </si>
  <si>
    <t>Cadwalader Wickersham &amp; Taft</t>
  </si>
  <si>
    <t>Arent Fox</t>
  </si>
  <si>
    <t>Chadbourne &amp; Parke</t>
  </si>
  <si>
    <t>Choate Hall &amp; Stewart</t>
  </si>
  <si>
    <t>Cleary Gottlieb Steen &amp; Hamilton</t>
  </si>
  <si>
    <t>San Diego</t>
  </si>
  <si>
    <t>Broomfield</t>
  </si>
  <si>
    <t>Reston</t>
  </si>
  <si>
    <t>VA</t>
  </si>
  <si>
    <t>Blank Rome</t>
  </si>
  <si>
    <t>Bryan Cave</t>
  </si>
  <si>
    <t>Davis Polk &amp; Wardwell</t>
  </si>
  <si>
    <t>Menlo Park</t>
  </si>
  <si>
    <t>Cahill Gordon &amp; Reindel</t>
  </si>
  <si>
    <t>Davis Wright Tremaine</t>
  </si>
  <si>
    <t>Portland</t>
  </si>
  <si>
    <t>OR</t>
  </si>
  <si>
    <t>Orange County</t>
  </si>
  <si>
    <t>Cooper &amp; Dunham</t>
  </si>
  <si>
    <t>East Palo Alto</t>
  </si>
  <si>
    <t>5 summer associates across all Northern, CA cities</t>
  </si>
  <si>
    <t>Sacramento</t>
  </si>
  <si>
    <t>Duane Morris</t>
  </si>
  <si>
    <t>Ellis &amp; Winters</t>
  </si>
  <si>
    <t>Greensboro</t>
  </si>
  <si>
    <t>Raleigh</t>
  </si>
  <si>
    <t>Epstein Becker &amp; Green</t>
  </si>
  <si>
    <t>Newark</t>
  </si>
  <si>
    <t>Cravath, Swaine &amp; Moore</t>
  </si>
  <si>
    <t>Silicon Valley (Mountain View)</t>
  </si>
  <si>
    <t>number includes summer associates in Silicon Valley and San Francisco</t>
  </si>
  <si>
    <t>Wilmington</t>
  </si>
  <si>
    <t>DE</t>
  </si>
  <si>
    <t>Twin Cities</t>
  </si>
  <si>
    <t>MN</t>
  </si>
  <si>
    <t>Fitzpatrick Cella Harper &amp; Scinto</t>
  </si>
  <si>
    <t>Costa Mesa</t>
  </si>
  <si>
    <t>Curtis, Mallet-Prevost Colt &amp; Mosle</t>
  </si>
  <si>
    <t>Jacksonville</t>
  </si>
  <si>
    <t>Tallahassee</t>
  </si>
  <si>
    <t>Tampa</t>
  </si>
  <si>
    <t>Detroit</t>
  </si>
  <si>
    <t>MI</t>
  </si>
  <si>
    <t>Madison</t>
  </si>
  <si>
    <t>WI</t>
  </si>
  <si>
    <t>Milwaukee</t>
  </si>
  <si>
    <t>Foley Hoag</t>
  </si>
  <si>
    <t>Freshfields Bruckhaus Deringer</t>
  </si>
  <si>
    <t>Unknown</t>
  </si>
  <si>
    <t>OCS is reaching out to firm to obtain information</t>
  </si>
  <si>
    <t>Fried Frank Harris Shriver &amp; Jacobson</t>
  </si>
  <si>
    <t>Dentons</t>
  </si>
  <si>
    <t>Desmarais</t>
  </si>
  <si>
    <t>Gibson Dunn &amp; Crutcher</t>
  </si>
  <si>
    <t>Goulston &amp; Storrs</t>
  </si>
  <si>
    <t>Gunderson Dettmer Stough Villeneuve Franklin &amp; Hachigian</t>
  </si>
  <si>
    <t>Redwood City</t>
  </si>
  <si>
    <t>Herbert Smith Freehills</t>
  </si>
  <si>
    <t>Hogan Lovells US</t>
  </si>
  <si>
    <t>West Palm Beach</t>
  </si>
  <si>
    <t>Frommer Lawrence &amp; Haug</t>
  </si>
  <si>
    <t>Northern VA/Tysons</t>
  </si>
  <si>
    <t>Hughes Hubbard &amp; Reed</t>
  </si>
  <si>
    <t>Hunton &amp; Williams</t>
  </si>
  <si>
    <t>number includes summer associates in Washington, DC and McClean offices</t>
  </si>
  <si>
    <t>number includes summer associates in Austin, Dallas, and Houston offices</t>
  </si>
  <si>
    <t>Richmond</t>
  </si>
  <si>
    <t>number includes summer associates in Richmond and Norfolk offices</t>
  </si>
  <si>
    <t>Newport Beach</t>
  </si>
  <si>
    <t>Irvine</t>
  </si>
  <si>
    <t>Pittsburgh</t>
  </si>
  <si>
    <t>no summer program in 2016</t>
  </si>
  <si>
    <t>Dubai</t>
  </si>
  <si>
    <t>UnitedArabEm irates- International</t>
  </si>
  <si>
    <t>0 (1 summer associate, who is a 1L)</t>
  </si>
  <si>
    <t>Kilpatrick Townsend &amp; Stockton</t>
  </si>
  <si>
    <t>Kasowitz Benson Torres &amp; Friedman</t>
  </si>
  <si>
    <t>Knobbe Martens Olson &amp; Bear</t>
  </si>
  <si>
    <t>Katten Muchin Rosenman</t>
  </si>
  <si>
    <t>Century City</t>
  </si>
  <si>
    <t>Kaye Scholer</t>
  </si>
  <si>
    <t>Hong Kong</t>
  </si>
  <si>
    <t>Japan- International</t>
  </si>
  <si>
    <t>Kelley Drye &amp; Warren</t>
  </si>
  <si>
    <t>Singapore</t>
  </si>
  <si>
    <t>Singapore- International</t>
  </si>
  <si>
    <t>China</t>
  </si>
  <si>
    <t>Lowenstein Sandler</t>
  </si>
  <si>
    <t>Roseland</t>
  </si>
  <si>
    <t>Manatt, Phelps &amp; Phillips</t>
  </si>
  <si>
    <t>Kramer Levin Naftalis &amp; Frankel</t>
  </si>
  <si>
    <t>Meltzer, Lippe, Goldstein &amp; Breitstone</t>
  </si>
  <si>
    <t>Mineola</t>
  </si>
  <si>
    <t>Milbank, Tweed, Hadley &amp; McCloy</t>
  </si>
  <si>
    <t>Miller &amp; Chevalier Chartered</t>
  </si>
  <si>
    <t>McDermott Will &amp; Emery</t>
  </si>
  <si>
    <t>Morris, Nichols, Arsht &amp; Tunnell</t>
  </si>
  <si>
    <t>Tokyo</t>
  </si>
  <si>
    <t>McLean</t>
  </si>
  <si>
    <t>Mintz, Levin, Cohn, Ferris, Glovsky and Popeo</t>
  </si>
  <si>
    <t>Nelson Mullins Riley &amp; Scarborough</t>
  </si>
  <si>
    <t>Winston-Salem</t>
  </si>
  <si>
    <t>Morgan, Lewis &amp; Bockius</t>
  </si>
  <si>
    <t>Charleston</t>
  </si>
  <si>
    <t>SC</t>
  </si>
  <si>
    <t>Columbia</t>
  </si>
  <si>
    <t>Greenville</t>
  </si>
  <si>
    <t>Huntington</t>
  </si>
  <si>
    <t>WV</t>
  </si>
  <si>
    <t>Norton Rose Fulbright</t>
  </si>
  <si>
    <t>Moses &amp; Singer</t>
  </si>
  <si>
    <t>San Antonio</t>
  </si>
  <si>
    <t>Nutter McClennen &amp; Fish</t>
  </si>
  <si>
    <t>O'Melveny &amp; Myers</t>
  </si>
  <si>
    <t>Los Angeles - Century City</t>
  </si>
  <si>
    <t>Los Angeles - Downtown</t>
  </si>
  <si>
    <t>Nixon Peabody</t>
  </si>
  <si>
    <t>Orrick Herrington &amp; Sutcliffe</t>
  </si>
  <si>
    <t>Olshan Frome Wolosky</t>
  </si>
  <si>
    <t>Paul Weiss Rifkind Wharton &amp; Garrison</t>
  </si>
  <si>
    <t>Hong Kong/NY</t>
  </si>
  <si>
    <t>Tokyo/NY</t>
  </si>
  <si>
    <t>London/NY</t>
  </si>
  <si>
    <t>Pepper Hamilton</t>
  </si>
  <si>
    <t>Pillsbury Winthrop Shaw Pittman</t>
  </si>
  <si>
    <t>San Diego (North County)</t>
  </si>
  <si>
    <t>Northern</t>
  </si>
  <si>
    <t>Potter Anderson &amp; Corroon</t>
  </si>
  <si>
    <t>Pryor Cashman</t>
  </si>
  <si>
    <t>Reed Smith</t>
  </si>
  <si>
    <t>Robinson &amp; Cole</t>
  </si>
  <si>
    <t>Stamford</t>
  </si>
  <si>
    <t>Roberts &amp; Holland</t>
  </si>
  <si>
    <t>Rutan &amp; Tucker</t>
  </si>
  <si>
    <t>Schulte Roth &amp; Zabel</t>
  </si>
  <si>
    <t>Seward &amp; Kissel</t>
  </si>
  <si>
    <t>Sheppard Mullin Richter &amp; Hampton</t>
  </si>
  <si>
    <t>Shipman &amp; Goodwin</t>
  </si>
  <si>
    <t>Simpson Thacher &amp; Bartlett</t>
  </si>
  <si>
    <t>Sive Paget &amp; Riesel</t>
  </si>
  <si>
    <t>Skadden Arps Slate Meagher &amp; Flom</t>
  </si>
  <si>
    <t>Skadden, Arps, Slate, Meagher &amp; Flom</t>
  </si>
  <si>
    <t>Stearns Weaver Miller Weissler Alhadeff &amp; Sitterson PA</t>
  </si>
  <si>
    <t>Steptoe &amp; Johnson</t>
  </si>
  <si>
    <t>Stroock &amp; Stroock &amp; Lavan</t>
  </si>
  <si>
    <t>Sullivan &amp; Worcester</t>
  </si>
  <si>
    <t>Sutherland</t>
  </si>
  <si>
    <t>Thompson Hine</t>
  </si>
  <si>
    <t>Dayton</t>
  </si>
  <si>
    <t>Troutman Sanders</t>
  </si>
  <si>
    <t>Venable</t>
  </si>
  <si>
    <t>Wachtell Lipton Rosen &amp; Katz</t>
  </si>
  <si>
    <t>Weil, Gotshal &amp; Manges</t>
  </si>
  <si>
    <t>Redwood Shores</t>
  </si>
  <si>
    <t>Wiggin and Dana</t>
  </si>
  <si>
    <t>New Haven</t>
  </si>
  <si>
    <t>Willkie Farr &amp; Gallagher</t>
  </si>
  <si>
    <t>Wilson Sonsini Goodrich &amp; Rosati</t>
  </si>
  <si>
    <t>New York - Corporate</t>
  </si>
  <si>
    <t>Young Conaway Stargatt &amp; Taylor</t>
  </si>
  <si>
    <t>EIW</t>
  </si>
  <si>
    <t>Salary</t>
  </si>
  <si>
    <t>Aug 10th, Aug 11th</t>
  </si>
  <si>
    <t>Aug 11th, Aug 12th</t>
  </si>
  <si>
    <t>Washington, DC</t>
  </si>
  <si>
    <t>London, UNITED KINGDOM</t>
  </si>
  <si>
    <t>Akin Gump Strauss Hauer &amp; Feld LLP</t>
  </si>
  <si>
    <t>Allen &amp; Overy LLP</t>
  </si>
  <si>
    <t>Alston &amp; Bird LLP</t>
  </si>
  <si>
    <t>Arnold &amp; Porter LLP</t>
  </si>
  <si>
    <t>Axinn, Veltrop &amp; Harkrider LLP</t>
  </si>
  <si>
    <t>Baker &amp; Hostetler LLP</t>
  </si>
  <si>
    <t>Baker Botts LLP</t>
  </si>
  <si>
    <t>Blank Rome LLP</t>
  </si>
  <si>
    <t>Bracewell LLP</t>
  </si>
  <si>
    <t>Brown Rudnick LLP</t>
  </si>
  <si>
    <t>Bryan Cave LLP</t>
  </si>
  <si>
    <t>Cahill Gordon &amp; Reindel LLP</t>
  </si>
  <si>
    <t>Chadbourne &amp; Parke LLP</t>
  </si>
  <si>
    <t>Choate Hall &amp; Stewart LLP</t>
  </si>
  <si>
    <t>Cleary Gottlieb Steen &amp; Hamilton LLP</t>
  </si>
  <si>
    <t>Cooley LLP</t>
  </si>
  <si>
    <t>Covington &amp; Burling LLP</t>
  </si>
  <si>
    <t>Cravath, Swaine &amp; Moore LLP</t>
  </si>
  <si>
    <t>Crowell &amp; Moring LLP</t>
  </si>
  <si>
    <t>Debevoise &amp; Plimpton LLP</t>
  </si>
  <si>
    <t>Dechert LLP</t>
  </si>
  <si>
    <t>Duane Morris LLP</t>
  </si>
  <si>
    <t>Epstein Becker &amp; Green PC</t>
  </si>
  <si>
    <t>Federal Reserve Board</t>
  </si>
  <si>
    <t>Fenwick &amp; West LLP</t>
  </si>
  <si>
    <t>Fish &amp; Richardson PC</t>
  </si>
  <si>
    <t>Foley &amp; Lardner LLP</t>
  </si>
  <si>
    <t>Freshfields Bruckhaus Deringer LLP</t>
  </si>
  <si>
    <t>Goodwin Procter LLP</t>
  </si>
  <si>
    <t>Holland &amp; Knight LLP</t>
  </si>
  <si>
    <t>Hughes Hubbard &amp; Reed LLP</t>
  </si>
  <si>
    <t>Hunton &amp; Williams LLP</t>
  </si>
  <si>
    <t>Irell &amp; Manella LLP</t>
  </si>
  <si>
    <t>Jenner &amp; Block LLP</t>
  </si>
  <si>
    <t>K&amp;L Gates LLP</t>
  </si>
  <si>
    <t>Katten Muchin Rosenman LLP</t>
  </si>
  <si>
    <t>Kaye Scholer LLP</t>
  </si>
  <si>
    <t>Kirkland &amp; Ellis LLP</t>
  </si>
  <si>
    <t>Kramer Levin Naftalis &amp; Frankel LLP</t>
  </si>
  <si>
    <t>Latham &amp; Watkins LLP</t>
  </si>
  <si>
    <t>Locke Lord LLP</t>
  </si>
  <si>
    <t>Mayer Brown LLP</t>
  </si>
  <si>
    <t>McDermott Will &amp; Emery LLP</t>
  </si>
  <si>
    <t>Milbank, Tweed, Hadley &amp; McCloy LLP</t>
  </si>
  <si>
    <t>Morrison &amp; Foerster LLP</t>
  </si>
  <si>
    <t>Nixon Peabody LLP</t>
  </si>
  <si>
    <t>O'Melveny &amp; Myers LLP</t>
  </si>
  <si>
    <t>Paul Hastings LLP</t>
  </si>
  <si>
    <t>Pepper Hamilton LLP</t>
  </si>
  <si>
    <t>Perkins Coie LLP</t>
  </si>
  <si>
    <t>Pillsbury Winthrop Shaw Pittman LLP</t>
  </si>
  <si>
    <t>Proskauer Rose LLP</t>
  </si>
  <si>
    <t>Reed Smith LLP</t>
  </si>
  <si>
    <t>Ropes &amp; Gray LLP</t>
  </si>
  <si>
    <t>Schulte Roth &amp; Zabel LLP</t>
  </si>
  <si>
    <t>Seward &amp; Kissel LLP</t>
  </si>
  <si>
    <t>Shearman &amp; Sterling LLP</t>
  </si>
  <si>
    <t>Sidley Austin LLP</t>
  </si>
  <si>
    <t>Simpson Thacher &amp; Bartlett LLP</t>
  </si>
  <si>
    <t>Steptoe &amp; Johnson LLP</t>
  </si>
  <si>
    <t>Stroock &amp; Stroock &amp; Lavan LLP</t>
  </si>
  <si>
    <t>Sullivan &amp; Cromwell LLP</t>
  </si>
  <si>
    <t>Susman Godfrey LLP</t>
  </si>
  <si>
    <t>Venable LLP</t>
  </si>
  <si>
    <t>Vinson &amp; Elkins LLP</t>
  </si>
  <si>
    <t>Weil, Gotshal &amp; Manges LLP</t>
  </si>
  <si>
    <t>White &amp; Case LLP</t>
  </si>
  <si>
    <t>Willkie Farr &amp; Gallagher LLP</t>
  </si>
  <si>
    <t>Winston &amp; Strawn LLP</t>
  </si>
  <si>
    <t>Beijing, China; New York, NY</t>
  </si>
  <si>
    <t>Hong Kong, China; New York, NY</t>
  </si>
  <si>
    <t>Seoul, South Korea; New York, NY</t>
  </si>
  <si>
    <t>Tokyo, Japan; New York, NY</t>
  </si>
  <si>
    <t>UK</t>
  </si>
  <si>
    <t>London, UK-
International</t>
  </si>
  <si>
    <t>Finn Dixon &amp; Herling</t>
  </si>
  <si>
    <t>Milbank Tweed Hadley &amp; McCloy</t>
  </si>
  <si>
    <t>Interview Slots</t>
  </si>
  <si>
    <t>Patterson Belknap Webb &amp; Tyler LLP</t>
  </si>
  <si>
    <t>Kellogg, Huber, Hansen, Todd, Evans &amp; Figel, PLLC</t>
  </si>
  <si>
    <t>Littler Mendelson P.C.</t>
  </si>
  <si>
    <t>Fox Rothschild LLP</t>
  </si>
  <si>
    <t>Haynes and Boone, LLP</t>
  </si>
  <si>
    <t>Mintz, Levin, Cohn, Ferris, Glovsky and Popeo, P.C.</t>
  </si>
  <si>
    <t>Keker &amp; Van Nest LLP</t>
  </si>
  <si>
    <t>Seyfarth Shaw LLP</t>
  </si>
  <si>
    <t>Sheppard, Mullin, Richter &amp; Hampton LLP</t>
  </si>
  <si>
    <t>McGuireWoods LLP</t>
  </si>
  <si>
    <t>Arent Fox LLP</t>
  </si>
  <si>
    <t>Squire Patton Boggs LLP</t>
  </si>
  <si>
    <t>Fish &amp; Richardson P.C.</t>
  </si>
  <si>
    <t>Greenberg Traurig, LLP</t>
  </si>
  <si>
    <t>Morgan, Lewis &amp; Bockius LLP</t>
  </si>
  <si>
    <t>Fried, Frank, Harris, Shriver &amp; Jacobson LLP</t>
  </si>
  <si>
    <t>Orrick, Herrington &amp; Sutcliffe LLP</t>
  </si>
  <si>
    <t>Munger, Tolles &amp; Olson LLP</t>
  </si>
  <si>
    <t>Cadwalader, Wickersham &amp; Taft LLP</t>
  </si>
  <si>
    <t>Linklaters LLP (US)</t>
  </si>
  <si>
    <t>Hogan Lovells LLP</t>
  </si>
  <si>
    <t>Clifford Chance US LLP</t>
  </si>
  <si>
    <t>Williams &amp; Connolly LLP</t>
  </si>
  <si>
    <t>Boies, Schiller &amp; Flexner LLP</t>
  </si>
  <si>
    <t>Paul, Weiss, Rifkind, Wharton &amp; Garrison LLP</t>
  </si>
  <si>
    <t>Gibson, Dunn &amp; Crutcher LLP</t>
  </si>
  <si>
    <t>Skadden, Arps, Slate, Meagher &amp; Flom LLP and Affiliates</t>
  </si>
  <si>
    <t>Wachtell, Lipton, Rosen &amp; Katz</t>
  </si>
  <si>
    <t>Davis Polk &amp; Wardwell LLP</t>
  </si>
  <si>
    <t>Quinn Emanuel Urquhart &amp; Sullivan, LLP</t>
  </si>
  <si>
    <t>Drinker Biddle &amp; Reath LLP</t>
  </si>
  <si>
    <t>1</t>
  </si>
  <si>
    <t>Vault</t>
  </si>
  <si>
    <t>Vault Rank</t>
  </si>
  <si>
    <t>Rank</t>
  </si>
  <si>
    <t>Name</t>
  </si>
  <si>
    <t>GPA Threshold</t>
  </si>
  <si>
    <t>$180K</t>
  </si>
  <si>
    <t>King &amp; Spalding LLP</t>
  </si>
  <si>
    <t>State</t>
  </si>
  <si>
    <t>City</t>
  </si>
  <si>
    <t>2016 NYU 2L Summer Associates</t>
  </si>
  <si>
    <t>Date of Interview</t>
  </si>
  <si>
    <t>Number of Summer 2016 2LSAs</t>
  </si>
  <si>
    <t>2016</t>
  </si>
  <si>
    <t>CAGR</t>
  </si>
  <si>
    <t>Curtis, Mallet-Prevost</t>
  </si>
  <si>
    <t>DLA Piper LLP (US)</t>
  </si>
  <si>
    <t>Dykema Gossett PLLC</t>
  </si>
  <si>
    <t>Finnegan</t>
  </si>
  <si>
    <t>Fitzpatrick, Cella, Harper &amp; Scinto</t>
  </si>
  <si>
    <t>Fried, Frank</t>
  </si>
  <si>
    <t>Greenberg Traurig, PA</t>
  </si>
  <si>
    <t>Harris, Wiltshire &amp; Grannis LLP</t>
  </si>
  <si>
    <t>Jackson Walker LLP</t>
  </si>
  <si>
    <t>Kasowitz</t>
  </si>
  <si>
    <t>Milbank</t>
  </si>
  <si>
    <t>Nutter McClennen &amp; Fish LLP</t>
  </si>
  <si>
    <t>No summer program</t>
  </si>
  <si>
    <t>Paul, Weiss</t>
  </si>
  <si>
    <t>Sedgwick LLP</t>
  </si>
  <si>
    <t>6 </t>
  </si>
  <si>
    <t>7 </t>
  </si>
  <si>
    <t>4 </t>
  </si>
  <si>
    <t>Sheppard, Mullin</t>
  </si>
  <si>
    <t>Skadden</t>
  </si>
  <si>
    <t>Snell &amp; Wilmer LLP</t>
  </si>
  <si>
    <t>Squire Patton Boggs</t>
  </si>
  <si>
    <t>Waller</t>
  </si>
  <si>
    <t>Wiley Rein LLP</t>
  </si>
  <si>
    <t>SA CAGR</t>
  </si>
  <si>
    <t>EIW Name</t>
  </si>
  <si>
    <t>Expected 2017 2LSAs</t>
  </si>
  <si>
    <t>11/12 pair</t>
  </si>
  <si>
    <t>12/13 pair</t>
  </si>
  <si>
    <t>13/14 pair</t>
  </si>
  <si>
    <t>14/15 pair</t>
  </si>
  <si>
    <t>15/16 pair</t>
  </si>
  <si>
    <t>Total pairs</t>
  </si>
  <si>
    <t>follow Phil's trend</t>
  </si>
  <si>
    <t>Standard Deviation</t>
  </si>
  <si>
    <t xml:space="preserve">Notes </t>
  </si>
  <si>
    <t>shared with houston office</t>
  </si>
  <si>
    <t>shared with many offices (boston, texas, pittburg</t>
  </si>
  <si>
    <t>1/rank*value</t>
  </si>
  <si>
    <t>none</t>
  </si>
  <si>
    <t>40-58</t>
  </si>
  <si>
    <t>&gt;=115</t>
  </si>
  <si>
    <t>96-114</t>
  </si>
  <si>
    <t>59-95</t>
  </si>
  <si>
    <t>16-28</t>
  </si>
  <si>
    <t>29-53</t>
  </si>
  <si>
    <t>&gt;=54</t>
  </si>
  <si>
    <t>&gt;=7</t>
  </si>
  <si>
    <t>M Score</t>
  </si>
  <si>
    <t>2010</t>
  </si>
  <si>
    <t>2011</t>
  </si>
  <si>
    <t>2012</t>
  </si>
  <si>
    <t>2013</t>
  </si>
  <si>
    <t>2014</t>
  </si>
  <si>
    <t>2015</t>
  </si>
  <si>
    <t xml:space="preserve">2011 </t>
  </si>
  <si>
    <t xml:space="preserve">  2012 </t>
  </si>
  <si>
    <t xml:space="preserve">2013 </t>
  </si>
  <si>
    <t xml:space="preserve">2014 </t>
  </si>
  <si>
    <t xml:space="preserve">2015 </t>
  </si>
  <si>
    <t xml:space="preserve">2016 </t>
  </si>
  <si>
    <t>Count of UD</t>
  </si>
  <si>
    <t>Count of DU</t>
  </si>
  <si>
    <t>% UD</t>
  </si>
  <si>
    <t>% DU</t>
  </si>
  <si>
    <t>Variance</t>
  </si>
  <si>
    <t>2011 Delta</t>
  </si>
  <si>
    <t>2012 Delta</t>
  </si>
  <si>
    <t>2013 Delta</t>
  </si>
  <si>
    <t>2014 Delta</t>
  </si>
  <si>
    <t>2015 Delta</t>
  </si>
  <si>
    <t>2016 Delta</t>
  </si>
  <si>
    <t>Average Delta</t>
  </si>
  <si>
    <t>Employer</t>
  </si>
  <si>
    <t>Notes</t>
  </si>
  <si>
    <t>Number of Summer 2016 2L SAs</t>
  </si>
  <si>
    <t>Interviews Yielding Jobs</t>
  </si>
  <si>
    <t>Number of Summer 2016 NYU 2L SAs</t>
  </si>
  <si>
    <t>1st year salary</t>
  </si>
  <si>
    <t>Chance of Job Generally</t>
  </si>
  <si>
    <t>NYU Friendliness - Percentage of Firm's SAs from NYU</t>
  </si>
  <si>
    <r>
      <t>Large Markets</t>
    </r>
    <r>
      <rPr>
        <sz val="11"/>
        <color rgb="FF222222"/>
        <rFont val="Calibri"/>
        <family val="2"/>
        <scheme val="minor"/>
      </rPr>
      <t>:</t>
    </r>
  </si>
  <si>
    <r>
      <rPr>
        <b/>
        <sz val="11"/>
        <color rgb="FFFFFFFF"/>
        <rFont val="Arial"/>
        <family val="2"/>
      </rPr>
      <t>Employer</t>
    </r>
  </si>
  <si>
    <r>
      <rPr>
        <sz val="11"/>
        <rFont val="Arial"/>
        <family val="2"/>
      </rPr>
      <t>UK-
International</t>
    </r>
  </si>
  <si>
    <r>
      <rPr>
        <sz val="11"/>
        <rFont val="Arial"/>
        <family val="2"/>
      </rPr>
      <t xml:space="preserve">**firm is </t>
    </r>
    <r>
      <rPr>
        <b/>
        <sz val="11"/>
        <rFont val="Arial"/>
        <family val="2"/>
      </rPr>
      <t xml:space="preserve">not </t>
    </r>
    <r>
      <rPr>
        <sz val="11"/>
        <rFont val="Arial"/>
        <family val="2"/>
      </rPr>
      <t>participating in EIW 2016, but is doing a resume collect on CSM**</t>
    </r>
  </si>
  <si>
    <r>
      <rPr>
        <sz val="11"/>
        <rFont val="Arial"/>
        <family val="2"/>
      </rPr>
      <t>ASIA-
International</t>
    </r>
  </si>
  <si>
    <t>Data</t>
  </si>
  <si>
    <t>Interview Slots Value</t>
  </si>
  <si>
    <t>Number of Summer 2016 2L SAs Value</t>
  </si>
  <si>
    <t>Number of Summer 2016 NYU 2L SAs Value</t>
  </si>
  <si>
    <t>Vault Rank Value</t>
  </si>
  <si>
    <t>GPA Threshold Value</t>
  </si>
  <si>
    <t>Range</t>
  </si>
  <si>
    <t>Value</t>
  </si>
  <si>
    <t>Weight</t>
  </si>
  <si>
    <t>Highest potential M Score</t>
  </si>
  <si>
    <r>
      <t xml:space="preserve">Weighted Values
</t>
    </r>
    <r>
      <rPr>
        <b/>
        <sz val="10"/>
        <color theme="0"/>
        <rFont val="Arial"/>
        <family val="2"/>
      </rPr>
      <t>(weights as shown on "weights" tab)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</si>
</sst>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##0;###0"/>
    <numFmt numFmtId="165" formatCode="###0.0;###0.0"/>
    <numFmt numFmtId="166" formatCode="0.0%"/>
    <numFmt numFmtId="167" formatCode="0.0"/>
    <numFmt numFmtId="174" formatCode="mmm\ dd"/>
  </numFmts>
  <fonts count="3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rgb="FF222222"/>
      <name val="Inherit"/>
    </font>
    <font>
      <u/>
      <sz val="10"/>
      <color theme="11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0"/>
      <name val="Arial"/>
      <family val="2"/>
    </font>
    <font>
      <sz val="10"/>
      <color rgb="FF000000"/>
      <name val="Times New Roman"/>
      <family val="1"/>
    </font>
    <font>
      <sz val="11"/>
      <name val="Calibri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11"/>
      <color rgb="FF222222"/>
      <name val="Calibri"/>
      <family val="2"/>
      <scheme val="minor"/>
    </font>
    <font>
      <sz val="11"/>
      <color rgb="FF387C9D"/>
      <name val="Calibri"/>
      <family val="2"/>
      <scheme val="minor"/>
    </font>
    <font>
      <u/>
      <sz val="11"/>
      <color rgb="FF222222"/>
      <name val="Calibri"/>
      <family val="2"/>
      <scheme val="minor"/>
    </font>
    <font>
      <sz val="11"/>
      <color theme="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1"/>
      <color rgb="FFFFFFFF"/>
      <name val="Arial"/>
      <family val="2"/>
    </font>
    <font>
      <sz val="11"/>
      <color theme="1"/>
      <name val="Arial"/>
      <family val="2"/>
    </font>
    <font>
      <sz val="11"/>
      <color theme="7" tint="0.59999389629810485"/>
      <name val="Arial"/>
      <family val="2"/>
    </font>
    <font>
      <b/>
      <sz val="11"/>
      <color theme="7" tint="0.59999389629810485"/>
      <name val="Arial"/>
      <family val="2"/>
    </font>
    <font>
      <b/>
      <sz val="24"/>
      <name val="Arial"/>
      <family val="2"/>
    </font>
    <font>
      <b/>
      <sz val="24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</borders>
  <cellStyleXfs count="24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8" fillId="0" borderId="0"/>
    <xf numFmtId="0" fontId="1" fillId="0" borderId="0"/>
    <xf numFmtId="9" fontId="8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</cellStyleXfs>
  <cellXfs count="115">
    <xf numFmtId="0" fontId="0" fillId="0" borderId="0" xfId="0" applyFill="1" applyBorder="1" applyAlignment="1">
      <alignment horizontal="left" vertical="top"/>
    </xf>
    <xf numFmtId="0" fontId="4" fillId="0" borderId="2" xfId="0" applyFont="1" applyFill="1" applyBorder="1" applyAlignment="1">
      <alignment horizontal="left" vertical="top" wrapText="1"/>
    </xf>
    <xf numFmtId="0" fontId="3" fillId="0" borderId="1" xfId="0" applyFont="1" applyFill="1" applyBorder="1" applyAlignment="1">
      <alignment horizontal="left" vertical="top" wrapText="1"/>
    </xf>
    <xf numFmtId="0" fontId="3" fillId="0" borderId="2" xfId="0" applyFont="1" applyFill="1" applyBorder="1" applyAlignment="1">
      <alignment horizontal="left" vertical="top" wrapText="1"/>
    </xf>
    <xf numFmtId="0" fontId="3" fillId="0" borderId="1" xfId="0" applyFont="1" applyFill="1" applyBorder="1" applyAlignment="1">
      <alignment vertical="top" wrapText="1"/>
    </xf>
    <xf numFmtId="0" fontId="3" fillId="0" borderId="2" xfId="0" applyFont="1" applyFill="1" applyBorder="1" applyAlignment="1">
      <alignment vertical="top" wrapText="1"/>
    </xf>
    <xf numFmtId="14" fontId="0" fillId="0" borderId="0" xfId="0" applyNumberFormat="1" applyFill="1" applyBorder="1" applyAlignment="1">
      <alignment horizontal="left" vertical="top"/>
    </xf>
    <xf numFmtId="14" fontId="3" fillId="0" borderId="1" xfId="0" applyNumberFormat="1" applyFont="1" applyFill="1" applyBorder="1" applyAlignment="1">
      <alignment vertical="top" wrapText="1"/>
    </xf>
    <xf numFmtId="14" fontId="3" fillId="0" borderId="2" xfId="0" applyNumberFormat="1" applyFont="1" applyFill="1" applyBorder="1" applyAlignment="1">
      <alignment vertical="top" wrapText="1"/>
    </xf>
    <xf numFmtId="0" fontId="0" fillId="0" borderId="0" xfId="0" applyFill="1" applyBorder="1" applyAlignment="1">
      <alignment horizontal="center" wrapText="1"/>
    </xf>
    <xf numFmtId="0" fontId="8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center" vertical="top"/>
    </xf>
    <xf numFmtId="166" fontId="0" fillId="0" borderId="0" xfId="17" applyNumberFormat="1" applyFont="1" applyFill="1" applyBorder="1" applyAlignment="1">
      <alignment horizontal="center" vertical="top"/>
    </xf>
    <xf numFmtId="9" fontId="0" fillId="0" borderId="0" xfId="17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1" fillId="0" borderId="0" xfId="18" applyFont="1" applyFill="1" applyAlignment="1">
      <alignment vertical="center" wrapText="1"/>
    </xf>
    <xf numFmtId="0" fontId="13" fillId="0" borderId="0" xfId="0" applyFont="1" applyFill="1" applyAlignment="1">
      <alignment wrapText="1"/>
    </xf>
    <xf numFmtId="0" fontId="13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Alignment="1">
      <alignment horizontal="right" wrapText="1"/>
    </xf>
    <xf numFmtId="0" fontId="15" fillId="0" borderId="0" xfId="0" applyFont="1" applyFill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left" vertical="top"/>
    </xf>
    <xf numFmtId="0" fontId="15" fillId="0" borderId="0" xfId="0" applyNumberFormat="1" applyFont="1" applyFill="1" applyBorder="1" applyAlignment="1">
      <alignment horizontal="left" vertical="top"/>
    </xf>
    <xf numFmtId="0" fontId="13" fillId="0" borderId="0" xfId="0" applyFont="1" applyFill="1" applyAlignment="1">
      <alignment horizontal="right"/>
    </xf>
    <xf numFmtId="2" fontId="15" fillId="0" borderId="0" xfId="0" applyNumberFormat="1" applyFont="1" applyFill="1" applyAlignment="1">
      <alignment horizontal="right"/>
    </xf>
    <xf numFmtId="49" fontId="13" fillId="0" borderId="0" xfId="0" applyNumberFormat="1" applyFont="1" applyFill="1" applyAlignment="1">
      <alignment wrapText="1"/>
    </xf>
    <xf numFmtId="0" fontId="13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left" vertical="top" wrapText="1"/>
    </xf>
    <xf numFmtId="0" fontId="12" fillId="0" borderId="0" xfId="0" applyFont="1" applyFill="1" applyBorder="1" applyAlignment="1">
      <alignment horizontal="left" vertical="top"/>
    </xf>
    <xf numFmtId="14" fontId="12" fillId="0" borderId="0" xfId="0" applyNumberFormat="1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/>
    </xf>
    <xf numFmtId="0" fontId="17" fillId="0" borderId="0" xfId="0" applyFont="1" applyFill="1" applyBorder="1" applyAlignment="1">
      <alignment horizontal="left" vertical="top" wrapText="1"/>
    </xf>
    <xf numFmtId="14" fontId="17" fillId="0" borderId="0" xfId="0" applyNumberFormat="1" applyFont="1" applyFill="1" applyBorder="1" applyAlignment="1">
      <alignment horizontal="left" vertical="top" wrapText="1"/>
    </xf>
    <xf numFmtId="14" fontId="14" fillId="0" borderId="0" xfId="0" applyNumberFormat="1" applyFont="1" applyFill="1" applyBorder="1" applyAlignment="1">
      <alignment horizontal="left"/>
    </xf>
    <xf numFmtId="14" fontId="18" fillId="0" borderId="0" xfId="0" applyNumberFormat="1" applyFont="1" applyFill="1" applyBorder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top"/>
    </xf>
    <xf numFmtId="0" fontId="21" fillId="0" borderId="0" xfId="0" applyFont="1" applyFill="1" applyBorder="1"/>
    <xf numFmtId="0" fontId="21" fillId="0" borderId="0" xfId="0" applyFont="1" applyFill="1" applyBorder="1" applyAlignment="1">
      <alignment horizontal="left" vertical="top"/>
    </xf>
    <xf numFmtId="0" fontId="22" fillId="0" borderId="0" xfId="0" applyFont="1" applyFill="1" applyBorder="1" applyAlignment="1">
      <alignment horizontal="left" vertical="top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>
      <alignment horizontal="right" wrapText="1"/>
    </xf>
    <xf numFmtId="0" fontId="24" fillId="0" borderId="0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NumberFormat="1" applyFont="1" applyFill="1" applyBorder="1" applyAlignment="1">
      <alignment horizontal="left" vertical="top" wrapText="1"/>
    </xf>
    <xf numFmtId="0" fontId="23" fillId="0" borderId="0" xfId="0" applyFont="1" applyFill="1" applyBorder="1" applyAlignment="1">
      <alignment horizontal="left" wrapText="1"/>
    </xf>
    <xf numFmtId="0" fontId="23" fillId="0" borderId="3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right" vertical="top" wrapText="1"/>
    </xf>
    <xf numFmtId="164" fontId="22" fillId="0" borderId="0" xfId="0" applyNumberFormat="1" applyFont="1" applyFill="1" applyBorder="1" applyAlignment="1">
      <alignment horizontal="right" vertical="top" wrapText="1"/>
    </xf>
    <xf numFmtId="166" fontId="22" fillId="0" borderId="0" xfId="17" applyNumberFormat="1" applyFont="1" applyFill="1" applyBorder="1" applyAlignment="1">
      <alignment horizontal="right" vertical="top" wrapText="1"/>
    </xf>
    <xf numFmtId="165" fontId="22" fillId="0" borderId="0" xfId="0" applyNumberFormat="1" applyFont="1" applyFill="1" applyBorder="1" applyAlignment="1">
      <alignment horizontal="right" vertical="top" wrapText="1"/>
    </xf>
    <xf numFmtId="0" fontId="28" fillId="0" borderId="0" xfId="0" applyFont="1" applyFill="1" applyBorder="1" applyAlignment="1">
      <alignment horizontal="right" wrapText="1"/>
    </xf>
    <xf numFmtId="0" fontId="20" fillId="0" borderId="0" xfId="0" applyFont="1" applyFill="1" applyBorder="1" applyAlignment="1">
      <alignment horizontal="right" wrapText="1"/>
    </xf>
    <xf numFmtId="166" fontId="20" fillId="0" borderId="0" xfId="17" applyNumberFormat="1" applyFont="1" applyFill="1" applyBorder="1" applyAlignment="1">
      <alignment horizontal="right" wrapText="1"/>
    </xf>
    <xf numFmtId="0" fontId="27" fillId="0" borderId="0" xfId="0" applyFont="1" applyFill="1" applyBorder="1" applyAlignment="1">
      <alignment horizontal="right" wrapText="1"/>
    </xf>
    <xf numFmtId="166" fontId="27" fillId="0" borderId="0" xfId="17" applyNumberFormat="1" applyFont="1" applyFill="1" applyBorder="1" applyAlignment="1">
      <alignment horizontal="right" wrapText="1"/>
    </xf>
    <xf numFmtId="0" fontId="23" fillId="0" borderId="0" xfId="0" applyFont="1" applyFill="1" applyBorder="1" applyAlignment="1">
      <alignment horizontal="right" wrapText="1"/>
    </xf>
    <xf numFmtId="14" fontId="23" fillId="0" borderId="0" xfId="0" applyNumberFormat="1" applyFont="1" applyFill="1" applyBorder="1" applyAlignment="1">
      <alignment horizontal="left" wrapText="1"/>
    </xf>
    <xf numFmtId="0" fontId="22" fillId="0" borderId="0" xfId="0" applyFont="1" applyFill="1" applyBorder="1" applyAlignment="1">
      <alignment horizontal="right" vertical="top" wrapText="1"/>
    </xf>
    <xf numFmtId="0" fontId="21" fillId="0" borderId="0" xfId="0" applyFont="1" applyFill="1" applyBorder="1" applyAlignment="1">
      <alignment horizontal="left" vertical="center" wrapText="1"/>
    </xf>
    <xf numFmtId="0" fontId="21" fillId="0" borderId="0" xfId="0" applyNumberFormat="1" applyFont="1" applyFill="1" applyBorder="1" applyAlignment="1">
      <alignment horizontal="right" vertical="top" wrapText="1"/>
    </xf>
    <xf numFmtId="0" fontId="21" fillId="0" borderId="0" xfId="0" applyFont="1" applyFill="1" applyBorder="1" applyAlignment="1">
      <alignment horizontal="right" vertical="center" wrapText="1"/>
    </xf>
    <xf numFmtId="164" fontId="21" fillId="0" borderId="0" xfId="0" applyNumberFormat="1" applyFont="1" applyFill="1" applyBorder="1" applyAlignment="1">
      <alignment horizontal="right" vertical="top" wrapText="1"/>
    </xf>
    <xf numFmtId="166" fontId="21" fillId="0" borderId="0" xfId="17" applyNumberFormat="1" applyFont="1" applyFill="1" applyBorder="1" applyAlignment="1">
      <alignment horizontal="right" vertical="top" wrapText="1"/>
    </xf>
    <xf numFmtId="165" fontId="21" fillId="0" borderId="0" xfId="0" applyNumberFormat="1" applyFont="1" applyFill="1" applyBorder="1" applyAlignment="1">
      <alignment horizontal="right" vertical="top" wrapText="1"/>
    </xf>
    <xf numFmtId="164" fontId="22" fillId="0" borderId="0" xfId="0" applyNumberFormat="1" applyFont="1" applyFill="1" applyBorder="1" applyAlignment="1">
      <alignment horizontal="right" vertical="center" wrapText="1"/>
    </xf>
    <xf numFmtId="166" fontId="22" fillId="0" borderId="0" xfId="17" applyNumberFormat="1" applyFont="1" applyFill="1" applyBorder="1" applyAlignment="1">
      <alignment horizontal="right" vertical="center" wrapText="1"/>
    </xf>
    <xf numFmtId="165" fontId="22" fillId="0" borderId="0" xfId="0" applyNumberFormat="1" applyFont="1" applyFill="1" applyBorder="1" applyAlignment="1">
      <alignment horizontal="right" vertical="center" wrapText="1"/>
    </xf>
    <xf numFmtId="14" fontId="23" fillId="0" borderId="3" xfId="0" applyNumberFormat="1" applyFont="1" applyFill="1" applyBorder="1" applyAlignment="1">
      <alignment horizontal="left" wrapText="1"/>
    </xf>
    <xf numFmtId="0" fontId="22" fillId="0" borderId="0" xfId="0" applyFont="1" applyFill="1" applyBorder="1" applyAlignment="1">
      <alignment horizontal="left" wrapText="1"/>
    </xf>
    <xf numFmtId="0" fontId="21" fillId="0" borderId="0" xfId="0" applyNumberFormat="1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right" wrapText="1"/>
    </xf>
    <xf numFmtId="164" fontId="22" fillId="0" borderId="0" xfId="0" applyNumberFormat="1" applyFont="1" applyFill="1" applyBorder="1" applyAlignment="1">
      <alignment horizontal="right" wrapText="1"/>
    </xf>
    <xf numFmtId="166" fontId="22" fillId="0" borderId="0" xfId="17" applyNumberFormat="1" applyFont="1" applyFill="1" applyBorder="1" applyAlignment="1">
      <alignment horizontal="right" wrapText="1"/>
    </xf>
    <xf numFmtId="165" fontId="22" fillId="0" borderId="0" xfId="0" applyNumberFormat="1" applyFont="1" applyFill="1" applyBorder="1" applyAlignment="1">
      <alignment horizontal="right" wrapText="1"/>
    </xf>
    <xf numFmtId="14" fontId="22" fillId="0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/>
    </xf>
    <xf numFmtId="0" fontId="22" fillId="0" borderId="0" xfId="19" applyFont="1" applyFill="1" applyBorder="1" applyAlignment="1">
      <alignment horizontal="left" wrapText="1"/>
    </xf>
    <xf numFmtId="0" fontId="22" fillId="0" borderId="0" xfId="0" applyFont="1" applyFill="1" applyBorder="1" applyAlignment="1">
      <alignment horizontal="right" wrapText="1"/>
    </xf>
    <xf numFmtId="0" fontId="22" fillId="0" borderId="0" xfId="0" applyFont="1" applyFill="1" applyBorder="1" applyAlignment="1">
      <alignment horizontal="right"/>
    </xf>
    <xf numFmtId="0" fontId="22" fillId="0" borderId="0" xfId="0" applyNumberFormat="1" applyFont="1" applyFill="1" applyBorder="1" applyAlignment="1">
      <alignment horizontal="right"/>
    </xf>
    <xf numFmtId="0" fontId="26" fillId="0" borderId="0" xfId="0" applyNumberFormat="1" applyFont="1" applyFill="1" applyBorder="1" applyAlignment="1">
      <alignment horizontal="right"/>
    </xf>
    <xf numFmtId="2" fontId="22" fillId="0" borderId="0" xfId="0" applyNumberFormat="1" applyFont="1" applyFill="1" applyBorder="1" applyAlignment="1">
      <alignment horizontal="right"/>
    </xf>
    <xf numFmtId="9" fontId="22" fillId="0" borderId="0" xfId="17" applyFont="1" applyFill="1" applyBorder="1" applyAlignment="1">
      <alignment horizontal="right" wrapText="1"/>
    </xf>
    <xf numFmtId="0" fontId="22" fillId="0" borderId="0" xfId="0" applyNumberFormat="1" applyFont="1" applyFill="1" applyBorder="1" applyAlignment="1">
      <alignment horizontal="left"/>
    </xf>
    <xf numFmtId="0" fontId="6" fillId="0" borderId="4" xfId="0" applyFont="1" applyFill="1" applyBorder="1" applyAlignment="1">
      <alignment horizontal="left" vertical="top"/>
    </xf>
    <xf numFmtId="0" fontId="6" fillId="0" borderId="5" xfId="0" applyFont="1" applyFill="1" applyBorder="1" applyAlignment="1">
      <alignment horizontal="left" vertical="top" wrapText="1"/>
    </xf>
    <xf numFmtId="0" fontId="8" fillId="3" borderId="6" xfId="0" applyFont="1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8" fillId="0" borderId="6" xfId="0" applyFont="1" applyFill="1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16" fontId="0" fillId="0" borderId="6" xfId="0" applyNumberFormat="1" applyFill="1" applyBorder="1" applyAlignment="1">
      <alignment horizontal="left" vertical="top"/>
    </xf>
    <xf numFmtId="16" fontId="0" fillId="3" borderId="6" xfId="0" applyNumberFormat="1" applyFill="1" applyBorder="1" applyAlignment="1">
      <alignment horizontal="left" vertical="top"/>
    </xf>
    <xf numFmtId="0" fontId="6" fillId="3" borderId="4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0" fontId="6" fillId="3" borderId="4" xfId="0" applyFont="1" applyFill="1" applyBorder="1" applyAlignment="1">
      <alignment horizontal="right" vertical="top"/>
    </xf>
    <xf numFmtId="0" fontId="0" fillId="3" borderId="6" xfId="0" applyFill="1" applyBorder="1" applyAlignment="1">
      <alignment horizontal="right" vertical="top"/>
    </xf>
    <xf numFmtId="17" fontId="0" fillId="0" borderId="0" xfId="0" applyNumberFormat="1" applyFill="1" applyBorder="1" applyAlignment="1">
      <alignment horizontal="right" vertical="top"/>
    </xf>
    <xf numFmtId="0" fontId="6" fillId="0" borderId="4" xfId="0" applyFont="1" applyFill="1" applyBorder="1" applyAlignment="1">
      <alignment horizontal="right" vertical="top"/>
    </xf>
    <xf numFmtId="0" fontId="0" fillId="0" borderId="6" xfId="0" applyFill="1" applyBorder="1" applyAlignment="1">
      <alignment horizontal="right" vertical="top"/>
    </xf>
    <xf numFmtId="167" fontId="0" fillId="0" borderId="6" xfId="0" applyNumberFormat="1" applyFill="1" applyBorder="1" applyAlignment="1">
      <alignment horizontal="right" vertical="top"/>
    </xf>
    <xf numFmtId="167" fontId="0" fillId="3" borderId="6" xfId="0" applyNumberFormat="1" applyFill="1" applyBorder="1" applyAlignment="1">
      <alignment horizontal="right" vertical="top"/>
    </xf>
    <xf numFmtId="0" fontId="6" fillId="0" borderId="0" xfId="0" applyFont="1" applyFill="1" applyBorder="1" applyAlignment="1">
      <alignment horizontal="right" vertical="top"/>
    </xf>
    <xf numFmtId="0" fontId="6" fillId="0" borderId="6" xfId="0" applyFont="1" applyFill="1" applyBorder="1" applyAlignment="1">
      <alignment horizontal="right" vertical="top"/>
    </xf>
    <xf numFmtId="0" fontId="22" fillId="0" borderId="0" xfId="0" applyNumberFormat="1" applyFont="1" applyFill="1" applyBorder="1" applyAlignment="1">
      <alignment horizontal="left" wrapText="1"/>
    </xf>
    <xf numFmtId="0" fontId="6" fillId="5" borderId="0" xfId="0" applyFont="1" applyFill="1" applyBorder="1" applyAlignment="1">
      <alignment horizontal="left" vertical="top" wrapText="1"/>
    </xf>
    <xf numFmtId="0" fontId="6" fillId="5" borderId="0" xfId="0" applyFont="1" applyFill="1" applyBorder="1" applyAlignment="1">
      <alignment horizontal="left" vertical="top"/>
    </xf>
    <xf numFmtId="0" fontId="23" fillId="2" borderId="0" xfId="0" applyFont="1" applyFill="1" applyBorder="1" applyAlignment="1">
      <alignment horizontal="center" wrapText="1"/>
    </xf>
    <xf numFmtId="0" fontId="29" fillId="3" borderId="0" xfId="0" applyFont="1" applyFill="1" applyBorder="1" applyAlignment="1">
      <alignment horizontal="center" vertical="center" wrapText="1"/>
    </xf>
    <xf numFmtId="0" fontId="20" fillId="3" borderId="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174" fontId="22" fillId="0" borderId="0" xfId="0" applyNumberFormat="1" applyFont="1" applyFill="1" applyBorder="1" applyAlignment="1">
      <alignment horizontal="left" vertical="top"/>
    </xf>
  </cellXfs>
  <cellStyles count="24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8" builtinId="8"/>
    <cellStyle name="Normal" xfId="0" builtinId="0"/>
    <cellStyle name="Normal 2" xfId="15"/>
    <cellStyle name="Normal 2 2" xfId="22"/>
    <cellStyle name="Normal 2 3" xfId="20"/>
    <cellStyle name="Normal 3" xfId="16"/>
    <cellStyle name="Normal 4" xfId="19"/>
    <cellStyle name="Percent" xfId="17" builtinId="5"/>
    <cellStyle name="Percent 2" xfId="23"/>
    <cellStyle name="Percent 3" xfId="21"/>
  </cellStyles>
  <dxfs count="102"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74" formatCode="mmm\ dd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theme="4" tint="0.59999389629810485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theme="4" tint="0.59999389629810485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numFmt numFmtId="168" formatCode="m/d/yy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2" formatCode="0.00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2" formatCode="0.00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bgColor auto="1"/>
        </patternFill>
      </fill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5" formatCode="###0.0;###0.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0.0%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0.0%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0.0%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6" formatCode="0.0%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64" formatCode="###0;###0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852695</xdr:colOff>
      <xdr:row>1</xdr:row>
      <xdr:rowOff>161097</xdr:rowOff>
    </xdr:from>
    <xdr:to>
      <xdr:col>2</xdr:col>
      <xdr:colOff>1300370</xdr:colOff>
      <xdr:row>1</xdr:row>
      <xdr:rowOff>490745</xdr:rowOff>
    </xdr:to>
    <xdr:sp macro="[0]!moveDOWN" textlink="">
      <xdr:nvSpPr>
        <xdr:cNvPr id="2" name="Down Arrow 1"/>
        <xdr:cNvSpPr/>
      </xdr:nvSpPr>
      <xdr:spPr>
        <a:xfrm>
          <a:off x="1671845" y="323022"/>
          <a:ext cx="447675" cy="329648"/>
        </a:xfrm>
        <a:prstGeom prst="downArrow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195469</xdr:colOff>
      <xdr:row>1</xdr:row>
      <xdr:rowOff>123825</xdr:rowOff>
    </xdr:from>
    <xdr:to>
      <xdr:col>2</xdr:col>
      <xdr:colOff>643144</xdr:colOff>
      <xdr:row>1</xdr:row>
      <xdr:rowOff>453473</xdr:rowOff>
    </xdr:to>
    <xdr:sp macro="[0]!moveUP" textlink="">
      <xdr:nvSpPr>
        <xdr:cNvPr id="3" name="Down Arrow 2"/>
        <xdr:cNvSpPr/>
      </xdr:nvSpPr>
      <xdr:spPr>
        <a:xfrm rot="10800000">
          <a:off x="1014619" y="285750"/>
          <a:ext cx="447675" cy="329648"/>
        </a:xfrm>
        <a:prstGeom prst="downArrow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400050</xdr:colOff>
      <xdr:row>1</xdr:row>
      <xdr:rowOff>485774</xdr:rowOff>
    </xdr:from>
    <xdr:to>
      <xdr:col>2</xdr:col>
      <xdr:colOff>1838325</xdr:colOff>
      <xdr:row>2</xdr:row>
      <xdr:rowOff>9525</xdr:rowOff>
    </xdr:to>
    <xdr:sp macro="" textlink="">
      <xdr:nvSpPr>
        <xdr:cNvPr id="4" name="TextBox 3"/>
        <xdr:cNvSpPr txBox="1"/>
      </xdr:nvSpPr>
      <xdr:spPr>
        <a:xfrm>
          <a:off x="647700" y="1133474"/>
          <a:ext cx="2009775" cy="476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Move selected firm up/down in ranking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W511" totalsRowShown="0" headerRowDxfId="101" dataDxfId="100">
  <autoFilter ref="A1:W511"/>
  <tableColumns count="23">
    <tableColumn id="1" name="Employer" dataDxfId="99"/>
    <tableColumn id="2" name="City" dataDxfId="98"/>
    <tableColumn id="3" name="State" dataDxfId="97"/>
    <tableColumn id="10" name="City, State" dataDxfId="96">
      <calculatedColumnFormula>Table1[[#This Row],[City]]&amp;", "&amp;Table1[[#This Row],[State]]</calculatedColumnFormula>
    </tableColumn>
    <tableColumn id="14" name="Interview Slots" dataDxfId="95"/>
    <tableColumn id="4" name="Number of Summer 2016 2L SAs" dataDxfId="94"/>
    <tableColumn id="5" name="1st year" dataDxfId="93">
      <calculatedColumnFormula array="1">IFERROR(INDEX(Table2[1st Year],MATCH(1,(Table1[[#This Row],[Employer]]=Table2[EIW Name])*(Table1[[#This Row],[City, State]]=Table2[Offices Matched]),0)),"")</calculatedColumnFormula>
    </tableColumn>
    <tableColumn id="23" name="SA CAGR" dataDxfId="92">
      <calculatedColumnFormula>_xlfn.IFNA(INDEX(saCAGR[CAGR],MATCH(Table1[[#This Row],[Employer]],saCAGR[EIW Name],0)),"")</calculatedColumnFormula>
    </tableColumn>
    <tableColumn id="24" name="Expected 2017 2LSAs" dataDxfId="91">
      <calculatedColumnFormula>IFERROR(Table1[[#This Row],[SA CAGR]]*Table1[[#This Row],[Number of Summer 2016 2L SAs]],"")</calculatedColumnFormula>
    </tableColumn>
    <tableColumn id="18" name="Number of Summer 2016 NYU 2L SAs" dataDxfId="2"/>
    <tableColumn id="19" name="Interviews Yielding Jobs" dataDxfId="90" dataCellStyle="Percent">
      <calculatedColumnFormula>IFERROR(Table1[[#This Row],[Number of Summer 2016 NYU 2L SAs]]/Table1[[#This Row],[Interview Slots]],0)</calculatedColumnFormula>
    </tableColumn>
    <tableColumn id="22" name="Chance of Job Generally" dataDxfId="89" dataCellStyle="Percent">
      <calculatedColumnFormula>Table1[[#This Row],[Number of Summer 2016 2L SAs]]/Table1[[#This Row],[Interview Slots]]</calculatedColumnFormula>
    </tableColumn>
    <tableColumn id="20" name="NYU Friendliness - Percentage of Firm's SAs from NYU" dataDxfId="88" dataCellStyle="Percent">
      <calculatedColumnFormula>IFERROR(Table1[[#This Row],[Number of Summer 2016 NYU 2L SAs]]/Table1[[#This Row],[Number of Summer 2016 2L SAs]],0)</calculatedColumnFormula>
    </tableColumn>
    <tableColumn id="11" name="1st year salary" dataDxfId="87">
      <calculatedColumnFormula>IFERROR(RIGHT(Table1[[#This Row],[1st year]],LEN(Table1[[#This Row],[1st year]])-FIND(":",Table1[[#This Row],[1st year]])-1),"")</calculatedColumnFormula>
    </tableColumn>
    <tableColumn id="7" name="Nth year" dataDxfId="86">
      <calculatedColumnFormula array="1">IFERROR(INDEX(Table2[Nth year],MATCH(1,(Table1[[#This Row],[Employer]]=Table2[EIW Name])*(Table1[[#This Row],[City, State]]=Table2[Offices Matched]),0)),"")</calculatedColumnFormula>
    </tableColumn>
    <tableColumn id="12" name="Nth year (clean)" dataDxfId="85">
      <calculatedColumnFormula>IFERROR(RIGHT(Table1[[#This Row],[Nth year]],LEN(Table1[[#This Row],[Nth year]])-FIND(":",Table1[[#This Row],[Nth year]])-1),"")</calculatedColumnFormula>
    </tableColumn>
    <tableColumn id="8" name="Am Law 200 PPP Rank ’16" dataDxfId="84">
      <calculatedColumnFormula array="1">IFERROR(INDEX(Table2[Am Law 200 PPP Rank ’16],MATCH(1,(Table1[[#This Row],[Employer]]=Table2[EIW Name])*(Table1[[#This Row],[City, State]]=Table2[Offices Matched]),0)),"")</calculatedColumnFormula>
    </tableColumn>
    <tableColumn id="13" name="Am Law 200 PPP Rank ’16 (Rank Only)" dataDxfId="83">
      <calculatedColumnFormula>IFERROR(LEFT(Table1[[#This Row],[Am Law 200 PPP Rank ’16]],FIND(":",Table1[[#This Row],[Am Law 200 PPP Rank ’16]])-1),"")</calculatedColumnFormula>
    </tableColumn>
    <tableColumn id="15" name="Vault Rank" dataDxfId="82">
      <calculatedColumnFormula>IFERROR(INDEX(VaultRank[Rank],MATCH(Table1[[#This Row],[Employer]],VaultRank[EIW Name],0)),"")</calculatedColumnFormula>
    </tableColumn>
    <tableColumn id="9" name="Summers Matched" dataDxfId="81">
      <calculatedColumnFormula array="1">IFERROR(INDEX(Table2[Summers Matched],MATCH(1,(Table1[[#This Row],[Employer]]=Table2[EIW Name])*(Table1[[#This Row],[City, State]]=Table2[Offices Matched]),0)),"")</calculatedColumnFormula>
    </tableColumn>
    <tableColumn id="16" name="GPA Threshold" dataDxfId="80">
      <calculatedColumnFormula>IF(MOD(ROW(),23)=0,3.6,IF(MOD(ROW(),16)=0,3.4,""))</calculatedColumnFormula>
    </tableColumn>
    <tableColumn id="6" name="Notes" dataDxfId="1"/>
    <tableColumn id="17" name="Date of Interview" dataDxfId="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1" name="Table11" displayName="Table11" ref="B3:U53" totalsRowShown="0" headerRowDxfId="79" dataDxfId="78">
  <autoFilter ref="B3:U53"/>
  <sortState ref="B4:U53">
    <sortCondition descending="1" ref="U3:U53"/>
  </sortState>
  <tableColumns count="20">
    <tableColumn id="20" name="Rank" dataDxfId="77">
      <calculatedColumnFormula>ROW()-3</calculatedColumnFormula>
    </tableColumn>
    <tableColumn id="1" name="Employer" dataDxfId="76"/>
    <tableColumn id="2" name="City, State" dataDxfId="75"/>
    <tableColumn id="3" name="Interview Slots" dataDxfId="74"/>
    <tableColumn id="4" name="Number of Summer 2016 2L SAs" dataDxfId="73"/>
    <tableColumn id="5" name="Number of Summer 2016 NYU 2L SAs" dataDxfId="72"/>
    <tableColumn id="6" name="Interviews Yielding Jobs" dataDxfId="71" dataCellStyle="Percent">
      <calculatedColumnFormula>Table11[[#This Row],[Number of Summer 2016 NYU 2L SAs]]/Table11[[#This Row],[Interview Slots]]</calculatedColumnFormula>
    </tableColumn>
    <tableColumn id="7" name="Chance of Job Generally" dataDxfId="70" dataCellStyle="Percent">
      <calculatedColumnFormula>Table11[[#This Row],[Number of Summer 2016 2L SAs]]/Table11[[#This Row],[Interview Slots]]</calculatedColumnFormula>
    </tableColumn>
    <tableColumn id="8" name="NYU Friendliness - Percentage of Firm's SAs from NYU" dataDxfId="69" dataCellStyle="Percent">
      <calculatedColumnFormula>Table11[[#This Row],[Number of Summer 2016 NYU 2L SAs]]/Table11[[#This Row],[Number of Summer 2016 2L SAs]]</calculatedColumnFormula>
    </tableColumn>
    <tableColumn id="9" name="1st year salary" dataDxfId="68"/>
    <tableColumn id="10" name="Vault Rank" dataDxfId="67"/>
    <tableColumn id="11" name="GPA Threshold" dataDxfId="66"/>
    <tableColumn id="17" name="Date of Interview" dataDxfId="65"/>
    <tableColumn id="19" name="Notes " dataDxfId="64"/>
    <tableColumn id="12" name="Interview Slots Value" dataDxfId="63">
      <calculatedColumnFormula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calculatedColumnFormula>
    </tableColumn>
    <tableColumn id="13" name="Number of Summer 2016 2L SAs Value" dataDxfId="62">
      <calculatedColumnFormula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calculatedColumnFormula>
    </tableColumn>
    <tableColumn id="14" name="Number of Summer 2016 NYU 2L SAs Value" dataDxfId="61">
      <calculatedColumnFormula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calculatedColumnFormula>
    </tableColumn>
    <tableColumn id="15" name="Vault Rank Value" dataDxfId="60">
      <calculatedColumnFormula>IFERROR((1/Table11[[#This Row],[Vault Rank]])*35,0)</calculatedColumnFormula>
    </tableColumn>
    <tableColumn id="16" name="GPA Threshold Value" dataDxfId="59">
      <calculatedColumnFormula>IF(Table11[[#This Row],[GPA Threshold]]="",35,IF(Table11[[#This Row],[GPA Threshold]]=3.4,35,0))</calculatedColumnFormula>
    </tableColumn>
    <tableColumn id="18" name="M Score" dataDxfId="58">
      <calculatedColumnFormula>SUM(Table11[[#This Row],[Interview Slots Value]:[GPA Threshold Value]])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9" name="saCAGR" displayName="saCAGR" ref="A1:AJ95" totalsRowShown="0" headerRowDxfId="57" dataDxfId="56">
  <autoFilter ref="A1:AJ95"/>
  <tableColumns count="36">
    <tableColumn id="1" name="Company" dataDxfId="55" dataCellStyle="Hyperlink"/>
    <tableColumn id="2" name="2010" dataDxfId="54"/>
    <tableColumn id="3" name="2011" dataDxfId="53"/>
    <tableColumn id="4" name="2012" dataDxfId="52"/>
    <tableColumn id="5" name="2013" dataDxfId="51"/>
    <tableColumn id="6" name="2014" dataDxfId="50"/>
    <tableColumn id="7" name="2015" dataDxfId="49"/>
    <tableColumn id="8" name="2016" dataDxfId="48"/>
    <tableColumn id="10" name="CAGR" dataDxfId="47">
      <calculatedColumnFormula array="1">(H2/INDEX($B2:$H2,1,MATCH(FALSE,ISBLANK(B2:H2),0)))^(1/INDEX($B$2:$H$2,1,MATCH(FALSE,ISBLANK(B2:H2),0)))</calculatedColumnFormula>
    </tableColumn>
    <tableColumn id="11" name="EIW Name" dataDxfId="46">
      <calculatedColumnFormula>_xlfn.IFNA(INDEX(saCAGRnameStd[EIW],MATCH(saCAGR[[#This Row],[Company]],saCAGRnameStd[SA CAGR],0)),saCAGR[[#This Row],[Company]])</calculatedColumnFormula>
    </tableColumn>
    <tableColumn id="12" name="2011 " dataDxfId="45">
      <calculatedColumnFormula>IF(B2="","-",IF(C2&gt;B2,"U",IF(C2=B2,"S","D")))</calculatedColumnFormula>
    </tableColumn>
    <tableColumn id="13" name="  2012 " dataDxfId="44">
      <calculatedColumnFormula>IF(C2="","-",IF(D2&gt;C2,"U",IF(D2=C2,"S","D")))</calculatedColumnFormula>
    </tableColumn>
    <tableColumn id="14" name="2013 " dataDxfId="43">
      <calculatedColumnFormula>IF(D2="","-",IF(E2&gt;D2,"U",IF(E2=D2,"S","D")))</calculatedColumnFormula>
    </tableColumn>
    <tableColumn id="15" name="2014 " dataDxfId="42">
      <calculatedColumnFormula>IF(E2="","-",IF(F2&gt;E2,"U",IF(F2=E2,"S","D")))</calculatedColumnFormula>
    </tableColumn>
    <tableColumn id="16" name="2015 " dataDxfId="41">
      <calculatedColumnFormula>IF(F2="","-",IF(G2&gt;F2,"U",IF(G2=F2,"S","D")))</calculatedColumnFormula>
    </tableColumn>
    <tableColumn id="17" name="2016 " dataDxfId="40">
      <calculatedColumnFormula>IF(G2="","-",IF(H2&gt;G2,"U",IF(H2=G2,"S","D")))</calculatedColumnFormula>
    </tableColumn>
    <tableColumn id="18" name="11/12 pair" dataDxfId="39">
      <calculatedColumnFormula>saCAGR[[#This Row],[2011 ]]&amp;saCAGR[[#This Row],[  2012 ]]</calculatedColumnFormula>
    </tableColumn>
    <tableColumn id="19" name="12/13 pair" dataDxfId="38">
      <calculatedColumnFormula>saCAGR[[#This Row],[  2012 ]]&amp;saCAGR[[#This Row],[2013 ]]</calculatedColumnFormula>
    </tableColumn>
    <tableColumn id="20" name="13/14 pair" dataDxfId="37">
      <calculatedColumnFormula>saCAGR[[#This Row],[2013 ]]&amp;saCAGR[[#This Row],[2014 ]]</calculatedColumnFormula>
    </tableColumn>
    <tableColumn id="21" name="14/15 pair" dataDxfId="36">
      <calculatedColumnFormula>saCAGR[[#This Row],[2014 ]]&amp;saCAGR[[#This Row],[2015 ]]</calculatedColumnFormula>
    </tableColumn>
    <tableColumn id="22" name="15/16 pair" dataDxfId="35">
      <calculatedColumnFormula>saCAGR[[#This Row],[2015 ]]&amp;saCAGR[[#This Row],[2016 ]]</calculatedColumnFormula>
    </tableColumn>
    <tableColumn id="23" name="Count of UD" dataDxfId="34">
      <calculatedColumnFormula>COUNTIF(saCAGR[[#This Row],[11/12 pair]:[15/16 pair]],"UD")</calculatedColumnFormula>
    </tableColumn>
    <tableColumn id="24" name="Count of DU" dataDxfId="33">
      <calculatedColumnFormula>COUNTIF(saCAGR[[#This Row],[11/12 pair]:[15/16 pair]],"DU")</calculatedColumnFormula>
    </tableColumn>
    <tableColumn id="25" name="Total pairs" dataDxfId="32">
      <calculatedColumnFormula>5-COUNTIF(saCAGR[[#This Row],[11/12 pair]:[15/16 pair]],"--")-COUNTIF(saCAGR[[#This Row],[11/12 pair]:[15/16 pair]],"-U")-COUNTIF(saCAGR[[#This Row],[11/12 pair]:[15/16 pair]],"-S")-COUNTIF(saCAGR[[#This Row],[11/12 pair]:[15/16 pair]],"-D")</calculatedColumnFormula>
    </tableColumn>
    <tableColumn id="26" name="% UD" dataDxfId="31">
      <calculatedColumnFormula>IFERROR(saCAGR[[#This Row],[Count of UD]]/saCAGR[[#This Row],[Total pairs]],"")</calculatedColumnFormula>
    </tableColumn>
    <tableColumn id="27" name="% DU" dataDxfId="30">
      <calculatedColumnFormula>IFERROR(saCAGR[[#This Row],[Count of DU]]/saCAGR[[#This Row],[Total pairs]],"")</calculatedColumnFormula>
    </tableColumn>
    <tableColumn id="29" name="follow Phil's trend" dataDxfId="29">
      <calculatedColumnFormula>IFERROR(saCAGR[[#This Row],[% UD]]+saCAGR[[#This Row],[% DU]],"")</calculatedColumnFormula>
    </tableColumn>
    <tableColumn id="30" name="Standard Deviation" dataDxfId="28">
      <calculatedColumnFormula>STDEV(saCAGR[[#This Row],[2010]:[2016]])</calculatedColumnFormula>
    </tableColumn>
    <tableColumn id="31" name="Variance" dataDxfId="27">
      <calculatedColumnFormula>saCAGR[[#This Row],[Standard Deviation]]^2</calculatedColumnFormula>
    </tableColumn>
    <tableColumn id="33" name="2011 Delta" dataDxfId="26">
      <calculatedColumnFormula>C2-D2</calculatedColumnFormula>
    </tableColumn>
    <tableColumn id="34" name="2012 Delta" dataDxfId="25">
      <calculatedColumnFormula>D2-E2</calculatedColumnFormula>
    </tableColumn>
    <tableColumn id="35" name="2013 Delta" dataDxfId="24">
      <calculatedColumnFormula>E2-F2</calculatedColumnFormula>
    </tableColumn>
    <tableColumn id="36" name="2014 Delta" dataDxfId="23">
      <calculatedColumnFormula>F2-G2</calculatedColumnFormula>
    </tableColumn>
    <tableColumn id="37" name="2015 Delta" dataDxfId="22">
      <calculatedColumnFormula>G2-H2</calculatedColumnFormula>
    </tableColumn>
    <tableColumn id="38" name="2016 Delta" dataDxfId="21">
      <calculatedColumnFormula>H2-I2</calculatedColumnFormula>
    </tableColumn>
    <tableColumn id="39" name="Average Delta" dataDxfId="20">
      <calculatedColumnFormula>AVERAGE(saCAGR[[#This Row],[2011 Delta]:[2016 Delta]])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H516" totalsRowShown="0" headerRowDxfId="19" dataDxfId="18">
  <autoFilter ref="A1:H516"/>
  <tableColumns count="8">
    <tableColumn id="1" name="Name" dataDxfId="17"/>
    <tableColumn id="8" name="EIW Name" dataDxfId="16">
      <calculatedColumnFormula>_xlfn.IFNA(INDEX(nameStd[EIW],MATCH(Table2[[#This Row],[Name]],nameStd[Salary],0)),Table2[[#This Row],[Name]])</calculatedColumnFormula>
    </tableColumn>
    <tableColumn id="2" name="1st Year" dataDxfId="15"/>
    <tableColumn id="3" name="Nth year" dataDxfId="14"/>
    <tableColumn id="4" name="Date Matched" dataDxfId="13"/>
    <tableColumn id="5" name="Offices Matched" dataDxfId="12"/>
    <tableColumn id="6" name="Summers Matched" dataDxfId="11"/>
    <tableColumn id="7" name="Am Law 200 PPP Rank ’16" dataDxfId="1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nameStd" displayName="nameStd" ref="A1:B73" totalsRowShown="0">
  <autoFilter ref="A1:B73"/>
  <tableColumns count="2">
    <tableColumn id="1" name="EIW"/>
    <tableColumn id="2" name="Salary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VaultStd" displayName="VaultStd" ref="D1:E88" totalsRowShown="0" headerRowDxfId="9">
  <autoFilter ref="D1:E88"/>
  <tableColumns count="2">
    <tableColumn id="1" name="EIW"/>
    <tableColumn id="2" name="Vault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saCAGRnameStd" displayName="saCAGRnameStd" ref="G1:H81" totalsRowShown="0" headerRowDxfId="8">
  <autoFilter ref="G1:H81"/>
  <tableColumns count="2">
    <tableColumn id="1" name="EIW"/>
    <tableColumn id="2" name="SA CAGR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VaultRank" displayName="VaultRank" ref="A1:C101" totalsRowShown="0" headerRowDxfId="7" dataDxfId="6">
  <autoFilter ref="A1:C101"/>
  <tableColumns count="3">
    <tableColumn id="1" name="Rank" dataDxfId="5"/>
    <tableColumn id="2" name="Name" dataDxfId="4"/>
    <tableColumn id="3" name="EIW Name" dataDxfId="3">
      <calculatedColumnFormula>IFERROR(INDEX(VaultStd[EIW],MATCH(VaultRank[[#This Row],[Name]],VaultStd[Vault],0)),VaultRank[[#This Row],[Name]])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hambers-associate.com/true-picture/3578/1" TargetMode="External"/><Relationship Id="rId18" Type="http://schemas.openxmlformats.org/officeDocument/2006/relationships/hyperlink" Target="http://www.chambers-associate.com/true-picture/3830/1" TargetMode="External"/><Relationship Id="rId26" Type="http://schemas.openxmlformats.org/officeDocument/2006/relationships/hyperlink" Target="http://www.chambers-associate.com/true-picture/2847/1" TargetMode="External"/><Relationship Id="rId39" Type="http://schemas.openxmlformats.org/officeDocument/2006/relationships/hyperlink" Target="http://www.chambers-associate.com/true-picture/65740/1" TargetMode="External"/><Relationship Id="rId21" Type="http://schemas.openxmlformats.org/officeDocument/2006/relationships/hyperlink" Target="http://www.chambers-associate.com/true-picture/8053/1" TargetMode="External"/><Relationship Id="rId34" Type="http://schemas.openxmlformats.org/officeDocument/2006/relationships/hyperlink" Target="http://www.chambers-associate.com/true-picture/3840/1" TargetMode="External"/><Relationship Id="rId42" Type="http://schemas.openxmlformats.org/officeDocument/2006/relationships/hyperlink" Target="http://www.chambers-associate.com/true-picture/7268/1" TargetMode="External"/><Relationship Id="rId47" Type="http://schemas.openxmlformats.org/officeDocument/2006/relationships/hyperlink" Target="http://www.chambers-associate.com/true-picture/3581/1" TargetMode="External"/><Relationship Id="rId50" Type="http://schemas.openxmlformats.org/officeDocument/2006/relationships/hyperlink" Target="http://www.chambers-associate.com/true-picture/3630/1" TargetMode="External"/><Relationship Id="rId55" Type="http://schemas.openxmlformats.org/officeDocument/2006/relationships/hyperlink" Target="http://www.chambers-associate.com/true-picture/255/1" TargetMode="External"/><Relationship Id="rId63" Type="http://schemas.openxmlformats.org/officeDocument/2006/relationships/hyperlink" Target="http://www.chambers-associate.com/true-picture/65528/1" TargetMode="External"/><Relationship Id="rId68" Type="http://schemas.openxmlformats.org/officeDocument/2006/relationships/hyperlink" Target="http://www.chambers-associate.com/true-picture/3642/1" TargetMode="External"/><Relationship Id="rId76" Type="http://schemas.openxmlformats.org/officeDocument/2006/relationships/hyperlink" Target="http://www.chambers-associate.com/true-picture/3652/1" TargetMode="External"/><Relationship Id="rId84" Type="http://schemas.openxmlformats.org/officeDocument/2006/relationships/hyperlink" Target="http://www.chambers-associate.com/true-picture/3662/1" TargetMode="External"/><Relationship Id="rId89" Type="http://schemas.openxmlformats.org/officeDocument/2006/relationships/hyperlink" Target="http://www.chambers-associate.com/true-picture/3667/1" TargetMode="External"/><Relationship Id="rId7" Type="http://schemas.openxmlformats.org/officeDocument/2006/relationships/hyperlink" Target="http://www.chambers-associate.com/true-picture/3573/1" TargetMode="External"/><Relationship Id="rId71" Type="http://schemas.openxmlformats.org/officeDocument/2006/relationships/hyperlink" Target="http://www.chambers-associate.com/true-picture/3678/1" TargetMode="External"/><Relationship Id="rId92" Type="http://schemas.openxmlformats.org/officeDocument/2006/relationships/hyperlink" Target="http://www.chambers-associate.com/true-picture/3674/1" TargetMode="External"/><Relationship Id="rId2" Type="http://schemas.openxmlformats.org/officeDocument/2006/relationships/hyperlink" Target="http://www.chambers-associate.com/true-picture/7/1" TargetMode="External"/><Relationship Id="rId16" Type="http://schemas.openxmlformats.org/officeDocument/2006/relationships/hyperlink" Target="http://www.chambers-associate.com/true-picture/3562/1" TargetMode="External"/><Relationship Id="rId29" Type="http://schemas.openxmlformats.org/officeDocument/2006/relationships/hyperlink" Target="http://www.chambers-associate.com/true-picture/9578/1" TargetMode="External"/><Relationship Id="rId11" Type="http://schemas.openxmlformats.org/officeDocument/2006/relationships/hyperlink" Target="http://www.chambers-associate.com/true-picture/3549/1" TargetMode="External"/><Relationship Id="rId24" Type="http://schemas.openxmlformats.org/officeDocument/2006/relationships/hyperlink" Target="http://www.chambers-associate.com/true-picture/7960/1" TargetMode="External"/><Relationship Id="rId32" Type="http://schemas.openxmlformats.org/officeDocument/2006/relationships/hyperlink" Target="http://www.chambers-associate.com/true-picture/76482/1" TargetMode="External"/><Relationship Id="rId37" Type="http://schemas.openxmlformats.org/officeDocument/2006/relationships/hyperlink" Target="http://www.chambers-associate.com/true-picture/3579/1" TargetMode="External"/><Relationship Id="rId40" Type="http://schemas.openxmlformats.org/officeDocument/2006/relationships/hyperlink" Target="http://www.chambers-associate.com/true-picture/257/1" TargetMode="External"/><Relationship Id="rId45" Type="http://schemas.openxmlformats.org/officeDocument/2006/relationships/hyperlink" Target="http://www.chambers-associate.com/true-picture/3580/1" TargetMode="External"/><Relationship Id="rId53" Type="http://schemas.openxmlformats.org/officeDocument/2006/relationships/hyperlink" Target="http://www.chambers-associate.com/true-picture/2683/1" TargetMode="External"/><Relationship Id="rId58" Type="http://schemas.openxmlformats.org/officeDocument/2006/relationships/hyperlink" Target="http://www.chambers-associate.com/true-picture/3640/1" TargetMode="External"/><Relationship Id="rId66" Type="http://schemas.openxmlformats.org/officeDocument/2006/relationships/hyperlink" Target="http://www.chambers-associate.com/true-picture/1769/1" TargetMode="External"/><Relationship Id="rId74" Type="http://schemas.openxmlformats.org/officeDocument/2006/relationships/hyperlink" Target="http://www.chambers-associate.com/true-picture/3650/1" TargetMode="External"/><Relationship Id="rId79" Type="http://schemas.openxmlformats.org/officeDocument/2006/relationships/hyperlink" Target="http://www.chambers-associate.com/true-picture/3692/1" TargetMode="External"/><Relationship Id="rId87" Type="http://schemas.openxmlformats.org/officeDocument/2006/relationships/hyperlink" Target="http://www.chambers-associate.com/true-picture/3666/1" TargetMode="External"/><Relationship Id="rId5" Type="http://schemas.openxmlformats.org/officeDocument/2006/relationships/hyperlink" Target="http://www.chambers-associate.com/true-picture/64283/1" TargetMode="External"/><Relationship Id="rId61" Type="http://schemas.openxmlformats.org/officeDocument/2006/relationships/hyperlink" Target="http://www.chambers-associate.com/true-picture/3535/1" TargetMode="External"/><Relationship Id="rId82" Type="http://schemas.openxmlformats.org/officeDocument/2006/relationships/hyperlink" Target="http://www.chambers-associate.com/true-picture/65230/1" TargetMode="External"/><Relationship Id="rId90" Type="http://schemas.openxmlformats.org/officeDocument/2006/relationships/hyperlink" Target="http://www.chambers-associate.com/true-picture/3672/1" TargetMode="External"/><Relationship Id="rId95" Type="http://schemas.openxmlformats.org/officeDocument/2006/relationships/table" Target="../tables/table3.xml"/><Relationship Id="rId19" Type="http://schemas.openxmlformats.org/officeDocument/2006/relationships/hyperlink" Target="http://www.chambers-associate.com/true-picture/2838/1" TargetMode="External"/><Relationship Id="rId14" Type="http://schemas.openxmlformats.org/officeDocument/2006/relationships/hyperlink" Target="http://www.chambers-associate.com/true-picture/3824/1" TargetMode="External"/><Relationship Id="rId22" Type="http://schemas.openxmlformats.org/officeDocument/2006/relationships/hyperlink" Target="http://www.chambers-associate.com/true-picture/3833/1" TargetMode="External"/><Relationship Id="rId27" Type="http://schemas.openxmlformats.org/officeDocument/2006/relationships/hyperlink" Target="http://www.chambers-associate.com/true-picture/3400/1" TargetMode="External"/><Relationship Id="rId30" Type="http://schemas.openxmlformats.org/officeDocument/2006/relationships/hyperlink" Target="http://www.chambers-associate.com/true-picture/1499/1" TargetMode="External"/><Relationship Id="rId35" Type="http://schemas.openxmlformats.org/officeDocument/2006/relationships/hyperlink" Target="http://www.chambers-associate.com/true-picture/3688/1" TargetMode="External"/><Relationship Id="rId43" Type="http://schemas.openxmlformats.org/officeDocument/2006/relationships/hyperlink" Target="http://www.chambers-associate.com/true-picture/3628/1" TargetMode="External"/><Relationship Id="rId48" Type="http://schemas.openxmlformats.org/officeDocument/2006/relationships/hyperlink" Target="http://www.chambers-associate.com/true-picture/63253/1" TargetMode="External"/><Relationship Id="rId56" Type="http://schemas.openxmlformats.org/officeDocument/2006/relationships/hyperlink" Target="http://www.chambers-associate.com/true-picture/3690/1" TargetMode="External"/><Relationship Id="rId64" Type="http://schemas.openxmlformats.org/officeDocument/2006/relationships/hyperlink" Target="http://www.chambers-associate.com/true-picture/3691/1" TargetMode="External"/><Relationship Id="rId69" Type="http://schemas.openxmlformats.org/officeDocument/2006/relationships/hyperlink" Target="http://www.chambers-associate.com/true-picture/3643/1" TargetMode="External"/><Relationship Id="rId77" Type="http://schemas.openxmlformats.org/officeDocument/2006/relationships/hyperlink" Target="http://www.chambers-associate.com/true-picture/3654/1" TargetMode="External"/><Relationship Id="rId8" Type="http://schemas.openxmlformats.org/officeDocument/2006/relationships/hyperlink" Target="http://www.chambers-associate.com/true-picture/3517/1" TargetMode="External"/><Relationship Id="rId51" Type="http://schemas.openxmlformats.org/officeDocument/2006/relationships/hyperlink" Target="http://www.chambers-associate.com/true-picture/3635/1" TargetMode="External"/><Relationship Id="rId72" Type="http://schemas.openxmlformats.org/officeDocument/2006/relationships/hyperlink" Target="http://www.chambers-associate.com/true-picture/3550/1" TargetMode="External"/><Relationship Id="rId80" Type="http://schemas.openxmlformats.org/officeDocument/2006/relationships/hyperlink" Target="http://www.chambers-associate.com/true-picture/3655/1" TargetMode="External"/><Relationship Id="rId85" Type="http://schemas.openxmlformats.org/officeDocument/2006/relationships/hyperlink" Target="http://www.chambers-associate.com/true-picture/3663/1" TargetMode="External"/><Relationship Id="rId93" Type="http://schemas.openxmlformats.org/officeDocument/2006/relationships/hyperlink" Target="http://www.chambers-associate.com/true-picture/3675/1" TargetMode="External"/><Relationship Id="rId3" Type="http://schemas.openxmlformats.org/officeDocument/2006/relationships/hyperlink" Target="http://www.chambers-associate.com/true-picture/2806/1" TargetMode="External"/><Relationship Id="rId12" Type="http://schemas.openxmlformats.org/officeDocument/2006/relationships/hyperlink" Target="http://www.chambers-associate.com/true-picture/3823/1" TargetMode="External"/><Relationship Id="rId17" Type="http://schemas.openxmlformats.org/officeDocument/2006/relationships/hyperlink" Target="http://www.chambers-associate.com/true-picture/2818/1" TargetMode="External"/><Relationship Id="rId25" Type="http://schemas.openxmlformats.org/officeDocument/2006/relationships/hyperlink" Target="http://www.chambers-associate.com/true-picture/2840/1" TargetMode="External"/><Relationship Id="rId33" Type="http://schemas.openxmlformats.org/officeDocument/2006/relationships/hyperlink" Target="http://www.chambers-associate.com/true-picture/147/1" TargetMode="External"/><Relationship Id="rId38" Type="http://schemas.openxmlformats.org/officeDocument/2006/relationships/hyperlink" Target="http://www.chambers-associate.com/true-picture/1456/1" TargetMode="External"/><Relationship Id="rId46" Type="http://schemas.openxmlformats.org/officeDocument/2006/relationships/hyperlink" Target="http://www.chambers-associate.com/true-picture/8429/1" TargetMode="External"/><Relationship Id="rId59" Type="http://schemas.openxmlformats.org/officeDocument/2006/relationships/hyperlink" Target="http://www.chambers-associate.com/true-picture/3516/1" TargetMode="External"/><Relationship Id="rId67" Type="http://schemas.openxmlformats.org/officeDocument/2006/relationships/hyperlink" Target="http://www.chambers-associate.com/true-picture/25003/1" TargetMode="External"/><Relationship Id="rId20" Type="http://schemas.openxmlformats.org/officeDocument/2006/relationships/hyperlink" Target="http://www.chambers-associate.com/true-picture/3832/1" TargetMode="External"/><Relationship Id="rId41" Type="http://schemas.openxmlformats.org/officeDocument/2006/relationships/hyperlink" Target="http://www.chambers-associate.com/true-picture/8471/1" TargetMode="External"/><Relationship Id="rId54" Type="http://schemas.openxmlformats.org/officeDocument/2006/relationships/hyperlink" Target="http://www.chambers-associate.com/true-picture/3689/1" TargetMode="External"/><Relationship Id="rId62" Type="http://schemas.openxmlformats.org/officeDocument/2006/relationships/hyperlink" Target="http://www.chambers-associate.com/true-picture/8939/1" TargetMode="External"/><Relationship Id="rId70" Type="http://schemas.openxmlformats.org/officeDocument/2006/relationships/hyperlink" Target="http://www.chambers-associate.com/true-picture/3644/1" TargetMode="External"/><Relationship Id="rId75" Type="http://schemas.openxmlformats.org/officeDocument/2006/relationships/hyperlink" Target="http://www.chambers-associate.com/true-picture/62790/1" TargetMode="External"/><Relationship Id="rId83" Type="http://schemas.openxmlformats.org/officeDocument/2006/relationships/hyperlink" Target="http://www.chambers-associate.com/true-picture/3680/1" TargetMode="External"/><Relationship Id="rId88" Type="http://schemas.openxmlformats.org/officeDocument/2006/relationships/hyperlink" Target="http://www.chambers-associate.com/true-picture/65866/1" TargetMode="External"/><Relationship Id="rId91" Type="http://schemas.openxmlformats.org/officeDocument/2006/relationships/hyperlink" Target="http://www.chambers-associate.com/true-picture/2865/1" TargetMode="External"/><Relationship Id="rId1" Type="http://schemas.openxmlformats.org/officeDocument/2006/relationships/hyperlink" Target="http://www.chambers-associate.com/true-picture/3522/1" TargetMode="External"/><Relationship Id="rId6" Type="http://schemas.openxmlformats.org/officeDocument/2006/relationships/hyperlink" Target="http://www.chambers-associate.com/true-picture/2692/1" TargetMode="External"/><Relationship Id="rId15" Type="http://schemas.openxmlformats.org/officeDocument/2006/relationships/hyperlink" Target="http://www.chambers-associate.com/true-picture/9129/1" TargetMode="External"/><Relationship Id="rId23" Type="http://schemas.openxmlformats.org/officeDocument/2006/relationships/hyperlink" Target="http://www.chambers-associate.com/true-picture/3835/1" TargetMode="External"/><Relationship Id="rId28" Type="http://schemas.openxmlformats.org/officeDocument/2006/relationships/hyperlink" Target="http://www.chambers-associate.com/true-picture/2442/1" TargetMode="External"/><Relationship Id="rId36" Type="http://schemas.openxmlformats.org/officeDocument/2006/relationships/hyperlink" Target="http://www.chambers-associate.com/true-picture/3620/1" TargetMode="External"/><Relationship Id="rId49" Type="http://schemas.openxmlformats.org/officeDocument/2006/relationships/hyperlink" Target="http://www.chambers-associate.com/true-picture/3629/1" TargetMode="External"/><Relationship Id="rId57" Type="http://schemas.openxmlformats.org/officeDocument/2006/relationships/hyperlink" Target="http://www.chambers-associate.com/true-picture/2805/1" TargetMode="External"/><Relationship Id="rId10" Type="http://schemas.openxmlformats.org/officeDocument/2006/relationships/hyperlink" Target="http://www.chambers-associate.com/true-picture/3518/1" TargetMode="External"/><Relationship Id="rId31" Type="http://schemas.openxmlformats.org/officeDocument/2006/relationships/hyperlink" Target="http://www.chambers-associate.com/true-picture/3838/1" TargetMode="External"/><Relationship Id="rId44" Type="http://schemas.openxmlformats.org/officeDocument/2006/relationships/hyperlink" Target="http://www.chambers-associate.com/true-picture/1761/1" TargetMode="External"/><Relationship Id="rId52" Type="http://schemas.openxmlformats.org/officeDocument/2006/relationships/hyperlink" Target="http://www.chambers-associate.com/true-picture/3636/1" TargetMode="External"/><Relationship Id="rId60" Type="http://schemas.openxmlformats.org/officeDocument/2006/relationships/hyperlink" Target="http://www.chambers-associate.com/true-picture/7854/1" TargetMode="External"/><Relationship Id="rId65" Type="http://schemas.openxmlformats.org/officeDocument/2006/relationships/hyperlink" Target="http://www.chambers-associate.com/true-picture/7290/1" TargetMode="External"/><Relationship Id="rId73" Type="http://schemas.openxmlformats.org/officeDocument/2006/relationships/hyperlink" Target="http://www.chambers-associate.com/true-picture/66079/1" TargetMode="External"/><Relationship Id="rId78" Type="http://schemas.openxmlformats.org/officeDocument/2006/relationships/hyperlink" Target="http://www.chambers-associate.com/true-picture/2839/1" TargetMode="External"/><Relationship Id="rId81" Type="http://schemas.openxmlformats.org/officeDocument/2006/relationships/hyperlink" Target="http://www.chambers-associate.com/true-picture/3656/1" TargetMode="External"/><Relationship Id="rId86" Type="http://schemas.openxmlformats.org/officeDocument/2006/relationships/hyperlink" Target="http://www.chambers-associate.com/true-picture/78998/1" TargetMode="External"/><Relationship Id="rId94" Type="http://schemas.openxmlformats.org/officeDocument/2006/relationships/hyperlink" Target="http://www.chambers-associate.com/true-picture/3677/1" TargetMode="External"/><Relationship Id="rId4" Type="http://schemas.openxmlformats.org/officeDocument/2006/relationships/hyperlink" Target="http://www.chambers-associate.com/true-picture/3811/1" TargetMode="External"/><Relationship Id="rId9" Type="http://schemas.openxmlformats.org/officeDocument/2006/relationships/hyperlink" Target="http://www.chambers-associate.com/true-picture/62744/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77"/>
  <sheetViews>
    <sheetView showGridLines="0" showRowColHeaders="0" tabSelected="1" workbookViewId="0">
      <pane ySplit="1" topLeftCell="A2" activePane="bottomLeft" state="frozen"/>
      <selection pane="bottomLeft"/>
    </sheetView>
  </sheetViews>
  <sheetFormatPr defaultColWidth="8.83203125" defaultRowHeight="12.75"/>
  <cols>
    <col min="1" max="1" width="60.5" bestFit="1" customWidth="1"/>
    <col min="2" max="2" width="16.1640625" hidden="1" customWidth="1"/>
    <col min="3" max="3" width="9.33203125" hidden="1" customWidth="1"/>
    <col min="4" max="4" width="19.1640625" bestFit="1" customWidth="1"/>
    <col min="5" max="5" width="20" style="11" bestFit="1" customWidth="1"/>
    <col min="6" max="6" width="19.5" style="11" customWidth="1"/>
    <col min="7" max="7" width="17" style="11" hidden="1" customWidth="1"/>
    <col min="8" max="8" width="17" style="12" hidden="1" customWidth="1"/>
    <col min="9" max="9" width="17" style="11" hidden="1" customWidth="1"/>
    <col min="10" max="10" width="17" style="11" customWidth="1"/>
    <col min="11" max="11" width="22" style="12" customWidth="1"/>
    <col min="12" max="12" width="19" style="12" customWidth="1"/>
    <col min="13" max="13" width="18.33203125" style="12" customWidth="1"/>
    <col min="14" max="14" width="12.83203125" style="11" customWidth="1"/>
    <col min="15" max="15" width="36.83203125" style="11" hidden="1" customWidth="1"/>
    <col min="16" max="16" width="12.83203125" style="11" hidden="1" customWidth="1"/>
    <col min="17" max="17" width="17.33203125" style="11" hidden="1" customWidth="1"/>
    <col min="18" max="18" width="12.83203125" style="11" hidden="1" customWidth="1"/>
    <col min="19" max="19" width="12.83203125" style="11" customWidth="1"/>
    <col min="20" max="20" width="12.83203125" style="11" hidden="1" customWidth="1"/>
    <col min="21" max="21" width="13.1640625" style="11" customWidth="1"/>
    <col min="22" max="22" width="31.33203125" hidden="1" customWidth="1"/>
    <col min="23" max="23" width="24.5" bestFit="1" customWidth="1"/>
    <col min="24" max="24" width="8.83203125" style="6"/>
  </cols>
  <sheetData>
    <row r="1" spans="1:24" s="9" customFormat="1" ht="72">
      <c r="A1" s="47" t="s">
        <v>733</v>
      </c>
      <c r="B1" s="47" t="s">
        <v>654</v>
      </c>
      <c r="C1" s="47" t="s">
        <v>653</v>
      </c>
      <c r="D1" s="47" t="s">
        <v>295</v>
      </c>
      <c r="E1" s="53" t="s">
        <v>613</v>
      </c>
      <c r="F1" s="54" t="s">
        <v>735</v>
      </c>
      <c r="G1" s="54" t="s">
        <v>294</v>
      </c>
      <c r="H1" s="55" t="s">
        <v>684</v>
      </c>
      <c r="I1" s="54" t="s">
        <v>686</v>
      </c>
      <c r="J1" s="56" t="s">
        <v>737</v>
      </c>
      <c r="K1" s="57" t="s">
        <v>736</v>
      </c>
      <c r="L1" s="55" t="s">
        <v>739</v>
      </c>
      <c r="M1" s="57" t="s">
        <v>740</v>
      </c>
      <c r="N1" s="54" t="s">
        <v>738</v>
      </c>
      <c r="O1" s="54" t="s">
        <v>292</v>
      </c>
      <c r="P1" s="54" t="s">
        <v>296</v>
      </c>
      <c r="Q1" s="54" t="s">
        <v>3</v>
      </c>
      <c r="R1" s="54" t="s">
        <v>297</v>
      </c>
      <c r="S1" s="54" t="s">
        <v>647</v>
      </c>
      <c r="T1" s="54" t="s">
        <v>2</v>
      </c>
      <c r="U1" s="54" t="s">
        <v>650</v>
      </c>
      <c r="V1" s="58" t="s">
        <v>734</v>
      </c>
      <c r="W1" s="59" t="s">
        <v>656</v>
      </c>
    </row>
    <row r="2" spans="1:24" ht="14.1" customHeight="1">
      <c r="A2" s="45" t="s">
        <v>298</v>
      </c>
      <c r="B2" s="45" t="s">
        <v>299</v>
      </c>
      <c r="C2" s="45" t="s">
        <v>300</v>
      </c>
      <c r="D2" s="45" t="str">
        <f>Table1[[#This Row],[City]]&amp;", "&amp;Table1[[#This Row],[State]]</f>
        <v>Los Angeles, CA</v>
      </c>
      <c r="E2" s="49">
        <v>118</v>
      </c>
      <c r="F2" s="50">
        <v>7</v>
      </c>
      <c r="G2" s="50" t="str">
        <f t="array" ref="G2">IFERROR(INDEX(Table2[1st Year],MATCH(1,(Table1[[#This Row],[Employer]]=Table2[EIW Name])*(Table1[[#This Row],[City, State]]=Table2[Offices Matched]),0)),"")</f>
        <v>1st Year: $180K</v>
      </c>
      <c r="H2" s="50">
        <f>_xlfn.IFNA(INDEX(saCAGR[CAGR],MATCH(Table1[[#This Row],[Employer]],saCAGR[EIW Name],0)),"")</f>
        <v>1.0136995648883524</v>
      </c>
      <c r="I2" s="50">
        <f>IFERROR(Table1[[#This Row],[SA CAGR]]*Table1[[#This Row],[Number of Summer 2016 2L SAs]],"")</f>
        <v>7.0958969542184676</v>
      </c>
      <c r="J2" s="50">
        <v>21</v>
      </c>
      <c r="K2" s="51">
        <f>IFERROR(Table1[[#This Row],[Number of Summer 2016 NYU 2L SAs]]/Table1[[#This Row],[Interview Slots]],0)</f>
        <v>0.17796610169491525</v>
      </c>
      <c r="L2" s="51">
        <f>Table1[[#This Row],[Number of Summer 2016 2L SAs]]/Table1[[#This Row],[Interview Slots]]</f>
        <v>5.9322033898305086E-2</v>
      </c>
      <c r="M2" s="51">
        <f>IFERROR(Table1[[#This Row],[Number of Summer 2016 NYU 2L SAs]]/Table1[[#This Row],[Number of Summer 2016 2L SAs]],0)</f>
        <v>3</v>
      </c>
      <c r="N2" s="50" t="str">
        <f>IFERROR(RIGHT(Table1[[#This Row],[1st year]],LEN(Table1[[#This Row],[1st year]])-FIND(":",Table1[[#This Row],[1st year]])-1),"")</f>
        <v>$180K</v>
      </c>
      <c r="O2" s="50" t="str">
        <f t="array" ref="O2">IFERROR(INDEX(Table2[Nth year],MATCH(1,(Table1[[#This Row],[Employer]]=Table2[EIW Name])*(Table1[[#This Row],[City, State]]=Table2[Offices Matched]),0)),"")</f>
        <v>8th Year: $315K</v>
      </c>
      <c r="P2" s="50" t="str">
        <f>IFERROR(RIGHT(Table1[[#This Row],[Nth year]],LEN(Table1[[#This Row],[Nth year]])-FIND(":",Table1[[#This Row],[Nth year]])-1),"")</f>
        <v>$315K</v>
      </c>
      <c r="Q2" s="50" t="str">
        <f t="array" ref="Q2">IFERROR(INDEX(Table2[Am Law 200 PPP Rank ’16],MATCH(1,(Table1[[#This Row],[Employer]]=Table2[EIW Name])*(Table1[[#This Row],[City, State]]=Table2[Offices Matched]),0)),"")</f>
        <v>33: $1.92M</v>
      </c>
      <c r="R2" s="50" t="str">
        <f>IFERROR(LEFT(Table1[[#This Row],[Am Law 200 PPP Rank ’16]],FIND(":",Table1[[#This Row],[Am Law 200 PPP Rank ’16]])-1),"")</f>
        <v>33</v>
      </c>
      <c r="S2" s="50">
        <f>IFERROR(INDEX(VaultRank[Rank],MATCH(Table1[[#This Row],[Employer]],VaultRank[EIW Name],0)),"")</f>
        <v>29</v>
      </c>
      <c r="T2" s="50" t="str">
        <f t="array" ref="T2">IFERROR(INDEX(Table2[Summers Matched],MATCH(1,(Table1[[#This Row],[Employer]]=Table2[EIW Name])*(Table1[[#This Row],[City, State]]=Table2[Offices Matched]),0)),"")</f>
        <v>Yes</v>
      </c>
      <c r="U2" s="52" t="str">
        <f t="shared" ref="U2:U65" si="0">IF(MOD(ROW(),23)=0,3.6,IF(MOD(ROW(),16)=0,3.4,""))</f>
        <v/>
      </c>
      <c r="V2" s="60"/>
      <c r="W2" s="114">
        <v>42592</v>
      </c>
      <c r="X2"/>
    </row>
    <row r="3" spans="1:24" ht="14.1" customHeight="1">
      <c r="A3" s="45" t="s">
        <v>298</v>
      </c>
      <c r="B3" s="45" t="s">
        <v>301</v>
      </c>
      <c r="C3" s="45" t="s">
        <v>302</v>
      </c>
      <c r="D3" s="45" t="str">
        <f>Table1[[#This Row],[City]]&amp;", "&amp;Table1[[#This Row],[State]]</f>
        <v>Washington, DC</v>
      </c>
      <c r="E3" s="49">
        <v>44</v>
      </c>
      <c r="F3" s="50">
        <v>16</v>
      </c>
      <c r="G3" s="50" t="str">
        <f t="array" ref="G3">IFERROR(INDEX(Table2[1st Year],MATCH(1,(Table1[[#This Row],[Employer]]=Table2[EIW Name])*(Table1[[#This Row],[City, State]]=Table2[Offices Matched]),0)),"")</f>
        <v/>
      </c>
      <c r="H3" s="50">
        <f>_xlfn.IFNA(INDEX(saCAGR[CAGR],MATCH(Table1[[#This Row],[Employer]],saCAGR[EIW Name],0)),"")</f>
        <v>1.0136995648883524</v>
      </c>
      <c r="I3" s="50">
        <f>IFERROR(Table1[[#This Row],[SA CAGR]]*Table1[[#This Row],[Number of Summer 2016 2L SAs]],"")</f>
        <v>16.219193038213639</v>
      </c>
      <c r="J3" s="50">
        <v>24</v>
      </c>
      <c r="K3" s="51">
        <f>IFERROR(Table1[[#This Row],[Number of Summer 2016 NYU 2L SAs]]/Table1[[#This Row],[Interview Slots]],0)</f>
        <v>0.54545454545454541</v>
      </c>
      <c r="L3" s="51">
        <f>Table1[[#This Row],[Number of Summer 2016 2L SAs]]/Table1[[#This Row],[Interview Slots]]</f>
        <v>0.36363636363636365</v>
      </c>
      <c r="M3" s="51">
        <f>IFERROR(Table1[[#This Row],[Number of Summer 2016 NYU 2L SAs]]/Table1[[#This Row],[Number of Summer 2016 2L SAs]],0)</f>
        <v>1.5</v>
      </c>
      <c r="N3" s="50" t="str">
        <f>IFERROR(RIGHT(Table1[[#This Row],[1st year]],LEN(Table1[[#This Row],[1st year]])-FIND(":",Table1[[#This Row],[1st year]])-1),"")</f>
        <v/>
      </c>
      <c r="O3" s="50" t="str">
        <f t="array" ref="O3">IFERROR(INDEX(Table2[Nth year],MATCH(1,(Table1[[#This Row],[Employer]]=Table2[EIW Name])*(Table1[[#This Row],[City, State]]=Table2[Offices Matched]),0)),"")</f>
        <v/>
      </c>
      <c r="P3" s="50" t="str">
        <f>IFERROR(RIGHT(Table1[[#This Row],[Nth year]],LEN(Table1[[#This Row],[Nth year]])-FIND(":",Table1[[#This Row],[Nth year]])-1),"")</f>
        <v/>
      </c>
      <c r="Q3" s="50" t="str">
        <f t="array" ref="Q3">IFERROR(INDEX(Table2[Am Law 200 PPP Rank ’16],MATCH(1,(Table1[[#This Row],[Employer]]=Table2[EIW Name])*(Table1[[#This Row],[City, State]]=Table2[Offices Matched]),0)),"")</f>
        <v/>
      </c>
      <c r="R3" s="50" t="str">
        <f>IFERROR(LEFT(Table1[[#This Row],[Am Law 200 PPP Rank ’16]],FIND(":",Table1[[#This Row],[Am Law 200 PPP Rank ’16]])-1),"")</f>
        <v/>
      </c>
      <c r="S3" s="50">
        <f>IFERROR(INDEX(VaultRank[Rank],MATCH(Table1[[#This Row],[Employer]],VaultRank[EIW Name],0)),"")</f>
        <v>29</v>
      </c>
      <c r="T3" s="50" t="str">
        <f t="array" ref="T3">IFERROR(INDEX(Table2[Summers Matched],MATCH(1,(Table1[[#This Row],[Employer]]=Table2[EIW Name])*(Table1[[#This Row],[City, State]]=Table2[Offices Matched]),0)),"")</f>
        <v/>
      </c>
      <c r="U3" s="52" t="str">
        <f t="shared" si="0"/>
        <v/>
      </c>
      <c r="V3" s="60"/>
      <c r="W3" s="114">
        <v>42595</v>
      </c>
      <c r="X3"/>
    </row>
    <row r="4" spans="1:24" ht="14.1" customHeight="1">
      <c r="A4" s="45" t="s">
        <v>89</v>
      </c>
      <c r="B4" s="45" t="s">
        <v>303</v>
      </c>
      <c r="C4" s="45" t="s">
        <v>304</v>
      </c>
      <c r="D4" s="45" t="str">
        <f>Table1[[#This Row],[City]]&amp;", "&amp;Table1[[#This Row],[State]]</f>
        <v>Chicago, IL</v>
      </c>
      <c r="E4" s="49">
        <v>18</v>
      </c>
      <c r="F4" s="50">
        <v>16</v>
      </c>
      <c r="G4" s="50" t="str">
        <f t="array" ref="G4">IFERROR(INDEX(Table2[1st Year],MATCH(1,(Table1[[#This Row],[Employer]]=Table2[EIW Name])*(Table1[[#This Row],[City, State]]=Table2[Offices Matched]),0)),"")</f>
        <v>1st Year: $180K</v>
      </c>
      <c r="H4" s="51">
        <f>_xlfn.IFNA(INDEX(saCAGR[CAGR],MATCH(Table1[[#This Row],[Employer]],saCAGR[EIW Name],0)),"")</f>
        <v>1.0180368317639257</v>
      </c>
      <c r="I4" s="50">
        <f>IFERROR(Table1[[#This Row],[SA CAGR]]*Table1[[#This Row],[Number of Summer 2016 2L SAs]],"")</f>
        <v>16.288589308222811</v>
      </c>
      <c r="J4" s="50">
        <v>3</v>
      </c>
      <c r="K4" s="51">
        <f>IFERROR(Table1[[#This Row],[Number of Summer 2016 NYU 2L SAs]]/Table1[[#This Row],[Interview Slots]],0)</f>
        <v>0.16666666666666666</v>
      </c>
      <c r="L4" s="51">
        <f>Table1[[#This Row],[Number of Summer 2016 2L SAs]]/Table1[[#This Row],[Interview Slots]]</f>
        <v>0.88888888888888884</v>
      </c>
      <c r="M4" s="51">
        <f>IFERROR(Table1[[#This Row],[Number of Summer 2016 NYU 2L SAs]]/Table1[[#This Row],[Number of Summer 2016 2L SAs]],0)</f>
        <v>0.1875</v>
      </c>
      <c r="N4" s="50" t="str">
        <f>IFERROR(RIGHT(Table1[[#This Row],[1st year]],LEN(Table1[[#This Row],[1st year]])-FIND(":",Table1[[#This Row],[1st year]])-1),"")</f>
        <v>$180K</v>
      </c>
      <c r="O4" s="50" t="str">
        <f t="array" ref="O4">IFERROR(INDEX(Table2[Nth year],MATCH(1,(Table1[[#This Row],[Employer]]=Table2[EIW Name])*(Table1[[#This Row],[City, State]]=Table2[Offices Matched]),0)),"")</f>
        <v>8th Year: $315K</v>
      </c>
      <c r="P4" s="50" t="str">
        <f>IFERROR(RIGHT(Table1[[#This Row],[Nth year]],LEN(Table1[[#This Row],[Nth year]])-FIND(":",Table1[[#This Row],[Nth year]])-1),"")</f>
        <v>$315K</v>
      </c>
      <c r="Q4" s="50" t="str">
        <f t="array" ref="Q4">IFERROR(INDEX(Table2[Am Law 200 PPP Rank ’16],MATCH(1,(Table1[[#This Row],[Employer]]=Table2[EIW Name])*(Table1[[#This Row],[City, State]]=Table2[Offices Matched]),0)),"")</f>
        <v>15: $2.91M</v>
      </c>
      <c r="R4" s="50" t="str">
        <f>IFERROR(LEFT(Table1[[#This Row],[Am Law 200 PPP Rank ’16]],FIND(":",Table1[[#This Row],[Am Law 200 PPP Rank ’16]])-1),"")</f>
        <v>15</v>
      </c>
      <c r="S4" s="50">
        <f>IFERROR(INDEX(VaultRank[Rank],MATCH(Table1[[#This Row],[Employer]],VaultRank[EIW Name],0)),"")</f>
        <v>7</v>
      </c>
      <c r="T4" s="50" t="str">
        <f t="array" ref="T4">IFERROR(INDEX(Table2[Summers Matched],MATCH(1,(Table1[[#This Row],[Employer]]=Table2[EIW Name])*(Table1[[#This Row],[City, State]]=Table2[Offices Matched]),0)),"")</f>
        <v>Yes</v>
      </c>
      <c r="U4" s="52" t="str">
        <f t="shared" si="0"/>
        <v/>
      </c>
      <c r="V4" s="60"/>
      <c r="W4" s="114">
        <v>42595</v>
      </c>
      <c r="X4"/>
    </row>
    <row r="5" spans="1:24" ht="14.1" customHeight="1">
      <c r="A5" s="61" t="s">
        <v>250</v>
      </c>
      <c r="B5" s="61" t="s">
        <v>306</v>
      </c>
      <c r="C5" s="45" t="s">
        <v>609</v>
      </c>
      <c r="D5" s="42" t="str">
        <f>Table1[[#This Row],[City]]&amp;", "&amp;Table1[[#This Row],[State]]</f>
        <v>London, UK</v>
      </c>
      <c r="E5" s="60">
        <v>112</v>
      </c>
      <c r="F5" s="50">
        <v>4</v>
      </c>
      <c r="G5" s="50" t="str">
        <f t="array" ref="G5">IFERROR(INDEX(Table2[1st Year],MATCH(1,(Table1[[#This Row],[Employer]]=Table2[EIW Name])*(Table1[[#This Row],[City, State]]=Table2[Offices Matched]),0)),"")</f>
        <v/>
      </c>
      <c r="H5" s="50">
        <f>_xlfn.IFNA(INDEX(saCAGR[CAGR],MATCH(Table1[[#This Row],[Employer]],saCAGR[EIW Name],0)),"")</f>
        <v>0.99654178651092196</v>
      </c>
      <c r="I5" s="50">
        <f>IFERROR(Table1[[#This Row],[SA CAGR]]*Table1[[#This Row],[Number of Summer 2016 2L SAs]],"")</f>
        <v>3.9861671460436878</v>
      </c>
      <c r="J5" s="50">
        <v>15</v>
      </c>
      <c r="K5" s="51">
        <f>IFERROR(Table1[[#This Row],[Number of Summer 2016 NYU 2L SAs]]/Table1[[#This Row],[Interview Slots]],0)</f>
        <v>0.13392857142857142</v>
      </c>
      <c r="L5" s="51">
        <f>Table1[[#This Row],[Number of Summer 2016 2L SAs]]/Table1[[#This Row],[Interview Slots]]</f>
        <v>3.5714285714285712E-2</v>
      </c>
      <c r="M5" s="51">
        <f>IFERROR(Table1[[#This Row],[Number of Summer 2016 NYU 2L SAs]]/Table1[[#This Row],[Number of Summer 2016 2L SAs]],0)</f>
        <v>3.75</v>
      </c>
      <c r="N5" s="50" t="str">
        <f>IFERROR(RIGHT(Table1[[#This Row],[1st year]],LEN(Table1[[#This Row],[1st year]])-FIND(":",Table1[[#This Row],[1st year]])-1),"")</f>
        <v/>
      </c>
      <c r="O5" s="50" t="str">
        <f t="array" ref="O5">IFERROR(INDEX(Table2[Nth year],MATCH(1,(Table1[[#This Row],[Employer]]=Table2[EIW Name])*(Table1[[#This Row],[City, State]]=Table2[Offices Matched]),0)),"")</f>
        <v/>
      </c>
      <c r="P5" s="50" t="str">
        <f>IFERROR(RIGHT(Table1[[#This Row],[Nth year]],LEN(Table1[[#This Row],[Nth year]])-FIND(":",Table1[[#This Row],[Nth year]])-1),"")</f>
        <v/>
      </c>
      <c r="Q5" s="50" t="str">
        <f t="array" ref="Q5">IFERROR(INDEX(Table2[Am Law 200 PPP Rank ’16],MATCH(1,(Table1[[#This Row],[Employer]]=Table2[EIW Name])*(Table1[[#This Row],[City, State]]=Table2[Offices Matched]),0)),"")</f>
        <v/>
      </c>
      <c r="R5" s="50" t="str">
        <f>IFERROR(LEFT(Table1[[#This Row],[Am Law 200 PPP Rank ’16]],FIND(":",Table1[[#This Row],[Am Law 200 PPP Rank ’16]])-1),"")</f>
        <v/>
      </c>
      <c r="S5" s="50">
        <f>IFERROR(INDEX(VaultRank[Rank],MATCH(Table1[[#This Row],[Employer]],VaultRank[EIW Name],0)),"")</f>
        <v>40</v>
      </c>
      <c r="T5" s="50" t="str">
        <f t="array" ref="T5">IFERROR(INDEX(Table2[Summers Matched],MATCH(1,(Table1[[#This Row],[Employer]]=Table2[EIW Name])*(Table1[[#This Row],[City, State]]=Table2[Offices Matched]),0)),"")</f>
        <v/>
      </c>
      <c r="U5" s="52" t="str">
        <f t="shared" si="0"/>
        <v/>
      </c>
      <c r="V5" s="60"/>
      <c r="W5" s="114">
        <v>42595</v>
      </c>
      <c r="X5"/>
    </row>
    <row r="6" spans="1:24" ht="14.1" customHeight="1">
      <c r="A6" s="45" t="s">
        <v>250</v>
      </c>
      <c r="B6" s="45" t="s">
        <v>301</v>
      </c>
      <c r="C6" s="45" t="s">
        <v>302</v>
      </c>
      <c r="D6" s="45" t="str">
        <f>Table1[[#This Row],[City]]&amp;", "&amp;Table1[[#This Row],[State]]</f>
        <v>Washington, DC</v>
      </c>
      <c r="E6" s="49">
        <v>123</v>
      </c>
      <c r="F6" s="50">
        <v>4</v>
      </c>
      <c r="G6" s="50" t="str">
        <f t="array" ref="G6">IFERROR(INDEX(Table2[1st Year],MATCH(1,(Table1[[#This Row],[Employer]]=Table2[EIW Name])*(Table1[[#This Row],[City, State]]=Table2[Offices Matched]),0)),"")</f>
        <v/>
      </c>
      <c r="H6" s="50">
        <f>_xlfn.IFNA(INDEX(saCAGR[CAGR],MATCH(Table1[[#This Row],[Employer]],saCAGR[EIW Name],0)),"")</f>
        <v>0.99654178651092196</v>
      </c>
      <c r="I6" s="50">
        <f>IFERROR(Table1[[#This Row],[SA CAGR]]*Table1[[#This Row],[Number of Summer 2016 2L SAs]],"")</f>
        <v>3.9861671460436878</v>
      </c>
      <c r="J6" s="50">
        <v>8</v>
      </c>
      <c r="K6" s="51">
        <f>IFERROR(Table1[[#This Row],[Number of Summer 2016 NYU 2L SAs]]/Table1[[#This Row],[Interview Slots]],0)</f>
        <v>6.5040650406504072E-2</v>
      </c>
      <c r="L6" s="51">
        <f>Table1[[#This Row],[Number of Summer 2016 2L SAs]]/Table1[[#This Row],[Interview Slots]]</f>
        <v>3.2520325203252036E-2</v>
      </c>
      <c r="M6" s="51">
        <f>IFERROR(Table1[[#This Row],[Number of Summer 2016 NYU 2L SAs]]/Table1[[#This Row],[Number of Summer 2016 2L SAs]],0)</f>
        <v>2</v>
      </c>
      <c r="N6" s="50" t="str">
        <f>IFERROR(RIGHT(Table1[[#This Row],[1st year]],LEN(Table1[[#This Row],[1st year]])-FIND(":",Table1[[#This Row],[1st year]])-1),"")</f>
        <v/>
      </c>
      <c r="O6" s="50" t="str">
        <f t="array" ref="O6">IFERROR(INDEX(Table2[Nth year],MATCH(1,(Table1[[#This Row],[Employer]]=Table2[EIW Name])*(Table1[[#This Row],[City, State]]=Table2[Offices Matched]),0)),"")</f>
        <v/>
      </c>
      <c r="P6" s="50" t="str">
        <f>IFERROR(RIGHT(Table1[[#This Row],[Nth year]],LEN(Table1[[#This Row],[Nth year]])-FIND(":",Table1[[#This Row],[Nth year]])-1),"")</f>
        <v/>
      </c>
      <c r="Q6" s="50" t="str">
        <f t="array" ref="Q6">IFERROR(INDEX(Table2[Am Law 200 PPP Rank ’16],MATCH(1,(Table1[[#This Row],[Employer]]=Table2[EIW Name])*(Table1[[#This Row],[City, State]]=Table2[Offices Matched]),0)),"")</f>
        <v/>
      </c>
      <c r="R6" s="50" t="str">
        <f>IFERROR(LEFT(Table1[[#This Row],[Am Law 200 PPP Rank ’16]],FIND(":",Table1[[#This Row],[Am Law 200 PPP Rank ’16]])-1),"")</f>
        <v/>
      </c>
      <c r="S6" s="50">
        <f>IFERROR(INDEX(VaultRank[Rank],MATCH(Table1[[#This Row],[Employer]],VaultRank[EIW Name],0)),"")</f>
        <v>40</v>
      </c>
      <c r="T6" s="50" t="str">
        <f t="array" ref="T6">IFERROR(INDEX(Table2[Summers Matched],MATCH(1,(Table1[[#This Row],[Employer]]=Table2[EIW Name])*(Table1[[#This Row],[City, State]]=Table2[Offices Matched]),0)),"")</f>
        <v/>
      </c>
      <c r="U6" s="52" t="str">
        <f t="shared" si="0"/>
        <v/>
      </c>
      <c r="V6" s="60"/>
      <c r="W6" s="114">
        <v>42593</v>
      </c>
      <c r="X6"/>
    </row>
    <row r="7" spans="1:24" ht="14.1" customHeight="1">
      <c r="A7" s="45" t="s">
        <v>89</v>
      </c>
      <c r="B7" s="45" t="s">
        <v>364</v>
      </c>
      <c r="C7" s="45" t="s">
        <v>362</v>
      </c>
      <c r="D7" s="45" t="str">
        <f>Table1[[#This Row],[City]]&amp;", "&amp;Table1[[#This Row],[State]]</f>
        <v>New York, NY</v>
      </c>
      <c r="E7" s="49">
        <v>192</v>
      </c>
      <c r="F7" s="50">
        <v>58</v>
      </c>
      <c r="G7" s="50" t="str">
        <f t="array" ref="G7">IFERROR(INDEX(Table2[1st Year],MATCH(1,(Table1[[#This Row],[Employer]]=Table2[EIW Name])*(Table1[[#This Row],[City, State]]=Table2[Offices Matched]),0)),"")</f>
        <v>1st Year: $180K</v>
      </c>
      <c r="H7" s="51">
        <f>_xlfn.IFNA(INDEX(saCAGR[CAGR],MATCH(Table1[[#This Row],[Employer]],saCAGR[EIW Name],0)),"")</f>
        <v>1.0180368317639257</v>
      </c>
      <c r="I7" s="50">
        <f>IFERROR(Table1[[#This Row],[SA CAGR]]*Table1[[#This Row],[Number of Summer 2016 2L SAs]],"")</f>
        <v>59.046136242307689</v>
      </c>
      <c r="J7" s="50">
        <v>7</v>
      </c>
      <c r="K7" s="51">
        <f>IFERROR(Table1[[#This Row],[Number of Summer 2016 NYU 2L SAs]]/Table1[[#This Row],[Interview Slots]],0)</f>
        <v>3.6458333333333336E-2</v>
      </c>
      <c r="L7" s="51">
        <f>Table1[[#This Row],[Number of Summer 2016 2L SAs]]/Table1[[#This Row],[Interview Slots]]</f>
        <v>0.30208333333333331</v>
      </c>
      <c r="M7" s="51">
        <f>IFERROR(Table1[[#This Row],[Number of Summer 2016 NYU 2L SAs]]/Table1[[#This Row],[Number of Summer 2016 2L SAs]],0)</f>
        <v>0.1206896551724138</v>
      </c>
      <c r="N7" s="50" t="str">
        <f>IFERROR(RIGHT(Table1[[#This Row],[1st year]],LEN(Table1[[#This Row],[1st year]])-FIND(":",Table1[[#This Row],[1st year]])-1),"")</f>
        <v>$180K</v>
      </c>
      <c r="O7" s="50" t="str">
        <f t="array" ref="O7">IFERROR(INDEX(Table2[Nth year],MATCH(1,(Table1[[#This Row],[Employer]]=Table2[EIW Name])*(Table1[[#This Row],[City, State]]=Table2[Offices Matched]),0)),"")</f>
        <v>8th Year: $315K</v>
      </c>
      <c r="P7" s="50" t="str">
        <f>IFERROR(RIGHT(Table1[[#This Row],[Nth year]],LEN(Table1[[#This Row],[Nth year]])-FIND(":",Table1[[#This Row],[Nth year]])-1),"")</f>
        <v>$315K</v>
      </c>
      <c r="Q7" s="50" t="str">
        <f t="array" ref="Q7">IFERROR(INDEX(Table2[Am Law 200 PPP Rank ’16],MATCH(1,(Table1[[#This Row],[Employer]]=Table2[EIW Name])*(Table1[[#This Row],[City, State]]=Table2[Offices Matched]),0)),"")</f>
        <v>15: $2.91M</v>
      </c>
      <c r="R7" s="50" t="str">
        <f>IFERROR(LEFT(Table1[[#This Row],[Am Law 200 PPP Rank ’16]],FIND(":",Table1[[#This Row],[Am Law 200 PPP Rank ’16]])-1),"")</f>
        <v>15</v>
      </c>
      <c r="S7" s="50">
        <f>IFERROR(INDEX(VaultRank[Rank],MATCH(Table1[[#This Row],[Employer]],VaultRank[EIW Name],0)),"")</f>
        <v>7</v>
      </c>
      <c r="T7" s="50" t="str">
        <f t="array" ref="T7">IFERROR(INDEX(Table2[Summers Matched],MATCH(1,(Table1[[#This Row],[Employer]]=Table2[EIW Name])*(Table1[[#This Row],[City, State]]=Table2[Offices Matched]),0)),"")</f>
        <v>Yes</v>
      </c>
      <c r="U7" s="52" t="str">
        <f t="shared" si="0"/>
        <v/>
      </c>
      <c r="V7" s="60"/>
      <c r="W7" s="114">
        <v>42593</v>
      </c>
      <c r="X7"/>
    </row>
    <row r="8" spans="1:24" ht="14.1" customHeight="1">
      <c r="A8" s="45" t="s">
        <v>265</v>
      </c>
      <c r="B8" s="45" t="s">
        <v>299</v>
      </c>
      <c r="C8" s="45" t="s">
        <v>300</v>
      </c>
      <c r="D8" s="45" t="str">
        <f>Table1[[#This Row],[City]]&amp;", "&amp;Table1[[#This Row],[State]]</f>
        <v>Los Angeles, CA</v>
      </c>
      <c r="E8" s="49">
        <v>193</v>
      </c>
      <c r="F8" s="50">
        <v>3</v>
      </c>
      <c r="G8" s="50" t="str">
        <f t="array" ref="G8">IFERROR(INDEX(Table2[1st Year],MATCH(1,(Table1[[#This Row],[Employer]]=Table2[EIW Name])*(Table1[[#This Row],[City, State]]=Table2[Offices Matched]),0)),"")</f>
        <v>1st Year: $155K</v>
      </c>
      <c r="H8" s="50">
        <f>_xlfn.IFNA(INDEX(saCAGR[CAGR],MATCH(Table1[[#This Row],[Employer]],saCAGR[EIW Name],0)),"")</f>
        <v>1.016056879994979</v>
      </c>
      <c r="I8" s="50">
        <f>IFERROR(Table1[[#This Row],[SA CAGR]]*Table1[[#This Row],[Number of Summer 2016 2L SAs]],"")</f>
        <v>3.0481706399849369</v>
      </c>
      <c r="J8" s="50">
        <v>8</v>
      </c>
      <c r="K8" s="51">
        <f>IFERROR(Table1[[#This Row],[Number of Summer 2016 NYU 2L SAs]]/Table1[[#This Row],[Interview Slots]],0)</f>
        <v>4.145077720207254E-2</v>
      </c>
      <c r="L8" s="51">
        <f>Table1[[#This Row],[Number of Summer 2016 2L SAs]]/Table1[[#This Row],[Interview Slots]]</f>
        <v>1.5544041450777202E-2</v>
      </c>
      <c r="M8" s="51">
        <f>IFERROR(Table1[[#This Row],[Number of Summer 2016 NYU 2L SAs]]/Table1[[#This Row],[Number of Summer 2016 2L SAs]],0)</f>
        <v>2.6666666666666665</v>
      </c>
      <c r="N8" s="50" t="str">
        <f>IFERROR(RIGHT(Table1[[#This Row],[1st year]],LEN(Table1[[#This Row],[1st year]])-FIND(":",Table1[[#This Row],[1st year]])-1),"")</f>
        <v>$155K</v>
      </c>
      <c r="O8" s="50" t="str">
        <f t="array" ref="O8">IFERROR(INDEX(Table2[Nth year],MATCH(1,(Table1[[#This Row],[Employer]]=Table2[EIW Name])*(Table1[[#This Row],[City, State]]=Table2[Offices Matched]),0)),"")</f>
        <v>Others: TBD</v>
      </c>
      <c r="P8" s="50" t="str">
        <f>IFERROR(RIGHT(Table1[[#This Row],[Nth year]],LEN(Table1[[#This Row],[Nth year]])-FIND(":",Table1[[#This Row],[Nth year]])-1),"")</f>
        <v>TBD</v>
      </c>
      <c r="Q8" s="50" t="str">
        <f t="array" ref="Q8">IFERROR(INDEX(Table2[Am Law 200 PPP Rank ’16],MATCH(1,(Table1[[#This Row],[Employer]]=Table2[EIW Name])*(Table1[[#This Row],[City, State]]=Table2[Offices Matched]),0)),"")</f>
        <v>48: $1.75M</v>
      </c>
      <c r="R8" s="50" t="str">
        <f>IFERROR(LEFT(Table1[[#This Row],[Am Law 200 PPP Rank ’16]],FIND(":",Table1[[#This Row],[Am Law 200 PPP Rank ’16]])-1),"")</f>
        <v>48</v>
      </c>
      <c r="S8" s="50">
        <f>IFERROR(INDEX(VaultRank[Rank],MATCH(Table1[[#This Row],[Employer]],VaultRank[EIW Name],0)),"")</f>
        <v>55</v>
      </c>
      <c r="T8" s="50" t="str">
        <f t="array" ref="T8">IFERROR(INDEX(Table2[Summers Matched],MATCH(1,(Table1[[#This Row],[Employer]]=Table2[EIW Name])*(Table1[[#This Row],[City, State]]=Table2[Offices Matched]),0)),"")</f>
        <v>Yes</v>
      </c>
      <c r="U8" s="52" t="str">
        <f t="shared" si="0"/>
        <v/>
      </c>
      <c r="V8" s="60"/>
      <c r="W8" s="114">
        <v>42593</v>
      </c>
      <c r="X8"/>
    </row>
    <row r="9" spans="1:24" ht="14.1" customHeight="1">
      <c r="A9" s="45" t="s">
        <v>265</v>
      </c>
      <c r="B9" s="45" t="s">
        <v>307</v>
      </c>
      <c r="C9" s="45" t="s">
        <v>300</v>
      </c>
      <c r="D9" s="45" t="str">
        <f>Table1[[#This Row],[City]]&amp;", "&amp;Table1[[#This Row],[State]]</f>
        <v>Silicon Valley, CA</v>
      </c>
      <c r="E9" s="49">
        <v>111</v>
      </c>
      <c r="F9" s="50">
        <v>4</v>
      </c>
      <c r="G9" s="50" t="str">
        <f t="array" ref="G9">IFERROR(INDEX(Table2[1st Year],MATCH(1,(Table1[[#This Row],[Employer]]=Table2[EIW Name])*(Table1[[#This Row],[City, State]]=Table2[Offices Matched]),0)),"")</f>
        <v/>
      </c>
      <c r="H9" s="50">
        <f>_xlfn.IFNA(INDEX(saCAGR[CAGR],MATCH(Table1[[#This Row],[Employer]],saCAGR[EIW Name],0)),"")</f>
        <v>1.016056879994979</v>
      </c>
      <c r="I9" s="50">
        <f>IFERROR(Table1[[#This Row],[SA CAGR]]*Table1[[#This Row],[Number of Summer 2016 2L SAs]],"")</f>
        <v>4.0642275199799158</v>
      </c>
      <c r="J9" s="50">
        <v>1</v>
      </c>
      <c r="K9" s="51">
        <f>IFERROR(Table1[[#This Row],[Number of Summer 2016 NYU 2L SAs]]/Table1[[#This Row],[Interview Slots]],0)</f>
        <v>9.0090090090090089E-3</v>
      </c>
      <c r="L9" s="51">
        <f>Table1[[#This Row],[Number of Summer 2016 2L SAs]]/Table1[[#This Row],[Interview Slots]]</f>
        <v>3.6036036036036036E-2</v>
      </c>
      <c r="M9" s="51">
        <f>IFERROR(Table1[[#This Row],[Number of Summer 2016 NYU 2L SAs]]/Table1[[#This Row],[Number of Summer 2016 2L SAs]],0)</f>
        <v>0.25</v>
      </c>
      <c r="N9" s="50" t="str">
        <f>IFERROR(RIGHT(Table1[[#This Row],[1st year]],LEN(Table1[[#This Row],[1st year]])-FIND(":",Table1[[#This Row],[1st year]])-1),"")</f>
        <v/>
      </c>
      <c r="O9" s="50" t="str">
        <f t="array" ref="O9">IFERROR(INDEX(Table2[Nth year],MATCH(1,(Table1[[#This Row],[Employer]]=Table2[EIW Name])*(Table1[[#This Row],[City, State]]=Table2[Offices Matched]),0)),"")</f>
        <v/>
      </c>
      <c r="P9" s="50" t="str">
        <f>IFERROR(RIGHT(Table1[[#This Row],[Nth year]],LEN(Table1[[#This Row],[Nth year]])-FIND(":",Table1[[#This Row],[Nth year]])-1),"")</f>
        <v/>
      </c>
      <c r="Q9" s="50" t="str">
        <f t="array" ref="Q9">IFERROR(INDEX(Table2[Am Law 200 PPP Rank ’16],MATCH(1,(Table1[[#This Row],[Employer]]=Table2[EIW Name])*(Table1[[#This Row],[City, State]]=Table2[Offices Matched]),0)),"")</f>
        <v/>
      </c>
      <c r="R9" s="50" t="str">
        <f>IFERROR(LEFT(Table1[[#This Row],[Am Law 200 PPP Rank ’16]],FIND(":",Table1[[#This Row],[Am Law 200 PPP Rank ’16]])-1),"")</f>
        <v/>
      </c>
      <c r="S9" s="50">
        <f>IFERROR(INDEX(VaultRank[Rank],MATCH(Table1[[#This Row],[Employer]],VaultRank[EIW Name],0)),"")</f>
        <v>55</v>
      </c>
      <c r="T9" s="50" t="str">
        <f t="array" ref="T9">IFERROR(INDEX(Table2[Summers Matched],MATCH(1,(Table1[[#This Row],[Employer]]=Table2[EIW Name])*(Table1[[#This Row],[City, State]]=Table2[Offices Matched]),0)),"")</f>
        <v/>
      </c>
      <c r="U9" s="52" t="str">
        <f t="shared" si="0"/>
        <v/>
      </c>
      <c r="V9" s="60"/>
      <c r="W9" s="114">
        <v>42592</v>
      </c>
      <c r="X9"/>
    </row>
    <row r="10" spans="1:24" ht="14.1" customHeight="1">
      <c r="A10" s="45" t="s">
        <v>265</v>
      </c>
      <c r="B10" s="45" t="s">
        <v>301</v>
      </c>
      <c r="C10" s="45" t="s">
        <v>302</v>
      </c>
      <c r="D10" s="45" t="str">
        <f>Table1[[#This Row],[City]]&amp;", "&amp;Table1[[#This Row],[State]]</f>
        <v>Washington, DC</v>
      </c>
      <c r="E10" s="49">
        <v>189</v>
      </c>
      <c r="F10" s="50">
        <v>3</v>
      </c>
      <c r="G10" s="50" t="str">
        <f t="array" ref="G10">IFERROR(INDEX(Table2[1st Year],MATCH(1,(Table1[[#This Row],[Employer]]=Table2[EIW Name])*(Table1[[#This Row],[City, State]]=Table2[Offices Matched]),0)),"")</f>
        <v/>
      </c>
      <c r="H10" s="50">
        <f>_xlfn.IFNA(INDEX(saCAGR[CAGR],MATCH(Table1[[#This Row],[Employer]],saCAGR[EIW Name],0)),"")</f>
        <v>1.016056879994979</v>
      </c>
      <c r="I10" s="50">
        <f>IFERROR(Table1[[#This Row],[SA CAGR]]*Table1[[#This Row],[Number of Summer 2016 2L SAs]],"")</f>
        <v>3.0481706399849369</v>
      </c>
      <c r="J10" s="50">
        <v>21</v>
      </c>
      <c r="K10" s="51">
        <f>IFERROR(Table1[[#This Row],[Number of Summer 2016 NYU 2L SAs]]/Table1[[#This Row],[Interview Slots]],0)</f>
        <v>0.1111111111111111</v>
      </c>
      <c r="L10" s="51">
        <f>Table1[[#This Row],[Number of Summer 2016 2L SAs]]/Table1[[#This Row],[Interview Slots]]</f>
        <v>1.5873015873015872E-2</v>
      </c>
      <c r="M10" s="51">
        <f>IFERROR(Table1[[#This Row],[Number of Summer 2016 NYU 2L SAs]]/Table1[[#This Row],[Number of Summer 2016 2L SAs]],0)</f>
        <v>7</v>
      </c>
      <c r="N10" s="50" t="str">
        <f>IFERROR(RIGHT(Table1[[#This Row],[1st year]],LEN(Table1[[#This Row],[1st year]])-FIND(":",Table1[[#This Row],[1st year]])-1),"")</f>
        <v/>
      </c>
      <c r="O10" s="50" t="str">
        <f t="array" ref="O10">IFERROR(INDEX(Table2[Nth year],MATCH(1,(Table1[[#This Row],[Employer]]=Table2[EIW Name])*(Table1[[#This Row],[City, State]]=Table2[Offices Matched]),0)),"")</f>
        <v/>
      </c>
      <c r="P10" s="50" t="str">
        <f>IFERROR(RIGHT(Table1[[#This Row],[Nth year]],LEN(Table1[[#This Row],[Nth year]])-FIND(":",Table1[[#This Row],[Nth year]])-1),"")</f>
        <v/>
      </c>
      <c r="Q10" s="50" t="str">
        <f t="array" ref="Q10">IFERROR(INDEX(Table2[Am Law 200 PPP Rank ’16],MATCH(1,(Table1[[#This Row],[Employer]]=Table2[EIW Name])*(Table1[[#This Row],[City, State]]=Table2[Offices Matched]),0)),"")</f>
        <v/>
      </c>
      <c r="R10" s="50" t="str">
        <f>IFERROR(LEFT(Table1[[#This Row],[Am Law 200 PPP Rank ’16]],FIND(":",Table1[[#This Row],[Am Law 200 PPP Rank ’16]])-1),"")</f>
        <v/>
      </c>
      <c r="S10" s="50">
        <f>IFERROR(INDEX(VaultRank[Rank],MATCH(Table1[[#This Row],[Employer]],VaultRank[EIW Name],0)),"")</f>
        <v>55</v>
      </c>
      <c r="T10" s="50" t="str">
        <f t="array" ref="T10">IFERROR(INDEX(Table2[Summers Matched],MATCH(1,(Table1[[#This Row],[Employer]]=Table2[EIW Name])*(Table1[[#This Row],[City, State]]=Table2[Offices Matched]),0)),"")</f>
        <v/>
      </c>
      <c r="U10" s="52" t="str">
        <f t="shared" si="0"/>
        <v/>
      </c>
      <c r="V10" s="60"/>
      <c r="W10" s="114">
        <v>42592</v>
      </c>
      <c r="X10"/>
    </row>
    <row r="11" spans="1:24" ht="14.1" customHeight="1">
      <c r="A11" s="45" t="s">
        <v>265</v>
      </c>
      <c r="B11" s="45" t="s">
        <v>308</v>
      </c>
      <c r="C11" s="45" t="s">
        <v>309</v>
      </c>
      <c r="D11" s="45" t="str">
        <f>Table1[[#This Row],[City]]&amp;", "&amp;Table1[[#This Row],[State]]</f>
        <v>Atlanta, GA</v>
      </c>
      <c r="E11" s="49">
        <v>159</v>
      </c>
      <c r="F11" s="50">
        <v>19</v>
      </c>
      <c r="G11" s="50" t="str">
        <f t="array" ref="G11">IFERROR(INDEX(Table2[1st Year],MATCH(1,(Table1[[#This Row],[Employer]]=Table2[EIW Name])*(Table1[[#This Row],[City, State]]=Table2[Offices Matched]),0)),"")</f>
        <v>1st Year: $155K</v>
      </c>
      <c r="H11" s="50">
        <f>_xlfn.IFNA(INDEX(saCAGR[CAGR],MATCH(Table1[[#This Row],[Employer]],saCAGR[EIW Name],0)),"")</f>
        <v>1.016056879994979</v>
      </c>
      <c r="I11" s="50">
        <f>IFERROR(Table1[[#This Row],[SA CAGR]]*Table1[[#This Row],[Number of Summer 2016 2L SAs]],"")</f>
        <v>19.305080719904602</v>
      </c>
      <c r="J11" s="50">
        <v>11</v>
      </c>
      <c r="K11" s="51">
        <f>IFERROR(Table1[[#This Row],[Number of Summer 2016 NYU 2L SAs]]/Table1[[#This Row],[Interview Slots]],0)</f>
        <v>6.9182389937106917E-2</v>
      </c>
      <c r="L11" s="51">
        <f>Table1[[#This Row],[Number of Summer 2016 2L SAs]]/Table1[[#This Row],[Interview Slots]]</f>
        <v>0.11949685534591195</v>
      </c>
      <c r="M11" s="51">
        <f>IFERROR(Table1[[#This Row],[Number of Summer 2016 NYU 2L SAs]]/Table1[[#This Row],[Number of Summer 2016 2L SAs]],0)</f>
        <v>0.57894736842105265</v>
      </c>
      <c r="N11" s="50" t="str">
        <f>IFERROR(RIGHT(Table1[[#This Row],[1st year]],LEN(Table1[[#This Row],[1st year]])-FIND(":",Table1[[#This Row],[1st year]])-1),"")</f>
        <v>$155K</v>
      </c>
      <c r="O11" s="50" t="str">
        <f t="array" ref="O11">IFERROR(INDEX(Table2[Nth year],MATCH(1,(Table1[[#This Row],[Employer]]=Table2[EIW Name])*(Table1[[#This Row],[City, State]]=Table2[Offices Matched]),0)),"")</f>
        <v>Others: TBD</v>
      </c>
      <c r="P11" s="50" t="str">
        <f>IFERROR(RIGHT(Table1[[#This Row],[Nth year]],LEN(Table1[[#This Row],[Nth year]])-FIND(":",Table1[[#This Row],[Nth year]])-1),"")</f>
        <v>TBD</v>
      </c>
      <c r="Q11" s="50" t="str">
        <f t="array" ref="Q11">IFERROR(INDEX(Table2[Am Law 200 PPP Rank ’16],MATCH(1,(Table1[[#This Row],[Employer]]=Table2[EIW Name])*(Table1[[#This Row],[City, State]]=Table2[Offices Matched]),0)),"")</f>
        <v>48: $1.75M</v>
      </c>
      <c r="R11" s="50" t="str">
        <f>IFERROR(LEFT(Table1[[#This Row],[Am Law 200 PPP Rank ’16]],FIND(":",Table1[[#This Row],[Am Law 200 PPP Rank ’16]])-1),"")</f>
        <v>48</v>
      </c>
      <c r="S11" s="50">
        <f>IFERROR(INDEX(VaultRank[Rank],MATCH(Table1[[#This Row],[Employer]],VaultRank[EIW Name],0)),"")</f>
        <v>55</v>
      </c>
      <c r="T11" s="50" t="str">
        <f t="array" ref="T11">IFERROR(INDEX(Table2[Summers Matched],MATCH(1,(Table1[[#This Row],[Employer]]=Table2[EIW Name])*(Table1[[#This Row],[City, State]]=Table2[Offices Matched]),0)),"")</f>
        <v>Yes</v>
      </c>
      <c r="U11" s="52" t="str">
        <f t="shared" si="0"/>
        <v/>
      </c>
      <c r="V11" s="60"/>
      <c r="W11" s="114">
        <v>42592</v>
      </c>
      <c r="X11"/>
    </row>
    <row r="12" spans="1:24" ht="14.1" customHeight="1">
      <c r="A12" s="45" t="s">
        <v>265</v>
      </c>
      <c r="B12" s="45" t="s">
        <v>310</v>
      </c>
      <c r="C12" s="45" t="s">
        <v>311</v>
      </c>
      <c r="D12" s="45" t="str">
        <f>Table1[[#This Row],[City]]&amp;", "&amp;Table1[[#This Row],[State]]</f>
        <v>Charlotte, NC</v>
      </c>
      <c r="E12" s="49">
        <v>55</v>
      </c>
      <c r="F12" s="50">
        <v>3</v>
      </c>
      <c r="G12" s="50" t="str">
        <f t="array" ref="G12">IFERROR(INDEX(Table2[1st Year],MATCH(1,(Table1[[#This Row],[Employer]]=Table2[EIW Name])*(Table1[[#This Row],[City, State]]=Table2[Offices Matched]),0)),"")</f>
        <v>1st Year: $155K</v>
      </c>
      <c r="H12" s="50">
        <f>_xlfn.IFNA(INDEX(saCAGR[CAGR],MATCH(Table1[[#This Row],[Employer]],saCAGR[EIW Name],0)),"")</f>
        <v>1.016056879994979</v>
      </c>
      <c r="I12" s="50">
        <f>IFERROR(Table1[[#This Row],[SA CAGR]]*Table1[[#This Row],[Number of Summer 2016 2L SAs]],"")</f>
        <v>3.0481706399849369</v>
      </c>
      <c r="J12" s="50">
        <v>17</v>
      </c>
      <c r="K12" s="51">
        <f>IFERROR(Table1[[#This Row],[Number of Summer 2016 NYU 2L SAs]]/Table1[[#This Row],[Interview Slots]],0)</f>
        <v>0.30909090909090908</v>
      </c>
      <c r="L12" s="51">
        <f>Table1[[#This Row],[Number of Summer 2016 2L SAs]]/Table1[[#This Row],[Interview Slots]]</f>
        <v>5.4545454545454543E-2</v>
      </c>
      <c r="M12" s="51">
        <f>IFERROR(Table1[[#This Row],[Number of Summer 2016 NYU 2L SAs]]/Table1[[#This Row],[Number of Summer 2016 2L SAs]],0)</f>
        <v>5.666666666666667</v>
      </c>
      <c r="N12" s="50" t="str">
        <f>IFERROR(RIGHT(Table1[[#This Row],[1st year]],LEN(Table1[[#This Row],[1st year]])-FIND(":",Table1[[#This Row],[1st year]])-1),"")</f>
        <v>$155K</v>
      </c>
      <c r="O12" s="50" t="str">
        <f t="array" ref="O12">IFERROR(INDEX(Table2[Nth year],MATCH(1,(Table1[[#This Row],[Employer]]=Table2[EIW Name])*(Table1[[#This Row],[City, State]]=Table2[Offices Matched]),0)),"")</f>
        <v>Others: TBD</v>
      </c>
      <c r="P12" s="50" t="str">
        <f>IFERROR(RIGHT(Table1[[#This Row],[Nth year]],LEN(Table1[[#This Row],[Nth year]])-FIND(":",Table1[[#This Row],[Nth year]])-1),"")</f>
        <v>TBD</v>
      </c>
      <c r="Q12" s="50" t="str">
        <f t="array" ref="Q12">IFERROR(INDEX(Table2[Am Law 200 PPP Rank ’16],MATCH(1,(Table1[[#This Row],[Employer]]=Table2[EIW Name])*(Table1[[#This Row],[City, State]]=Table2[Offices Matched]),0)),"")</f>
        <v>48: $1.75M</v>
      </c>
      <c r="R12" s="50" t="str">
        <f>IFERROR(LEFT(Table1[[#This Row],[Am Law 200 PPP Rank ’16]],FIND(":",Table1[[#This Row],[Am Law 200 PPP Rank ’16]])-1),"")</f>
        <v>48</v>
      </c>
      <c r="S12" s="50">
        <f>IFERROR(INDEX(VaultRank[Rank],MATCH(Table1[[#This Row],[Employer]],VaultRank[EIW Name],0)),"")</f>
        <v>55</v>
      </c>
      <c r="T12" s="50" t="str">
        <f t="array" ref="T12">IFERROR(INDEX(Table2[Summers Matched],MATCH(1,(Table1[[#This Row],[Employer]]=Table2[EIW Name])*(Table1[[#This Row],[City, State]]=Table2[Offices Matched]),0)),"")</f>
        <v>Yes</v>
      </c>
      <c r="U12" s="52" t="str">
        <f t="shared" si="0"/>
        <v/>
      </c>
      <c r="V12" s="60"/>
      <c r="W12" s="114">
        <v>42594</v>
      </c>
      <c r="X12"/>
    </row>
    <row r="13" spans="1:24" ht="14.1" customHeight="1">
      <c r="A13" s="45" t="s">
        <v>265</v>
      </c>
      <c r="B13" s="45" t="s">
        <v>312</v>
      </c>
      <c r="C13" s="45" t="s">
        <v>311</v>
      </c>
      <c r="D13" s="45" t="str">
        <f>Table1[[#This Row],[City]]&amp;", "&amp;Table1[[#This Row],[State]]</f>
        <v>Research Triangle, NC</v>
      </c>
      <c r="E13" s="49">
        <v>69</v>
      </c>
      <c r="F13" s="50">
        <v>1</v>
      </c>
      <c r="G13" s="50" t="str">
        <f t="array" ref="G13">IFERROR(INDEX(Table2[1st Year],MATCH(1,(Table1[[#This Row],[Employer]]=Table2[EIW Name])*(Table1[[#This Row],[City, State]]=Table2[Offices Matched]),0)),"")</f>
        <v/>
      </c>
      <c r="H13" s="50">
        <f>_xlfn.IFNA(INDEX(saCAGR[CAGR],MATCH(Table1[[#This Row],[Employer]],saCAGR[EIW Name],0)),"")</f>
        <v>1.016056879994979</v>
      </c>
      <c r="I13" s="50">
        <f>IFERROR(Table1[[#This Row],[SA CAGR]]*Table1[[#This Row],[Number of Summer 2016 2L SAs]],"")</f>
        <v>1.016056879994979</v>
      </c>
      <c r="J13" s="50">
        <v>10</v>
      </c>
      <c r="K13" s="51">
        <f>IFERROR(Table1[[#This Row],[Number of Summer 2016 NYU 2L SAs]]/Table1[[#This Row],[Interview Slots]],0)</f>
        <v>0.14492753623188406</v>
      </c>
      <c r="L13" s="51">
        <f>Table1[[#This Row],[Number of Summer 2016 2L SAs]]/Table1[[#This Row],[Interview Slots]]</f>
        <v>1.4492753623188406E-2</v>
      </c>
      <c r="M13" s="51">
        <f>IFERROR(Table1[[#This Row],[Number of Summer 2016 NYU 2L SAs]]/Table1[[#This Row],[Number of Summer 2016 2L SAs]],0)</f>
        <v>10</v>
      </c>
      <c r="N13" s="50" t="str">
        <f>IFERROR(RIGHT(Table1[[#This Row],[1st year]],LEN(Table1[[#This Row],[1st year]])-FIND(":",Table1[[#This Row],[1st year]])-1),"")</f>
        <v/>
      </c>
      <c r="O13" s="50" t="str">
        <f t="array" ref="O13">IFERROR(INDEX(Table2[Nth year],MATCH(1,(Table1[[#This Row],[Employer]]=Table2[EIW Name])*(Table1[[#This Row],[City, State]]=Table2[Offices Matched]),0)),"")</f>
        <v/>
      </c>
      <c r="P13" s="50" t="str">
        <f>IFERROR(RIGHT(Table1[[#This Row],[Nth year]],LEN(Table1[[#This Row],[Nth year]])-FIND(":",Table1[[#This Row],[Nth year]])-1),"")</f>
        <v/>
      </c>
      <c r="Q13" s="50" t="str">
        <f t="array" ref="Q13">IFERROR(INDEX(Table2[Am Law 200 PPP Rank ’16],MATCH(1,(Table1[[#This Row],[Employer]]=Table2[EIW Name])*(Table1[[#This Row],[City, State]]=Table2[Offices Matched]),0)),"")</f>
        <v/>
      </c>
      <c r="R13" s="50" t="str">
        <f>IFERROR(LEFT(Table1[[#This Row],[Am Law 200 PPP Rank ’16]],FIND(":",Table1[[#This Row],[Am Law 200 PPP Rank ’16]])-1),"")</f>
        <v/>
      </c>
      <c r="S13" s="50">
        <f>IFERROR(INDEX(VaultRank[Rank],MATCH(Table1[[#This Row],[Employer]],VaultRank[EIW Name],0)),"")</f>
        <v>55</v>
      </c>
      <c r="T13" s="50" t="str">
        <f t="array" ref="T13">IFERROR(INDEX(Table2[Summers Matched],MATCH(1,(Table1[[#This Row],[Employer]]=Table2[EIW Name])*(Table1[[#This Row],[City, State]]=Table2[Offices Matched]),0)),"")</f>
        <v/>
      </c>
      <c r="U13" s="52" t="str">
        <f t="shared" si="0"/>
        <v/>
      </c>
      <c r="V13" s="60"/>
      <c r="W13" s="114">
        <v>42593</v>
      </c>
      <c r="X13"/>
    </row>
    <row r="14" spans="1:24" ht="14.1" customHeight="1">
      <c r="A14" s="45" t="s">
        <v>265</v>
      </c>
      <c r="B14" s="45" t="s">
        <v>313</v>
      </c>
      <c r="C14" s="45" t="s">
        <v>314</v>
      </c>
      <c r="D14" s="45" t="str">
        <f>Table1[[#This Row],[City]]&amp;", "&amp;Table1[[#This Row],[State]]</f>
        <v>Dallas, TX</v>
      </c>
      <c r="E14" s="49">
        <v>30</v>
      </c>
      <c r="F14" s="50">
        <v>4</v>
      </c>
      <c r="G14" s="50" t="str">
        <f t="array" ref="G14">IFERROR(INDEX(Table2[1st Year],MATCH(1,(Table1[[#This Row],[Employer]]=Table2[EIW Name])*(Table1[[#This Row],[City, State]]=Table2[Offices Matched]),0)),"")</f>
        <v>1st Year: $155K</v>
      </c>
      <c r="H14" s="50">
        <f>_xlfn.IFNA(INDEX(saCAGR[CAGR],MATCH(Table1[[#This Row],[Employer]],saCAGR[EIW Name],0)),"")</f>
        <v>1.016056879994979</v>
      </c>
      <c r="I14" s="50">
        <f>IFERROR(Table1[[#This Row],[SA CAGR]]*Table1[[#This Row],[Number of Summer 2016 2L SAs]],"")</f>
        <v>4.0642275199799158</v>
      </c>
      <c r="J14" s="50">
        <v>4</v>
      </c>
      <c r="K14" s="51">
        <f>IFERROR(Table1[[#This Row],[Number of Summer 2016 NYU 2L SAs]]/Table1[[#This Row],[Interview Slots]],0)</f>
        <v>0.13333333333333333</v>
      </c>
      <c r="L14" s="51">
        <f>Table1[[#This Row],[Number of Summer 2016 2L SAs]]/Table1[[#This Row],[Interview Slots]]</f>
        <v>0.13333333333333333</v>
      </c>
      <c r="M14" s="51">
        <f>IFERROR(Table1[[#This Row],[Number of Summer 2016 NYU 2L SAs]]/Table1[[#This Row],[Number of Summer 2016 2L SAs]],0)</f>
        <v>1</v>
      </c>
      <c r="N14" s="50" t="str">
        <f>IFERROR(RIGHT(Table1[[#This Row],[1st year]],LEN(Table1[[#This Row],[1st year]])-FIND(":",Table1[[#This Row],[1st year]])-1),"")</f>
        <v>$155K</v>
      </c>
      <c r="O14" s="50" t="str">
        <f t="array" ref="O14">IFERROR(INDEX(Table2[Nth year],MATCH(1,(Table1[[#This Row],[Employer]]=Table2[EIW Name])*(Table1[[#This Row],[City, State]]=Table2[Offices Matched]),0)),"")</f>
        <v>Others: TBD</v>
      </c>
      <c r="P14" s="50" t="str">
        <f>IFERROR(RIGHT(Table1[[#This Row],[Nth year]],LEN(Table1[[#This Row],[Nth year]])-FIND(":",Table1[[#This Row],[Nth year]])-1),"")</f>
        <v>TBD</v>
      </c>
      <c r="Q14" s="50" t="str">
        <f t="array" ref="Q14">IFERROR(INDEX(Table2[Am Law 200 PPP Rank ’16],MATCH(1,(Table1[[#This Row],[Employer]]=Table2[EIW Name])*(Table1[[#This Row],[City, State]]=Table2[Offices Matched]),0)),"")</f>
        <v>48: $1.75M</v>
      </c>
      <c r="R14" s="50" t="str">
        <f>IFERROR(LEFT(Table1[[#This Row],[Am Law 200 PPP Rank ’16]],FIND(":",Table1[[#This Row],[Am Law 200 PPP Rank ’16]])-1),"")</f>
        <v>48</v>
      </c>
      <c r="S14" s="50">
        <f>IFERROR(INDEX(VaultRank[Rank],MATCH(Table1[[#This Row],[Employer]],VaultRank[EIW Name],0)),"")</f>
        <v>55</v>
      </c>
      <c r="T14" s="50" t="str">
        <f t="array" ref="T14">IFERROR(INDEX(Table2[Summers Matched],MATCH(1,(Table1[[#This Row],[Employer]]=Table2[EIW Name])*(Table1[[#This Row],[City, State]]=Table2[Offices Matched]),0)),"")</f>
        <v>Yes</v>
      </c>
      <c r="U14" s="52" t="str">
        <f t="shared" si="0"/>
        <v/>
      </c>
      <c r="V14" s="60"/>
      <c r="W14" s="114">
        <v>42595</v>
      </c>
      <c r="X14"/>
    </row>
    <row r="15" spans="1:24" ht="14.1" customHeight="1">
      <c r="A15" s="45" t="s">
        <v>63</v>
      </c>
      <c r="B15" s="45" t="s">
        <v>364</v>
      </c>
      <c r="C15" s="45" t="s">
        <v>362</v>
      </c>
      <c r="D15" s="45" t="str">
        <f>Table1[[#This Row],[City]]&amp;", "&amp;Table1[[#This Row],[State]]</f>
        <v>New York, NY</v>
      </c>
      <c r="E15" s="49">
        <v>106</v>
      </c>
      <c r="F15" s="50">
        <v>60</v>
      </c>
      <c r="G15" s="50" t="str">
        <f t="array" ref="G15">IFERROR(INDEX(Table2[1st Year],MATCH(1,(Table1[[#This Row],[Employer]]=Table2[EIW Name])*(Table1[[#This Row],[City, State]]=Table2[Offices Matched]),0)),"")</f>
        <v>1st Year: $180K</v>
      </c>
      <c r="H15" s="51">
        <f>_xlfn.IFNA(INDEX(saCAGR[CAGR],MATCH(Table1[[#This Row],[Employer]],saCAGR[EIW Name],0)),"")</f>
        <v>1.0246904523384679</v>
      </c>
      <c r="I15" s="50">
        <f>IFERROR(Table1[[#This Row],[SA CAGR]]*Table1[[#This Row],[Number of Summer 2016 2L SAs]],"")</f>
        <v>61.481427140308071</v>
      </c>
      <c r="J15" s="50">
        <v>10</v>
      </c>
      <c r="K15" s="51">
        <f>IFERROR(Table1[[#This Row],[Number of Summer 2016 NYU 2L SAs]]/Table1[[#This Row],[Interview Slots]],0)</f>
        <v>9.4339622641509441E-2</v>
      </c>
      <c r="L15" s="51">
        <f>Table1[[#This Row],[Number of Summer 2016 2L SAs]]/Table1[[#This Row],[Interview Slots]]</f>
        <v>0.56603773584905659</v>
      </c>
      <c r="M15" s="51">
        <f>IFERROR(Table1[[#This Row],[Number of Summer 2016 NYU 2L SAs]]/Table1[[#This Row],[Number of Summer 2016 2L SAs]],0)</f>
        <v>0.16666666666666666</v>
      </c>
      <c r="N15" s="50" t="str">
        <f>IFERROR(RIGHT(Table1[[#This Row],[1st year]],LEN(Table1[[#This Row],[1st year]])-FIND(":",Table1[[#This Row],[1st year]])-1),"")</f>
        <v>$180K</v>
      </c>
      <c r="O15" s="50" t="str">
        <f t="array" ref="O15">IFERROR(INDEX(Table2[Nth year],MATCH(1,(Table1[[#This Row],[Employer]]=Table2[EIW Name])*(Table1[[#This Row],[City, State]]=Table2[Offices Matched]),0)),"")</f>
        <v>6th Year: $280K</v>
      </c>
      <c r="P15" s="50" t="str">
        <f>IFERROR(RIGHT(Table1[[#This Row],[Nth year]],LEN(Table1[[#This Row],[Nth year]])-FIND(":",Table1[[#This Row],[Nth year]])-1),"")</f>
        <v>$280K</v>
      </c>
      <c r="Q15" s="50" t="str">
        <f t="array" ref="Q15">IFERROR(INDEX(Table2[Am Law 200 PPP Rank ’16],MATCH(1,(Table1[[#This Row],[Employer]]=Table2[EIW Name])*(Table1[[#This Row],[City, State]]=Table2[Offices Matched]),0)),"")</f>
        <v>5: $3.61M</v>
      </c>
      <c r="R15" s="50" t="str">
        <f>IFERROR(LEFT(Table1[[#This Row],[Am Law 200 PPP Rank ’16]],FIND(":",Table1[[#This Row],[Am Law 200 PPP Rank ’16]])-1),"")</f>
        <v>5</v>
      </c>
      <c r="S15" s="50">
        <f>IFERROR(INDEX(VaultRank[Rank],MATCH(Table1[[#This Row],[Employer]],VaultRank[EIW Name],0)),"")</f>
        <v>8</v>
      </c>
      <c r="T15" s="50" t="str">
        <f t="array" ref="T15">IFERROR(INDEX(Table2[Summers Matched],MATCH(1,(Table1[[#This Row],[Employer]]=Table2[EIW Name])*(Table1[[#This Row],[City, State]]=Table2[Offices Matched]),0)),"")</f>
        <v>Yes</v>
      </c>
      <c r="U15" s="52" t="str">
        <f t="shared" si="0"/>
        <v/>
      </c>
      <c r="V15" s="60"/>
      <c r="W15" s="114">
        <v>42593</v>
      </c>
      <c r="X15"/>
    </row>
    <row r="16" spans="1:24" ht="14.1" customHeight="1">
      <c r="A16" s="45" t="s">
        <v>423</v>
      </c>
      <c r="B16" s="45" t="s">
        <v>364</v>
      </c>
      <c r="C16" s="45" t="s">
        <v>362</v>
      </c>
      <c r="D16" s="45" t="str">
        <f>Table1[[#This Row],[City]]&amp;", "&amp;Table1[[#This Row],[State]]</f>
        <v>New York, NY</v>
      </c>
      <c r="E16" s="49">
        <v>154</v>
      </c>
      <c r="F16" s="50">
        <v>50</v>
      </c>
      <c r="G16" s="50" t="str">
        <f t="array" ref="G16">IFERROR(INDEX(Table2[1st Year],MATCH(1,(Table1[[#This Row],[Employer]]=Table2[EIW Name])*(Table1[[#This Row],[City, State]]=Table2[Offices Matched]),0)),"")</f>
        <v>1st Year: $180K</v>
      </c>
      <c r="H16" s="51">
        <f>_xlfn.IFNA(INDEX(saCAGR[CAGR],MATCH(Table1[[#This Row],[Employer]],saCAGR[EIW Name],0)),"")</f>
        <v>1.0040021502748546</v>
      </c>
      <c r="I16" s="50">
        <f>IFERROR(Table1[[#This Row],[SA CAGR]]*Table1[[#This Row],[Number of Summer 2016 2L SAs]],"")</f>
        <v>50.200107513742729</v>
      </c>
      <c r="J16" s="50">
        <v>24</v>
      </c>
      <c r="K16" s="51">
        <f>IFERROR(Table1[[#This Row],[Number of Summer 2016 NYU 2L SAs]]/Table1[[#This Row],[Interview Slots]],0)</f>
        <v>0.15584415584415584</v>
      </c>
      <c r="L16" s="51">
        <f>Table1[[#This Row],[Number of Summer 2016 2L SAs]]/Table1[[#This Row],[Interview Slots]]</f>
        <v>0.32467532467532467</v>
      </c>
      <c r="M16" s="51">
        <f>IFERROR(Table1[[#This Row],[Number of Summer 2016 NYU 2L SAs]]/Table1[[#This Row],[Number of Summer 2016 2L SAs]],0)</f>
        <v>0.48</v>
      </c>
      <c r="N16" s="50" t="str">
        <f>IFERROR(RIGHT(Table1[[#This Row],[1st year]],LEN(Table1[[#This Row],[1st year]])-FIND(":",Table1[[#This Row],[1st year]])-1),"")</f>
        <v>$180K</v>
      </c>
      <c r="O16" s="50" t="str">
        <f t="array" ref="O16">IFERROR(INDEX(Table2[Nth year],MATCH(1,(Table1[[#This Row],[Employer]]=Table2[EIW Name])*(Table1[[#This Row],[City, State]]=Table2[Offices Matched]),0)),"")</f>
        <v>8th Year: $315K</v>
      </c>
      <c r="P16" s="50" t="str">
        <f>IFERROR(RIGHT(Table1[[#This Row],[Nth year]],LEN(Table1[[#This Row],[Nth year]])-FIND(":",Table1[[#This Row],[Nth year]])-1),"")</f>
        <v>$315K</v>
      </c>
      <c r="Q16" s="50" t="str">
        <f t="array" ref="Q16">IFERROR(INDEX(Table2[Am Law 200 PPP Rank ’16],MATCH(1,(Table1[[#This Row],[Employer]]=Table2[EIW Name])*(Table1[[#This Row],[City, State]]=Table2[Offices Matched]),0)),"")</f>
        <v>11: $3.19M</v>
      </c>
      <c r="R16" s="50" t="str">
        <f>IFERROR(LEFT(Table1[[#This Row],[Am Law 200 PPP Rank ’16]],FIND(":",Table1[[#This Row],[Am Law 200 PPP Rank ’16]])-1),"")</f>
        <v>11</v>
      </c>
      <c r="S16" s="50">
        <f>IFERROR(INDEX(VaultRank[Rank],MATCH(Table1[[#This Row],[Employer]],VaultRank[EIW Name],0)),"")</f>
        <v>10</v>
      </c>
      <c r="T16" s="50" t="str">
        <f t="array" ref="T16">IFERROR(INDEX(Table2[Summers Matched],MATCH(1,(Table1[[#This Row],[Employer]]=Table2[EIW Name])*(Table1[[#This Row],[City, State]]=Table2[Offices Matched]),0)),"")</f>
        <v>Yes</v>
      </c>
      <c r="U16" s="52">
        <f t="shared" si="0"/>
        <v>3.4</v>
      </c>
      <c r="V16" s="60"/>
      <c r="W16" s="114">
        <v>42594</v>
      </c>
      <c r="X16"/>
    </row>
    <row r="17" spans="1:24" ht="14.1" customHeight="1">
      <c r="A17" s="45" t="s">
        <v>522</v>
      </c>
      <c r="B17" s="45" t="s">
        <v>364</v>
      </c>
      <c r="C17" s="45" t="s">
        <v>362</v>
      </c>
      <c r="D17" s="45" t="str">
        <f>Table1[[#This Row],[City]]&amp;", "&amp;Table1[[#This Row],[State]]</f>
        <v>New York, NY</v>
      </c>
      <c r="E17" s="49">
        <v>174</v>
      </c>
      <c r="F17" s="50">
        <v>54</v>
      </c>
      <c r="G17" s="50" t="str">
        <f t="array" ref="G17">IFERROR(INDEX(Table2[1st Year],MATCH(1,(Table1[[#This Row],[Employer]]=Table2[EIW Name])*(Table1[[#This Row],[City, State]]=Table2[Offices Matched]),0)),"")</f>
        <v>1st Year: $180K</v>
      </c>
      <c r="H17" s="51">
        <f>_xlfn.IFNA(INDEX(saCAGR[CAGR],MATCH(Table1[[#This Row],[Employer]],saCAGR[EIW Name],0)),"")</f>
        <v>1.0249244100065287</v>
      </c>
      <c r="I17" s="50">
        <f>IFERROR(Table1[[#This Row],[SA CAGR]]*Table1[[#This Row],[Number of Summer 2016 2L SAs]],"")</f>
        <v>55.345918140352552</v>
      </c>
      <c r="J17" s="50">
        <v>20</v>
      </c>
      <c r="K17" s="51">
        <f>IFERROR(Table1[[#This Row],[Number of Summer 2016 NYU 2L SAs]]/Table1[[#This Row],[Interview Slots]],0)</f>
        <v>0.11494252873563218</v>
      </c>
      <c r="L17" s="51">
        <f>Table1[[#This Row],[Number of Summer 2016 2L SAs]]/Table1[[#This Row],[Interview Slots]]</f>
        <v>0.31034482758620691</v>
      </c>
      <c r="M17" s="51">
        <f>IFERROR(Table1[[#This Row],[Number of Summer 2016 NYU 2L SAs]]/Table1[[#This Row],[Number of Summer 2016 2L SAs]],0)</f>
        <v>0.37037037037037035</v>
      </c>
      <c r="N17" s="50" t="str">
        <f>IFERROR(RIGHT(Table1[[#This Row],[1st year]],LEN(Table1[[#This Row],[1st year]])-FIND(":",Table1[[#This Row],[1st year]])-1),"")</f>
        <v>$180K</v>
      </c>
      <c r="O17" s="50" t="str">
        <f t="array" ref="O17">IFERROR(INDEX(Table2[Nth year],MATCH(1,(Table1[[#This Row],[Employer]]=Table2[EIW Name])*(Table1[[#This Row],[City, State]]=Table2[Offices Matched]),0)),"")</f>
        <v>9th Year: $325K</v>
      </c>
      <c r="P17" s="50" t="str">
        <f>IFERROR(RIGHT(Table1[[#This Row],[Nth year]],LEN(Table1[[#This Row],[Nth year]])-FIND(":",Table1[[#This Row],[Nth year]])-1),"")</f>
        <v>$325K</v>
      </c>
      <c r="Q17" s="50" t="str">
        <f t="array" ref="Q17">IFERROR(INDEX(Table2[Am Law 200 PPP Rank ’16],MATCH(1,(Table1[[#This Row],[Employer]]=Table2[EIW Name])*(Table1[[#This Row],[City, State]]=Table2[Offices Matched]),0)),"")</f>
        <v>20: $2.52M</v>
      </c>
      <c r="R17" s="50" t="str">
        <f>IFERROR(LEFT(Table1[[#This Row],[Am Law 200 PPP Rank ’16]],FIND(":",Table1[[#This Row],[Am Law 200 PPP Rank ’16]])-1),"")</f>
        <v>20</v>
      </c>
      <c r="S17" s="50">
        <f>IFERROR(INDEX(VaultRank[Rank],MATCH(Table1[[#This Row],[Employer]],VaultRank[EIW Name],0)),"")</f>
        <v>11</v>
      </c>
      <c r="T17" s="50" t="str">
        <f t="array" ref="T17">IFERROR(INDEX(Table2[Summers Matched],MATCH(1,(Table1[[#This Row],[Employer]]=Table2[EIW Name])*(Table1[[#This Row],[City, State]]=Table2[Offices Matched]),0)),"")</f>
        <v>Yes</v>
      </c>
      <c r="U17" s="52" t="str">
        <f t="shared" si="0"/>
        <v/>
      </c>
      <c r="V17" s="60"/>
      <c r="W17" s="114">
        <v>42595</v>
      </c>
      <c r="X17"/>
    </row>
    <row r="18" spans="1:24" ht="14.1" customHeight="1">
      <c r="A18" s="45" t="s">
        <v>204</v>
      </c>
      <c r="B18" s="45" t="s">
        <v>299</v>
      </c>
      <c r="C18" s="45" t="s">
        <v>300</v>
      </c>
      <c r="D18" s="45" t="str">
        <f>Table1[[#This Row],[City]]&amp;", "&amp;Table1[[#This Row],[State]]</f>
        <v>Los Angeles, CA</v>
      </c>
      <c r="E18" s="49">
        <v>4</v>
      </c>
      <c r="F18" s="50">
        <v>3</v>
      </c>
      <c r="G18" s="50" t="str">
        <f t="array" ref="G18">IFERROR(INDEX(Table2[1st Year],MATCH(1,(Table1[[#This Row],[Employer]]=Table2[EIW Name])*(Table1[[#This Row],[City, State]]=Table2[Offices Matched]),0)),"")</f>
        <v/>
      </c>
      <c r="H18" s="50">
        <f>_xlfn.IFNA(INDEX(saCAGR[CAGR],MATCH(Table1[[#This Row],[Employer]],saCAGR[EIW Name],0)),"")</f>
        <v>1.0018554798615353</v>
      </c>
      <c r="I18" s="50">
        <f>IFERROR(Table1[[#This Row],[SA CAGR]]*Table1[[#This Row],[Number of Summer 2016 2L SAs]],"")</f>
        <v>3.005566439584606</v>
      </c>
      <c r="J18" s="50">
        <v>20</v>
      </c>
      <c r="K18" s="51">
        <f>IFERROR(Table1[[#This Row],[Number of Summer 2016 NYU 2L SAs]]/Table1[[#This Row],[Interview Slots]],0)</f>
        <v>5</v>
      </c>
      <c r="L18" s="51">
        <f>Table1[[#This Row],[Number of Summer 2016 2L SAs]]/Table1[[#This Row],[Interview Slots]]</f>
        <v>0.75</v>
      </c>
      <c r="M18" s="51">
        <f>IFERROR(Table1[[#This Row],[Number of Summer 2016 NYU 2L SAs]]/Table1[[#This Row],[Number of Summer 2016 2L SAs]],0)</f>
        <v>6.666666666666667</v>
      </c>
      <c r="N18" s="50" t="str">
        <f>IFERROR(RIGHT(Table1[[#This Row],[1st year]],LEN(Table1[[#This Row],[1st year]])-FIND(":",Table1[[#This Row],[1st year]])-1),"")</f>
        <v/>
      </c>
      <c r="O18" s="50" t="str">
        <f t="array" ref="O18">IFERROR(INDEX(Table2[Nth year],MATCH(1,(Table1[[#This Row],[Employer]]=Table2[EIW Name])*(Table1[[#This Row],[City, State]]=Table2[Offices Matched]),0)),"")</f>
        <v/>
      </c>
      <c r="P18" s="50" t="str">
        <f>IFERROR(RIGHT(Table1[[#This Row],[Nth year]],LEN(Table1[[#This Row],[Nth year]])-FIND(":",Table1[[#This Row],[Nth year]])-1),"")</f>
        <v/>
      </c>
      <c r="Q18" s="50" t="str">
        <f t="array" ref="Q18">IFERROR(INDEX(Table2[Am Law 200 PPP Rank ’16],MATCH(1,(Table1[[#This Row],[Employer]]=Table2[EIW Name])*(Table1[[#This Row],[City, State]]=Table2[Offices Matched]),0)),"")</f>
        <v/>
      </c>
      <c r="R18" s="50" t="str">
        <f>IFERROR(LEFT(Table1[[#This Row],[Am Law 200 PPP Rank ’16]],FIND(":",Table1[[#This Row],[Am Law 200 PPP Rank ’16]])-1),"")</f>
        <v/>
      </c>
      <c r="S18" s="50">
        <f>IFERROR(INDEX(VaultRank[Rank],MATCH(Table1[[#This Row],[Employer]],VaultRank[EIW Name],0)),"")</f>
        <v>25</v>
      </c>
      <c r="T18" s="50" t="str">
        <f t="array" ref="T18">IFERROR(INDEX(Table2[Summers Matched],MATCH(1,(Table1[[#This Row],[Employer]]=Table2[EIW Name])*(Table1[[#This Row],[City, State]]=Table2[Offices Matched]),0)),"")</f>
        <v/>
      </c>
      <c r="U18" s="52" t="str">
        <f t="shared" si="0"/>
        <v/>
      </c>
      <c r="V18" s="60"/>
      <c r="W18" s="114">
        <v>42592</v>
      </c>
      <c r="X18"/>
    </row>
    <row r="19" spans="1:24" ht="14.1" customHeight="1">
      <c r="A19" s="45" t="s">
        <v>204</v>
      </c>
      <c r="B19" s="45" t="s">
        <v>316</v>
      </c>
      <c r="C19" s="45" t="s">
        <v>300</v>
      </c>
      <c r="D19" s="45" t="str">
        <f>Table1[[#This Row],[City]]&amp;", "&amp;Table1[[#This Row],[State]]</f>
        <v>San Francisco, CA</v>
      </c>
      <c r="E19" s="49">
        <v>15</v>
      </c>
      <c r="F19" s="50">
        <v>5</v>
      </c>
      <c r="G19" s="50" t="str">
        <f t="array" ref="G19">IFERROR(INDEX(Table2[1st Year],MATCH(1,(Table1[[#This Row],[Employer]]=Table2[EIW Name])*(Table1[[#This Row],[City, State]]=Table2[Offices Matched]),0)),"")</f>
        <v>1st Year: $180K</v>
      </c>
      <c r="H19" s="50">
        <f>_xlfn.IFNA(INDEX(saCAGR[CAGR],MATCH(Table1[[#This Row],[Employer]],saCAGR[EIW Name],0)),"")</f>
        <v>1.0018554798615353</v>
      </c>
      <c r="I19" s="50">
        <f>IFERROR(Table1[[#This Row],[SA CAGR]]*Table1[[#This Row],[Number of Summer 2016 2L SAs]],"")</f>
        <v>5.0092773993076767</v>
      </c>
      <c r="J19" s="50">
        <v>20</v>
      </c>
      <c r="K19" s="51">
        <f>IFERROR(Table1[[#This Row],[Number of Summer 2016 NYU 2L SAs]]/Table1[[#This Row],[Interview Slots]],0)</f>
        <v>1.3333333333333333</v>
      </c>
      <c r="L19" s="51">
        <f>Table1[[#This Row],[Number of Summer 2016 2L SAs]]/Table1[[#This Row],[Interview Slots]]</f>
        <v>0.33333333333333331</v>
      </c>
      <c r="M19" s="51">
        <f>IFERROR(Table1[[#This Row],[Number of Summer 2016 NYU 2L SAs]]/Table1[[#This Row],[Number of Summer 2016 2L SAs]],0)</f>
        <v>4</v>
      </c>
      <c r="N19" s="50" t="str">
        <f>IFERROR(RIGHT(Table1[[#This Row],[1st year]],LEN(Table1[[#This Row],[1st year]])-FIND(":",Table1[[#This Row],[1st year]])-1),"")</f>
        <v>$180K</v>
      </c>
      <c r="O19" s="50" t="str">
        <f t="array" ref="O19">IFERROR(INDEX(Table2[Nth year],MATCH(1,(Table1[[#This Row],[Employer]]=Table2[EIW Name])*(Table1[[#This Row],[City, State]]=Table2[Offices Matched]),0)),"")</f>
        <v>8th Year: $315K</v>
      </c>
      <c r="P19" s="50" t="str">
        <f>IFERROR(RIGHT(Table1[[#This Row],[Nth year]],LEN(Table1[[#This Row],[Nth year]])-FIND(":",Table1[[#This Row],[Nth year]])-1),"")</f>
        <v>$315K</v>
      </c>
      <c r="Q19" s="50" t="str">
        <f t="array" ref="Q19">IFERROR(INDEX(Table2[Am Law 200 PPP Rank ’16],MATCH(1,(Table1[[#This Row],[Employer]]=Table2[EIW Name])*(Table1[[#This Row],[City, State]]=Table2[Offices Matched]),0)),"")</f>
        <v>74: $1.21M</v>
      </c>
      <c r="R19" s="50" t="str">
        <f>IFERROR(LEFT(Table1[[#This Row],[Am Law 200 PPP Rank ’16]],FIND(":",Table1[[#This Row],[Am Law 200 PPP Rank ’16]])-1),"")</f>
        <v>74</v>
      </c>
      <c r="S19" s="50">
        <f>IFERROR(INDEX(VaultRank[Rank],MATCH(Table1[[#This Row],[Employer]],VaultRank[EIW Name],0)),"")</f>
        <v>25</v>
      </c>
      <c r="T19" s="50" t="str">
        <f t="array" ref="T19">IFERROR(INDEX(Table2[Summers Matched],MATCH(1,(Table1[[#This Row],[Employer]]=Table2[EIW Name])*(Table1[[#This Row],[City, State]]=Table2[Offices Matched]),0)),"")</f>
        <v>Yes</v>
      </c>
      <c r="U19" s="52" t="str">
        <f t="shared" si="0"/>
        <v/>
      </c>
      <c r="V19" s="60"/>
      <c r="W19" s="114">
        <v>42594</v>
      </c>
      <c r="X19"/>
    </row>
    <row r="20" spans="1:24" ht="14.1" customHeight="1">
      <c r="A20" s="45" t="s">
        <v>204</v>
      </c>
      <c r="B20" s="45" t="s">
        <v>301</v>
      </c>
      <c r="C20" s="45" t="s">
        <v>302</v>
      </c>
      <c r="D20" s="45" t="str">
        <f>Table1[[#This Row],[City]]&amp;", "&amp;Table1[[#This Row],[State]]</f>
        <v>Washington, DC</v>
      </c>
      <c r="E20" s="49">
        <v>103</v>
      </c>
      <c r="F20" s="50">
        <v>17</v>
      </c>
      <c r="G20" s="50" t="str">
        <f t="array" ref="G20">IFERROR(INDEX(Table2[1st Year],MATCH(1,(Table1[[#This Row],[Employer]]=Table2[EIW Name])*(Table1[[#This Row],[City, State]]=Table2[Offices Matched]),0)),"")</f>
        <v/>
      </c>
      <c r="H20" s="50">
        <f>_xlfn.IFNA(INDEX(saCAGR[CAGR],MATCH(Table1[[#This Row],[Employer]],saCAGR[EIW Name],0)),"")</f>
        <v>1.0018554798615353</v>
      </c>
      <c r="I20" s="50">
        <f>IFERROR(Table1[[#This Row],[SA CAGR]]*Table1[[#This Row],[Number of Summer 2016 2L SAs]],"")</f>
        <v>17.031543157646102</v>
      </c>
      <c r="J20" s="50">
        <v>5</v>
      </c>
      <c r="K20" s="51">
        <f>IFERROR(Table1[[#This Row],[Number of Summer 2016 NYU 2L SAs]]/Table1[[#This Row],[Interview Slots]],0)</f>
        <v>4.8543689320388349E-2</v>
      </c>
      <c r="L20" s="51">
        <f>Table1[[#This Row],[Number of Summer 2016 2L SAs]]/Table1[[#This Row],[Interview Slots]]</f>
        <v>0.1650485436893204</v>
      </c>
      <c r="M20" s="51">
        <f>IFERROR(Table1[[#This Row],[Number of Summer 2016 NYU 2L SAs]]/Table1[[#This Row],[Number of Summer 2016 2L SAs]],0)</f>
        <v>0.29411764705882354</v>
      </c>
      <c r="N20" s="50" t="str">
        <f>IFERROR(RIGHT(Table1[[#This Row],[1st year]],LEN(Table1[[#This Row],[1st year]])-FIND(":",Table1[[#This Row],[1st year]])-1),"")</f>
        <v/>
      </c>
      <c r="O20" s="50" t="str">
        <f t="array" ref="O20">IFERROR(INDEX(Table2[Nth year],MATCH(1,(Table1[[#This Row],[Employer]]=Table2[EIW Name])*(Table1[[#This Row],[City, State]]=Table2[Offices Matched]),0)),"")</f>
        <v/>
      </c>
      <c r="P20" s="50" t="str">
        <f>IFERROR(RIGHT(Table1[[#This Row],[Nth year]],LEN(Table1[[#This Row],[Nth year]])-FIND(":",Table1[[#This Row],[Nth year]])-1),"")</f>
        <v/>
      </c>
      <c r="Q20" s="50" t="str">
        <f t="array" ref="Q20">IFERROR(INDEX(Table2[Am Law 200 PPP Rank ’16],MATCH(1,(Table1[[#This Row],[Employer]]=Table2[EIW Name])*(Table1[[#This Row],[City, State]]=Table2[Offices Matched]),0)),"")</f>
        <v/>
      </c>
      <c r="R20" s="50" t="str">
        <f>IFERROR(LEFT(Table1[[#This Row],[Am Law 200 PPP Rank ’16]],FIND(":",Table1[[#This Row],[Am Law 200 PPP Rank ’16]])-1),"")</f>
        <v/>
      </c>
      <c r="S20" s="50">
        <f>IFERROR(INDEX(VaultRank[Rank],MATCH(Table1[[#This Row],[Employer]],VaultRank[EIW Name],0)),"")</f>
        <v>25</v>
      </c>
      <c r="T20" s="50" t="str">
        <f t="array" ref="T20">IFERROR(INDEX(Table2[Summers Matched],MATCH(1,(Table1[[#This Row],[Employer]]=Table2[EIW Name])*(Table1[[#This Row],[City, State]]=Table2[Offices Matched]),0)),"")</f>
        <v/>
      </c>
      <c r="U20" s="52" t="str">
        <f t="shared" si="0"/>
        <v/>
      </c>
      <c r="V20" s="60"/>
      <c r="W20" s="114">
        <v>42594</v>
      </c>
      <c r="X20"/>
    </row>
    <row r="21" spans="1:24" ht="14.1" customHeight="1">
      <c r="A21" s="45" t="s">
        <v>44</v>
      </c>
      <c r="B21" s="45" t="s">
        <v>364</v>
      </c>
      <c r="C21" s="45" t="s">
        <v>362</v>
      </c>
      <c r="D21" s="45" t="str">
        <f>Table1[[#This Row],[City]]&amp;", "&amp;Table1[[#This Row],[State]]</f>
        <v>New York, NY</v>
      </c>
      <c r="E21" s="49">
        <v>138</v>
      </c>
      <c r="F21" s="50">
        <v>68</v>
      </c>
      <c r="G21" s="50" t="str">
        <f t="array" ref="G21">IFERROR(INDEX(Table2[1st Year],MATCH(1,(Table1[[#This Row],[Employer]]=Table2[EIW Name])*(Table1[[#This Row],[City, State]]=Table2[Offices Matched]),0)),"")</f>
        <v>1st Year: $180K</v>
      </c>
      <c r="H21" s="51">
        <f>_xlfn.IFNA(INDEX(saCAGR[CAGR],MATCH(Table1[[#This Row],[Employer]],saCAGR[EIW Name],0)),"")</f>
        <v>1.0076633773889554</v>
      </c>
      <c r="I21" s="50">
        <f>IFERROR(Table1[[#This Row],[SA CAGR]]*Table1[[#This Row],[Number of Summer 2016 2L SAs]],"")</f>
        <v>68.521109662448964</v>
      </c>
      <c r="J21" s="50">
        <v>17</v>
      </c>
      <c r="K21" s="51">
        <f>IFERROR(Table1[[#This Row],[Number of Summer 2016 NYU 2L SAs]]/Table1[[#This Row],[Interview Slots]],0)</f>
        <v>0.12318840579710146</v>
      </c>
      <c r="L21" s="51">
        <f>Table1[[#This Row],[Number of Summer 2016 2L SAs]]/Table1[[#This Row],[Interview Slots]]</f>
        <v>0.49275362318840582</v>
      </c>
      <c r="M21" s="51">
        <f>IFERROR(Table1[[#This Row],[Number of Summer 2016 NYU 2L SAs]]/Table1[[#This Row],[Number of Summer 2016 2L SAs]],0)</f>
        <v>0.25</v>
      </c>
      <c r="N21" s="50" t="str">
        <f>IFERROR(RIGHT(Table1[[#This Row],[1st year]],LEN(Table1[[#This Row],[1st year]])-FIND(":",Table1[[#This Row],[1st year]])-1),"")</f>
        <v>$180K</v>
      </c>
      <c r="O21" s="50" t="str">
        <f t="array" ref="O21">IFERROR(INDEX(Table2[Nth year],MATCH(1,(Table1[[#This Row],[Employer]]=Table2[EIW Name])*(Table1[[#This Row],[City, State]]=Table2[Offices Matched]),0)),"")</f>
        <v>9th Year+: $325K</v>
      </c>
      <c r="P21" s="50" t="str">
        <f>IFERROR(RIGHT(Table1[[#This Row],[Nth year]],LEN(Table1[[#This Row],[Nth year]])-FIND(":",Table1[[#This Row],[Nth year]])-1),"")</f>
        <v>$325K</v>
      </c>
      <c r="Q21" s="50" t="str">
        <f t="array" ref="Q21">IFERROR(INDEX(Table2[Am Law 200 PPP Rank ’16],MATCH(1,(Table1[[#This Row],[Employer]]=Table2[EIW Name])*(Table1[[#This Row],[City, State]]=Table2[Offices Matched]),0)),"")</f>
        <v>17: $2.63M</v>
      </c>
      <c r="R21" s="50" t="str">
        <f>IFERROR(LEFT(Table1[[#This Row],[Am Law 200 PPP Rank ’16]],FIND(":",Table1[[#This Row],[Am Law 200 PPP Rank ’16]])-1),"")</f>
        <v>17</v>
      </c>
      <c r="S21" s="50">
        <f>IFERROR(INDEX(VaultRank[Rank],MATCH(Table1[[#This Row],[Employer]],VaultRank[EIW Name],0)),"")</f>
        <v>17</v>
      </c>
      <c r="T21" s="50" t="str">
        <f t="array" ref="T21">IFERROR(INDEX(Table2[Summers Matched],MATCH(1,(Table1[[#This Row],[Employer]]=Table2[EIW Name])*(Table1[[#This Row],[City, State]]=Table2[Offices Matched]),0)),"")</f>
        <v>Yes</v>
      </c>
      <c r="U21" s="52" t="str">
        <f t="shared" si="0"/>
        <v/>
      </c>
      <c r="V21" s="60"/>
      <c r="W21" s="114">
        <v>42593</v>
      </c>
      <c r="X21"/>
    </row>
    <row r="22" spans="1:24" ht="14.1" customHeight="1">
      <c r="A22" s="45" t="s">
        <v>318</v>
      </c>
      <c r="B22" s="45" t="s">
        <v>319</v>
      </c>
      <c r="C22" s="45" t="s">
        <v>320</v>
      </c>
      <c r="D22" s="45" t="str">
        <f>Table1[[#This Row],[City]]&amp;", "&amp;Table1[[#This Row],[State]]</f>
        <v>Hartford, CT</v>
      </c>
      <c r="E22" s="49">
        <v>42</v>
      </c>
      <c r="F22" s="50">
        <v>1</v>
      </c>
      <c r="G22" s="50" t="str">
        <f t="array" ref="G22">IFERROR(INDEX(Table2[1st Year],MATCH(1,(Table1[[#This Row],[Employer]]=Table2[EIW Name])*(Table1[[#This Row],[City, State]]=Table2[Offices Matched]),0)),"")</f>
        <v/>
      </c>
      <c r="H22" s="50">
        <f>_xlfn.IFNA(INDEX(saCAGR[CAGR],MATCH(Table1[[#This Row],[Employer]],saCAGR[EIW Name],0)),"")</f>
        <v>1.0129187947249467</v>
      </c>
      <c r="I22" s="50">
        <f>IFERROR(Table1[[#This Row],[SA CAGR]]*Table1[[#This Row],[Number of Summer 2016 2L SAs]],"")</f>
        <v>1.0129187947249467</v>
      </c>
      <c r="J22" s="50">
        <v>19</v>
      </c>
      <c r="K22" s="51">
        <f>IFERROR(Table1[[#This Row],[Number of Summer 2016 NYU 2L SAs]]/Table1[[#This Row],[Interview Slots]],0)</f>
        <v>0.45238095238095238</v>
      </c>
      <c r="L22" s="51">
        <f>Table1[[#This Row],[Number of Summer 2016 2L SAs]]/Table1[[#This Row],[Interview Slots]]</f>
        <v>2.3809523809523808E-2</v>
      </c>
      <c r="M22" s="51">
        <f>IFERROR(Table1[[#This Row],[Number of Summer 2016 NYU 2L SAs]]/Table1[[#This Row],[Number of Summer 2016 2L SAs]],0)</f>
        <v>19</v>
      </c>
      <c r="N22" s="50" t="str">
        <f>IFERROR(RIGHT(Table1[[#This Row],[1st year]],LEN(Table1[[#This Row],[1st year]])-FIND(":",Table1[[#This Row],[1st year]])-1),"")</f>
        <v/>
      </c>
      <c r="O22" s="50" t="str">
        <f t="array" ref="O22">IFERROR(INDEX(Table2[Nth year],MATCH(1,(Table1[[#This Row],[Employer]]=Table2[EIW Name])*(Table1[[#This Row],[City, State]]=Table2[Offices Matched]),0)),"")</f>
        <v/>
      </c>
      <c r="P22" s="50" t="str">
        <f>IFERROR(RIGHT(Table1[[#This Row],[Nth year]],LEN(Table1[[#This Row],[Nth year]])-FIND(":",Table1[[#This Row],[Nth year]])-1),"")</f>
        <v/>
      </c>
      <c r="Q22" s="50" t="str">
        <f t="array" ref="Q22">IFERROR(INDEX(Table2[Am Law 200 PPP Rank ’16],MATCH(1,(Table1[[#This Row],[Employer]]=Table2[EIW Name])*(Table1[[#This Row],[City, State]]=Table2[Offices Matched]),0)),"")</f>
        <v/>
      </c>
      <c r="R22" s="50" t="str">
        <f>IFERROR(LEFT(Table1[[#This Row],[Am Law 200 PPP Rank ’16]],FIND(":",Table1[[#This Row],[Am Law 200 PPP Rank ’16]])-1),"")</f>
        <v/>
      </c>
      <c r="S22" s="50" t="str">
        <f>IFERROR(INDEX(VaultRank[Rank],MATCH(Table1[[#This Row],[Employer]],VaultRank[EIW Name],0)),"")</f>
        <v/>
      </c>
      <c r="T22" s="50" t="str">
        <f t="array" ref="T22">IFERROR(INDEX(Table2[Summers Matched],MATCH(1,(Table1[[#This Row],[Employer]]=Table2[EIW Name])*(Table1[[#This Row],[City, State]]=Table2[Offices Matched]),0)),"")</f>
        <v/>
      </c>
      <c r="U22" s="52" t="str">
        <f t="shared" si="0"/>
        <v/>
      </c>
      <c r="V22" s="60"/>
      <c r="W22" s="114">
        <v>42592</v>
      </c>
      <c r="X22"/>
    </row>
    <row r="23" spans="1:24" ht="14.1" customHeight="1">
      <c r="A23" s="45" t="s">
        <v>318</v>
      </c>
      <c r="B23" s="45" t="s">
        <v>301</v>
      </c>
      <c r="C23" s="45" t="s">
        <v>302</v>
      </c>
      <c r="D23" s="45" t="str">
        <f>Table1[[#This Row],[City]]&amp;", "&amp;Table1[[#This Row],[State]]</f>
        <v>Washington, DC</v>
      </c>
      <c r="E23" s="49">
        <v>147</v>
      </c>
      <c r="F23" s="50">
        <v>1</v>
      </c>
      <c r="G23" s="50" t="str">
        <f t="array" ref="G23">IFERROR(INDEX(Table2[1st Year],MATCH(1,(Table1[[#This Row],[Employer]]=Table2[EIW Name])*(Table1[[#This Row],[City, State]]=Table2[Offices Matched]),0)),"")</f>
        <v/>
      </c>
      <c r="H23" s="50">
        <f>_xlfn.IFNA(INDEX(saCAGR[CAGR],MATCH(Table1[[#This Row],[Employer]],saCAGR[EIW Name],0)),"")</f>
        <v>1.0129187947249467</v>
      </c>
      <c r="I23" s="50">
        <f>IFERROR(Table1[[#This Row],[SA CAGR]]*Table1[[#This Row],[Number of Summer 2016 2L SAs]],"")</f>
        <v>1.0129187947249467</v>
      </c>
      <c r="J23" s="50">
        <v>6</v>
      </c>
      <c r="K23" s="51">
        <f>IFERROR(Table1[[#This Row],[Number of Summer 2016 NYU 2L SAs]]/Table1[[#This Row],[Interview Slots]],0)</f>
        <v>4.0816326530612242E-2</v>
      </c>
      <c r="L23" s="51">
        <f>Table1[[#This Row],[Number of Summer 2016 2L SAs]]/Table1[[#This Row],[Interview Slots]]</f>
        <v>6.8027210884353739E-3</v>
      </c>
      <c r="M23" s="51">
        <f>IFERROR(Table1[[#This Row],[Number of Summer 2016 NYU 2L SAs]]/Table1[[#This Row],[Number of Summer 2016 2L SAs]],0)</f>
        <v>6</v>
      </c>
      <c r="N23" s="50" t="str">
        <f>IFERROR(RIGHT(Table1[[#This Row],[1st year]],LEN(Table1[[#This Row],[1st year]])-FIND(":",Table1[[#This Row],[1st year]])-1),"")</f>
        <v/>
      </c>
      <c r="O23" s="50" t="str">
        <f t="array" ref="O23">IFERROR(INDEX(Table2[Nth year],MATCH(1,(Table1[[#This Row],[Employer]]=Table2[EIW Name])*(Table1[[#This Row],[City, State]]=Table2[Offices Matched]),0)),"")</f>
        <v/>
      </c>
      <c r="P23" s="50" t="str">
        <f>IFERROR(RIGHT(Table1[[#This Row],[Nth year]],LEN(Table1[[#This Row],[Nth year]])-FIND(":",Table1[[#This Row],[Nth year]])-1),"")</f>
        <v/>
      </c>
      <c r="Q23" s="50" t="str">
        <f t="array" ref="Q23">IFERROR(INDEX(Table2[Am Law 200 PPP Rank ’16],MATCH(1,(Table1[[#This Row],[Employer]]=Table2[EIW Name])*(Table1[[#This Row],[City, State]]=Table2[Offices Matched]),0)),"")</f>
        <v/>
      </c>
      <c r="R23" s="50" t="str">
        <f>IFERROR(LEFT(Table1[[#This Row],[Am Law 200 PPP Rank ’16]],FIND(":",Table1[[#This Row],[Am Law 200 PPP Rank ’16]])-1),"")</f>
        <v/>
      </c>
      <c r="S23" s="50" t="str">
        <f>IFERROR(INDEX(VaultRank[Rank],MATCH(Table1[[#This Row],[Employer]],VaultRank[EIW Name],0)),"")</f>
        <v/>
      </c>
      <c r="T23" s="50" t="str">
        <f t="array" ref="T23">IFERROR(INDEX(Table2[Summers Matched],MATCH(1,(Table1[[#This Row],[Employer]]=Table2[EIW Name])*(Table1[[#This Row],[City, State]]=Table2[Offices Matched]),0)),"")</f>
        <v/>
      </c>
      <c r="U23" s="52">
        <f t="shared" si="0"/>
        <v>3.6</v>
      </c>
      <c r="V23" s="60"/>
      <c r="W23" s="114">
        <v>42594</v>
      </c>
      <c r="X23"/>
    </row>
    <row r="24" spans="1:24" ht="14.1" customHeight="1">
      <c r="A24" s="45" t="s">
        <v>321</v>
      </c>
      <c r="B24" s="45" t="s">
        <v>303</v>
      </c>
      <c r="C24" s="45" t="s">
        <v>304</v>
      </c>
      <c r="D24" s="45" t="str">
        <f>Table1[[#This Row],[City]]&amp;", "&amp;Table1[[#This Row],[State]]</f>
        <v>Chicago, IL</v>
      </c>
      <c r="E24" s="49">
        <v>41</v>
      </c>
      <c r="F24" s="50">
        <v>16</v>
      </c>
      <c r="G24" s="50" t="str">
        <f t="array" ref="G24">IFERROR(INDEX(Table2[1st Year],MATCH(1,(Table1[[#This Row],[Employer]]=Table2[EIW Name])*(Table1[[#This Row],[City, State]]=Table2[Offices Matched]),0)),"")</f>
        <v/>
      </c>
      <c r="H24" s="51">
        <f>_xlfn.IFNA(INDEX(saCAGR[CAGR],MATCH(Table1[[#This Row],[Employer]],saCAGR[EIW Name],0)),"")</f>
        <v>1.0082569866034281</v>
      </c>
      <c r="I24" s="50">
        <f>IFERROR(Table1[[#This Row],[SA CAGR]]*Table1[[#This Row],[Number of Summer 2016 2L SAs]],"")</f>
        <v>16.13211178565485</v>
      </c>
      <c r="J24" s="50">
        <v>5</v>
      </c>
      <c r="K24" s="51">
        <f>IFERROR(Table1[[#This Row],[Number of Summer 2016 NYU 2L SAs]]/Table1[[#This Row],[Interview Slots]],0)</f>
        <v>0.12195121951219512</v>
      </c>
      <c r="L24" s="51">
        <f>Table1[[#This Row],[Number of Summer 2016 2L SAs]]/Table1[[#This Row],[Interview Slots]]</f>
        <v>0.3902439024390244</v>
      </c>
      <c r="M24" s="51">
        <f>IFERROR(Table1[[#This Row],[Number of Summer 2016 NYU 2L SAs]]/Table1[[#This Row],[Number of Summer 2016 2L SAs]],0)</f>
        <v>0.3125</v>
      </c>
      <c r="N24" s="50" t="s">
        <v>651</v>
      </c>
      <c r="O24" s="50" t="str">
        <f t="array" ref="O24">IFERROR(INDEX(Table2[Nth year],MATCH(1,(Table1[[#This Row],[Employer]]=Table2[EIW Name])*(Table1[[#This Row],[City, State]]=Table2[Offices Matched]),0)),"")</f>
        <v/>
      </c>
      <c r="P24" s="50" t="str">
        <f>IFERROR(RIGHT(Table1[[#This Row],[Nth year]],LEN(Table1[[#This Row],[Nth year]])-FIND(":",Table1[[#This Row],[Nth year]])-1),"")</f>
        <v/>
      </c>
      <c r="Q24" s="50" t="str">
        <f t="array" ref="Q24">IFERROR(INDEX(Table2[Am Law 200 PPP Rank ’16],MATCH(1,(Table1[[#This Row],[Employer]]=Table2[EIW Name])*(Table1[[#This Row],[City, State]]=Table2[Offices Matched]),0)),"")</f>
        <v/>
      </c>
      <c r="R24" s="50" t="str">
        <f>IFERROR(LEFT(Table1[[#This Row],[Am Law 200 PPP Rank ’16]],FIND(":",Table1[[#This Row],[Am Law 200 PPP Rank ’16]])-1),"")</f>
        <v/>
      </c>
      <c r="S24" s="50">
        <f>IFERROR(INDEX(VaultRank[Rank],MATCH(Table1[[#This Row],[Employer]],VaultRank[EIW Name],0)),"")</f>
        <v>18</v>
      </c>
      <c r="T24" s="50" t="str">
        <f t="array" ref="T24">IFERROR(INDEX(Table2[Summers Matched],MATCH(1,(Table1[[#This Row],[Employer]]=Table2[EIW Name])*(Table1[[#This Row],[City, State]]=Table2[Offices Matched]),0)),"")</f>
        <v/>
      </c>
      <c r="U24" s="52" t="str">
        <f t="shared" si="0"/>
        <v/>
      </c>
      <c r="V24" s="60"/>
      <c r="W24" s="114">
        <v>42592</v>
      </c>
      <c r="X24"/>
    </row>
    <row r="25" spans="1:24" ht="14.1" customHeight="1">
      <c r="A25" s="45" t="s">
        <v>322</v>
      </c>
      <c r="B25" s="45" t="s">
        <v>299</v>
      </c>
      <c r="C25" s="45" t="s">
        <v>300</v>
      </c>
      <c r="D25" s="45" t="str">
        <f>Table1[[#This Row],[City]]&amp;", "&amp;Table1[[#This Row],[State]]</f>
        <v>Los Angeles, CA</v>
      </c>
      <c r="E25" s="49">
        <v>183</v>
      </c>
      <c r="F25" s="50">
        <v>3</v>
      </c>
      <c r="G25" s="50" t="str">
        <f t="array" ref="G25">IFERROR(INDEX(Table2[1st Year],MATCH(1,(Table1[[#This Row],[Employer]]=Table2[EIW Name])*(Table1[[#This Row],[City, State]]=Table2[Offices Matched]),0)),"")</f>
        <v/>
      </c>
      <c r="H25" s="50" t="str">
        <f>_xlfn.IFNA(INDEX(saCAGR[CAGR],MATCH(Table1[[#This Row],[Employer]],saCAGR[EIW Name],0)),"")</f>
        <v/>
      </c>
      <c r="I25" s="50" t="str">
        <f>IFERROR(Table1[[#This Row],[SA CAGR]]*Table1[[#This Row],[Number of Summer 2016 2L SAs]],"")</f>
        <v/>
      </c>
      <c r="J25" s="50">
        <v>10</v>
      </c>
      <c r="K25" s="51">
        <f>IFERROR(Table1[[#This Row],[Number of Summer 2016 NYU 2L SAs]]/Table1[[#This Row],[Interview Slots]],0)</f>
        <v>5.4644808743169397E-2</v>
      </c>
      <c r="L25" s="51">
        <f>Table1[[#This Row],[Number of Summer 2016 2L SAs]]/Table1[[#This Row],[Interview Slots]]</f>
        <v>1.6393442622950821E-2</v>
      </c>
      <c r="M25" s="51">
        <f>IFERROR(Table1[[#This Row],[Number of Summer 2016 NYU 2L SAs]]/Table1[[#This Row],[Number of Summer 2016 2L SAs]],0)</f>
        <v>3.3333333333333335</v>
      </c>
      <c r="N25" s="50" t="str">
        <f>IFERROR(RIGHT(Table1[[#This Row],[1st year]],LEN(Table1[[#This Row],[1st year]])-FIND(":",Table1[[#This Row],[1st year]])-1),"")</f>
        <v/>
      </c>
      <c r="O25" s="50" t="str">
        <f t="array" ref="O25">IFERROR(INDEX(Table2[Nth year],MATCH(1,(Table1[[#This Row],[Employer]]=Table2[EIW Name])*(Table1[[#This Row],[City, State]]=Table2[Offices Matched]),0)),"")</f>
        <v/>
      </c>
      <c r="P25" s="50" t="str">
        <f>IFERROR(RIGHT(Table1[[#This Row],[Nth year]],LEN(Table1[[#This Row],[Nth year]])-FIND(":",Table1[[#This Row],[Nth year]])-1),"")</f>
        <v/>
      </c>
      <c r="Q25" s="50" t="str">
        <f t="array" ref="Q25">IFERROR(INDEX(Table2[Am Law 200 PPP Rank ’16],MATCH(1,(Table1[[#This Row],[Employer]]=Table2[EIW Name])*(Table1[[#This Row],[City, State]]=Table2[Offices Matched]),0)),"")</f>
        <v/>
      </c>
      <c r="R25" s="50" t="str">
        <f>IFERROR(LEFT(Table1[[#This Row],[Am Law 200 PPP Rank ’16]],FIND(":",Table1[[#This Row],[Am Law 200 PPP Rank ’16]])-1),"")</f>
        <v/>
      </c>
      <c r="S25" s="50">
        <f>IFERROR(INDEX(VaultRank[Rank],MATCH(Table1[[#This Row],[Employer]],VaultRank[EIW Name],0)),"")</f>
        <v>63</v>
      </c>
      <c r="T25" s="50" t="str">
        <f t="array" ref="T25">IFERROR(INDEX(Table2[Summers Matched],MATCH(1,(Table1[[#This Row],[Employer]]=Table2[EIW Name])*(Table1[[#This Row],[City, State]]=Table2[Offices Matched]),0)),"")</f>
        <v/>
      </c>
      <c r="U25" s="52" t="str">
        <f t="shared" si="0"/>
        <v/>
      </c>
      <c r="V25" s="60"/>
      <c r="W25" s="114">
        <v>42593</v>
      </c>
      <c r="X25"/>
    </row>
    <row r="26" spans="1:24" ht="14.1" customHeight="1">
      <c r="A26" s="45" t="s">
        <v>322</v>
      </c>
      <c r="B26" s="45" t="s">
        <v>301</v>
      </c>
      <c r="C26" s="45" t="s">
        <v>302</v>
      </c>
      <c r="D26" s="45" t="str">
        <f>Table1[[#This Row],[City]]&amp;", "&amp;Table1[[#This Row],[State]]</f>
        <v>Washington, DC</v>
      </c>
      <c r="E26" s="49">
        <v>143</v>
      </c>
      <c r="F26" s="50">
        <v>3</v>
      </c>
      <c r="G26" s="50" t="str">
        <f t="array" ref="G26">IFERROR(INDEX(Table2[1st Year],MATCH(1,(Table1[[#This Row],[Employer]]=Table2[EIW Name])*(Table1[[#This Row],[City, State]]=Table2[Offices Matched]),0)),"")</f>
        <v/>
      </c>
      <c r="H26" s="50" t="str">
        <f>_xlfn.IFNA(INDEX(saCAGR[CAGR],MATCH(Table1[[#This Row],[Employer]],saCAGR[EIW Name],0)),"")</f>
        <v/>
      </c>
      <c r="I26" s="50" t="str">
        <f>IFERROR(Table1[[#This Row],[SA CAGR]]*Table1[[#This Row],[Number of Summer 2016 2L SAs]],"")</f>
        <v/>
      </c>
      <c r="J26" s="50">
        <v>21</v>
      </c>
      <c r="K26" s="51">
        <f>IFERROR(Table1[[#This Row],[Number of Summer 2016 NYU 2L SAs]]/Table1[[#This Row],[Interview Slots]],0)</f>
        <v>0.14685314685314685</v>
      </c>
      <c r="L26" s="51">
        <f>Table1[[#This Row],[Number of Summer 2016 2L SAs]]/Table1[[#This Row],[Interview Slots]]</f>
        <v>2.097902097902098E-2</v>
      </c>
      <c r="M26" s="51">
        <f>IFERROR(Table1[[#This Row],[Number of Summer 2016 NYU 2L SAs]]/Table1[[#This Row],[Number of Summer 2016 2L SAs]],0)</f>
        <v>7</v>
      </c>
      <c r="N26" s="50" t="str">
        <f>IFERROR(RIGHT(Table1[[#This Row],[1st year]],LEN(Table1[[#This Row],[1st year]])-FIND(":",Table1[[#This Row],[1st year]])-1),"")</f>
        <v/>
      </c>
      <c r="O26" s="50" t="str">
        <f t="array" ref="O26">IFERROR(INDEX(Table2[Nth year],MATCH(1,(Table1[[#This Row],[Employer]]=Table2[EIW Name])*(Table1[[#This Row],[City, State]]=Table2[Offices Matched]),0)),"")</f>
        <v/>
      </c>
      <c r="P26" s="50" t="str">
        <f>IFERROR(RIGHT(Table1[[#This Row],[Nth year]],LEN(Table1[[#This Row],[Nth year]])-FIND(":",Table1[[#This Row],[Nth year]])-1),"")</f>
        <v/>
      </c>
      <c r="Q26" s="50" t="str">
        <f t="array" ref="Q26">IFERROR(INDEX(Table2[Am Law 200 PPP Rank ’16],MATCH(1,(Table1[[#This Row],[Employer]]=Table2[EIW Name])*(Table1[[#This Row],[City, State]]=Table2[Offices Matched]),0)),"")</f>
        <v/>
      </c>
      <c r="R26" s="50" t="str">
        <f>IFERROR(LEFT(Table1[[#This Row],[Am Law 200 PPP Rank ’16]],FIND(":",Table1[[#This Row],[Am Law 200 PPP Rank ’16]])-1),"")</f>
        <v/>
      </c>
      <c r="S26" s="50">
        <f>IFERROR(INDEX(VaultRank[Rank],MATCH(Table1[[#This Row],[Employer]],VaultRank[EIW Name],0)),"")</f>
        <v>63</v>
      </c>
      <c r="T26" s="50" t="str">
        <f t="array" ref="T26">IFERROR(INDEX(Table2[Summers Matched],MATCH(1,(Table1[[#This Row],[Employer]]=Table2[EIW Name])*(Table1[[#This Row],[City, State]]=Table2[Offices Matched]),0)),"")</f>
        <v/>
      </c>
      <c r="U26" s="52" t="str">
        <f t="shared" si="0"/>
        <v/>
      </c>
      <c r="V26" s="60"/>
      <c r="W26" s="114">
        <v>42594</v>
      </c>
      <c r="X26"/>
    </row>
    <row r="27" spans="1:24" ht="14.1" customHeight="1">
      <c r="A27" s="45" t="s">
        <v>322</v>
      </c>
      <c r="B27" s="45" t="s">
        <v>323</v>
      </c>
      <c r="C27" s="45" t="s">
        <v>324</v>
      </c>
      <c r="D27" s="45" t="str">
        <f>Table1[[#This Row],[City]]&amp;", "&amp;Table1[[#This Row],[State]]</f>
        <v>Orlando, FL</v>
      </c>
      <c r="E27" s="49">
        <v>34</v>
      </c>
      <c r="F27" s="50">
        <v>3</v>
      </c>
      <c r="G27" s="50" t="str">
        <f t="array" ref="G27">IFERROR(INDEX(Table2[1st Year],MATCH(1,(Table1[[#This Row],[Employer]]=Table2[EIW Name])*(Table1[[#This Row],[City, State]]=Table2[Offices Matched]),0)),"")</f>
        <v/>
      </c>
      <c r="H27" s="50" t="str">
        <f>_xlfn.IFNA(INDEX(saCAGR[CAGR],MATCH(Table1[[#This Row],[Employer]],saCAGR[EIW Name],0)),"")</f>
        <v/>
      </c>
      <c r="I27" s="50" t="str">
        <f>IFERROR(Table1[[#This Row],[SA CAGR]]*Table1[[#This Row],[Number of Summer 2016 2L SAs]],"")</f>
        <v/>
      </c>
      <c r="J27" s="50">
        <v>20</v>
      </c>
      <c r="K27" s="51">
        <f>IFERROR(Table1[[#This Row],[Number of Summer 2016 NYU 2L SAs]]/Table1[[#This Row],[Interview Slots]],0)</f>
        <v>0.58823529411764708</v>
      </c>
      <c r="L27" s="51">
        <f>Table1[[#This Row],[Number of Summer 2016 2L SAs]]/Table1[[#This Row],[Interview Slots]]</f>
        <v>8.8235294117647065E-2</v>
      </c>
      <c r="M27" s="51">
        <f>IFERROR(Table1[[#This Row],[Number of Summer 2016 NYU 2L SAs]]/Table1[[#This Row],[Number of Summer 2016 2L SAs]],0)</f>
        <v>6.666666666666667</v>
      </c>
      <c r="N27" s="50" t="str">
        <f>IFERROR(RIGHT(Table1[[#This Row],[1st year]],LEN(Table1[[#This Row],[1st year]])-FIND(":",Table1[[#This Row],[1st year]])-1),"")</f>
        <v/>
      </c>
      <c r="O27" s="50" t="str">
        <f t="array" ref="O27">IFERROR(INDEX(Table2[Nth year],MATCH(1,(Table1[[#This Row],[Employer]]=Table2[EIW Name])*(Table1[[#This Row],[City, State]]=Table2[Offices Matched]),0)),"")</f>
        <v/>
      </c>
      <c r="P27" s="50" t="str">
        <f>IFERROR(RIGHT(Table1[[#This Row],[Nth year]],LEN(Table1[[#This Row],[Nth year]])-FIND(":",Table1[[#This Row],[Nth year]])-1),"")</f>
        <v/>
      </c>
      <c r="Q27" s="50" t="str">
        <f t="array" ref="Q27">IFERROR(INDEX(Table2[Am Law 200 PPP Rank ’16],MATCH(1,(Table1[[#This Row],[Employer]]=Table2[EIW Name])*(Table1[[#This Row],[City, State]]=Table2[Offices Matched]),0)),"")</f>
        <v/>
      </c>
      <c r="R27" s="50" t="str">
        <f>IFERROR(LEFT(Table1[[#This Row],[Am Law 200 PPP Rank ’16]],FIND(":",Table1[[#This Row],[Am Law 200 PPP Rank ’16]])-1),"")</f>
        <v/>
      </c>
      <c r="S27" s="50">
        <f>IFERROR(INDEX(VaultRank[Rank],MATCH(Table1[[#This Row],[Employer]],VaultRank[EIW Name],0)),"")</f>
        <v>63</v>
      </c>
      <c r="T27" s="50" t="str">
        <f t="array" ref="T27">IFERROR(INDEX(Table2[Summers Matched],MATCH(1,(Table1[[#This Row],[Employer]]=Table2[EIW Name])*(Table1[[#This Row],[City, State]]=Table2[Offices Matched]),0)),"")</f>
        <v/>
      </c>
      <c r="U27" s="52" t="str">
        <f t="shared" si="0"/>
        <v/>
      </c>
      <c r="V27" s="60"/>
      <c r="W27" s="114">
        <v>42592</v>
      </c>
      <c r="X27"/>
    </row>
    <row r="28" spans="1:24" ht="14.1" customHeight="1">
      <c r="A28" s="45" t="s">
        <v>322</v>
      </c>
      <c r="B28" s="45" t="s">
        <v>308</v>
      </c>
      <c r="C28" s="45" t="s">
        <v>309</v>
      </c>
      <c r="D28" s="45" t="str">
        <f>Table1[[#This Row],[City]]&amp;", "&amp;Table1[[#This Row],[State]]</f>
        <v>Atlanta, GA</v>
      </c>
      <c r="E28" s="49">
        <v>150</v>
      </c>
      <c r="F28" s="50">
        <v>5</v>
      </c>
      <c r="G28" s="50" t="str">
        <f t="array" ref="G28">IFERROR(INDEX(Table2[1st Year],MATCH(1,(Table1[[#This Row],[Employer]]=Table2[EIW Name])*(Table1[[#This Row],[City, State]]=Table2[Offices Matched]),0)),"")</f>
        <v/>
      </c>
      <c r="H28" s="50" t="str">
        <f>_xlfn.IFNA(INDEX(saCAGR[CAGR],MATCH(Table1[[#This Row],[Employer]],saCAGR[EIW Name],0)),"")</f>
        <v/>
      </c>
      <c r="I28" s="50" t="str">
        <f>IFERROR(Table1[[#This Row],[SA CAGR]]*Table1[[#This Row],[Number of Summer 2016 2L SAs]],"")</f>
        <v/>
      </c>
      <c r="J28" s="50">
        <v>10</v>
      </c>
      <c r="K28" s="51">
        <f>IFERROR(Table1[[#This Row],[Number of Summer 2016 NYU 2L SAs]]/Table1[[#This Row],[Interview Slots]],0)</f>
        <v>6.6666666666666666E-2</v>
      </c>
      <c r="L28" s="51">
        <f>Table1[[#This Row],[Number of Summer 2016 2L SAs]]/Table1[[#This Row],[Interview Slots]]</f>
        <v>3.3333333333333333E-2</v>
      </c>
      <c r="M28" s="51">
        <f>IFERROR(Table1[[#This Row],[Number of Summer 2016 NYU 2L SAs]]/Table1[[#This Row],[Number of Summer 2016 2L SAs]],0)</f>
        <v>2</v>
      </c>
      <c r="N28" s="50" t="str">
        <f>IFERROR(RIGHT(Table1[[#This Row],[1st year]],LEN(Table1[[#This Row],[1st year]])-FIND(":",Table1[[#This Row],[1st year]])-1),"")</f>
        <v/>
      </c>
      <c r="O28" s="50" t="str">
        <f t="array" ref="O28">IFERROR(INDEX(Table2[Nth year],MATCH(1,(Table1[[#This Row],[Employer]]=Table2[EIW Name])*(Table1[[#This Row],[City, State]]=Table2[Offices Matched]),0)),"")</f>
        <v/>
      </c>
      <c r="P28" s="50" t="str">
        <f>IFERROR(RIGHT(Table1[[#This Row],[Nth year]],LEN(Table1[[#This Row],[Nth year]])-FIND(":",Table1[[#This Row],[Nth year]])-1),"")</f>
        <v/>
      </c>
      <c r="Q28" s="50" t="str">
        <f t="array" ref="Q28">IFERROR(INDEX(Table2[Am Law 200 PPP Rank ’16],MATCH(1,(Table1[[#This Row],[Employer]]=Table2[EIW Name])*(Table1[[#This Row],[City, State]]=Table2[Offices Matched]),0)),"")</f>
        <v/>
      </c>
      <c r="R28" s="50" t="str">
        <f>IFERROR(LEFT(Table1[[#This Row],[Am Law 200 PPP Rank ’16]],FIND(":",Table1[[#This Row],[Am Law 200 PPP Rank ’16]])-1),"")</f>
        <v/>
      </c>
      <c r="S28" s="50">
        <f>IFERROR(INDEX(VaultRank[Rank],MATCH(Table1[[#This Row],[Employer]],VaultRank[EIW Name],0)),"")</f>
        <v>63</v>
      </c>
      <c r="T28" s="50" t="str">
        <f t="array" ref="T28">IFERROR(INDEX(Table2[Summers Matched],MATCH(1,(Table1[[#This Row],[Employer]]=Table2[EIW Name])*(Table1[[#This Row],[City, State]]=Table2[Offices Matched]),0)),"")</f>
        <v/>
      </c>
      <c r="U28" s="52" t="str">
        <f t="shared" si="0"/>
        <v/>
      </c>
      <c r="V28" s="60"/>
      <c r="W28" s="114">
        <v>42594</v>
      </c>
      <c r="X28"/>
    </row>
    <row r="29" spans="1:24" ht="14.1" customHeight="1">
      <c r="A29" s="45" t="s">
        <v>322</v>
      </c>
      <c r="B29" s="45" t="s">
        <v>325</v>
      </c>
      <c r="C29" s="45" t="s">
        <v>326</v>
      </c>
      <c r="D29" s="45" t="str">
        <f>Table1[[#This Row],[City]]&amp;", "&amp;Table1[[#This Row],[State]]</f>
        <v>Cincinnati, OH</v>
      </c>
      <c r="E29" s="49">
        <v>117</v>
      </c>
      <c r="F29" s="50">
        <v>0</v>
      </c>
      <c r="G29" s="50" t="str">
        <f t="array" ref="G29">IFERROR(INDEX(Table2[1st Year],MATCH(1,(Table1[[#This Row],[Employer]]=Table2[EIW Name])*(Table1[[#This Row],[City, State]]=Table2[Offices Matched]),0)),"")</f>
        <v/>
      </c>
      <c r="H29" s="50" t="str">
        <f>_xlfn.IFNA(INDEX(saCAGR[CAGR],MATCH(Table1[[#This Row],[Employer]],saCAGR[EIW Name],0)),"")</f>
        <v/>
      </c>
      <c r="I29" s="50" t="str">
        <f>IFERROR(Table1[[#This Row],[SA CAGR]]*Table1[[#This Row],[Number of Summer 2016 2L SAs]],"")</f>
        <v/>
      </c>
      <c r="J29" s="50">
        <v>17</v>
      </c>
      <c r="K29" s="51">
        <f>IFERROR(Table1[[#This Row],[Number of Summer 2016 NYU 2L SAs]]/Table1[[#This Row],[Interview Slots]],0)</f>
        <v>0.14529914529914531</v>
      </c>
      <c r="L29" s="51">
        <f>Table1[[#This Row],[Number of Summer 2016 2L SAs]]/Table1[[#This Row],[Interview Slots]]</f>
        <v>0</v>
      </c>
      <c r="M29" s="51">
        <f>IFERROR(Table1[[#This Row],[Number of Summer 2016 NYU 2L SAs]]/Table1[[#This Row],[Number of Summer 2016 2L SAs]],0)</f>
        <v>0</v>
      </c>
      <c r="N29" s="50" t="str">
        <f>IFERROR(RIGHT(Table1[[#This Row],[1st year]],LEN(Table1[[#This Row],[1st year]])-FIND(":",Table1[[#This Row],[1st year]])-1),"")</f>
        <v/>
      </c>
      <c r="O29" s="50" t="str">
        <f t="array" ref="O29">IFERROR(INDEX(Table2[Nth year],MATCH(1,(Table1[[#This Row],[Employer]]=Table2[EIW Name])*(Table1[[#This Row],[City, State]]=Table2[Offices Matched]),0)),"")</f>
        <v/>
      </c>
      <c r="P29" s="50" t="str">
        <f>IFERROR(RIGHT(Table1[[#This Row],[Nth year]],LEN(Table1[[#This Row],[Nth year]])-FIND(":",Table1[[#This Row],[Nth year]])-1),"")</f>
        <v/>
      </c>
      <c r="Q29" s="50" t="str">
        <f t="array" ref="Q29">IFERROR(INDEX(Table2[Am Law 200 PPP Rank ’16],MATCH(1,(Table1[[#This Row],[Employer]]=Table2[EIW Name])*(Table1[[#This Row],[City, State]]=Table2[Offices Matched]),0)),"")</f>
        <v/>
      </c>
      <c r="R29" s="50" t="str">
        <f>IFERROR(LEFT(Table1[[#This Row],[Am Law 200 PPP Rank ’16]],FIND(":",Table1[[#This Row],[Am Law 200 PPP Rank ’16]])-1),"")</f>
        <v/>
      </c>
      <c r="S29" s="50">
        <f>IFERROR(INDEX(VaultRank[Rank],MATCH(Table1[[#This Row],[Employer]],VaultRank[EIW Name],0)),"")</f>
        <v>63</v>
      </c>
      <c r="T29" s="50" t="str">
        <f t="array" ref="T29">IFERROR(INDEX(Table2[Summers Matched],MATCH(1,(Table1[[#This Row],[Employer]]=Table2[EIW Name])*(Table1[[#This Row],[City, State]]=Table2[Offices Matched]),0)),"")</f>
        <v/>
      </c>
      <c r="U29" s="52" t="str">
        <f t="shared" si="0"/>
        <v/>
      </c>
      <c r="V29" s="60"/>
      <c r="W29" s="114">
        <v>42593</v>
      </c>
      <c r="X29"/>
    </row>
    <row r="30" spans="1:24" ht="14.1" customHeight="1">
      <c r="A30" s="45" t="s">
        <v>322</v>
      </c>
      <c r="B30" s="45" t="s">
        <v>327</v>
      </c>
      <c r="C30" s="45" t="s">
        <v>326</v>
      </c>
      <c r="D30" s="45" t="str">
        <f>Table1[[#This Row],[City]]&amp;", "&amp;Table1[[#This Row],[State]]</f>
        <v>Cleveland, OH</v>
      </c>
      <c r="E30" s="49">
        <v>22</v>
      </c>
      <c r="F30" s="50">
        <v>5</v>
      </c>
      <c r="G30" s="50" t="str">
        <f t="array" ref="G30">IFERROR(INDEX(Table2[1st Year],MATCH(1,(Table1[[#This Row],[Employer]]=Table2[EIW Name])*(Table1[[#This Row],[City, State]]=Table2[Offices Matched]),0)),"")</f>
        <v/>
      </c>
      <c r="H30" s="50" t="str">
        <f>_xlfn.IFNA(INDEX(saCAGR[CAGR],MATCH(Table1[[#This Row],[Employer]],saCAGR[EIW Name],0)),"")</f>
        <v/>
      </c>
      <c r="I30" s="50" t="str">
        <f>IFERROR(Table1[[#This Row],[SA CAGR]]*Table1[[#This Row],[Number of Summer 2016 2L SAs]],"")</f>
        <v/>
      </c>
      <c r="J30" s="50">
        <v>18</v>
      </c>
      <c r="K30" s="51">
        <f>IFERROR(Table1[[#This Row],[Number of Summer 2016 NYU 2L SAs]]/Table1[[#This Row],[Interview Slots]],0)</f>
        <v>0.81818181818181823</v>
      </c>
      <c r="L30" s="51">
        <f>Table1[[#This Row],[Number of Summer 2016 2L SAs]]/Table1[[#This Row],[Interview Slots]]</f>
        <v>0.22727272727272727</v>
      </c>
      <c r="M30" s="51">
        <f>IFERROR(Table1[[#This Row],[Number of Summer 2016 NYU 2L SAs]]/Table1[[#This Row],[Number of Summer 2016 2L SAs]],0)</f>
        <v>3.6</v>
      </c>
      <c r="N30" s="50" t="str">
        <f>IFERROR(RIGHT(Table1[[#This Row],[1st year]],LEN(Table1[[#This Row],[1st year]])-FIND(":",Table1[[#This Row],[1st year]])-1),"")</f>
        <v/>
      </c>
      <c r="O30" s="50" t="str">
        <f t="array" ref="O30">IFERROR(INDEX(Table2[Nth year],MATCH(1,(Table1[[#This Row],[Employer]]=Table2[EIW Name])*(Table1[[#This Row],[City, State]]=Table2[Offices Matched]),0)),"")</f>
        <v/>
      </c>
      <c r="P30" s="50" t="str">
        <f>IFERROR(RIGHT(Table1[[#This Row],[Nth year]],LEN(Table1[[#This Row],[Nth year]])-FIND(":",Table1[[#This Row],[Nth year]])-1),"")</f>
        <v/>
      </c>
      <c r="Q30" s="50" t="str">
        <f t="array" ref="Q30">IFERROR(INDEX(Table2[Am Law 200 PPP Rank ’16],MATCH(1,(Table1[[#This Row],[Employer]]=Table2[EIW Name])*(Table1[[#This Row],[City, State]]=Table2[Offices Matched]),0)),"")</f>
        <v/>
      </c>
      <c r="R30" s="50" t="str">
        <f>IFERROR(LEFT(Table1[[#This Row],[Am Law 200 PPP Rank ’16]],FIND(":",Table1[[#This Row],[Am Law 200 PPP Rank ’16]])-1),"")</f>
        <v/>
      </c>
      <c r="S30" s="50">
        <f>IFERROR(INDEX(VaultRank[Rank],MATCH(Table1[[#This Row],[Employer]],VaultRank[EIW Name],0)),"")</f>
        <v>63</v>
      </c>
      <c r="T30" s="50" t="str">
        <f t="array" ref="T30">IFERROR(INDEX(Table2[Summers Matched],MATCH(1,(Table1[[#This Row],[Employer]]=Table2[EIW Name])*(Table1[[#This Row],[City, State]]=Table2[Offices Matched]),0)),"")</f>
        <v/>
      </c>
      <c r="U30" s="52" t="str">
        <f t="shared" si="0"/>
        <v/>
      </c>
      <c r="V30" s="60"/>
      <c r="W30" s="114">
        <v>42592</v>
      </c>
      <c r="X30"/>
    </row>
    <row r="31" spans="1:24" ht="14.1" customHeight="1">
      <c r="A31" s="45" t="s">
        <v>322</v>
      </c>
      <c r="B31" s="45" t="s">
        <v>328</v>
      </c>
      <c r="C31" s="45" t="s">
        <v>326</v>
      </c>
      <c r="D31" s="45" t="str">
        <f>Table1[[#This Row],[City]]&amp;", "&amp;Table1[[#This Row],[State]]</f>
        <v>Columbus, OH</v>
      </c>
      <c r="E31" s="49">
        <v>149</v>
      </c>
      <c r="F31" s="50">
        <v>3</v>
      </c>
      <c r="G31" s="50" t="str">
        <f t="array" ref="G31">IFERROR(INDEX(Table2[1st Year],MATCH(1,(Table1[[#This Row],[Employer]]=Table2[EIW Name])*(Table1[[#This Row],[City, State]]=Table2[Offices Matched]),0)),"")</f>
        <v/>
      </c>
      <c r="H31" s="50" t="str">
        <f>_xlfn.IFNA(INDEX(saCAGR[CAGR],MATCH(Table1[[#This Row],[Employer]],saCAGR[EIW Name],0)),"")</f>
        <v/>
      </c>
      <c r="I31" s="50" t="str">
        <f>IFERROR(Table1[[#This Row],[SA CAGR]]*Table1[[#This Row],[Number of Summer 2016 2L SAs]],"")</f>
        <v/>
      </c>
      <c r="J31" s="50">
        <v>22</v>
      </c>
      <c r="K31" s="51">
        <f>IFERROR(Table1[[#This Row],[Number of Summer 2016 NYU 2L SAs]]/Table1[[#This Row],[Interview Slots]],0)</f>
        <v>0.1476510067114094</v>
      </c>
      <c r="L31" s="51">
        <f>Table1[[#This Row],[Number of Summer 2016 2L SAs]]/Table1[[#This Row],[Interview Slots]]</f>
        <v>2.0134228187919462E-2</v>
      </c>
      <c r="M31" s="51">
        <f>IFERROR(Table1[[#This Row],[Number of Summer 2016 NYU 2L SAs]]/Table1[[#This Row],[Number of Summer 2016 2L SAs]],0)</f>
        <v>7.333333333333333</v>
      </c>
      <c r="N31" s="50" t="str">
        <f>IFERROR(RIGHT(Table1[[#This Row],[1st year]],LEN(Table1[[#This Row],[1st year]])-FIND(":",Table1[[#This Row],[1st year]])-1),"")</f>
        <v/>
      </c>
      <c r="O31" s="50" t="str">
        <f t="array" ref="O31">IFERROR(INDEX(Table2[Nth year],MATCH(1,(Table1[[#This Row],[Employer]]=Table2[EIW Name])*(Table1[[#This Row],[City, State]]=Table2[Offices Matched]),0)),"")</f>
        <v/>
      </c>
      <c r="P31" s="50" t="str">
        <f>IFERROR(RIGHT(Table1[[#This Row],[Nth year]],LEN(Table1[[#This Row],[Nth year]])-FIND(":",Table1[[#This Row],[Nth year]])-1),"")</f>
        <v/>
      </c>
      <c r="Q31" s="50" t="str">
        <f t="array" ref="Q31">IFERROR(INDEX(Table2[Am Law 200 PPP Rank ’16],MATCH(1,(Table1[[#This Row],[Employer]]=Table2[EIW Name])*(Table1[[#This Row],[City, State]]=Table2[Offices Matched]),0)),"")</f>
        <v/>
      </c>
      <c r="R31" s="50" t="str">
        <f>IFERROR(LEFT(Table1[[#This Row],[Am Law 200 PPP Rank ’16]],FIND(":",Table1[[#This Row],[Am Law 200 PPP Rank ’16]])-1),"")</f>
        <v/>
      </c>
      <c r="S31" s="50">
        <f>IFERROR(INDEX(VaultRank[Rank],MATCH(Table1[[#This Row],[Employer]],VaultRank[EIW Name],0)),"")</f>
        <v>63</v>
      </c>
      <c r="T31" s="50" t="str">
        <f t="array" ref="T31">IFERROR(INDEX(Table2[Summers Matched],MATCH(1,(Table1[[#This Row],[Employer]]=Table2[EIW Name])*(Table1[[#This Row],[City, State]]=Table2[Offices Matched]),0)),"")</f>
        <v/>
      </c>
      <c r="U31" s="52" t="str">
        <f t="shared" si="0"/>
        <v/>
      </c>
      <c r="V31" s="60"/>
      <c r="W31" s="114">
        <v>42594</v>
      </c>
      <c r="X31"/>
    </row>
    <row r="32" spans="1:24" ht="14.1" customHeight="1">
      <c r="A32" s="45" t="s">
        <v>322</v>
      </c>
      <c r="B32" s="45" t="s">
        <v>329</v>
      </c>
      <c r="C32" s="45" t="s">
        <v>330</v>
      </c>
      <c r="D32" s="45" t="str">
        <f>Table1[[#This Row],[City]]&amp;", "&amp;Table1[[#This Row],[State]]</f>
        <v>Philadelphia, PA</v>
      </c>
      <c r="E32" s="49">
        <v>177</v>
      </c>
      <c r="F32" s="50">
        <v>0</v>
      </c>
      <c r="G32" s="50" t="str">
        <f t="array" ref="G32">IFERROR(INDEX(Table2[1st Year],MATCH(1,(Table1[[#This Row],[Employer]]=Table2[EIW Name])*(Table1[[#This Row],[City, State]]=Table2[Offices Matched]),0)),"")</f>
        <v/>
      </c>
      <c r="H32" s="50" t="str">
        <f>_xlfn.IFNA(INDEX(saCAGR[CAGR],MATCH(Table1[[#This Row],[Employer]],saCAGR[EIW Name],0)),"")</f>
        <v/>
      </c>
      <c r="I32" s="50" t="str">
        <f>IFERROR(Table1[[#This Row],[SA CAGR]]*Table1[[#This Row],[Number of Summer 2016 2L SAs]],"")</f>
        <v/>
      </c>
      <c r="J32" s="50">
        <v>24</v>
      </c>
      <c r="K32" s="51">
        <f>IFERROR(Table1[[#This Row],[Number of Summer 2016 NYU 2L SAs]]/Table1[[#This Row],[Interview Slots]],0)</f>
        <v>0.13559322033898305</v>
      </c>
      <c r="L32" s="51">
        <f>Table1[[#This Row],[Number of Summer 2016 2L SAs]]/Table1[[#This Row],[Interview Slots]]</f>
        <v>0</v>
      </c>
      <c r="M32" s="51">
        <f>IFERROR(Table1[[#This Row],[Number of Summer 2016 NYU 2L SAs]]/Table1[[#This Row],[Number of Summer 2016 2L SAs]],0)</f>
        <v>0</v>
      </c>
      <c r="N32" s="50" t="str">
        <f>IFERROR(RIGHT(Table1[[#This Row],[1st year]],LEN(Table1[[#This Row],[1st year]])-FIND(":",Table1[[#This Row],[1st year]])-1),"")</f>
        <v/>
      </c>
      <c r="O32" s="50" t="str">
        <f t="array" ref="O32">IFERROR(INDEX(Table2[Nth year],MATCH(1,(Table1[[#This Row],[Employer]]=Table2[EIW Name])*(Table1[[#This Row],[City, State]]=Table2[Offices Matched]),0)),"")</f>
        <v/>
      </c>
      <c r="P32" s="50" t="str">
        <f>IFERROR(RIGHT(Table1[[#This Row],[Nth year]],LEN(Table1[[#This Row],[Nth year]])-FIND(":",Table1[[#This Row],[Nth year]])-1),"")</f>
        <v/>
      </c>
      <c r="Q32" s="50" t="str">
        <f t="array" ref="Q32">IFERROR(INDEX(Table2[Am Law 200 PPP Rank ’16],MATCH(1,(Table1[[#This Row],[Employer]]=Table2[EIW Name])*(Table1[[#This Row],[City, State]]=Table2[Offices Matched]),0)),"")</f>
        <v/>
      </c>
      <c r="R32" s="50" t="str">
        <f>IFERROR(LEFT(Table1[[#This Row],[Am Law 200 PPP Rank ’16]],FIND(":",Table1[[#This Row],[Am Law 200 PPP Rank ’16]])-1),"")</f>
        <v/>
      </c>
      <c r="S32" s="50">
        <f>IFERROR(INDEX(VaultRank[Rank],MATCH(Table1[[#This Row],[Employer]],VaultRank[EIW Name],0)),"")</f>
        <v>63</v>
      </c>
      <c r="T32" s="50" t="str">
        <f t="array" ref="T32">IFERROR(INDEX(Table2[Summers Matched],MATCH(1,(Table1[[#This Row],[Employer]]=Table2[EIW Name])*(Table1[[#This Row],[City, State]]=Table2[Offices Matched]),0)),"")</f>
        <v/>
      </c>
      <c r="U32" s="52">
        <f t="shared" si="0"/>
        <v>3.4</v>
      </c>
      <c r="V32" s="60"/>
      <c r="W32" s="114">
        <v>42593</v>
      </c>
      <c r="X32"/>
    </row>
    <row r="33" spans="1:24" ht="14.1" customHeight="1">
      <c r="A33" s="45" t="s">
        <v>322</v>
      </c>
      <c r="B33" s="45" t="s">
        <v>331</v>
      </c>
      <c r="C33" s="45" t="s">
        <v>314</v>
      </c>
      <c r="D33" s="45" t="str">
        <f>Table1[[#This Row],[City]]&amp;", "&amp;Table1[[#This Row],[State]]</f>
        <v>Houston, TX</v>
      </c>
      <c r="E33" s="49">
        <v>4</v>
      </c>
      <c r="F33" s="50">
        <v>7</v>
      </c>
      <c r="G33" s="50" t="str">
        <f t="array" ref="G33">IFERROR(INDEX(Table2[1st Year],MATCH(1,(Table1[[#This Row],[Employer]]=Table2[EIW Name])*(Table1[[#This Row],[City, State]]=Table2[Offices Matched]),0)),"")</f>
        <v/>
      </c>
      <c r="H33" s="50" t="str">
        <f>_xlfn.IFNA(INDEX(saCAGR[CAGR],MATCH(Table1[[#This Row],[Employer]],saCAGR[EIW Name],0)),"")</f>
        <v/>
      </c>
      <c r="I33" s="50" t="str">
        <f>IFERROR(Table1[[#This Row],[SA CAGR]]*Table1[[#This Row],[Number of Summer 2016 2L SAs]],"")</f>
        <v/>
      </c>
      <c r="J33" s="50">
        <v>3</v>
      </c>
      <c r="K33" s="51">
        <f>IFERROR(Table1[[#This Row],[Number of Summer 2016 NYU 2L SAs]]/Table1[[#This Row],[Interview Slots]],0)</f>
        <v>0.75</v>
      </c>
      <c r="L33" s="51">
        <f>Table1[[#This Row],[Number of Summer 2016 2L SAs]]/Table1[[#This Row],[Interview Slots]]</f>
        <v>1.75</v>
      </c>
      <c r="M33" s="51">
        <f>IFERROR(Table1[[#This Row],[Number of Summer 2016 NYU 2L SAs]]/Table1[[#This Row],[Number of Summer 2016 2L SAs]],0)</f>
        <v>0.42857142857142855</v>
      </c>
      <c r="N33" s="50" t="str">
        <f>IFERROR(RIGHT(Table1[[#This Row],[1st year]],LEN(Table1[[#This Row],[1st year]])-FIND(":",Table1[[#This Row],[1st year]])-1),"")</f>
        <v/>
      </c>
      <c r="O33" s="50" t="str">
        <f t="array" ref="O33">IFERROR(INDEX(Table2[Nth year],MATCH(1,(Table1[[#This Row],[Employer]]=Table2[EIW Name])*(Table1[[#This Row],[City, State]]=Table2[Offices Matched]),0)),"")</f>
        <v/>
      </c>
      <c r="P33" s="50" t="str">
        <f>IFERROR(RIGHT(Table1[[#This Row],[Nth year]],LEN(Table1[[#This Row],[Nth year]])-FIND(":",Table1[[#This Row],[Nth year]])-1),"")</f>
        <v/>
      </c>
      <c r="Q33" s="50" t="str">
        <f t="array" ref="Q33">IFERROR(INDEX(Table2[Am Law 200 PPP Rank ’16],MATCH(1,(Table1[[#This Row],[Employer]]=Table2[EIW Name])*(Table1[[#This Row],[City, State]]=Table2[Offices Matched]),0)),"")</f>
        <v/>
      </c>
      <c r="R33" s="50" t="str">
        <f>IFERROR(LEFT(Table1[[#This Row],[Am Law 200 PPP Rank ’16]],FIND(":",Table1[[#This Row],[Am Law 200 PPP Rank ’16]])-1),"")</f>
        <v/>
      </c>
      <c r="S33" s="50">
        <f>IFERROR(INDEX(VaultRank[Rank],MATCH(Table1[[#This Row],[Employer]],VaultRank[EIW Name],0)),"")</f>
        <v>63</v>
      </c>
      <c r="T33" s="50" t="str">
        <f t="array" ref="T33">IFERROR(INDEX(Table2[Summers Matched],MATCH(1,(Table1[[#This Row],[Employer]]=Table2[EIW Name])*(Table1[[#This Row],[City, State]]=Table2[Offices Matched]),0)),"")</f>
        <v/>
      </c>
      <c r="U33" s="52" t="str">
        <f t="shared" si="0"/>
        <v/>
      </c>
      <c r="V33" s="60"/>
      <c r="W33" s="114">
        <v>42593</v>
      </c>
      <c r="X33"/>
    </row>
    <row r="34" spans="1:24" ht="14.1" customHeight="1">
      <c r="A34" s="45" t="s">
        <v>322</v>
      </c>
      <c r="B34" s="45" t="s">
        <v>332</v>
      </c>
      <c r="C34" s="45" t="s">
        <v>333</v>
      </c>
      <c r="D34" s="45" t="str">
        <f>Table1[[#This Row],[City]]&amp;", "&amp;Table1[[#This Row],[State]]</f>
        <v>Seattle, WA</v>
      </c>
      <c r="E34" s="49">
        <v>104</v>
      </c>
      <c r="F34" s="50">
        <v>0</v>
      </c>
      <c r="G34" s="50" t="str">
        <f t="array" ref="G34">IFERROR(INDEX(Table2[1st Year],MATCH(1,(Table1[[#This Row],[Employer]]=Table2[EIW Name])*(Table1[[#This Row],[City, State]]=Table2[Offices Matched]),0)),"")</f>
        <v/>
      </c>
      <c r="H34" s="50" t="str">
        <f>_xlfn.IFNA(INDEX(saCAGR[CAGR],MATCH(Table1[[#This Row],[Employer]],saCAGR[EIW Name],0)),"")</f>
        <v/>
      </c>
      <c r="I34" s="50" t="str">
        <f>IFERROR(Table1[[#This Row],[SA CAGR]]*Table1[[#This Row],[Number of Summer 2016 2L SAs]],"")</f>
        <v/>
      </c>
      <c r="J34" s="50">
        <v>21</v>
      </c>
      <c r="K34" s="51">
        <f>IFERROR(Table1[[#This Row],[Number of Summer 2016 NYU 2L SAs]]/Table1[[#This Row],[Interview Slots]],0)</f>
        <v>0.20192307692307693</v>
      </c>
      <c r="L34" s="51">
        <f>Table1[[#This Row],[Number of Summer 2016 2L SAs]]/Table1[[#This Row],[Interview Slots]]</f>
        <v>0</v>
      </c>
      <c r="M34" s="51">
        <f>IFERROR(Table1[[#This Row],[Number of Summer 2016 NYU 2L SAs]]/Table1[[#This Row],[Number of Summer 2016 2L SAs]],0)</f>
        <v>0</v>
      </c>
      <c r="N34" s="50" t="str">
        <f>IFERROR(RIGHT(Table1[[#This Row],[1st year]],LEN(Table1[[#This Row],[1st year]])-FIND(":",Table1[[#This Row],[1st year]])-1),"")</f>
        <v/>
      </c>
      <c r="O34" s="50" t="str">
        <f t="array" ref="O34">IFERROR(INDEX(Table2[Nth year],MATCH(1,(Table1[[#This Row],[Employer]]=Table2[EIW Name])*(Table1[[#This Row],[City, State]]=Table2[Offices Matched]),0)),"")</f>
        <v/>
      </c>
      <c r="P34" s="50" t="str">
        <f>IFERROR(RIGHT(Table1[[#This Row],[Nth year]],LEN(Table1[[#This Row],[Nth year]])-FIND(":",Table1[[#This Row],[Nth year]])-1),"")</f>
        <v/>
      </c>
      <c r="Q34" s="50" t="str">
        <f t="array" ref="Q34">IFERROR(INDEX(Table2[Am Law 200 PPP Rank ’16],MATCH(1,(Table1[[#This Row],[Employer]]=Table2[EIW Name])*(Table1[[#This Row],[City, State]]=Table2[Offices Matched]),0)),"")</f>
        <v/>
      </c>
      <c r="R34" s="50" t="str">
        <f>IFERROR(LEFT(Table1[[#This Row],[Am Law 200 PPP Rank ’16]],FIND(":",Table1[[#This Row],[Am Law 200 PPP Rank ’16]])-1),"")</f>
        <v/>
      </c>
      <c r="S34" s="50">
        <f>IFERROR(INDEX(VaultRank[Rank],MATCH(Table1[[#This Row],[Employer]],VaultRank[EIW Name],0)),"")</f>
        <v>63</v>
      </c>
      <c r="T34" s="50" t="str">
        <f t="array" ref="T34">IFERROR(INDEX(Table2[Summers Matched],MATCH(1,(Table1[[#This Row],[Employer]]=Table2[EIW Name])*(Table1[[#This Row],[City, State]]=Table2[Offices Matched]),0)),"")</f>
        <v/>
      </c>
      <c r="U34" s="52" t="str">
        <f t="shared" si="0"/>
        <v/>
      </c>
      <c r="V34" s="60"/>
      <c r="W34" s="114">
        <v>42592</v>
      </c>
      <c r="X34"/>
    </row>
    <row r="35" spans="1:24" ht="14.1" customHeight="1">
      <c r="A35" s="45" t="s">
        <v>321</v>
      </c>
      <c r="B35" s="45" t="s">
        <v>364</v>
      </c>
      <c r="C35" s="45" t="s">
        <v>362</v>
      </c>
      <c r="D35" s="45" t="str">
        <f>Table1[[#This Row],[City]]&amp;", "&amp;Table1[[#This Row],[State]]</f>
        <v>New York, NY</v>
      </c>
      <c r="E35" s="49">
        <v>85</v>
      </c>
      <c r="F35" s="50">
        <v>25</v>
      </c>
      <c r="G35" s="50" t="str">
        <f t="array" ref="G35">IFERROR(INDEX(Table2[1st Year],MATCH(1,(Table1[[#This Row],[Employer]]=Table2[EIW Name])*(Table1[[#This Row],[City, State]]=Table2[Offices Matched]),0)),"")</f>
        <v/>
      </c>
      <c r="H35" s="51">
        <f>_xlfn.IFNA(INDEX(saCAGR[CAGR],MATCH(Table1[[#This Row],[Employer]],saCAGR[EIW Name],0)),"")</f>
        <v>1.0082569866034281</v>
      </c>
      <c r="I35" s="50">
        <f>IFERROR(Table1[[#This Row],[SA CAGR]]*Table1[[#This Row],[Number of Summer 2016 2L SAs]],"")</f>
        <v>25.206424665085702</v>
      </c>
      <c r="J35" s="50">
        <v>21</v>
      </c>
      <c r="K35" s="51">
        <f>IFERROR(Table1[[#This Row],[Number of Summer 2016 NYU 2L SAs]]/Table1[[#This Row],[Interview Slots]],0)</f>
        <v>0.24705882352941178</v>
      </c>
      <c r="L35" s="51">
        <f>Table1[[#This Row],[Number of Summer 2016 2L SAs]]/Table1[[#This Row],[Interview Slots]]</f>
        <v>0.29411764705882354</v>
      </c>
      <c r="M35" s="51">
        <f>IFERROR(Table1[[#This Row],[Number of Summer 2016 NYU 2L SAs]]/Table1[[#This Row],[Number of Summer 2016 2L SAs]],0)</f>
        <v>0.84</v>
      </c>
      <c r="N35" s="50" t="s">
        <v>651</v>
      </c>
      <c r="O35" s="50" t="str">
        <f t="array" ref="O35">IFERROR(INDEX(Table2[Nth year],MATCH(1,(Table1[[#This Row],[Employer]]=Table2[EIW Name])*(Table1[[#This Row],[City, State]]=Table2[Offices Matched]),0)),"")</f>
        <v/>
      </c>
      <c r="P35" s="50" t="str">
        <f>IFERROR(RIGHT(Table1[[#This Row],[Nth year]],LEN(Table1[[#This Row],[Nth year]])-FIND(":",Table1[[#This Row],[Nth year]])-1),"")</f>
        <v/>
      </c>
      <c r="Q35" s="50" t="str">
        <f t="array" ref="Q35">IFERROR(INDEX(Table2[Am Law 200 PPP Rank ’16],MATCH(1,(Table1[[#This Row],[Employer]]=Table2[EIW Name])*(Table1[[#This Row],[City, State]]=Table2[Offices Matched]),0)),"")</f>
        <v/>
      </c>
      <c r="R35" s="50" t="str">
        <f>IFERROR(LEFT(Table1[[#This Row],[Am Law 200 PPP Rank ’16]],FIND(":",Table1[[#This Row],[Am Law 200 PPP Rank ’16]])-1),"")</f>
        <v/>
      </c>
      <c r="S35" s="50">
        <f>IFERROR(INDEX(VaultRank[Rank],MATCH(Table1[[#This Row],[Employer]],VaultRank[EIW Name],0)),"")</f>
        <v>18</v>
      </c>
      <c r="T35" s="50" t="str">
        <f t="array" ref="T35">IFERROR(INDEX(Table2[Summers Matched],MATCH(1,(Table1[[#This Row],[Employer]]=Table2[EIW Name])*(Table1[[#This Row],[City, State]]=Table2[Offices Matched]),0)),"")</f>
        <v/>
      </c>
      <c r="U35" s="52" t="str">
        <f t="shared" si="0"/>
        <v/>
      </c>
      <c r="V35" s="60"/>
      <c r="W35" s="114">
        <v>42592</v>
      </c>
      <c r="X35"/>
    </row>
    <row r="36" spans="1:24" ht="14.1" customHeight="1">
      <c r="A36" s="45" t="s">
        <v>168</v>
      </c>
      <c r="B36" s="45" t="s">
        <v>334</v>
      </c>
      <c r="C36" s="45" t="s">
        <v>300</v>
      </c>
      <c r="D36" s="45" t="str">
        <f>Table1[[#This Row],[City]]&amp;", "&amp;Table1[[#This Row],[State]]</f>
        <v>Palo Alto, CA</v>
      </c>
      <c r="E36" s="49">
        <v>136</v>
      </c>
      <c r="F36" s="50">
        <v>5</v>
      </c>
      <c r="G36" s="50" t="str">
        <f t="array" ref="G36">IFERROR(INDEX(Table2[1st Year],MATCH(1,(Table1[[#This Row],[Employer]]=Table2[EIW Name])*(Table1[[#This Row],[City, State]]=Table2[Offices Matched]),0)),"")</f>
        <v>1st Year: TBD</v>
      </c>
      <c r="H36" s="50">
        <f>_xlfn.IFNA(INDEX(saCAGR[CAGR],MATCH(Table1[[#This Row],[Employer]],saCAGR[EIW Name],0)),"")</f>
        <v>1.017438142714215</v>
      </c>
      <c r="I36" s="50">
        <f>IFERROR(Table1[[#This Row],[SA CAGR]]*Table1[[#This Row],[Number of Summer 2016 2L SAs]],"")</f>
        <v>5.0871907135710748</v>
      </c>
      <c r="J36" s="50">
        <v>5</v>
      </c>
      <c r="K36" s="51">
        <f>IFERROR(Table1[[#This Row],[Number of Summer 2016 NYU 2L SAs]]/Table1[[#This Row],[Interview Slots]],0)</f>
        <v>3.6764705882352942E-2</v>
      </c>
      <c r="L36" s="51">
        <f>Table1[[#This Row],[Number of Summer 2016 2L SAs]]/Table1[[#This Row],[Interview Slots]]</f>
        <v>3.6764705882352942E-2</v>
      </c>
      <c r="M36" s="51">
        <f>IFERROR(Table1[[#This Row],[Number of Summer 2016 NYU 2L SAs]]/Table1[[#This Row],[Number of Summer 2016 2L SAs]],0)</f>
        <v>1</v>
      </c>
      <c r="N36" s="50" t="str">
        <f>IFERROR(RIGHT(Table1[[#This Row],[1st year]],LEN(Table1[[#This Row],[1st year]])-FIND(":",Table1[[#This Row],[1st year]])-1),"")</f>
        <v>TBD</v>
      </c>
      <c r="O36" s="50" t="str">
        <f t="array" ref="O36">IFERROR(INDEX(Table2[Nth year],MATCH(1,(Table1[[#This Row],[Employer]]=Table2[EIW Name])*(Table1[[#This Row],[City, State]]=Table2[Offices Matched]),0)),"")</f>
        <v>8th Year: TBD</v>
      </c>
      <c r="P36" s="50" t="str">
        <f>IFERROR(RIGHT(Table1[[#This Row],[Nth year]],LEN(Table1[[#This Row],[Nth year]])-FIND(":",Table1[[#This Row],[Nth year]])-1),"")</f>
        <v>TBD</v>
      </c>
      <c r="Q36" s="50" t="str">
        <f t="array" ref="Q36">IFERROR(INDEX(Table2[Am Law 200 PPP Rank ’16],MATCH(1,(Table1[[#This Row],[Employer]]=Table2[EIW Name])*(Table1[[#This Row],[City, State]]=Table2[Offices Matched]),0)),"")</f>
        <v>79: $1.14M</v>
      </c>
      <c r="R36" s="50" t="str">
        <f>IFERROR(LEFT(Table1[[#This Row],[Am Law 200 PPP Rank ’16]],FIND(":",Table1[[#This Row],[Am Law 200 PPP Rank ’16]])-1),"")</f>
        <v>79</v>
      </c>
      <c r="S36" s="50">
        <f>IFERROR(INDEX(VaultRank[Rank],MATCH(Table1[[#This Row],[Employer]],VaultRank[EIW Name],0)),"")</f>
        <v>28</v>
      </c>
      <c r="T36" s="50" t="str">
        <f t="array" ref="T36">IFERROR(INDEX(Table2[Summers Matched],MATCH(1,(Table1[[#This Row],[Employer]]=Table2[EIW Name])*(Table1[[#This Row],[City, State]]=Table2[Offices Matched]),0)),"")</f>
        <v>TBD</v>
      </c>
      <c r="U36" s="52" t="str">
        <f t="shared" si="0"/>
        <v/>
      </c>
      <c r="V36" s="49" t="s">
        <v>335</v>
      </c>
      <c r="W36" s="114">
        <v>42592</v>
      </c>
      <c r="X36"/>
    </row>
    <row r="37" spans="1:24" ht="14.1" customHeight="1">
      <c r="A37" s="45" t="s">
        <v>168</v>
      </c>
      <c r="B37" s="45" t="s">
        <v>316</v>
      </c>
      <c r="C37" s="45" t="s">
        <v>300</v>
      </c>
      <c r="D37" s="45" t="str">
        <f>Table1[[#This Row],[City]]&amp;", "&amp;Table1[[#This Row],[State]]</f>
        <v>San Francisco, CA</v>
      </c>
      <c r="E37" s="49">
        <v>133</v>
      </c>
      <c r="F37" s="50">
        <v>5</v>
      </c>
      <c r="G37" s="50" t="str">
        <f t="array" ref="G37">IFERROR(INDEX(Table2[1st Year],MATCH(1,(Table1[[#This Row],[Employer]]=Table2[EIW Name])*(Table1[[#This Row],[City, State]]=Table2[Offices Matched]),0)),"")</f>
        <v>1st Year: TBD</v>
      </c>
      <c r="H37" s="50">
        <f>_xlfn.IFNA(INDEX(saCAGR[CAGR],MATCH(Table1[[#This Row],[Employer]],saCAGR[EIW Name],0)),"")</f>
        <v>1.017438142714215</v>
      </c>
      <c r="I37" s="50">
        <f>IFERROR(Table1[[#This Row],[SA CAGR]]*Table1[[#This Row],[Number of Summer 2016 2L SAs]],"")</f>
        <v>5.0871907135710748</v>
      </c>
      <c r="J37" s="50">
        <v>6</v>
      </c>
      <c r="K37" s="51">
        <f>IFERROR(Table1[[#This Row],[Number of Summer 2016 NYU 2L SAs]]/Table1[[#This Row],[Interview Slots]],0)</f>
        <v>4.5112781954887216E-2</v>
      </c>
      <c r="L37" s="51">
        <f>Table1[[#This Row],[Number of Summer 2016 2L SAs]]/Table1[[#This Row],[Interview Slots]]</f>
        <v>3.7593984962406013E-2</v>
      </c>
      <c r="M37" s="51">
        <f>IFERROR(Table1[[#This Row],[Number of Summer 2016 NYU 2L SAs]]/Table1[[#This Row],[Number of Summer 2016 2L SAs]],0)</f>
        <v>1.2</v>
      </c>
      <c r="N37" s="50" t="str">
        <f>IFERROR(RIGHT(Table1[[#This Row],[1st year]],LEN(Table1[[#This Row],[1st year]])-FIND(":",Table1[[#This Row],[1st year]])-1),"")</f>
        <v>TBD</v>
      </c>
      <c r="O37" s="50" t="str">
        <f t="array" ref="O37">IFERROR(INDEX(Table2[Nth year],MATCH(1,(Table1[[#This Row],[Employer]]=Table2[EIW Name])*(Table1[[#This Row],[City, State]]=Table2[Offices Matched]),0)),"")</f>
        <v>8th Year: TBD</v>
      </c>
      <c r="P37" s="50" t="str">
        <f>IFERROR(RIGHT(Table1[[#This Row],[Nth year]],LEN(Table1[[#This Row],[Nth year]])-FIND(":",Table1[[#This Row],[Nth year]])-1),"")</f>
        <v>TBD</v>
      </c>
      <c r="Q37" s="50" t="str">
        <f t="array" ref="Q37">IFERROR(INDEX(Table2[Am Law 200 PPP Rank ’16],MATCH(1,(Table1[[#This Row],[Employer]]=Table2[EIW Name])*(Table1[[#This Row],[City, State]]=Table2[Offices Matched]),0)),"")</f>
        <v>79: $1.14M</v>
      </c>
      <c r="R37" s="50" t="str">
        <f>IFERROR(LEFT(Table1[[#This Row],[Am Law 200 PPP Rank ’16]],FIND(":",Table1[[#This Row],[Am Law 200 PPP Rank ’16]])-1),"")</f>
        <v>79</v>
      </c>
      <c r="S37" s="50">
        <f>IFERROR(INDEX(VaultRank[Rank],MATCH(Table1[[#This Row],[Employer]],VaultRank[EIW Name],0)),"")</f>
        <v>28</v>
      </c>
      <c r="T37" s="50" t="str">
        <f t="array" ref="T37">IFERROR(INDEX(Table2[Summers Matched],MATCH(1,(Table1[[#This Row],[Employer]]=Table2[EIW Name])*(Table1[[#This Row],[City, State]]=Table2[Offices Matched]),0)),"")</f>
        <v>TBD</v>
      </c>
      <c r="U37" s="52" t="str">
        <f t="shared" si="0"/>
        <v/>
      </c>
      <c r="V37" s="49" t="s">
        <v>336</v>
      </c>
      <c r="W37" s="114">
        <v>42595</v>
      </c>
      <c r="X37"/>
    </row>
    <row r="38" spans="1:24" ht="14.1" customHeight="1">
      <c r="A38" s="45" t="s">
        <v>168</v>
      </c>
      <c r="B38" s="45" t="s">
        <v>301</v>
      </c>
      <c r="C38" s="45" t="s">
        <v>302</v>
      </c>
      <c r="D38" s="45" t="str">
        <f>Table1[[#This Row],[City]]&amp;", "&amp;Table1[[#This Row],[State]]</f>
        <v>Washington, DC</v>
      </c>
      <c r="E38" s="49">
        <v>127</v>
      </c>
      <c r="F38" s="50">
        <v>3</v>
      </c>
      <c r="G38" s="50" t="str">
        <f t="array" ref="G38">IFERROR(INDEX(Table2[1st Year],MATCH(1,(Table1[[#This Row],[Employer]]=Table2[EIW Name])*(Table1[[#This Row],[City, State]]=Table2[Offices Matched]),0)),"")</f>
        <v/>
      </c>
      <c r="H38" s="50">
        <f>_xlfn.IFNA(INDEX(saCAGR[CAGR],MATCH(Table1[[#This Row],[Employer]],saCAGR[EIW Name],0)),"")</f>
        <v>1.017438142714215</v>
      </c>
      <c r="I38" s="50">
        <f>IFERROR(Table1[[#This Row],[SA CAGR]]*Table1[[#This Row],[Number of Summer 2016 2L SAs]],"")</f>
        <v>3.0523144281426449</v>
      </c>
      <c r="J38" s="50">
        <v>9</v>
      </c>
      <c r="K38" s="51">
        <f>IFERROR(Table1[[#This Row],[Number of Summer 2016 NYU 2L SAs]]/Table1[[#This Row],[Interview Slots]],0)</f>
        <v>7.0866141732283464E-2</v>
      </c>
      <c r="L38" s="51">
        <f>Table1[[#This Row],[Number of Summer 2016 2L SAs]]/Table1[[#This Row],[Interview Slots]]</f>
        <v>2.3622047244094488E-2</v>
      </c>
      <c r="M38" s="51">
        <f>IFERROR(Table1[[#This Row],[Number of Summer 2016 NYU 2L SAs]]/Table1[[#This Row],[Number of Summer 2016 2L SAs]],0)</f>
        <v>3</v>
      </c>
      <c r="N38" s="50" t="str">
        <f>IFERROR(RIGHT(Table1[[#This Row],[1st year]],LEN(Table1[[#This Row],[1st year]])-FIND(":",Table1[[#This Row],[1st year]])-1),"")</f>
        <v/>
      </c>
      <c r="O38" s="50" t="str">
        <f t="array" ref="O38">IFERROR(INDEX(Table2[Nth year],MATCH(1,(Table1[[#This Row],[Employer]]=Table2[EIW Name])*(Table1[[#This Row],[City, State]]=Table2[Offices Matched]),0)),"")</f>
        <v/>
      </c>
      <c r="P38" s="50" t="str">
        <f>IFERROR(RIGHT(Table1[[#This Row],[Nth year]],LEN(Table1[[#This Row],[Nth year]])-FIND(":",Table1[[#This Row],[Nth year]])-1),"")</f>
        <v/>
      </c>
      <c r="Q38" s="50" t="str">
        <f t="array" ref="Q38">IFERROR(INDEX(Table2[Am Law 200 PPP Rank ’16],MATCH(1,(Table1[[#This Row],[Employer]]=Table2[EIW Name])*(Table1[[#This Row],[City, State]]=Table2[Offices Matched]),0)),"")</f>
        <v/>
      </c>
      <c r="R38" s="50" t="str">
        <f>IFERROR(LEFT(Table1[[#This Row],[Am Law 200 PPP Rank ’16]],FIND(":",Table1[[#This Row],[Am Law 200 PPP Rank ’16]])-1),"")</f>
        <v/>
      </c>
      <c r="S38" s="50">
        <f>IFERROR(INDEX(VaultRank[Rank],MATCH(Table1[[#This Row],[Employer]],VaultRank[EIW Name],0)),"")</f>
        <v>28</v>
      </c>
      <c r="T38" s="50" t="str">
        <f t="array" ref="T38">IFERROR(INDEX(Table2[Summers Matched],MATCH(1,(Table1[[#This Row],[Employer]]=Table2[EIW Name])*(Table1[[#This Row],[City, State]]=Table2[Offices Matched]),0)),"")</f>
        <v/>
      </c>
      <c r="U38" s="52" t="str">
        <f t="shared" si="0"/>
        <v/>
      </c>
      <c r="V38" s="60"/>
      <c r="W38" s="114">
        <v>42593</v>
      </c>
      <c r="X38"/>
    </row>
    <row r="39" spans="1:24" ht="14.1" customHeight="1">
      <c r="A39" s="45" t="s">
        <v>168</v>
      </c>
      <c r="B39" s="45" t="s">
        <v>337</v>
      </c>
      <c r="C39" s="45" t="s">
        <v>324</v>
      </c>
      <c r="D39" s="45" t="str">
        <f>Table1[[#This Row],[City]]&amp;", "&amp;Table1[[#This Row],[State]]</f>
        <v>Miami, FL</v>
      </c>
      <c r="E39" s="49">
        <v>166</v>
      </c>
      <c r="F39" s="50">
        <v>1</v>
      </c>
      <c r="G39" s="50" t="str">
        <f t="array" ref="G39">IFERROR(INDEX(Table2[1st Year],MATCH(1,(Table1[[#This Row],[Employer]]=Table2[EIW Name])*(Table1[[#This Row],[City, State]]=Table2[Offices Matched]),0)),"")</f>
        <v>1st Year: TBD</v>
      </c>
      <c r="H39" s="50">
        <f>_xlfn.IFNA(INDEX(saCAGR[CAGR],MATCH(Table1[[#This Row],[Employer]],saCAGR[EIW Name],0)),"")</f>
        <v>1.017438142714215</v>
      </c>
      <c r="I39" s="50">
        <f>IFERROR(Table1[[#This Row],[SA CAGR]]*Table1[[#This Row],[Number of Summer 2016 2L SAs]],"")</f>
        <v>1.017438142714215</v>
      </c>
      <c r="J39" s="50">
        <v>13</v>
      </c>
      <c r="K39" s="51">
        <f>IFERROR(Table1[[#This Row],[Number of Summer 2016 NYU 2L SAs]]/Table1[[#This Row],[Interview Slots]],0)</f>
        <v>7.8313253012048195E-2</v>
      </c>
      <c r="L39" s="51">
        <f>Table1[[#This Row],[Number of Summer 2016 2L SAs]]/Table1[[#This Row],[Interview Slots]]</f>
        <v>6.024096385542169E-3</v>
      </c>
      <c r="M39" s="51">
        <f>IFERROR(Table1[[#This Row],[Number of Summer 2016 NYU 2L SAs]]/Table1[[#This Row],[Number of Summer 2016 2L SAs]],0)</f>
        <v>13</v>
      </c>
      <c r="N39" s="50" t="str">
        <f>IFERROR(RIGHT(Table1[[#This Row],[1st year]],LEN(Table1[[#This Row],[1st year]])-FIND(":",Table1[[#This Row],[1st year]])-1),"")</f>
        <v>TBD</v>
      </c>
      <c r="O39" s="50" t="str">
        <f t="array" ref="O39">IFERROR(INDEX(Table2[Nth year],MATCH(1,(Table1[[#This Row],[Employer]]=Table2[EIW Name])*(Table1[[#This Row],[City, State]]=Table2[Offices Matched]),0)),"")</f>
        <v>8th Year: TBD</v>
      </c>
      <c r="P39" s="50" t="str">
        <f>IFERROR(RIGHT(Table1[[#This Row],[Nth year]],LEN(Table1[[#This Row],[Nth year]])-FIND(":",Table1[[#This Row],[Nth year]])-1),"")</f>
        <v>TBD</v>
      </c>
      <c r="Q39" s="50" t="str">
        <f t="array" ref="Q39">IFERROR(INDEX(Table2[Am Law 200 PPP Rank ’16],MATCH(1,(Table1[[#This Row],[Employer]]=Table2[EIW Name])*(Table1[[#This Row],[City, State]]=Table2[Offices Matched]),0)),"")</f>
        <v>79: $1.14M</v>
      </c>
      <c r="R39" s="50" t="str">
        <f>IFERROR(LEFT(Table1[[#This Row],[Am Law 200 PPP Rank ’16]],FIND(":",Table1[[#This Row],[Am Law 200 PPP Rank ’16]])-1),"")</f>
        <v>79</v>
      </c>
      <c r="S39" s="50">
        <f>IFERROR(INDEX(VaultRank[Rank],MATCH(Table1[[#This Row],[Employer]],VaultRank[EIW Name],0)),"")</f>
        <v>28</v>
      </c>
      <c r="T39" s="50" t="str">
        <f t="array" ref="T39">IFERROR(INDEX(Table2[Summers Matched],MATCH(1,(Table1[[#This Row],[Employer]]=Table2[EIW Name])*(Table1[[#This Row],[City, State]]=Table2[Offices Matched]),0)),"")</f>
        <v>TBD</v>
      </c>
      <c r="U39" s="52" t="str">
        <f t="shared" si="0"/>
        <v/>
      </c>
      <c r="V39" s="60"/>
      <c r="W39" s="114">
        <v>42594</v>
      </c>
      <c r="X39"/>
    </row>
    <row r="40" spans="1:24" ht="14.1" customHeight="1">
      <c r="A40" s="45" t="s">
        <v>168</v>
      </c>
      <c r="B40" s="45" t="s">
        <v>313</v>
      </c>
      <c r="C40" s="45" t="s">
        <v>314</v>
      </c>
      <c r="D40" s="45" t="str">
        <f>Table1[[#This Row],[City]]&amp;", "&amp;Table1[[#This Row],[State]]</f>
        <v>Dallas, TX</v>
      </c>
      <c r="E40" s="49">
        <v>196</v>
      </c>
      <c r="F40" s="50">
        <v>4</v>
      </c>
      <c r="G40" s="50" t="str">
        <f t="array" ref="G40">IFERROR(INDEX(Table2[1st Year],MATCH(1,(Table1[[#This Row],[Employer]]=Table2[EIW Name])*(Table1[[#This Row],[City, State]]=Table2[Offices Matched]),0)),"")</f>
        <v>1st Year: TBD</v>
      </c>
      <c r="H40" s="50">
        <f>_xlfn.IFNA(INDEX(saCAGR[CAGR],MATCH(Table1[[#This Row],[Employer]],saCAGR[EIW Name],0)),"")</f>
        <v>1.017438142714215</v>
      </c>
      <c r="I40" s="50">
        <f>IFERROR(Table1[[#This Row],[SA CAGR]]*Table1[[#This Row],[Number of Summer 2016 2L SAs]],"")</f>
        <v>4.0697525708568598</v>
      </c>
      <c r="J40" s="50">
        <v>2</v>
      </c>
      <c r="K40" s="51">
        <f>IFERROR(Table1[[#This Row],[Number of Summer 2016 NYU 2L SAs]]/Table1[[#This Row],[Interview Slots]],0)</f>
        <v>1.020408163265306E-2</v>
      </c>
      <c r="L40" s="51">
        <f>Table1[[#This Row],[Number of Summer 2016 2L SAs]]/Table1[[#This Row],[Interview Slots]]</f>
        <v>2.0408163265306121E-2</v>
      </c>
      <c r="M40" s="51">
        <f>IFERROR(Table1[[#This Row],[Number of Summer 2016 NYU 2L SAs]]/Table1[[#This Row],[Number of Summer 2016 2L SAs]],0)</f>
        <v>0.5</v>
      </c>
      <c r="N40" s="50" t="str">
        <f>IFERROR(RIGHT(Table1[[#This Row],[1st year]],LEN(Table1[[#This Row],[1st year]])-FIND(":",Table1[[#This Row],[1st year]])-1),"")</f>
        <v>TBD</v>
      </c>
      <c r="O40" s="50" t="str">
        <f t="array" ref="O40">IFERROR(INDEX(Table2[Nth year],MATCH(1,(Table1[[#This Row],[Employer]]=Table2[EIW Name])*(Table1[[#This Row],[City, State]]=Table2[Offices Matched]),0)),"")</f>
        <v>8th Year: TBD</v>
      </c>
      <c r="P40" s="50" t="str">
        <f>IFERROR(RIGHT(Table1[[#This Row],[Nth year]],LEN(Table1[[#This Row],[Nth year]])-FIND(":",Table1[[#This Row],[Nth year]])-1),"")</f>
        <v>TBD</v>
      </c>
      <c r="Q40" s="50" t="str">
        <f t="array" ref="Q40">IFERROR(INDEX(Table2[Am Law 200 PPP Rank ’16],MATCH(1,(Table1[[#This Row],[Employer]]=Table2[EIW Name])*(Table1[[#This Row],[City, State]]=Table2[Offices Matched]),0)),"")</f>
        <v>79: $1.14M</v>
      </c>
      <c r="R40" s="50" t="str">
        <f>IFERROR(LEFT(Table1[[#This Row],[Am Law 200 PPP Rank ’16]],FIND(":",Table1[[#This Row],[Am Law 200 PPP Rank ’16]])-1),"")</f>
        <v>79</v>
      </c>
      <c r="S40" s="50">
        <f>IFERROR(INDEX(VaultRank[Rank],MATCH(Table1[[#This Row],[Employer]],VaultRank[EIW Name],0)),"")</f>
        <v>28</v>
      </c>
      <c r="T40" s="50" t="str">
        <f t="array" ref="T40">IFERROR(INDEX(Table2[Summers Matched],MATCH(1,(Table1[[#This Row],[Employer]]=Table2[EIW Name])*(Table1[[#This Row],[City, State]]=Table2[Offices Matched]),0)),"")</f>
        <v>TBD</v>
      </c>
      <c r="U40" s="52" t="str">
        <f t="shared" si="0"/>
        <v/>
      </c>
      <c r="V40" s="60"/>
      <c r="W40" s="114">
        <v>42595</v>
      </c>
      <c r="X40"/>
    </row>
    <row r="41" spans="1:24" ht="14.1" customHeight="1">
      <c r="A41" s="45" t="s">
        <v>168</v>
      </c>
      <c r="B41" s="45" t="s">
        <v>331</v>
      </c>
      <c r="C41" s="45" t="s">
        <v>314</v>
      </c>
      <c r="D41" s="45" t="str">
        <f>Table1[[#This Row],[City]]&amp;", "&amp;Table1[[#This Row],[State]]</f>
        <v>Houston, TX</v>
      </c>
      <c r="E41" s="49">
        <v>116</v>
      </c>
      <c r="F41" s="50">
        <v>4</v>
      </c>
      <c r="G41" s="50" t="str">
        <f t="array" ref="G41">IFERROR(INDEX(Table2[1st Year],MATCH(1,(Table1[[#This Row],[Employer]]=Table2[EIW Name])*(Table1[[#This Row],[City, State]]=Table2[Offices Matched]),0)),"")</f>
        <v>1st Year: TBD</v>
      </c>
      <c r="H41" s="50">
        <f>_xlfn.IFNA(INDEX(saCAGR[CAGR],MATCH(Table1[[#This Row],[Employer]],saCAGR[EIW Name],0)),"")</f>
        <v>1.017438142714215</v>
      </c>
      <c r="I41" s="50">
        <f>IFERROR(Table1[[#This Row],[SA CAGR]]*Table1[[#This Row],[Number of Summer 2016 2L SAs]],"")</f>
        <v>4.0697525708568598</v>
      </c>
      <c r="J41" s="50">
        <v>19</v>
      </c>
      <c r="K41" s="51">
        <f>IFERROR(Table1[[#This Row],[Number of Summer 2016 NYU 2L SAs]]/Table1[[#This Row],[Interview Slots]],0)</f>
        <v>0.16379310344827586</v>
      </c>
      <c r="L41" s="51">
        <f>Table1[[#This Row],[Number of Summer 2016 2L SAs]]/Table1[[#This Row],[Interview Slots]]</f>
        <v>3.4482758620689655E-2</v>
      </c>
      <c r="M41" s="51">
        <f>IFERROR(Table1[[#This Row],[Number of Summer 2016 NYU 2L SAs]]/Table1[[#This Row],[Number of Summer 2016 2L SAs]],0)</f>
        <v>4.75</v>
      </c>
      <c r="N41" s="50" t="str">
        <f>IFERROR(RIGHT(Table1[[#This Row],[1st year]],LEN(Table1[[#This Row],[1st year]])-FIND(":",Table1[[#This Row],[1st year]])-1),"")</f>
        <v>TBD</v>
      </c>
      <c r="O41" s="50" t="str">
        <f t="array" ref="O41">IFERROR(INDEX(Table2[Nth year],MATCH(1,(Table1[[#This Row],[Employer]]=Table2[EIW Name])*(Table1[[#This Row],[City, State]]=Table2[Offices Matched]),0)),"")</f>
        <v>8th Year: TBD</v>
      </c>
      <c r="P41" s="50" t="str">
        <f>IFERROR(RIGHT(Table1[[#This Row],[Nth year]],LEN(Table1[[#This Row],[Nth year]])-FIND(":",Table1[[#This Row],[Nth year]])-1),"")</f>
        <v>TBD</v>
      </c>
      <c r="Q41" s="50" t="str">
        <f t="array" ref="Q41">IFERROR(INDEX(Table2[Am Law 200 PPP Rank ’16],MATCH(1,(Table1[[#This Row],[Employer]]=Table2[EIW Name])*(Table1[[#This Row],[City, State]]=Table2[Offices Matched]),0)),"")</f>
        <v>79: $1.14M</v>
      </c>
      <c r="R41" s="50" t="str">
        <f>IFERROR(LEFT(Table1[[#This Row],[Am Law 200 PPP Rank ’16]],FIND(":",Table1[[#This Row],[Am Law 200 PPP Rank ’16]])-1),"")</f>
        <v>79</v>
      </c>
      <c r="S41" s="50">
        <f>IFERROR(INDEX(VaultRank[Rank],MATCH(Table1[[#This Row],[Employer]],VaultRank[EIW Name],0)),"")</f>
        <v>28</v>
      </c>
      <c r="T41" s="50" t="str">
        <f t="array" ref="T41">IFERROR(INDEX(Table2[Summers Matched],MATCH(1,(Table1[[#This Row],[Employer]]=Table2[EIW Name])*(Table1[[#This Row],[City, State]]=Table2[Offices Matched]),0)),"")</f>
        <v>TBD</v>
      </c>
      <c r="U41" s="52" t="str">
        <f t="shared" si="0"/>
        <v/>
      </c>
      <c r="V41" s="60"/>
      <c r="W41" s="114">
        <v>42594</v>
      </c>
      <c r="X41"/>
    </row>
    <row r="42" spans="1:24" ht="14.1" customHeight="1">
      <c r="A42" s="45" t="s">
        <v>124</v>
      </c>
      <c r="B42" s="45" t="s">
        <v>364</v>
      </c>
      <c r="C42" s="45" t="s">
        <v>362</v>
      </c>
      <c r="D42" s="45" t="str">
        <f>Table1[[#This Row],[City]]&amp;", "&amp;Table1[[#This Row],[State]]</f>
        <v>New York, NY</v>
      </c>
      <c r="E42" s="49">
        <v>166</v>
      </c>
      <c r="F42" s="50">
        <v>61</v>
      </c>
      <c r="G42" s="50" t="str">
        <f t="array" ref="G42">IFERROR(INDEX(Table2[1st Year],MATCH(1,(Table1[[#This Row],[Employer]]=Table2[EIW Name])*(Table1[[#This Row],[City, State]]=Table2[Offices Matched]),0)),"")</f>
        <v>1st Year: $180K</v>
      </c>
      <c r="H42" s="50">
        <f>_xlfn.IFNA(INDEX(saCAGR[CAGR],MATCH(Table1[[#This Row],[Employer]],saCAGR[EIW Name],0)),"")</f>
        <v>1.0230506293606809</v>
      </c>
      <c r="I42" s="50">
        <f>IFERROR(Table1[[#This Row],[SA CAGR]]*Table1[[#This Row],[Number of Summer 2016 2L SAs]],"")</f>
        <v>62.406088391001539</v>
      </c>
      <c r="J42" s="50">
        <v>2</v>
      </c>
      <c r="K42" s="51">
        <f>IFERROR(Table1[[#This Row],[Number of Summer 2016 NYU 2L SAs]]/Table1[[#This Row],[Interview Slots]],0)</f>
        <v>1.2048192771084338E-2</v>
      </c>
      <c r="L42" s="51">
        <f>Table1[[#This Row],[Number of Summer 2016 2L SAs]]/Table1[[#This Row],[Interview Slots]]</f>
        <v>0.36746987951807231</v>
      </c>
      <c r="M42" s="51">
        <f>IFERROR(Table1[[#This Row],[Number of Summer 2016 NYU 2L SAs]]/Table1[[#This Row],[Number of Summer 2016 2L SAs]],0)</f>
        <v>3.2786885245901641E-2</v>
      </c>
      <c r="N42" s="50" t="str">
        <f>IFERROR(RIGHT(Table1[[#This Row],[1st year]],LEN(Table1[[#This Row],[1st year]])-FIND(":",Table1[[#This Row],[1st year]])-1),"")</f>
        <v>$180K</v>
      </c>
      <c r="O42" s="50" t="str">
        <f t="array" ref="O42">IFERROR(INDEX(Table2[Nth year],MATCH(1,(Table1[[#This Row],[Employer]]=Table2[EIW Name])*(Table1[[#This Row],[City, State]]=Table2[Offices Matched]),0)),"")</f>
        <v>8th Year: $315K</v>
      </c>
      <c r="P42" s="50" t="str">
        <f>IFERROR(RIGHT(Table1[[#This Row],[Nth year]],LEN(Table1[[#This Row],[Nth year]])-FIND(":",Table1[[#This Row],[Nth year]])-1),"")</f>
        <v>$315K</v>
      </c>
      <c r="Q42" s="50" t="str">
        <f t="array" ref="Q42">IFERROR(INDEX(Table2[Am Law 200 PPP Rank ’16],MATCH(1,(Table1[[#This Row],[Employer]]=Table2[EIW Name])*(Table1[[#This Row],[City, State]]=Table2[Offices Matched]),0)),"")</f>
        <v>30: 2.02M</v>
      </c>
      <c r="R42" s="50" t="str">
        <f>IFERROR(LEFT(Table1[[#This Row],[Am Law 200 PPP Rank ’16]],FIND(":",Table1[[#This Row],[Am Law 200 PPP Rank ’16]])-1),"")</f>
        <v>30</v>
      </c>
      <c r="S42" s="50">
        <f>IFERROR(INDEX(VaultRank[Rank],MATCH(Table1[[#This Row],[Employer]],VaultRank[EIW Name],0)),"")</f>
        <v>20</v>
      </c>
      <c r="T42" s="50" t="str">
        <f t="array" ref="T42">IFERROR(INDEX(Table2[Summers Matched],MATCH(1,(Table1[[#This Row],[Employer]]=Table2[EIW Name])*(Table1[[#This Row],[City, State]]=Table2[Offices Matched]),0)),"")</f>
        <v>Yes</v>
      </c>
      <c r="U42" s="52" t="str">
        <f t="shared" si="0"/>
        <v/>
      </c>
      <c r="V42" s="60"/>
      <c r="W42" s="114">
        <v>42593</v>
      </c>
      <c r="X42"/>
    </row>
    <row r="43" spans="1:24" ht="14.1" customHeight="1">
      <c r="A43" s="45" t="s">
        <v>151</v>
      </c>
      <c r="B43" s="45" t="s">
        <v>364</v>
      </c>
      <c r="C43" s="45" t="s">
        <v>362</v>
      </c>
      <c r="D43" s="45" t="str">
        <f>Table1[[#This Row],[City]]&amp;", "&amp;Table1[[#This Row],[State]]</f>
        <v>New York, NY</v>
      </c>
      <c r="E43" s="49">
        <v>128</v>
      </c>
      <c r="F43" s="50">
        <v>9</v>
      </c>
      <c r="G43" s="50" t="str">
        <f t="array" ref="G43">IFERROR(INDEX(Table2[1st Year],MATCH(1,(Table1[[#This Row],[Employer]]=Table2[EIW Name])*(Table1[[#This Row],[City, State]]=Table2[Offices Matched]),0)),"")</f>
        <v>1st Year: $180K</v>
      </c>
      <c r="H43" s="51">
        <f>_xlfn.IFNA(INDEX(saCAGR[CAGR],MATCH(Table1[[#This Row],[Employer]],saCAGR[EIW Name],0)),"")</f>
        <v>1.0039098649775466</v>
      </c>
      <c r="I43" s="50">
        <f>IFERROR(Table1[[#This Row],[SA CAGR]]*Table1[[#This Row],[Number of Summer 2016 2L SAs]],"")</f>
        <v>9.0351887847979206</v>
      </c>
      <c r="J43" s="50">
        <v>23</v>
      </c>
      <c r="K43" s="51">
        <f>IFERROR(Table1[[#This Row],[Number of Summer 2016 NYU 2L SAs]]/Table1[[#This Row],[Interview Slots]],0)</f>
        <v>0.1796875</v>
      </c>
      <c r="L43" s="51">
        <f>Table1[[#This Row],[Number of Summer 2016 2L SAs]]/Table1[[#This Row],[Interview Slots]]</f>
        <v>7.03125E-2</v>
      </c>
      <c r="M43" s="51">
        <f>IFERROR(Table1[[#This Row],[Number of Summer 2016 NYU 2L SAs]]/Table1[[#This Row],[Number of Summer 2016 2L SAs]],0)</f>
        <v>2.5555555555555554</v>
      </c>
      <c r="N43" s="50" t="str">
        <f>IFERROR(RIGHT(Table1[[#This Row],[1st year]],LEN(Table1[[#This Row],[1st year]])-FIND(":",Table1[[#This Row],[1st year]])-1),"")</f>
        <v>$180K</v>
      </c>
      <c r="O43" s="50" t="str">
        <f t="array" ref="O43">IFERROR(INDEX(Table2[Nth year],MATCH(1,(Table1[[#This Row],[Employer]]=Table2[EIW Name])*(Table1[[#This Row],[City, State]]=Table2[Offices Matched]),0)),"")</f>
        <v>9th Year+: $325K</v>
      </c>
      <c r="P43" s="50" t="str">
        <f>IFERROR(RIGHT(Table1[[#This Row],[Nth year]],LEN(Table1[[#This Row],[Nth year]])-FIND(":",Table1[[#This Row],[Nth year]])-1),"")</f>
        <v>$325K</v>
      </c>
      <c r="Q43" s="50" t="str">
        <f t="array" ref="Q43">IFERROR(INDEX(Table2[Am Law 200 PPP Rank ’16],MATCH(1,(Table1[[#This Row],[Employer]]=Table2[EIW Name])*(Table1[[#This Row],[City, State]]=Table2[Offices Matched]),0)),"")</f>
        <v>58: $1.56M</v>
      </c>
      <c r="R43" s="50" t="str">
        <f>IFERROR(LEFT(Table1[[#This Row],[Am Law 200 PPP Rank ’16]],FIND(":",Table1[[#This Row],[Am Law 200 PPP Rank ’16]])-1),"")</f>
        <v>58</v>
      </c>
      <c r="S43" s="50">
        <f>IFERROR(INDEX(VaultRank[Rank],MATCH(Table1[[#This Row],[Employer]],VaultRank[EIW Name],0)),"")</f>
        <v>23</v>
      </c>
      <c r="T43" s="50" t="str">
        <f t="array" ref="T43">IFERROR(INDEX(Table2[Summers Matched],MATCH(1,(Table1[[#This Row],[Employer]]=Table2[EIW Name])*(Table1[[#This Row],[City, State]]=Table2[Offices Matched]),0)),"")</f>
        <v>Yes</v>
      </c>
      <c r="U43" s="52" t="str">
        <f t="shared" si="0"/>
        <v/>
      </c>
      <c r="V43" s="60"/>
      <c r="W43" s="114">
        <v>42593</v>
      </c>
      <c r="X43"/>
    </row>
    <row r="44" spans="1:24" ht="14.1" customHeight="1">
      <c r="A44" s="45" t="s">
        <v>128</v>
      </c>
      <c r="B44" s="45" t="s">
        <v>334</v>
      </c>
      <c r="C44" s="45" t="s">
        <v>300</v>
      </c>
      <c r="D44" s="45" t="str">
        <f>Table1[[#This Row],[City]]&amp;", "&amp;Table1[[#This Row],[State]]</f>
        <v>Palo Alto, CA</v>
      </c>
      <c r="E44" s="49">
        <v>166</v>
      </c>
      <c r="F44" s="50">
        <v>7</v>
      </c>
      <c r="G44" s="50" t="str">
        <f t="array" ref="G44">IFERROR(INDEX(Table2[1st Year],MATCH(1,(Table1[[#This Row],[Employer]]=Table2[EIW Name])*(Table1[[#This Row],[City, State]]=Table2[Offices Matched]),0)),"")</f>
        <v/>
      </c>
      <c r="H44" s="50">
        <f>_xlfn.IFNA(INDEX(saCAGR[CAGR],MATCH(Table1[[#This Row],[Employer]],saCAGR[EIW Name],0)),"")</f>
        <v>1.0141413683723162</v>
      </c>
      <c r="I44" s="50">
        <f>IFERROR(Table1[[#This Row],[SA CAGR]]*Table1[[#This Row],[Number of Summer 2016 2L SAs]],"")</f>
        <v>7.0989895786062132</v>
      </c>
      <c r="J44" s="50">
        <v>6</v>
      </c>
      <c r="K44" s="51">
        <f>IFERROR(Table1[[#This Row],[Number of Summer 2016 NYU 2L SAs]]/Table1[[#This Row],[Interview Slots]],0)</f>
        <v>3.614457831325301E-2</v>
      </c>
      <c r="L44" s="51">
        <f>Table1[[#This Row],[Number of Summer 2016 2L SAs]]/Table1[[#This Row],[Interview Slots]]</f>
        <v>4.2168674698795178E-2</v>
      </c>
      <c r="M44" s="51">
        <f>IFERROR(Table1[[#This Row],[Number of Summer 2016 NYU 2L SAs]]/Table1[[#This Row],[Number of Summer 2016 2L SAs]],0)</f>
        <v>0.8571428571428571</v>
      </c>
      <c r="N44" s="50" t="str">
        <f>IFERROR(RIGHT(Table1[[#This Row],[1st year]],LEN(Table1[[#This Row],[1st year]])-FIND(":",Table1[[#This Row],[1st year]])-1),"")</f>
        <v/>
      </c>
      <c r="O44" s="50" t="str">
        <f t="array" ref="O44">IFERROR(INDEX(Table2[Nth year],MATCH(1,(Table1[[#This Row],[Employer]]=Table2[EIW Name])*(Table1[[#This Row],[City, State]]=Table2[Offices Matched]),0)),"")</f>
        <v>Level 4: $305K</v>
      </c>
      <c r="P44" s="50" t="str">
        <f>IFERROR(RIGHT(Table1[[#This Row],[Nth year]],LEN(Table1[[#This Row],[Nth year]])-FIND(":",Table1[[#This Row],[Nth year]])-1),"")</f>
        <v>$305K</v>
      </c>
      <c r="Q44" s="50" t="str">
        <f t="array" ref="Q44">IFERROR(INDEX(Table2[Am Law 200 PPP Rank ’16],MATCH(1,(Table1[[#This Row],[Employer]]=Table2[EIW Name])*(Table1[[#This Row],[City, State]]=Table2[Offices Matched]),0)),"")</f>
        <v>44: $1.81M</v>
      </c>
      <c r="R44" s="50" t="str">
        <f>IFERROR(LEFT(Table1[[#This Row],[Am Law 200 PPP Rank ’16]],FIND(":",Table1[[#This Row],[Am Law 200 PPP Rank ’16]])-1),"")</f>
        <v>44</v>
      </c>
      <c r="S44" s="50">
        <f>IFERROR(INDEX(VaultRank[Rank],MATCH(Table1[[#This Row],[Employer]],VaultRank[EIW Name],0)),"")</f>
        <v>44</v>
      </c>
      <c r="T44" s="50" t="str">
        <f t="array" ref="T44">IFERROR(INDEX(Table2[Summers Matched],MATCH(1,(Table1[[#This Row],[Employer]]=Table2[EIW Name])*(Table1[[#This Row],[City, State]]=Table2[Offices Matched]),0)),"")</f>
        <v>Yes</v>
      </c>
      <c r="U44" s="52" t="str">
        <f t="shared" si="0"/>
        <v/>
      </c>
      <c r="V44" s="60"/>
      <c r="W44" s="114">
        <v>42592</v>
      </c>
      <c r="X44"/>
    </row>
    <row r="45" spans="1:24" ht="14.1" customHeight="1">
      <c r="A45" s="45" t="s">
        <v>128</v>
      </c>
      <c r="B45" s="45" t="s">
        <v>301</v>
      </c>
      <c r="C45" s="45" t="s">
        <v>302</v>
      </c>
      <c r="D45" s="45" t="str">
        <f>Table1[[#This Row],[City]]&amp;", "&amp;Table1[[#This Row],[State]]</f>
        <v>Washington, DC</v>
      </c>
      <c r="E45" s="49">
        <v>97</v>
      </c>
      <c r="F45" s="50">
        <v>9</v>
      </c>
      <c r="G45" s="50" t="str">
        <f t="array" ref="G45">IFERROR(INDEX(Table2[1st Year],MATCH(1,(Table1[[#This Row],[Employer]]=Table2[EIW Name])*(Table1[[#This Row],[City, State]]=Table2[Offices Matched]),0)),"")</f>
        <v/>
      </c>
      <c r="H45" s="50">
        <f>_xlfn.IFNA(INDEX(saCAGR[CAGR],MATCH(Table1[[#This Row],[Employer]],saCAGR[EIW Name],0)),"")</f>
        <v>1.0141413683723162</v>
      </c>
      <c r="I45" s="50">
        <f>IFERROR(Table1[[#This Row],[SA CAGR]]*Table1[[#This Row],[Number of Summer 2016 2L SAs]],"")</f>
        <v>9.1272723153508455</v>
      </c>
      <c r="J45" s="50">
        <v>22</v>
      </c>
      <c r="K45" s="51">
        <f>IFERROR(Table1[[#This Row],[Number of Summer 2016 NYU 2L SAs]]/Table1[[#This Row],[Interview Slots]],0)</f>
        <v>0.22680412371134021</v>
      </c>
      <c r="L45" s="51">
        <f>Table1[[#This Row],[Number of Summer 2016 2L SAs]]/Table1[[#This Row],[Interview Slots]]</f>
        <v>9.2783505154639179E-2</v>
      </c>
      <c r="M45" s="51">
        <f>IFERROR(Table1[[#This Row],[Number of Summer 2016 NYU 2L SAs]]/Table1[[#This Row],[Number of Summer 2016 2L SAs]],0)</f>
        <v>2.4444444444444446</v>
      </c>
      <c r="N45" s="50" t="str">
        <f>IFERROR(RIGHT(Table1[[#This Row],[1st year]],LEN(Table1[[#This Row],[1st year]])-FIND(":",Table1[[#This Row],[1st year]])-1),"")</f>
        <v/>
      </c>
      <c r="O45" s="50" t="str">
        <f t="array" ref="O45">IFERROR(INDEX(Table2[Nth year],MATCH(1,(Table1[[#This Row],[Employer]]=Table2[EIW Name])*(Table1[[#This Row],[City, State]]=Table2[Offices Matched]),0)),"")</f>
        <v/>
      </c>
      <c r="P45" s="50" t="str">
        <f>IFERROR(RIGHT(Table1[[#This Row],[Nth year]],LEN(Table1[[#This Row],[Nth year]])-FIND(":",Table1[[#This Row],[Nth year]])-1),"")</f>
        <v/>
      </c>
      <c r="Q45" s="50" t="str">
        <f t="array" ref="Q45">IFERROR(INDEX(Table2[Am Law 200 PPP Rank ’16],MATCH(1,(Table1[[#This Row],[Employer]]=Table2[EIW Name])*(Table1[[#This Row],[City, State]]=Table2[Offices Matched]),0)),"")</f>
        <v/>
      </c>
      <c r="R45" s="50" t="str">
        <f>IFERROR(LEFT(Table1[[#This Row],[Am Law 200 PPP Rank ’16]],FIND(":",Table1[[#This Row],[Am Law 200 PPP Rank ’16]])-1),"")</f>
        <v/>
      </c>
      <c r="S45" s="50">
        <f>IFERROR(INDEX(VaultRank[Rank],MATCH(Table1[[#This Row],[Employer]],VaultRank[EIW Name],0)),"")</f>
        <v>44</v>
      </c>
      <c r="T45" s="50" t="str">
        <f t="array" ref="T45">IFERROR(INDEX(Table2[Summers Matched],MATCH(1,(Table1[[#This Row],[Employer]]=Table2[EIW Name])*(Table1[[#This Row],[City, State]]=Table2[Offices Matched]),0)),"")</f>
        <v/>
      </c>
      <c r="U45" s="52" t="str">
        <f t="shared" si="0"/>
        <v/>
      </c>
      <c r="V45" s="60"/>
      <c r="W45" s="114">
        <v>42592</v>
      </c>
      <c r="X45"/>
    </row>
    <row r="46" spans="1:24" ht="14.1" customHeight="1">
      <c r="A46" s="45" t="s">
        <v>128</v>
      </c>
      <c r="B46" s="45" t="s">
        <v>338</v>
      </c>
      <c r="C46" s="45" t="s">
        <v>314</v>
      </c>
      <c r="D46" s="45" t="str">
        <f>Table1[[#This Row],[City]]&amp;", "&amp;Table1[[#This Row],[State]]</f>
        <v>Austin, TX</v>
      </c>
      <c r="E46" s="49">
        <v>35</v>
      </c>
      <c r="F46" s="50">
        <v>7</v>
      </c>
      <c r="G46" s="50" t="str">
        <f t="array" ref="G46">IFERROR(INDEX(Table2[1st Year],MATCH(1,(Table1[[#This Row],[Employer]]=Table2[EIW Name])*(Table1[[#This Row],[City, State]]=Table2[Offices Matched]),0)),"")</f>
        <v/>
      </c>
      <c r="H46" s="50">
        <f>_xlfn.IFNA(INDEX(saCAGR[CAGR],MATCH(Table1[[#This Row],[Employer]],saCAGR[EIW Name],0)),"")</f>
        <v>1.0141413683723162</v>
      </c>
      <c r="I46" s="50">
        <f>IFERROR(Table1[[#This Row],[SA CAGR]]*Table1[[#This Row],[Number of Summer 2016 2L SAs]],"")</f>
        <v>7.0989895786062132</v>
      </c>
      <c r="J46" s="50">
        <v>20</v>
      </c>
      <c r="K46" s="51">
        <f>IFERROR(Table1[[#This Row],[Number of Summer 2016 NYU 2L SAs]]/Table1[[#This Row],[Interview Slots]],0)</f>
        <v>0.5714285714285714</v>
      </c>
      <c r="L46" s="51">
        <f>Table1[[#This Row],[Number of Summer 2016 2L SAs]]/Table1[[#This Row],[Interview Slots]]</f>
        <v>0.2</v>
      </c>
      <c r="M46" s="51">
        <f>IFERROR(Table1[[#This Row],[Number of Summer 2016 NYU 2L SAs]]/Table1[[#This Row],[Number of Summer 2016 2L SAs]],0)</f>
        <v>2.8571428571428572</v>
      </c>
      <c r="N46" s="50" t="str">
        <f>IFERROR(RIGHT(Table1[[#This Row],[1st year]],LEN(Table1[[#This Row],[1st year]])-FIND(":",Table1[[#This Row],[1st year]])-1),"")</f>
        <v/>
      </c>
      <c r="O46" s="50" t="str">
        <f t="array" ref="O46">IFERROR(INDEX(Table2[Nth year],MATCH(1,(Table1[[#This Row],[Employer]]=Table2[EIW Name])*(Table1[[#This Row],[City, State]]=Table2[Offices Matched]),0)),"")</f>
        <v>Level 4: $305K</v>
      </c>
      <c r="P46" s="50" t="str">
        <f>IFERROR(RIGHT(Table1[[#This Row],[Nth year]],LEN(Table1[[#This Row],[Nth year]])-FIND(":",Table1[[#This Row],[Nth year]])-1),"")</f>
        <v>$305K</v>
      </c>
      <c r="Q46" s="50" t="str">
        <f t="array" ref="Q46">IFERROR(INDEX(Table2[Am Law 200 PPP Rank ’16],MATCH(1,(Table1[[#This Row],[Employer]]=Table2[EIW Name])*(Table1[[#This Row],[City, State]]=Table2[Offices Matched]),0)),"")</f>
        <v>44: $1.81M</v>
      </c>
      <c r="R46" s="50" t="str">
        <f>IFERROR(LEFT(Table1[[#This Row],[Am Law 200 PPP Rank ’16]],FIND(":",Table1[[#This Row],[Am Law 200 PPP Rank ’16]])-1),"")</f>
        <v>44</v>
      </c>
      <c r="S46" s="50">
        <f>IFERROR(INDEX(VaultRank[Rank],MATCH(Table1[[#This Row],[Employer]],VaultRank[EIW Name],0)),"")</f>
        <v>44</v>
      </c>
      <c r="T46" s="50" t="str">
        <f t="array" ref="T46">IFERROR(INDEX(Table2[Summers Matched],MATCH(1,(Table1[[#This Row],[Employer]]=Table2[EIW Name])*(Table1[[#This Row],[City, State]]=Table2[Offices Matched]),0)),"")</f>
        <v>Yes</v>
      </c>
      <c r="U46" s="52">
        <f t="shared" si="0"/>
        <v>3.6</v>
      </c>
      <c r="V46" s="60"/>
      <c r="W46" s="114">
        <v>42592</v>
      </c>
      <c r="X46"/>
    </row>
    <row r="47" spans="1:24" ht="14.1" customHeight="1">
      <c r="A47" s="45" t="s">
        <v>128</v>
      </c>
      <c r="B47" s="45" t="s">
        <v>313</v>
      </c>
      <c r="C47" s="45" t="s">
        <v>314</v>
      </c>
      <c r="D47" s="45" t="str">
        <f>Table1[[#This Row],[City]]&amp;", "&amp;Table1[[#This Row],[State]]</f>
        <v>Dallas, TX</v>
      </c>
      <c r="E47" s="49">
        <v>62</v>
      </c>
      <c r="F47" s="50">
        <v>16</v>
      </c>
      <c r="G47" s="50" t="str">
        <f t="array" ref="G47">IFERROR(INDEX(Table2[1st Year],MATCH(1,(Table1[[#This Row],[Employer]]=Table2[EIW Name])*(Table1[[#This Row],[City, State]]=Table2[Offices Matched]),0)),"")</f>
        <v/>
      </c>
      <c r="H47" s="50">
        <f>_xlfn.IFNA(INDEX(saCAGR[CAGR],MATCH(Table1[[#This Row],[Employer]],saCAGR[EIW Name],0)),"")</f>
        <v>1.0141413683723162</v>
      </c>
      <c r="I47" s="50">
        <f>IFERROR(Table1[[#This Row],[SA CAGR]]*Table1[[#This Row],[Number of Summer 2016 2L SAs]],"")</f>
        <v>16.226261893957059</v>
      </c>
      <c r="J47" s="50">
        <v>14</v>
      </c>
      <c r="K47" s="51">
        <f>IFERROR(Table1[[#This Row],[Number of Summer 2016 NYU 2L SAs]]/Table1[[#This Row],[Interview Slots]],0)</f>
        <v>0.22580645161290322</v>
      </c>
      <c r="L47" s="51">
        <f>Table1[[#This Row],[Number of Summer 2016 2L SAs]]/Table1[[#This Row],[Interview Slots]]</f>
        <v>0.25806451612903225</v>
      </c>
      <c r="M47" s="51">
        <f>IFERROR(Table1[[#This Row],[Number of Summer 2016 NYU 2L SAs]]/Table1[[#This Row],[Number of Summer 2016 2L SAs]],0)</f>
        <v>0.875</v>
      </c>
      <c r="N47" s="50" t="str">
        <f>IFERROR(RIGHT(Table1[[#This Row],[1st year]],LEN(Table1[[#This Row],[1st year]])-FIND(":",Table1[[#This Row],[1st year]])-1),"")</f>
        <v/>
      </c>
      <c r="O47" s="50" t="str">
        <f t="array" ref="O47">IFERROR(INDEX(Table2[Nth year],MATCH(1,(Table1[[#This Row],[Employer]]=Table2[EIW Name])*(Table1[[#This Row],[City, State]]=Table2[Offices Matched]),0)),"")</f>
        <v>Level 4: $305K</v>
      </c>
      <c r="P47" s="50" t="str">
        <f>IFERROR(RIGHT(Table1[[#This Row],[Nth year]],LEN(Table1[[#This Row],[Nth year]])-FIND(":",Table1[[#This Row],[Nth year]])-1),"")</f>
        <v>$305K</v>
      </c>
      <c r="Q47" s="50" t="str">
        <f t="array" ref="Q47">IFERROR(INDEX(Table2[Am Law 200 PPP Rank ’16],MATCH(1,(Table1[[#This Row],[Employer]]=Table2[EIW Name])*(Table1[[#This Row],[City, State]]=Table2[Offices Matched]),0)),"")</f>
        <v>44: $1.81M</v>
      </c>
      <c r="R47" s="50" t="str">
        <f>IFERROR(LEFT(Table1[[#This Row],[Am Law 200 PPP Rank ’16]],FIND(":",Table1[[#This Row],[Am Law 200 PPP Rank ’16]])-1),"")</f>
        <v>44</v>
      </c>
      <c r="S47" s="50">
        <f>IFERROR(INDEX(VaultRank[Rank],MATCH(Table1[[#This Row],[Employer]],VaultRank[EIW Name],0)),"")</f>
        <v>44</v>
      </c>
      <c r="T47" s="50" t="str">
        <f t="array" ref="T47">IFERROR(INDEX(Table2[Summers Matched],MATCH(1,(Table1[[#This Row],[Employer]]=Table2[EIW Name])*(Table1[[#This Row],[City, State]]=Table2[Offices Matched]),0)),"")</f>
        <v>Yes</v>
      </c>
      <c r="U47" s="52" t="str">
        <f t="shared" si="0"/>
        <v/>
      </c>
      <c r="V47" s="60"/>
      <c r="W47" s="114">
        <v>42592</v>
      </c>
      <c r="X47"/>
    </row>
    <row r="48" spans="1:24" ht="14.1" customHeight="1">
      <c r="A48" s="45" t="s">
        <v>128</v>
      </c>
      <c r="B48" s="45" t="s">
        <v>313</v>
      </c>
      <c r="C48" s="45" t="s">
        <v>314</v>
      </c>
      <c r="D48" s="45" t="str">
        <f>Table1[[#This Row],[City]]&amp;", "&amp;Table1[[#This Row],[State]]</f>
        <v>Dallas, TX</v>
      </c>
      <c r="E48" s="49">
        <v>171</v>
      </c>
      <c r="F48" s="50">
        <v>16</v>
      </c>
      <c r="G48" s="50" t="str">
        <f t="array" ref="G48">IFERROR(INDEX(Table2[1st Year],MATCH(1,(Table1[[#This Row],[Employer]]=Table2[EIW Name])*(Table1[[#This Row],[City, State]]=Table2[Offices Matched]),0)),"")</f>
        <v/>
      </c>
      <c r="H48" s="50">
        <f>_xlfn.IFNA(INDEX(saCAGR[CAGR],MATCH(Table1[[#This Row],[Employer]],saCAGR[EIW Name],0)),"")</f>
        <v>1.0141413683723162</v>
      </c>
      <c r="I48" s="50">
        <f>IFERROR(Table1[[#This Row],[SA CAGR]]*Table1[[#This Row],[Number of Summer 2016 2L SAs]],"")</f>
        <v>16.226261893957059</v>
      </c>
      <c r="J48" s="50">
        <v>5</v>
      </c>
      <c r="K48" s="51">
        <f>IFERROR(Table1[[#This Row],[Number of Summer 2016 NYU 2L SAs]]/Table1[[#This Row],[Interview Slots]],0)</f>
        <v>2.9239766081871343E-2</v>
      </c>
      <c r="L48" s="51">
        <f>Table1[[#This Row],[Number of Summer 2016 2L SAs]]/Table1[[#This Row],[Interview Slots]]</f>
        <v>9.3567251461988299E-2</v>
      </c>
      <c r="M48" s="51">
        <f>IFERROR(Table1[[#This Row],[Number of Summer 2016 NYU 2L SAs]]/Table1[[#This Row],[Number of Summer 2016 2L SAs]],0)</f>
        <v>0.3125</v>
      </c>
      <c r="N48" s="50" t="str">
        <f>IFERROR(RIGHT(Table1[[#This Row],[1st year]],LEN(Table1[[#This Row],[1st year]])-FIND(":",Table1[[#This Row],[1st year]])-1),"")</f>
        <v/>
      </c>
      <c r="O48" s="50" t="str">
        <f t="array" ref="O48">IFERROR(INDEX(Table2[Nth year],MATCH(1,(Table1[[#This Row],[Employer]]=Table2[EIW Name])*(Table1[[#This Row],[City, State]]=Table2[Offices Matched]),0)),"")</f>
        <v>Level 4: $305K</v>
      </c>
      <c r="P48" s="50" t="str">
        <f>IFERROR(RIGHT(Table1[[#This Row],[Nth year]],LEN(Table1[[#This Row],[Nth year]])-FIND(":",Table1[[#This Row],[Nth year]])-1),"")</f>
        <v>$305K</v>
      </c>
      <c r="Q48" s="50" t="str">
        <f t="array" ref="Q48">IFERROR(INDEX(Table2[Am Law 200 PPP Rank ’16],MATCH(1,(Table1[[#This Row],[Employer]]=Table2[EIW Name])*(Table1[[#This Row],[City, State]]=Table2[Offices Matched]),0)),"")</f>
        <v>44: $1.81M</v>
      </c>
      <c r="R48" s="50" t="str">
        <f>IFERROR(LEFT(Table1[[#This Row],[Am Law 200 PPP Rank ’16]],FIND(":",Table1[[#This Row],[Am Law 200 PPP Rank ’16]])-1),"")</f>
        <v>44</v>
      </c>
      <c r="S48" s="50">
        <f>IFERROR(INDEX(VaultRank[Rank],MATCH(Table1[[#This Row],[Employer]],VaultRank[EIW Name],0)),"")</f>
        <v>44</v>
      </c>
      <c r="T48" s="50" t="str">
        <f t="array" ref="T48">IFERROR(INDEX(Table2[Summers Matched],MATCH(1,(Table1[[#This Row],[Employer]]=Table2[EIW Name])*(Table1[[#This Row],[City, State]]=Table2[Offices Matched]),0)),"")</f>
        <v>Yes</v>
      </c>
      <c r="U48" s="52">
        <f t="shared" si="0"/>
        <v>3.4</v>
      </c>
      <c r="V48" s="60"/>
      <c r="W48" s="114">
        <v>42594</v>
      </c>
      <c r="X48"/>
    </row>
    <row r="49" spans="1:24" ht="14.1" customHeight="1">
      <c r="A49" s="45" t="s">
        <v>128</v>
      </c>
      <c r="B49" s="45" t="s">
        <v>331</v>
      </c>
      <c r="C49" s="45" t="s">
        <v>314</v>
      </c>
      <c r="D49" s="45" t="str">
        <f>Table1[[#This Row],[City]]&amp;", "&amp;Table1[[#This Row],[State]]</f>
        <v>Houston, TX</v>
      </c>
      <c r="E49" s="49">
        <v>24</v>
      </c>
      <c r="F49" s="50">
        <v>32</v>
      </c>
      <c r="G49" s="50" t="str">
        <f t="array" ref="G49">IFERROR(INDEX(Table2[1st Year],MATCH(1,(Table1[[#This Row],[Employer]]=Table2[EIW Name])*(Table1[[#This Row],[City, State]]=Table2[Offices Matched]),0)),"")</f>
        <v/>
      </c>
      <c r="H49" s="50">
        <f>_xlfn.IFNA(INDEX(saCAGR[CAGR],MATCH(Table1[[#This Row],[Employer]],saCAGR[EIW Name],0)),"")</f>
        <v>1.0141413683723162</v>
      </c>
      <c r="I49" s="50">
        <f>IFERROR(Table1[[#This Row],[SA CAGR]]*Table1[[#This Row],[Number of Summer 2016 2L SAs]],"")</f>
        <v>32.452523787914117</v>
      </c>
      <c r="J49" s="50">
        <v>16</v>
      </c>
      <c r="K49" s="51">
        <f>IFERROR(Table1[[#This Row],[Number of Summer 2016 NYU 2L SAs]]/Table1[[#This Row],[Interview Slots]],0)</f>
        <v>0.66666666666666663</v>
      </c>
      <c r="L49" s="51">
        <f>Table1[[#This Row],[Number of Summer 2016 2L SAs]]/Table1[[#This Row],[Interview Slots]]</f>
        <v>1.3333333333333333</v>
      </c>
      <c r="M49" s="51">
        <f>IFERROR(Table1[[#This Row],[Number of Summer 2016 NYU 2L SAs]]/Table1[[#This Row],[Number of Summer 2016 2L SAs]],0)</f>
        <v>0.5</v>
      </c>
      <c r="N49" s="50" t="str">
        <f>IFERROR(RIGHT(Table1[[#This Row],[1st year]],LEN(Table1[[#This Row],[1st year]])-FIND(":",Table1[[#This Row],[1st year]])-1),"")</f>
        <v/>
      </c>
      <c r="O49" s="50" t="str">
        <f t="array" ref="O49">IFERROR(INDEX(Table2[Nth year],MATCH(1,(Table1[[#This Row],[Employer]]=Table2[EIW Name])*(Table1[[#This Row],[City, State]]=Table2[Offices Matched]),0)),"")</f>
        <v>Level 4: $305K</v>
      </c>
      <c r="P49" s="50" t="str">
        <f>IFERROR(RIGHT(Table1[[#This Row],[Nth year]],LEN(Table1[[#This Row],[Nth year]])-FIND(":",Table1[[#This Row],[Nth year]])-1),"")</f>
        <v>$305K</v>
      </c>
      <c r="Q49" s="50" t="str">
        <f t="array" ref="Q49">IFERROR(INDEX(Table2[Am Law 200 PPP Rank ’16],MATCH(1,(Table1[[#This Row],[Employer]]=Table2[EIW Name])*(Table1[[#This Row],[City, State]]=Table2[Offices Matched]),0)),"")</f>
        <v>44: $1.81M</v>
      </c>
      <c r="R49" s="50" t="str">
        <f>IFERROR(LEFT(Table1[[#This Row],[Am Law 200 PPP Rank ’16]],FIND(":",Table1[[#This Row],[Am Law 200 PPP Rank ’16]])-1),"")</f>
        <v>44</v>
      </c>
      <c r="S49" s="50">
        <f>IFERROR(INDEX(VaultRank[Rank],MATCH(Table1[[#This Row],[Employer]],VaultRank[EIW Name],0)),"")</f>
        <v>44</v>
      </c>
      <c r="T49" s="50" t="str">
        <f t="array" ref="T49">IFERROR(INDEX(Table2[Summers Matched],MATCH(1,(Table1[[#This Row],[Employer]]=Table2[EIW Name])*(Table1[[#This Row],[City, State]]=Table2[Offices Matched]),0)),"")</f>
        <v>Yes</v>
      </c>
      <c r="U49" s="52" t="str">
        <f t="shared" si="0"/>
        <v/>
      </c>
      <c r="V49" s="60"/>
      <c r="W49" s="114">
        <v>42592</v>
      </c>
      <c r="X49"/>
    </row>
    <row r="50" spans="1:24" ht="14.1" customHeight="1">
      <c r="A50" s="45" t="s">
        <v>128</v>
      </c>
      <c r="B50" s="45" t="s">
        <v>331</v>
      </c>
      <c r="C50" s="45" t="s">
        <v>314</v>
      </c>
      <c r="D50" s="45" t="str">
        <f>Table1[[#This Row],[City]]&amp;", "&amp;Table1[[#This Row],[State]]</f>
        <v>Houston, TX</v>
      </c>
      <c r="E50" s="49">
        <v>159</v>
      </c>
      <c r="F50" s="50">
        <v>32</v>
      </c>
      <c r="G50" s="50" t="str">
        <f t="array" ref="G50">IFERROR(INDEX(Table2[1st Year],MATCH(1,(Table1[[#This Row],[Employer]]=Table2[EIW Name])*(Table1[[#This Row],[City, State]]=Table2[Offices Matched]),0)),"")</f>
        <v/>
      </c>
      <c r="H50" s="50">
        <f>_xlfn.IFNA(INDEX(saCAGR[CAGR],MATCH(Table1[[#This Row],[Employer]],saCAGR[EIW Name],0)),"")</f>
        <v>1.0141413683723162</v>
      </c>
      <c r="I50" s="50">
        <f>IFERROR(Table1[[#This Row],[SA CAGR]]*Table1[[#This Row],[Number of Summer 2016 2L SAs]],"")</f>
        <v>32.452523787914117</v>
      </c>
      <c r="J50" s="50">
        <v>22</v>
      </c>
      <c r="K50" s="51">
        <f>IFERROR(Table1[[#This Row],[Number of Summer 2016 NYU 2L SAs]]/Table1[[#This Row],[Interview Slots]],0)</f>
        <v>0.13836477987421383</v>
      </c>
      <c r="L50" s="51">
        <f>Table1[[#This Row],[Number of Summer 2016 2L SAs]]/Table1[[#This Row],[Interview Slots]]</f>
        <v>0.20125786163522014</v>
      </c>
      <c r="M50" s="51">
        <f>IFERROR(Table1[[#This Row],[Number of Summer 2016 NYU 2L SAs]]/Table1[[#This Row],[Number of Summer 2016 2L SAs]],0)</f>
        <v>0.6875</v>
      </c>
      <c r="N50" s="50" t="str">
        <f>IFERROR(RIGHT(Table1[[#This Row],[1st year]],LEN(Table1[[#This Row],[1st year]])-FIND(":",Table1[[#This Row],[1st year]])-1),"")</f>
        <v/>
      </c>
      <c r="O50" s="50" t="str">
        <f t="array" ref="O50">IFERROR(INDEX(Table2[Nth year],MATCH(1,(Table1[[#This Row],[Employer]]=Table2[EIW Name])*(Table1[[#This Row],[City, State]]=Table2[Offices Matched]),0)),"")</f>
        <v>Level 4: $305K</v>
      </c>
      <c r="P50" s="50" t="str">
        <f>IFERROR(RIGHT(Table1[[#This Row],[Nth year]],LEN(Table1[[#This Row],[Nth year]])-FIND(":",Table1[[#This Row],[Nth year]])-1),"")</f>
        <v>$305K</v>
      </c>
      <c r="Q50" s="50" t="str">
        <f t="array" ref="Q50">IFERROR(INDEX(Table2[Am Law 200 PPP Rank ’16],MATCH(1,(Table1[[#This Row],[Employer]]=Table2[EIW Name])*(Table1[[#This Row],[City, State]]=Table2[Offices Matched]),0)),"")</f>
        <v>44: $1.81M</v>
      </c>
      <c r="R50" s="50" t="str">
        <f>IFERROR(LEFT(Table1[[#This Row],[Am Law 200 PPP Rank ’16]],FIND(":",Table1[[#This Row],[Am Law 200 PPP Rank ’16]])-1),"")</f>
        <v>44</v>
      </c>
      <c r="S50" s="50">
        <f>IFERROR(INDEX(VaultRank[Rank],MATCH(Table1[[#This Row],[Employer]],VaultRank[EIW Name],0)),"")</f>
        <v>44</v>
      </c>
      <c r="T50" s="50" t="str">
        <f t="array" ref="T50">IFERROR(INDEX(Table2[Summers Matched],MATCH(1,(Table1[[#This Row],[Employer]]=Table2[EIW Name])*(Table1[[#This Row],[City, State]]=Table2[Offices Matched]),0)),"")</f>
        <v>Yes</v>
      </c>
      <c r="U50" s="52" t="str">
        <f t="shared" si="0"/>
        <v/>
      </c>
      <c r="V50" s="60"/>
      <c r="W50" s="114">
        <v>42592</v>
      </c>
      <c r="X50"/>
    </row>
    <row r="51" spans="1:24" ht="14.1" customHeight="1">
      <c r="A51" s="45" t="s">
        <v>204</v>
      </c>
      <c r="B51" s="45" t="s">
        <v>364</v>
      </c>
      <c r="C51" s="45" t="s">
        <v>362</v>
      </c>
      <c r="D51" s="45" t="str">
        <f>Table1[[#This Row],[City]]&amp;", "&amp;Table1[[#This Row],[State]]</f>
        <v>New York, NY</v>
      </c>
      <c r="E51" s="49">
        <v>162</v>
      </c>
      <c r="F51" s="50">
        <v>9</v>
      </c>
      <c r="G51" s="50" t="str">
        <f t="array" ref="G51">IFERROR(INDEX(Table2[1st Year],MATCH(1,(Table1[[#This Row],[Employer]]=Table2[EIW Name])*(Table1[[#This Row],[City, State]]=Table2[Offices Matched]),0)),"")</f>
        <v>1st Year: $180K</v>
      </c>
      <c r="H51" s="51">
        <f>_xlfn.IFNA(INDEX(saCAGR[CAGR],MATCH(Table1[[#This Row],[Employer]],saCAGR[EIW Name],0)),"")</f>
        <v>1.0018554798615353</v>
      </c>
      <c r="I51" s="50">
        <f>IFERROR(Table1[[#This Row],[SA CAGR]]*Table1[[#This Row],[Number of Summer 2016 2L SAs]],"")</f>
        <v>9.0166993187538189</v>
      </c>
      <c r="J51" s="50">
        <v>15</v>
      </c>
      <c r="K51" s="51">
        <f>IFERROR(Table1[[#This Row],[Number of Summer 2016 NYU 2L SAs]]/Table1[[#This Row],[Interview Slots]],0)</f>
        <v>9.2592592592592587E-2</v>
      </c>
      <c r="L51" s="51">
        <f>Table1[[#This Row],[Number of Summer 2016 2L SAs]]/Table1[[#This Row],[Interview Slots]]</f>
        <v>5.5555555555555552E-2</v>
      </c>
      <c r="M51" s="51">
        <f>IFERROR(Table1[[#This Row],[Number of Summer 2016 NYU 2L SAs]]/Table1[[#This Row],[Number of Summer 2016 2L SAs]],0)</f>
        <v>1.6666666666666667</v>
      </c>
      <c r="N51" s="50" t="str">
        <f>IFERROR(RIGHT(Table1[[#This Row],[1st year]],LEN(Table1[[#This Row],[1st year]])-FIND(":",Table1[[#This Row],[1st year]])-1),"")</f>
        <v>$180K</v>
      </c>
      <c r="O51" s="50" t="str">
        <f t="array" ref="O51">IFERROR(INDEX(Table2[Nth year],MATCH(1,(Table1[[#This Row],[Employer]]=Table2[EIW Name])*(Table1[[#This Row],[City, State]]=Table2[Offices Matched]),0)),"")</f>
        <v>8th Year: $315K</v>
      </c>
      <c r="P51" s="50" t="str">
        <f>IFERROR(RIGHT(Table1[[#This Row],[Nth year]],LEN(Table1[[#This Row],[Nth year]])-FIND(":",Table1[[#This Row],[Nth year]])-1),"")</f>
        <v>$315K</v>
      </c>
      <c r="Q51" s="50" t="str">
        <f t="array" ref="Q51">IFERROR(INDEX(Table2[Am Law 200 PPP Rank ’16],MATCH(1,(Table1[[#This Row],[Employer]]=Table2[EIW Name])*(Table1[[#This Row],[City, State]]=Table2[Offices Matched]),0)),"")</f>
        <v>74: $1.21M</v>
      </c>
      <c r="R51" s="50" t="str">
        <f>IFERROR(LEFT(Table1[[#This Row],[Am Law 200 PPP Rank ’16]],FIND(":",Table1[[#This Row],[Am Law 200 PPP Rank ’16]])-1),"")</f>
        <v>74</v>
      </c>
      <c r="S51" s="50">
        <f>IFERROR(INDEX(VaultRank[Rank],MATCH(Table1[[#This Row],[Employer]],VaultRank[EIW Name],0)),"")</f>
        <v>25</v>
      </c>
      <c r="T51" s="50" t="str">
        <f t="array" ref="T51">IFERROR(INDEX(Table2[Summers Matched],MATCH(1,(Table1[[#This Row],[Employer]]=Table2[EIW Name])*(Table1[[#This Row],[City, State]]=Table2[Offices Matched]),0)),"")</f>
        <v>Yes</v>
      </c>
      <c r="U51" s="52" t="str">
        <f t="shared" si="0"/>
        <v/>
      </c>
      <c r="V51" s="60"/>
      <c r="W51" s="114">
        <v>42593</v>
      </c>
      <c r="X51"/>
    </row>
    <row r="52" spans="1:24" ht="14.1" customHeight="1">
      <c r="A52" s="45" t="s">
        <v>339</v>
      </c>
      <c r="B52" s="45" t="s">
        <v>340</v>
      </c>
      <c r="C52" s="45" t="s">
        <v>341</v>
      </c>
      <c r="D52" s="45" t="str">
        <f>Table1[[#This Row],[City]]&amp;", "&amp;Table1[[#This Row],[State]]</f>
        <v>Phoenix, AZ</v>
      </c>
      <c r="E52" s="49">
        <v>77</v>
      </c>
      <c r="F52" s="50">
        <v>2</v>
      </c>
      <c r="G52" s="50" t="str">
        <f t="array" ref="G52">IFERROR(INDEX(Table2[1st Year],MATCH(1,(Table1[[#This Row],[Employer]]=Table2[EIW Name])*(Table1[[#This Row],[City, State]]=Table2[Offices Matched]),0)),"")</f>
        <v/>
      </c>
      <c r="H52" s="50" t="str">
        <f>_xlfn.IFNA(INDEX(saCAGR[CAGR],MATCH(Table1[[#This Row],[Employer]],saCAGR[EIW Name],0)),"")</f>
        <v/>
      </c>
      <c r="I52" s="50" t="str">
        <f>IFERROR(Table1[[#This Row],[SA CAGR]]*Table1[[#This Row],[Number of Summer 2016 2L SAs]],"")</f>
        <v/>
      </c>
      <c r="J52" s="50">
        <v>6</v>
      </c>
      <c r="K52" s="51">
        <f>IFERROR(Table1[[#This Row],[Number of Summer 2016 NYU 2L SAs]]/Table1[[#This Row],[Interview Slots]],0)</f>
        <v>7.792207792207792E-2</v>
      </c>
      <c r="L52" s="51">
        <f>Table1[[#This Row],[Number of Summer 2016 2L SAs]]/Table1[[#This Row],[Interview Slots]]</f>
        <v>2.5974025974025976E-2</v>
      </c>
      <c r="M52" s="51">
        <f>IFERROR(Table1[[#This Row],[Number of Summer 2016 NYU 2L SAs]]/Table1[[#This Row],[Number of Summer 2016 2L SAs]],0)</f>
        <v>3</v>
      </c>
      <c r="N52" s="50" t="str">
        <f>IFERROR(RIGHT(Table1[[#This Row],[1st year]],LEN(Table1[[#This Row],[1st year]])-FIND(":",Table1[[#This Row],[1st year]])-1),"")</f>
        <v/>
      </c>
      <c r="O52" s="50" t="str">
        <f t="array" ref="O52">IFERROR(INDEX(Table2[Nth year],MATCH(1,(Table1[[#This Row],[Employer]]=Table2[EIW Name])*(Table1[[#This Row],[City, State]]=Table2[Offices Matched]),0)),"")</f>
        <v/>
      </c>
      <c r="P52" s="50" t="str">
        <f>IFERROR(RIGHT(Table1[[#This Row],[Nth year]],LEN(Table1[[#This Row],[Nth year]])-FIND(":",Table1[[#This Row],[Nth year]])-1),"")</f>
        <v/>
      </c>
      <c r="Q52" s="50" t="str">
        <f t="array" ref="Q52">IFERROR(INDEX(Table2[Am Law 200 PPP Rank ’16],MATCH(1,(Table1[[#This Row],[Employer]]=Table2[EIW Name])*(Table1[[#This Row],[City, State]]=Table2[Offices Matched]),0)),"")</f>
        <v/>
      </c>
      <c r="R52" s="50" t="str">
        <f>IFERROR(LEFT(Table1[[#This Row],[Am Law 200 PPP Rank ’16]],FIND(":",Table1[[#This Row],[Am Law 200 PPP Rank ’16]])-1),"")</f>
        <v/>
      </c>
      <c r="S52" s="50" t="str">
        <f>IFERROR(INDEX(VaultRank[Rank],MATCH(Table1[[#This Row],[Employer]],VaultRank[EIW Name],0)),"")</f>
        <v/>
      </c>
      <c r="T52" s="50" t="str">
        <f t="array" ref="T52">IFERROR(INDEX(Table2[Summers Matched],MATCH(1,(Table1[[#This Row],[Employer]]=Table2[EIW Name])*(Table1[[#This Row],[City, State]]=Table2[Offices Matched]),0)),"")</f>
        <v/>
      </c>
      <c r="U52" s="52" t="str">
        <f t="shared" si="0"/>
        <v/>
      </c>
      <c r="V52" s="60"/>
      <c r="W52" s="114">
        <v>42594</v>
      </c>
      <c r="X52"/>
    </row>
    <row r="53" spans="1:24" ht="14.1" customHeight="1">
      <c r="A53" s="45" t="s">
        <v>339</v>
      </c>
      <c r="B53" s="45" t="s">
        <v>299</v>
      </c>
      <c r="C53" s="45" t="s">
        <v>300</v>
      </c>
      <c r="D53" s="45" t="str">
        <f>Table1[[#This Row],[City]]&amp;", "&amp;Table1[[#This Row],[State]]</f>
        <v>Los Angeles, CA</v>
      </c>
      <c r="E53" s="49">
        <v>59</v>
      </c>
      <c r="F53" s="50">
        <v>1</v>
      </c>
      <c r="G53" s="50" t="str">
        <f t="array" ref="G53">IFERROR(INDEX(Table2[1st Year],MATCH(1,(Table1[[#This Row],[Employer]]=Table2[EIW Name])*(Table1[[#This Row],[City, State]]=Table2[Offices Matched]),0)),"")</f>
        <v/>
      </c>
      <c r="H53" s="50" t="str">
        <f>_xlfn.IFNA(INDEX(saCAGR[CAGR],MATCH(Table1[[#This Row],[Employer]],saCAGR[EIW Name],0)),"")</f>
        <v/>
      </c>
      <c r="I53" s="50" t="str">
        <f>IFERROR(Table1[[#This Row],[SA CAGR]]*Table1[[#This Row],[Number of Summer 2016 2L SAs]],"")</f>
        <v/>
      </c>
      <c r="J53" s="50">
        <v>6</v>
      </c>
      <c r="K53" s="51">
        <f>IFERROR(Table1[[#This Row],[Number of Summer 2016 NYU 2L SAs]]/Table1[[#This Row],[Interview Slots]],0)</f>
        <v>0.10169491525423729</v>
      </c>
      <c r="L53" s="51">
        <f>Table1[[#This Row],[Number of Summer 2016 2L SAs]]/Table1[[#This Row],[Interview Slots]]</f>
        <v>1.6949152542372881E-2</v>
      </c>
      <c r="M53" s="51">
        <f>IFERROR(Table1[[#This Row],[Number of Summer 2016 NYU 2L SAs]]/Table1[[#This Row],[Number of Summer 2016 2L SAs]],0)</f>
        <v>6</v>
      </c>
      <c r="N53" s="50" t="str">
        <f>IFERROR(RIGHT(Table1[[#This Row],[1st year]],LEN(Table1[[#This Row],[1st year]])-FIND(":",Table1[[#This Row],[1st year]])-1),"")</f>
        <v/>
      </c>
      <c r="O53" s="50" t="str">
        <f t="array" ref="O53">IFERROR(INDEX(Table2[Nth year],MATCH(1,(Table1[[#This Row],[Employer]]=Table2[EIW Name])*(Table1[[#This Row],[City, State]]=Table2[Offices Matched]),0)),"")</f>
        <v/>
      </c>
      <c r="P53" s="50" t="str">
        <f>IFERROR(RIGHT(Table1[[#This Row],[Nth year]],LEN(Table1[[#This Row],[Nth year]])-FIND(":",Table1[[#This Row],[Nth year]])-1),"")</f>
        <v/>
      </c>
      <c r="Q53" s="50" t="str">
        <f t="array" ref="Q53">IFERROR(INDEX(Table2[Am Law 200 PPP Rank ’16],MATCH(1,(Table1[[#This Row],[Employer]]=Table2[EIW Name])*(Table1[[#This Row],[City, State]]=Table2[Offices Matched]),0)),"")</f>
        <v/>
      </c>
      <c r="R53" s="50" t="str">
        <f>IFERROR(LEFT(Table1[[#This Row],[Am Law 200 PPP Rank ’16]],FIND(":",Table1[[#This Row],[Am Law 200 PPP Rank ’16]])-1),"")</f>
        <v/>
      </c>
      <c r="S53" s="50" t="str">
        <f>IFERROR(INDEX(VaultRank[Rank],MATCH(Table1[[#This Row],[Employer]],VaultRank[EIW Name],0)),"")</f>
        <v/>
      </c>
      <c r="T53" s="50" t="str">
        <f t="array" ref="T53">IFERROR(INDEX(Table2[Summers Matched],MATCH(1,(Table1[[#This Row],[Employer]]=Table2[EIW Name])*(Table1[[#This Row],[City, State]]=Table2[Offices Matched]),0)),"")</f>
        <v/>
      </c>
      <c r="U53" s="52" t="str">
        <f t="shared" si="0"/>
        <v/>
      </c>
      <c r="V53" s="60"/>
      <c r="W53" s="114">
        <v>42595</v>
      </c>
      <c r="X53"/>
    </row>
    <row r="54" spans="1:24" ht="14.1" customHeight="1">
      <c r="A54" s="45" t="s">
        <v>339</v>
      </c>
      <c r="B54" s="45" t="s">
        <v>342</v>
      </c>
      <c r="C54" s="45" t="s">
        <v>343</v>
      </c>
      <c r="D54" s="45" t="str">
        <f>Table1[[#This Row],[City]]&amp;", "&amp;Table1[[#This Row],[State]]</f>
        <v>Denver, CO</v>
      </c>
      <c r="E54" s="49">
        <v>22</v>
      </c>
      <c r="F54" s="50">
        <v>1</v>
      </c>
      <c r="G54" s="50" t="str">
        <f t="array" ref="G54">IFERROR(INDEX(Table2[1st Year],MATCH(1,(Table1[[#This Row],[Employer]]=Table2[EIW Name])*(Table1[[#This Row],[City, State]]=Table2[Offices Matched]),0)),"")</f>
        <v/>
      </c>
      <c r="H54" s="50" t="str">
        <f>_xlfn.IFNA(INDEX(saCAGR[CAGR],MATCH(Table1[[#This Row],[Employer]],saCAGR[EIW Name],0)),"")</f>
        <v/>
      </c>
      <c r="I54" s="50" t="str">
        <f>IFERROR(Table1[[#This Row],[SA CAGR]]*Table1[[#This Row],[Number of Summer 2016 2L SAs]],"")</f>
        <v/>
      </c>
      <c r="J54" s="50">
        <v>8</v>
      </c>
      <c r="K54" s="51">
        <f>IFERROR(Table1[[#This Row],[Number of Summer 2016 NYU 2L SAs]]/Table1[[#This Row],[Interview Slots]],0)</f>
        <v>0.36363636363636365</v>
      </c>
      <c r="L54" s="51">
        <f>Table1[[#This Row],[Number of Summer 2016 2L SAs]]/Table1[[#This Row],[Interview Slots]]</f>
        <v>4.5454545454545456E-2</v>
      </c>
      <c r="M54" s="51">
        <f>IFERROR(Table1[[#This Row],[Number of Summer 2016 NYU 2L SAs]]/Table1[[#This Row],[Number of Summer 2016 2L SAs]],0)</f>
        <v>8</v>
      </c>
      <c r="N54" s="50" t="str">
        <f>IFERROR(RIGHT(Table1[[#This Row],[1st year]],LEN(Table1[[#This Row],[1st year]])-FIND(":",Table1[[#This Row],[1st year]])-1),"")</f>
        <v/>
      </c>
      <c r="O54" s="50" t="str">
        <f t="array" ref="O54">IFERROR(INDEX(Table2[Nth year],MATCH(1,(Table1[[#This Row],[Employer]]=Table2[EIW Name])*(Table1[[#This Row],[City, State]]=Table2[Offices Matched]),0)),"")</f>
        <v/>
      </c>
      <c r="P54" s="50" t="str">
        <f>IFERROR(RIGHT(Table1[[#This Row],[Nth year]],LEN(Table1[[#This Row],[Nth year]])-FIND(":",Table1[[#This Row],[Nth year]])-1),"")</f>
        <v/>
      </c>
      <c r="Q54" s="50" t="str">
        <f t="array" ref="Q54">IFERROR(INDEX(Table2[Am Law 200 PPP Rank ’16],MATCH(1,(Table1[[#This Row],[Employer]]=Table2[EIW Name])*(Table1[[#This Row],[City, State]]=Table2[Offices Matched]),0)),"")</f>
        <v/>
      </c>
      <c r="R54" s="50" t="str">
        <f>IFERROR(LEFT(Table1[[#This Row],[Am Law 200 PPP Rank ’16]],FIND(":",Table1[[#This Row],[Am Law 200 PPP Rank ’16]])-1),"")</f>
        <v/>
      </c>
      <c r="S54" s="50" t="str">
        <f>IFERROR(INDEX(VaultRank[Rank],MATCH(Table1[[#This Row],[Employer]],VaultRank[EIW Name],0)),"")</f>
        <v/>
      </c>
      <c r="T54" s="50" t="str">
        <f t="array" ref="T54">IFERROR(INDEX(Table2[Summers Matched],MATCH(1,(Table1[[#This Row],[Employer]]=Table2[EIW Name])*(Table1[[#This Row],[City, State]]=Table2[Offices Matched]),0)),"")</f>
        <v/>
      </c>
      <c r="U54" s="52" t="str">
        <f t="shared" si="0"/>
        <v/>
      </c>
      <c r="V54" s="60"/>
      <c r="W54" s="114">
        <v>42594</v>
      </c>
      <c r="X54"/>
    </row>
    <row r="55" spans="1:24" ht="14.1" customHeight="1">
      <c r="A55" s="45" t="s">
        <v>339</v>
      </c>
      <c r="B55" s="45" t="s">
        <v>301</v>
      </c>
      <c r="C55" s="45" t="s">
        <v>302</v>
      </c>
      <c r="D55" s="45" t="str">
        <f>Table1[[#This Row],[City]]&amp;", "&amp;Table1[[#This Row],[State]]</f>
        <v>Washington, DC</v>
      </c>
      <c r="E55" s="49">
        <v>190</v>
      </c>
      <c r="F55" s="50">
        <v>2</v>
      </c>
      <c r="G55" s="50" t="str">
        <f t="array" ref="G55">IFERROR(INDEX(Table2[1st Year],MATCH(1,(Table1[[#This Row],[Employer]]=Table2[EIW Name])*(Table1[[#This Row],[City, State]]=Table2[Offices Matched]),0)),"")</f>
        <v/>
      </c>
      <c r="H55" s="50" t="str">
        <f>_xlfn.IFNA(INDEX(saCAGR[CAGR],MATCH(Table1[[#This Row],[Employer]],saCAGR[EIW Name],0)),"")</f>
        <v/>
      </c>
      <c r="I55" s="50" t="str">
        <f>IFERROR(Table1[[#This Row],[SA CAGR]]*Table1[[#This Row],[Number of Summer 2016 2L SAs]],"")</f>
        <v/>
      </c>
      <c r="J55" s="50">
        <v>17</v>
      </c>
      <c r="K55" s="51">
        <f>IFERROR(Table1[[#This Row],[Number of Summer 2016 NYU 2L SAs]]/Table1[[#This Row],[Interview Slots]],0)</f>
        <v>8.9473684210526316E-2</v>
      </c>
      <c r="L55" s="51">
        <f>Table1[[#This Row],[Number of Summer 2016 2L SAs]]/Table1[[#This Row],[Interview Slots]]</f>
        <v>1.0526315789473684E-2</v>
      </c>
      <c r="M55" s="51">
        <f>IFERROR(Table1[[#This Row],[Number of Summer 2016 NYU 2L SAs]]/Table1[[#This Row],[Number of Summer 2016 2L SAs]],0)</f>
        <v>8.5</v>
      </c>
      <c r="N55" s="50" t="str">
        <f>IFERROR(RIGHT(Table1[[#This Row],[1st year]],LEN(Table1[[#This Row],[1st year]])-FIND(":",Table1[[#This Row],[1st year]])-1),"")</f>
        <v/>
      </c>
      <c r="O55" s="50" t="str">
        <f t="array" ref="O55">IFERROR(INDEX(Table2[Nth year],MATCH(1,(Table1[[#This Row],[Employer]]=Table2[EIW Name])*(Table1[[#This Row],[City, State]]=Table2[Offices Matched]),0)),"")</f>
        <v/>
      </c>
      <c r="P55" s="50" t="str">
        <f>IFERROR(RIGHT(Table1[[#This Row],[Nth year]],LEN(Table1[[#This Row],[Nth year]])-FIND(":",Table1[[#This Row],[Nth year]])-1),"")</f>
        <v/>
      </c>
      <c r="Q55" s="50" t="str">
        <f t="array" ref="Q55">IFERROR(INDEX(Table2[Am Law 200 PPP Rank ’16],MATCH(1,(Table1[[#This Row],[Employer]]=Table2[EIW Name])*(Table1[[#This Row],[City, State]]=Table2[Offices Matched]),0)),"")</f>
        <v/>
      </c>
      <c r="R55" s="50" t="str">
        <f>IFERROR(LEFT(Table1[[#This Row],[Am Law 200 PPP Rank ’16]],FIND(":",Table1[[#This Row],[Am Law 200 PPP Rank ’16]])-1),"")</f>
        <v/>
      </c>
      <c r="S55" s="50" t="str">
        <f>IFERROR(INDEX(VaultRank[Rank],MATCH(Table1[[#This Row],[Employer]],VaultRank[EIW Name],0)),"")</f>
        <v/>
      </c>
      <c r="T55" s="50" t="str">
        <f t="array" ref="T55">IFERROR(INDEX(Table2[Summers Matched],MATCH(1,(Table1[[#This Row],[Employer]]=Table2[EIW Name])*(Table1[[#This Row],[City, State]]=Table2[Offices Matched]),0)),"")</f>
        <v/>
      </c>
      <c r="U55" s="52" t="str">
        <f t="shared" si="0"/>
        <v/>
      </c>
      <c r="V55" s="60"/>
      <c r="W55" s="114">
        <v>42592</v>
      </c>
      <c r="X55"/>
    </row>
    <row r="56" spans="1:24" ht="14.1" customHeight="1">
      <c r="A56" s="45" t="s">
        <v>339</v>
      </c>
      <c r="B56" s="45" t="s">
        <v>308</v>
      </c>
      <c r="C56" s="45" t="s">
        <v>309</v>
      </c>
      <c r="D56" s="45" t="str">
        <f>Table1[[#This Row],[City]]&amp;", "&amp;Table1[[#This Row],[State]]</f>
        <v>Atlanta, GA</v>
      </c>
      <c r="E56" s="49">
        <v>15</v>
      </c>
      <c r="F56" s="50">
        <v>0</v>
      </c>
      <c r="G56" s="50" t="str">
        <f t="array" ref="G56">IFERROR(INDEX(Table2[1st Year],MATCH(1,(Table1[[#This Row],[Employer]]=Table2[EIW Name])*(Table1[[#This Row],[City, State]]=Table2[Offices Matched]),0)),"")</f>
        <v/>
      </c>
      <c r="H56" s="50" t="str">
        <f>_xlfn.IFNA(INDEX(saCAGR[CAGR],MATCH(Table1[[#This Row],[Employer]],saCAGR[EIW Name],0)),"")</f>
        <v/>
      </c>
      <c r="I56" s="50" t="str">
        <f>IFERROR(Table1[[#This Row],[SA CAGR]]*Table1[[#This Row],[Number of Summer 2016 2L SAs]],"")</f>
        <v/>
      </c>
      <c r="J56" s="50">
        <v>15</v>
      </c>
      <c r="K56" s="51">
        <f>IFERROR(Table1[[#This Row],[Number of Summer 2016 NYU 2L SAs]]/Table1[[#This Row],[Interview Slots]],0)</f>
        <v>1</v>
      </c>
      <c r="L56" s="51">
        <f>Table1[[#This Row],[Number of Summer 2016 2L SAs]]/Table1[[#This Row],[Interview Slots]]</f>
        <v>0</v>
      </c>
      <c r="M56" s="51">
        <f>IFERROR(Table1[[#This Row],[Number of Summer 2016 NYU 2L SAs]]/Table1[[#This Row],[Number of Summer 2016 2L SAs]],0)</f>
        <v>0</v>
      </c>
      <c r="N56" s="50" t="str">
        <f>IFERROR(RIGHT(Table1[[#This Row],[1st year]],LEN(Table1[[#This Row],[1st year]])-FIND(":",Table1[[#This Row],[1st year]])-1),"")</f>
        <v/>
      </c>
      <c r="O56" s="50" t="str">
        <f t="array" ref="O56">IFERROR(INDEX(Table2[Nth year],MATCH(1,(Table1[[#This Row],[Employer]]=Table2[EIW Name])*(Table1[[#This Row],[City, State]]=Table2[Offices Matched]),0)),"")</f>
        <v/>
      </c>
      <c r="P56" s="50" t="str">
        <f>IFERROR(RIGHT(Table1[[#This Row],[Nth year]],LEN(Table1[[#This Row],[Nth year]])-FIND(":",Table1[[#This Row],[Nth year]])-1),"")</f>
        <v/>
      </c>
      <c r="Q56" s="50" t="str">
        <f t="array" ref="Q56">IFERROR(INDEX(Table2[Am Law 200 PPP Rank ’16],MATCH(1,(Table1[[#This Row],[Employer]]=Table2[EIW Name])*(Table1[[#This Row],[City, State]]=Table2[Offices Matched]),0)),"")</f>
        <v/>
      </c>
      <c r="R56" s="50" t="str">
        <f>IFERROR(LEFT(Table1[[#This Row],[Am Law 200 PPP Rank ’16]],FIND(":",Table1[[#This Row],[Am Law 200 PPP Rank ’16]])-1),"")</f>
        <v/>
      </c>
      <c r="S56" s="50" t="str">
        <f>IFERROR(INDEX(VaultRank[Rank],MATCH(Table1[[#This Row],[Employer]],VaultRank[EIW Name],0)),"")</f>
        <v/>
      </c>
      <c r="T56" s="50" t="str">
        <f t="array" ref="T56">IFERROR(INDEX(Table2[Summers Matched],MATCH(1,(Table1[[#This Row],[Employer]]=Table2[EIW Name])*(Table1[[#This Row],[City, State]]=Table2[Offices Matched]),0)),"")</f>
        <v/>
      </c>
      <c r="U56" s="52" t="str">
        <f t="shared" si="0"/>
        <v/>
      </c>
      <c r="V56" s="60"/>
      <c r="W56" s="114">
        <v>42592</v>
      </c>
      <c r="X56"/>
    </row>
    <row r="57" spans="1:24" ht="14.1" customHeight="1">
      <c r="A57" s="45" t="s">
        <v>339</v>
      </c>
      <c r="B57" s="45" t="s">
        <v>344</v>
      </c>
      <c r="C57" s="45" t="s">
        <v>345</v>
      </c>
      <c r="D57" s="45" t="str">
        <f>Table1[[#This Row],[City]]&amp;", "&amp;Table1[[#This Row],[State]]</f>
        <v>Baltimore, MD</v>
      </c>
      <c r="E57" s="49">
        <v>115</v>
      </c>
      <c r="F57" s="50">
        <v>2</v>
      </c>
      <c r="G57" s="50" t="str">
        <f t="array" ref="G57">IFERROR(INDEX(Table2[1st Year],MATCH(1,(Table1[[#This Row],[Employer]]=Table2[EIW Name])*(Table1[[#This Row],[City, State]]=Table2[Offices Matched]),0)),"")</f>
        <v/>
      </c>
      <c r="H57" s="50" t="str">
        <f>_xlfn.IFNA(INDEX(saCAGR[CAGR],MATCH(Table1[[#This Row],[Employer]],saCAGR[EIW Name],0)),"")</f>
        <v/>
      </c>
      <c r="I57" s="50" t="str">
        <f>IFERROR(Table1[[#This Row],[SA CAGR]]*Table1[[#This Row],[Number of Summer 2016 2L SAs]],"")</f>
        <v/>
      </c>
      <c r="J57" s="50">
        <v>24</v>
      </c>
      <c r="K57" s="51">
        <f>IFERROR(Table1[[#This Row],[Number of Summer 2016 NYU 2L SAs]]/Table1[[#This Row],[Interview Slots]],0)</f>
        <v>0.20869565217391303</v>
      </c>
      <c r="L57" s="51">
        <f>Table1[[#This Row],[Number of Summer 2016 2L SAs]]/Table1[[#This Row],[Interview Slots]]</f>
        <v>1.7391304347826087E-2</v>
      </c>
      <c r="M57" s="51">
        <f>IFERROR(Table1[[#This Row],[Number of Summer 2016 NYU 2L SAs]]/Table1[[#This Row],[Number of Summer 2016 2L SAs]],0)</f>
        <v>12</v>
      </c>
      <c r="N57" s="50" t="str">
        <f>IFERROR(RIGHT(Table1[[#This Row],[1st year]],LEN(Table1[[#This Row],[1st year]])-FIND(":",Table1[[#This Row],[1st year]])-1),"")</f>
        <v/>
      </c>
      <c r="O57" s="50" t="str">
        <f t="array" ref="O57">IFERROR(INDEX(Table2[Nth year],MATCH(1,(Table1[[#This Row],[Employer]]=Table2[EIW Name])*(Table1[[#This Row],[City, State]]=Table2[Offices Matched]),0)),"")</f>
        <v/>
      </c>
      <c r="P57" s="50" t="str">
        <f>IFERROR(RIGHT(Table1[[#This Row],[Nth year]],LEN(Table1[[#This Row],[Nth year]])-FIND(":",Table1[[#This Row],[Nth year]])-1),"")</f>
        <v/>
      </c>
      <c r="Q57" s="50" t="str">
        <f t="array" ref="Q57">IFERROR(INDEX(Table2[Am Law 200 PPP Rank ’16],MATCH(1,(Table1[[#This Row],[Employer]]=Table2[EIW Name])*(Table1[[#This Row],[City, State]]=Table2[Offices Matched]),0)),"")</f>
        <v/>
      </c>
      <c r="R57" s="50" t="str">
        <f>IFERROR(LEFT(Table1[[#This Row],[Am Law 200 PPP Rank ’16]],FIND(":",Table1[[#This Row],[Am Law 200 PPP Rank ’16]])-1),"")</f>
        <v/>
      </c>
      <c r="S57" s="50" t="str">
        <f>IFERROR(INDEX(VaultRank[Rank],MATCH(Table1[[#This Row],[Employer]],VaultRank[EIW Name],0)),"")</f>
        <v/>
      </c>
      <c r="T57" s="50" t="str">
        <f t="array" ref="T57">IFERROR(INDEX(Table2[Summers Matched],MATCH(1,(Table1[[#This Row],[Employer]]=Table2[EIW Name])*(Table1[[#This Row],[City, State]]=Table2[Offices Matched]),0)),"")</f>
        <v/>
      </c>
      <c r="U57" s="52" t="str">
        <f t="shared" si="0"/>
        <v/>
      </c>
      <c r="V57" s="60"/>
      <c r="W57" s="114">
        <v>42594</v>
      </c>
      <c r="X57"/>
    </row>
    <row r="58" spans="1:24" ht="14.1" customHeight="1">
      <c r="A58" s="45" t="s">
        <v>339</v>
      </c>
      <c r="B58" s="45" t="s">
        <v>346</v>
      </c>
      <c r="C58" s="45" t="s">
        <v>347</v>
      </c>
      <c r="D58" s="45" t="str">
        <f>Table1[[#This Row],[City]]&amp;", "&amp;Table1[[#This Row],[State]]</f>
        <v>Cherry Hill, NJ</v>
      </c>
      <c r="E58" s="49">
        <v>175</v>
      </c>
      <c r="F58" s="50">
        <v>1</v>
      </c>
      <c r="G58" s="50" t="str">
        <f t="array" ref="G58">IFERROR(INDEX(Table2[1st Year],MATCH(1,(Table1[[#This Row],[Employer]]=Table2[EIW Name])*(Table1[[#This Row],[City, State]]=Table2[Offices Matched]),0)),"")</f>
        <v/>
      </c>
      <c r="H58" s="50" t="str">
        <f>_xlfn.IFNA(INDEX(saCAGR[CAGR],MATCH(Table1[[#This Row],[Employer]],saCAGR[EIW Name],0)),"")</f>
        <v/>
      </c>
      <c r="I58" s="50" t="str">
        <f>IFERROR(Table1[[#This Row],[SA CAGR]]*Table1[[#This Row],[Number of Summer 2016 2L SAs]],"")</f>
        <v/>
      </c>
      <c r="J58" s="50">
        <v>6</v>
      </c>
      <c r="K58" s="51">
        <f>IFERROR(Table1[[#This Row],[Number of Summer 2016 NYU 2L SAs]]/Table1[[#This Row],[Interview Slots]],0)</f>
        <v>3.4285714285714287E-2</v>
      </c>
      <c r="L58" s="51">
        <f>Table1[[#This Row],[Number of Summer 2016 2L SAs]]/Table1[[#This Row],[Interview Slots]]</f>
        <v>5.7142857142857143E-3</v>
      </c>
      <c r="M58" s="51">
        <f>IFERROR(Table1[[#This Row],[Number of Summer 2016 NYU 2L SAs]]/Table1[[#This Row],[Number of Summer 2016 2L SAs]],0)</f>
        <v>6</v>
      </c>
      <c r="N58" s="50" t="str">
        <f>IFERROR(RIGHT(Table1[[#This Row],[1st year]],LEN(Table1[[#This Row],[1st year]])-FIND(":",Table1[[#This Row],[1st year]])-1),"")</f>
        <v/>
      </c>
      <c r="O58" s="50" t="str">
        <f t="array" ref="O58">IFERROR(INDEX(Table2[Nth year],MATCH(1,(Table1[[#This Row],[Employer]]=Table2[EIW Name])*(Table1[[#This Row],[City, State]]=Table2[Offices Matched]),0)),"")</f>
        <v/>
      </c>
      <c r="P58" s="50" t="str">
        <f>IFERROR(RIGHT(Table1[[#This Row],[Nth year]],LEN(Table1[[#This Row],[Nth year]])-FIND(":",Table1[[#This Row],[Nth year]])-1),"")</f>
        <v/>
      </c>
      <c r="Q58" s="50" t="str">
        <f t="array" ref="Q58">IFERROR(INDEX(Table2[Am Law 200 PPP Rank ’16],MATCH(1,(Table1[[#This Row],[Employer]]=Table2[EIW Name])*(Table1[[#This Row],[City, State]]=Table2[Offices Matched]),0)),"")</f>
        <v/>
      </c>
      <c r="R58" s="50" t="str">
        <f>IFERROR(LEFT(Table1[[#This Row],[Am Law 200 PPP Rank ’16]],FIND(":",Table1[[#This Row],[Am Law 200 PPP Rank ’16]])-1),"")</f>
        <v/>
      </c>
      <c r="S58" s="50" t="str">
        <f>IFERROR(INDEX(VaultRank[Rank],MATCH(Table1[[#This Row],[Employer]],VaultRank[EIW Name],0)),"")</f>
        <v/>
      </c>
      <c r="T58" s="50" t="str">
        <f t="array" ref="T58">IFERROR(INDEX(Table2[Summers Matched],MATCH(1,(Table1[[#This Row],[Employer]]=Table2[EIW Name])*(Table1[[#This Row],[City, State]]=Table2[Offices Matched]),0)),"")</f>
        <v/>
      </c>
      <c r="U58" s="52" t="str">
        <f t="shared" si="0"/>
        <v/>
      </c>
      <c r="V58" s="60"/>
      <c r="W58" s="114">
        <v>42595</v>
      </c>
      <c r="X58"/>
    </row>
    <row r="59" spans="1:24" ht="14.1" customHeight="1">
      <c r="A59" s="45" t="s">
        <v>339</v>
      </c>
      <c r="B59" s="45" t="s">
        <v>329</v>
      </c>
      <c r="C59" s="45" t="s">
        <v>330</v>
      </c>
      <c r="D59" s="45" t="str">
        <f>Table1[[#This Row],[City]]&amp;", "&amp;Table1[[#This Row],[State]]</f>
        <v>Philadelphia, PA</v>
      </c>
      <c r="E59" s="49">
        <v>104</v>
      </c>
      <c r="F59" s="50">
        <v>7</v>
      </c>
      <c r="G59" s="50" t="str">
        <f t="array" ref="G59">IFERROR(INDEX(Table2[1st Year],MATCH(1,(Table1[[#This Row],[Employer]]=Table2[EIW Name])*(Table1[[#This Row],[City, State]]=Table2[Offices Matched]),0)),"")</f>
        <v/>
      </c>
      <c r="H59" s="50" t="str">
        <f>_xlfn.IFNA(INDEX(saCAGR[CAGR],MATCH(Table1[[#This Row],[Employer]],saCAGR[EIW Name],0)),"")</f>
        <v/>
      </c>
      <c r="I59" s="50" t="str">
        <f>IFERROR(Table1[[#This Row],[SA CAGR]]*Table1[[#This Row],[Number of Summer 2016 2L SAs]],"")</f>
        <v/>
      </c>
      <c r="J59" s="50">
        <v>3</v>
      </c>
      <c r="K59" s="51">
        <f>IFERROR(Table1[[#This Row],[Number of Summer 2016 NYU 2L SAs]]/Table1[[#This Row],[Interview Slots]],0)</f>
        <v>2.8846153846153848E-2</v>
      </c>
      <c r="L59" s="51">
        <f>Table1[[#This Row],[Number of Summer 2016 2L SAs]]/Table1[[#This Row],[Interview Slots]]</f>
        <v>6.7307692307692304E-2</v>
      </c>
      <c r="M59" s="51">
        <f>IFERROR(Table1[[#This Row],[Number of Summer 2016 NYU 2L SAs]]/Table1[[#This Row],[Number of Summer 2016 2L SAs]],0)</f>
        <v>0.42857142857142855</v>
      </c>
      <c r="N59" s="50" t="str">
        <f>IFERROR(RIGHT(Table1[[#This Row],[1st year]],LEN(Table1[[#This Row],[1st year]])-FIND(":",Table1[[#This Row],[1st year]])-1),"")</f>
        <v/>
      </c>
      <c r="O59" s="50" t="str">
        <f t="array" ref="O59">IFERROR(INDEX(Table2[Nth year],MATCH(1,(Table1[[#This Row],[Employer]]=Table2[EIW Name])*(Table1[[#This Row],[City, State]]=Table2[Offices Matched]),0)),"")</f>
        <v/>
      </c>
      <c r="P59" s="50" t="str">
        <f>IFERROR(RIGHT(Table1[[#This Row],[Nth year]],LEN(Table1[[#This Row],[Nth year]])-FIND(":",Table1[[#This Row],[Nth year]])-1),"")</f>
        <v/>
      </c>
      <c r="Q59" s="50" t="str">
        <f t="array" ref="Q59">IFERROR(INDEX(Table2[Am Law 200 PPP Rank ’16],MATCH(1,(Table1[[#This Row],[Employer]]=Table2[EIW Name])*(Table1[[#This Row],[City, State]]=Table2[Offices Matched]),0)),"")</f>
        <v/>
      </c>
      <c r="R59" s="50" t="str">
        <f>IFERROR(LEFT(Table1[[#This Row],[Am Law 200 PPP Rank ’16]],FIND(":",Table1[[#This Row],[Am Law 200 PPP Rank ’16]])-1),"")</f>
        <v/>
      </c>
      <c r="S59" s="50" t="str">
        <f>IFERROR(INDEX(VaultRank[Rank],MATCH(Table1[[#This Row],[Employer]],VaultRank[EIW Name],0)),"")</f>
        <v/>
      </c>
      <c r="T59" s="50" t="str">
        <f t="array" ref="T59">IFERROR(INDEX(Table2[Summers Matched],MATCH(1,(Table1[[#This Row],[Employer]]=Table2[EIW Name])*(Table1[[#This Row],[City, State]]=Table2[Offices Matched]),0)),"")</f>
        <v/>
      </c>
      <c r="U59" s="52" t="str">
        <f t="shared" si="0"/>
        <v/>
      </c>
      <c r="V59" s="60"/>
      <c r="W59" s="114">
        <v>42593</v>
      </c>
      <c r="X59"/>
    </row>
    <row r="60" spans="1:24" ht="14.1" customHeight="1">
      <c r="A60" s="45" t="s">
        <v>339</v>
      </c>
      <c r="B60" s="45" t="s">
        <v>348</v>
      </c>
      <c r="C60" s="45" t="s">
        <v>349</v>
      </c>
      <c r="D60" s="45" t="str">
        <f>Table1[[#This Row],[City]]&amp;", "&amp;Table1[[#This Row],[State]]</f>
        <v>Salt Lake City, UT</v>
      </c>
      <c r="E60" s="49">
        <v>119</v>
      </c>
      <c r="F60" s="50">
        <v>2</v>
      </c>
      <c r="G60" s="50" t="str">
        <f t="array" ref="G60">IFERROR(INDEX(Table2[1st Year],MATCH(1,(Table1[[#This Row],[Employer]]=Table2[EIW Name])*(Table1[[#This Row],[City, State]]=Table2[Offices Matched]),0)),"")</f>
        <v/>
      </c>
      <c r="H60" s="50" t="str">
        <f>_xlfn.IFNA(INDEX(saCAGR[CAGR],MATCH(Table1[[#This Row],[Employer]],saCAGR[EIW Name],0)),"")</f>
        <v/>
      </c>
      <c r="I60" s="50" t="str">
        <f>IFERROR(Table1[[#This Row],[SA CAGR]]*Table1[[#This Row],[Number of Summer 2016 2L SAs]],"")</f>
        <v/>
      </c>
      <c r="J60" s="50">
        <v>6</v>
      </c>
      <c r="K60" s="51">
        <f>IFERROR(Table1[[#This Row],[Number of Summer 2016 NYU 2L SAs]]/Table1[[#This Row],[Interview Slots]],0)</f>
        <v>5.0420168067226892E-2</v>
      </c>
      <c r="L60" s="51">
        <f>Table1[[#This Row],[Number of Summer 2016 2L SAs]]/Table1[[#This Row],[Interview Slots]]</f>
        <v>1.680672268907563E-2</v>
      </c>
      <c r="M60" s="51">
        <f>IFERROR(Table1[[#This Row],[Number of Summer 2016 NYU 2L SAs]]/Table1[[#This Row],[Number of Summer 2016 2L SAs]],0)</f>
        <v>3</v>
      </c>
      <c r="N60" s="50" t="str">
        <f>IFERROR(RIGHT(Table1[[#This Row],[1st year]],LEN(Table1[[#This Row],[1st year]])-FIND(":",Table1[[#This Row],[1st year]])-1),"")</f>
        <v/>
      </c>
      <c r="O60" s="50" t="str">
        <f t="array" ref="O60">IFERROR(INDEX(Table2[Nth year],MATCH(1,(Table1[[#This Row],[Employer]]=Table2[EIW Name])*(Table1[[#This Row],[City, State]]=Table2[Offices Matched]),0)),"")</f>
        <v/>
      </c>
      <c r="P60" s="50" t="str">
        <f>IFERROR(RIGHT(Table1[[#This Row],[Nth year]],LEN(Table1[[#This Row],[Nth year]])-FIND(":",Table1[[#This Row],[Nth year]])-1),"")</f>
        <v/>
      </c>
      <c r="Q60" s="50" t="str">
        <f t="array" ref="Q60">IFERROR(INDEX(Table2[Am Law 200 PPP Rank ’16],MATCH(1,(Table1[[#This Row],[Employer]]=Table2[EIW Name])*(Table1[[#This Row],[City, State]]=Table2[Offices Matched]),0)),"")</f>
        <v/>
      </c>
      <c r="R60" s="50" t="str">
        <f>IFERROR(LEFT(Table1[[#This Row],[Am Law 200 PPP Rank ’16]],FIND(":",Table1[[#This Row],[Am Law 200 PPP Rank ’16]])-1),"")</f>
        <v/>
      </c>
      <c r="S60" s="50" t="str">
        <f>IFERROR(INDEX(VaultRank[Rank],MATCH(Table1[[#This Row],[Employer]],VaultRank[EIW Name],0)),"")</f>
        <v/>
      </c>
      <c r="T60" s="50" t="str">
        <f t="array" ref="T60">IFERROR(INDEX(Table2[Summers Matched],MATCH(1,(Table1[[#This Row],[Employer]]=Table2[EIW Name])*(Table1[[#This Row],[City, State]]=Table2[Offices Matched]),0)),"")</f>
        <v/>
      </c>
      <c r="U60" s="52" t="str">
        <f t="shared" si="0"/>
        <v/>
      </c>
      <c r="V60" s="60"/>
      <c r="W60" s="114">
        <v>42593</v>
      </c>
      <c r="X60"/>
    </row>
    <row r="61" spans="1:24" ht="14.1" customHeight="1">
      <c r="A61" s="45" t="s">
        <v>350</v>
      </c>
      <c r="B61" s="45" t="s">
        <v>337</v>
      </c>
      <c r="C61" s="45" t="s">
        <v>324</v>
      </c>
      <c r="D61" s="45" t="str">
        <f>Table1[[#This Row],[City]]&amp;", "&amp;Table1[[#This Row],[State]]</f>
        <v>Miami, FL</v>
      </c>
      <c r="E61" s="49">
        <v>41</v>
      </c>
      <c r="F61" s="50">
        <v>2</v>
      </c>
      <c r="G61" s="50" t="str">
        <f t="array" ref="G61">IFERROR(INDEX(Table2[1st Year],MATCH(1,(Table1[[#This Row],[Employer]]=Table2[EIW Name])*(Table1[[#This Row],[City, State]]=Table2[Offices Matched]),0)),"")</f>
        <v/>
      </c>
      <c r="H61" s="50" t="str">
        <f>_xlfn.IFNA(INDEX(saCAGR[CAGR],MATCH(Table1[[#This Row],[Employer]],saCAGR[EIW Name],0)),"")</f>
        <v/>
      </c>
      <c r="I61" s="50" t="str">
        <f>IFERROR(Table1[[#This Row],[SA CAGR]]*Table1[[#This Row],[Number of Summer 2016 2L SAs]],"")</f>
        <v/>
      </c>
      <c r="J61" s="50">
        <v>8</v>
      </c>
      <c r="K61" s="51">
        <f>IFERROR(Table1[[#This Row],[Number of Summer 2016 NYU 2L SAs]]/Table1[[#This Row],[Interview Slots]],0)</f>
        <v>0.1951219512195122</v>
      </c>
      <c r="L61" s="51">
        <f>Table1[[#This Row],[Number of Summer 2016 2L SAs]]/Table1[[#This Row],[Interview Slots]]</f>
        <v>4.878048780487805E-2</v>
      </c>
      <c r="M61" s="51">
        <f>IFERROR(Table1[[#This Row],[Number of Summer 2016 NYU 2L SAs]]/Table1[[#This Row],[Number of Summer 2016 2L SAs]],0)</f>
        <v>4</v>
      </c>
      <c r="N61" s="50" t="str">
        <f>IFERROR(RIGHT(Table1[[#This Row],[1st year]],LEN(Table1[[#This Row],[1st year]])-FIND(":",Table1[[#This Row],[1st year]])-1),"")</f>
        <v/>
      </c>
      <c r="O61" s="50" t="str">
        <f t="array" ref="O61">IFERROR(INDEX(Table2[Nth year],MATCH(1,(Table1[[#This Row],[Employer]]=Table2[EIW Name])*(Table1[[#This Row],[City, State]]=Table2[Offices Matched]),0)),"")</f>
        <v/>
      </c>
      <c r="P61" s="50" t="str">
        <f>IFERROR(RIGHT(Table1[[#This Row],[Nth year]],LEN(Table1[[#This Row],[Nth year]])-FIND(":",Table1[[#This Row],[Nth year]])-1),"")</f>
        <v/>
      </c>
      <c r="Q61" s="50" t="str">
        <f t="array" ref="Q61">IFERROR(INDEX(Table2[Am Law 200 PPP Rank ’16],MATCH(1,(Table1[[#This Row],[Employer]]=Table2[EIW Name])*(Table1[[#This Row],[City, State]]=Table2[Offices Matched]),0)),"")</f>
        <v/>
      </c>
      <c r="R61" s="50" t="str">
        <f>IFERROR(LEFT(Table1[[#This Row],[Am Law 200 PPP Rank ’16]],FIND(":",Table1[[#This Row],[Am Law 200 PPP Rank ’16]])-1),"")</f>
        <v/>
      </c>
      <c r="S61" s="50" t="str">
        <f>IFERROR(INDEX(VaultRank[Rank],MATCH(Table1[[#This Row],[Employer]],VaultRank[EIW Name],0)),"")</f>
        <v/>
      </c>
      <c r="T61" s="50" t="str">
        <f t="array" ref="T61">IFERROR(INDEX(Table2[Summers Matched],MATCH(1,(Table1[[#This Row],[Employer]]=Table2[EIW Name])*(Table1[[#This Row],[City, State]]=Table2[Offices Matched]),0)),"")</f>
        <v/>
      </c>
      <c r="U61" s="52" t="str">
        <f t="shared" si="0"/>
        <v/>
      </c>
      <c r="V61" s="60"/>
      <c r="W61" s="114">
        <v>42594</v>
      </c>
      <c r="X61"/>
    </row>
    <row r="62" spans="1:24" ht="14.1" customHeight="1">
      <c r="A62" s="45" t="s">
        <v>250</v>
      </c>
      <c r="B62" s="45" t="s">
        <v>364</v>
      </c>
      <c r="C62" s="45" t="s">
        <v>362</v>
      </c>
      <c r="D62" s="45" t="str">
        <f>Table1[[#This Row],[City]]&amp;", "&amp;Table1[[#This Row],[State]]</f>
        <v>New York, NY</v>
      </c>
      <c r="E62" s="49">
        <v>32</v>
      </c>
      <c r="F62" s="50">
        <v>15</v>
      </c>
      <c r="G62" s="50" t="str">
        <f t="array" ref="G62">IFERROR(INDEX(Table2[1st Year],MATCH(1,(Table1[[#This Row],[Employer]]=Table2[EIW Name])*(Table1[[#This Row],[City, State]]=Table2[Offices Matched]),0)),"")</f>
        <v>1st Year: $180K</v>
      </c>
      <c r="H62" s="51">
        <f>_xlfn.IFNA(INDEX(saCAGR[CAGR],MATCH(Table1[[#This Row],[Employer]],saCAGR[EIW Name],0)),"")</f>
        <v>0.99654178651092196</v>
      </c>
      <c r="I62" s="50">
        <f>IFERROR(Table1[[#This Row],[SA CAGR]]*Table1[[#This Row],[Number of Summer 2016 2L SAs]],"")</f>
        <v>14.948126797663829</v>
      </c>
      <c r="J62" s="50">
        <v>19</v>
      </c>
      <c r="K62" s="51">
        <f>IFERROR(Table1[[#This Row],[Number of Summer 2016 NYU 2L SAs]]/Table1[[#This Row],[Interview Slots]],0)</f>
        <v>0.59375</v>
      </c>
      <c r="L62" s="51">
        <f>Table1[[#This Row],[Number of Summer 2016 2L SAs]]/Table1[[#This Row],[Interview Slots]]</f>
        <v>0.46875</v>
      </c>
      <c r="M62" s="51">
        <f>IFERROR(Table1[[#This Row],[Number of Summer 2016 NYU 2L SAs]]/Table1[[#This Row],[Number of Summer 2016 2L SAs]],0)</f>
        <v>1.2666666666666666</v>
      </c>
      <c r="N62" s="50" t="str">
        <f>IFERROR(RIGHT(Table1[[#This Row],[1st year]],LEN(Table1[[#This Row],[1st year]])-FIND(":",Table1[[#This Row],[1st year]])-1),"")</f>
        <v>$180K</v>
      </c>
      <c r="O62" s="50" t="str">
        <f t="array" ref="O62">IFERROR(INDEX(Table2[Nth year],MATCH(1,(Table1[[#This Row],[Employer]]=Table2[EIW Name])*(Table1[[#This Row],[City, State]]=Table2[Offices Matched]),0)),"")</f>
        <v>8th Year: $315K</v>
      </c>
      <c r="P62" s="50" t="str">
        <f>IFERROR(RIGHT(Table1[[#This Row],[Nth year]],LEN(Table1[[#This Row],[Nth year]])-FIND(":",Table1[[#This Row],[Nth year]])-1),"")</f>
        <v>$315K</v>
      </c>
      <c r="Q62" s="50" t="str">
        <f t="array" ref="Q62">IFERROR(INDEX(Table2[Am Law 200 PPP Rank ’16],MATCH(1,(Table1[[#This Row],[Employer]]=Table2[EIW Name])*(Table1[[#This Row],[City, State]]=Table2[Offices Matched]),0)),"")</f>
        <v>N/A</v>
      </c>
      <c r="R62" s="50" t="str">
        <f>IFERROR(LEFT(Table1[[#This Row],[Am Law 200 PPP Rank ’16]],FIND(":",Table1[[#This Row],[Am Law 200 PPP Rank ’16]])-1),"")</f>
        <v/>
      </c>
      <c r="S62" s="50">
        <f>IFERROR(INDEX(VaultRank[Rank],MATCH(Table1[[#This Row],[Employer]],VaultRank[EIW Name],0)),"")</f>
        <v>40</v>
      </c>
      <c r="T62" s="50" t="str">
        <f t="array" ref="T62">IFERROR(INDEX(Table2[Summers Matched],MATCH(1,(Table1[[#This Row],[Employer]]=Table2[EIW Name])*(Table1[[#This Row],[City, State]]=Table2[Offices Matched]),0)),"")</f>
        <v>TBD</v>
      </c>
      <c r="U62" s="52" t="str">
        <f t="shared" si="0"/>
        <v/>
      </c>
      <c r="V62" s="60"/>
      <c r="W62" s="114">
        <v>42592</v>
      </c>
      <c r="X62"/>
    </row>
    <row r="63" spans="1:24" ht="14.1" customHeight="1">
      <c r="A63" s="45" t="s">
        <v>352</v>
      </c>
      <c r="B63" s="45" t="s">
        <v>353</v>
      </c>
      <c r="C63" s="45" t="s">
        <v>300</v>
      </c>
      <c r="D63" s="45" t="str">
        <f>Table1[[#This Row],[City]]&amp;", "&amp;Table1[[#This Row],[State]]</f>
        <v>Oakland, CA</v>
      </c>
      <c r="E63" s="49">
        <v>95</v>
      </c>
      <c r="F63" s="50">
        <v>2</v>
      </c>
      <c r="G63" s="50" t="str">
        <f t="array" ref="G63">IFERROR(INDEX(Table2[1st Year],MATCH(1,(Table1[[#This Row],[Employer]]=Table2[EIW Name])*(Table1[[#This Row],[City, State]]=Table2[Offices Matched]),0)),"")</f>
        <v>1st Year: $180K</v>
      </c>
      <c r="H63" s="50" t="str">
        <f>_xlfn.IFNA(INDEX(saCAGR[CAGR],MATCH(Table1[[#This Row],[Employer]],saCAGR[EIW Name],0)),"")</f>
        <v/>
      </c>
      <c r="I63" s="50" t="str">
        <f>IFERROR(Table1[[#This Row],[SA CAGR]]*Table1[[#This Row],[Number of Summer 2016 2L SAs]],"")</f>
        <v/>
      </c>
      <c r="J63" s="50">
        <v>15</v>
      </c>
      <c r="K63" s="51">
        <f>IFERROR(Table1[[#This Row],[Number of Summer 2016 NYU 2L SAs]]/Table1[[#This Row],[Interview Slots]],0)</f>
        <v>0.15789473684210525</v>
      </c>
      <c r="L63" s="51">
        <f>Table1[[#This Row],[Number of Summer 2016 2L SAs]]/Table1[[#This Row],[Interview Slots]]</f>
        <v>2.1052631578947368E-2</v>
      </c>
      <c r="M63" s="51">
        <f>IFERROR(Table1[[#This Row],[Number of Summer 2016 NYU 2L SAs]]/Table1[[#This Row],[Number of Summer 2016 2L SAs]],0)</f>
        <v>7.5</v>
      </c>
      <c r="N63" s="50" t="str">
        <f>IFERROR(RIGHT(Table1[[#This Row],[1st year]],LEN(Table1[[#This Row],[1st year]])-FIND(":",Table1[[#This Row],[1st year]])-1),"")</f>
        <v>$180K</v>
      </c>
      <c r="O63" s="50" t="str">
        <f t="array" ref="O63">IFERROR(INDEX(Table2[Nth year],MATCH(1,(Table1[[#This Row],[Employer]]=Table2[EIW Name])*(Table1[[#This Row],[City, State]]=Table2[Offices Matched]),0)),"")</f>
        <v>7th Year: $300K</v>
      </c>
      <c r="P63" s="50" t="str">
        <f>IFERROR(RIGHT(Table1[[#This Row],[Nth year]],LEN(Table1[[#This Row],[Nth year]])-FIND(":",Table1[[#This Row],[Nth year]])-1),"")</f>
        <v>$300K</v>
      </c>
      <c r="Q63" s="50" t="str">
        <f t="array" ref="Q63">IFERROR(INDEX(Table2[Am Law 200 PPP Rank ’16],MATCH(1,(Table1[[#This Row],[Employer]]=Table2[EIW Name])*(Table1[[#This Row],[City, State]]=Table2[Offices Matched]),0)),"")</f>
        <v>13: $3.09M</v>
      </c>
      <c r="R63" s="50" t="str">
        <f>IFERROR(LEFT(Table1[[#This Row],[Am Law 200 PPP Rank ’16]],FIND(":",Table1[[#This Row],[Am Law 200 PPP Rank ’16]])-1),"")</f>
        <v>13</v>
      </c>
      <c r="S63" s="50">
        <f>IFERROR(INDEX(VaultRank[Rank],MATCH(Table1[[#This Row],[Employer]],VaultRank[EIW Name],0)),"")</f>
        <v>16</v>
      </c>
      <c r="T63" s="50" t="str">
        <f t="array" ref="T63">IFERROR(INDEX(Table2[Summers Matched],MATCH(1,(Table1[[#This Row],[Employer]]=Table2[EIW Name])*(Table1[[#This Row],[City, State]]=Table2[Offices Matched]),0)),"")</f>
        <v>Yes</v>
      </c>
      <c r="U63" s="52" t="str">
        <f t="shared" si="0"/>
        <v/>
      </c>
      <c r="V63" s="60"/>
      <c r="W63" s="114">
        <v>42595</v>
      </c>
      <c r="X63"/>
    </row>
    <row r="64" spans="1:24" ht="14.1" customHeight="1">
      <c r="A64" s="45" t="s">
        <v>352</v>
      </c>
      <c r="B64" s="45" t="s">
        <v>316</v>
      </c>
      <c r="C64" s="45" t="s">
        <v>300</v>
      </c>
      <c r="D64" s="45" t="str">
        <f>Table1[[#This Row],[City]]&amp;", "&amp;Table1[[#This Row],[State]]</f>
        <v>San Francisco, CA</v>
      </c>
      <c r="E64" s="49">
        <v>155</v>
      </c>
      <c r="F64" s="50">
        <v>0</v>
      </c>
      <c r="G64" s="50" t="str">
        <f t="array" ref="G64">IFERROR(INDEX(Table2[1st Year],MATCH(1,(Table1[[#This Row],[Employer]]=Table2[EIW Name])*(Table1[[#This Row],[City, State]]=Table2[Offices Matched]),0)),"")</f>
        <v/>
      </c>
      <c r="H64" s="50" t="str">
        <f>_xlfn.IFNA(INDEX(saCAGR[CAGR],MATCH(Table1[[#This Row],[Employer]],saCAGR[EIW Name],0)),"")</f>
        <v/>
      </c>
      <c r="I64" s="50" t="str">
        <f>IFERROR(Table1[[#This Row],[SA CAGR]]*Table1[[#This Row],[Number of Summer 2016 2L SAs]],"")</f>
        <v/>
      </c>
      <c r="J64" s="50">
        <v>2</v>
      </c>
      <c r="K64" s="51">
        <f>IFERROR(Table1[[#This Row],[Number of Summer 2016 NYU 2L SAs]]/Table1[[#This Row],[Interview Slots]],0)</f>
        <v>1.2903225806451613E-2</v>
      </c>
      <c r="L64" s="51">
        <f>Table1[[#This Row],[Number of Summer 2016 2L SAs]]/Table1[[#This Row],[Interview Slots]]</f>
        <v>0</v>
      </c>
      <c r="M64" s="51">
        <f>IFERROR(Table1[[#This Row],[Number of Summer 2016 NYU 2L SAs]]/Table1[[#This Row],[Number of Summer 2016 2L SAs]],0)</f>
        <v>0</v>
      </c>
      <c r="N64" s="50" t="str">
        <f>IFERROR(RIGHT(Table1[[#This Row],[1st year]],LEN(Table1[[#This Row],[1st year]])-FIND(":",Table1[[#This Row],[1st year]])-1),"")</f>
        <v/>
      </c>
      <c r="O64" s="50" t="str">
        <f t="array" ref="O64">IFERROR(INDEX(Table2[Nth year],MATCH(1,(Table1[[#This Row],[Employer]]=Table2[EIW Name])*(Table1[[#This Row],[City, State]]=Table2[Offices Matched]),0)),"")</f>
        <v/>
      </c>
      <c r="P64" s="50" t="str">
        <f>IFERROR(RIGHT(Table1[[#This Row],[Nth year]],LEN(Table1[[#This Row],[Nth year]])-FIND(":",Table1[[#This Row],[Nth year]])-1),"")</f>
        <v/>
      </c>
      <c r="Q64" s="50" t="str">
        <f t="array" ref="Q64">IFERROR(INDEX(Table2[Am Law 200 PPP Rank ’16],MATCH(1,(Table1[[#This Row],[Employer]]=Table2[EIW Name])*(Table1[[#This Row],[City, State]]=Table2[Offices Matched]),0)),"")</f>
        <v/>
      </c>
      <c r="R64" s="50" t="str">
        <f>IFERROR(LEFT(Table1[[#This Row],[Am Law 200 PPP Rank ’16]],FIND(":",Table1[[#This Row],[Am Law 200 PPP Rank ’16]])-1),"")</f>
        <v/>
      </c>
      <c r="S64" s="50">
        <f>IFERROR(INDEX(VaultRank[Rank],MATCH(Table1[[#This Row],[Employer]],VaultRank[EIW Name],0)),"")</f>
        <v>16</v>
      </c>
      <c r="T64" s="50" t="str">
        <f t="array" ref="T64">IFERROR(INDEX(Table2[Summers Matched],MATCH(1,(Table1[[#This Row],[Employer]]=Table2[EIW Name])*(Table1[[#This Row],[City, State]]=Table2[Offices Matched]),0)),"")</f>
        <v/>
      </c>
      <c r="U64" s="52">
        <f t="shared" si="0"/>
        <v>3.4</v>
      </c>
      <c r="V64" s="60"/>
      <c r="W64" s="114">
        <v>42592</v>
      </c>
      <c r="X64"/>
    </row>
    <row r="65" spans="1:24" ht="14.1" customHeight="1">
      <c r="A65" s="45" t="s">
        <v>352</v>
      </c>
      <c r="B65" s="45" t="s">
        <v>354</v>
      </c>
      <c r="C65" s="45" t="s">
        <v>300</v>
      </c>
      <c r="D65" s="45" t="str">
        <f>Table1[[#This Row],[City]]&amp;", "&amp;Table1[[#This Row],[State]]</f>
        <v>Santa Monica, CA</v>
      </c>
      <c r="E65" s="49">
        <v>10</v>
      </c>
      <c r="F65" s="50">
        <v>0</v>
      </c>
      <c r="G65" s="50" t="str">
        <f t="array" ref="G65">IFERROR(INDEX(Table2[1st Year],MATCH(1,(Table1[[#This Row],[Employer]]=Table2[EIW Name])*(Table1[[#This Row],[City, State]]=Table2[Offices Matched]),0)),"")</f>
        <v/>
      </c>
      <c r="H65" s="50" t="str">
        <f>_xlfn.IFNA(INDEX(saCAGR[CAGR],MATCH(Table1[[#This Row],[Employer]],saCAGR[EIW Name],0)),"")</f>
        <v/>
      </c>
      <c r="I65" s="50" t="str">
        <f>IFERROR(Table1[[#This Row],[SA CAGR]]*Table1[[#This Row],[Number of Summer 2016 2L SAs]],"")</f>
        <v/>
      </c>
      <c r="J65" s="50">
        <v>6</v>
      </c>
      <c r="K65" s="51">
        <f>IFERROR(Table1[[#This Row],[Number of Summer 2016 NYU 2L SAs]]/Table1[[#This Row],[Interview Slots]],0)</f>
        <v>0.6</v>
      </c>
      <c r="L65" s="51">
        <f>Table1[[#This Row],[Number of Summer 2016 2L SAs]]/Table1[[#This Row],[Interview Slots]]</f>
        <v>0</v>
      </c>
      <c r="M65" s="51">
        <f>IFERROR(Table1[[#This Row],[Number of Summer 2016 NYU 2L SAs]]/Table1[[#This Row],[Number of Summer 2016 2L SAs]],0)</f>
        <v>0</v>
      </c>
      <c r="N65" s="50" t="str">
        <f>IFERROR(RIGHT(Table1[[#This Row],[1st year]],LEN(Table1[[#This Row],[1st year]])-FIND(":",Table1[[#This Row],[1st year]])-1),"")</f>
        <v/>
      </c>
      <c r="O65" s="50" t="str">
        <f t="array" ref="O65">IFERROR(INDEX(Table2[Nth year],MATCH(1,(Table1[[#This Row],[Employer]]=Table2[EIW Name])*(Table1[[#This Row],[City, State]]=Table2[Offices Matched]),0)),"")</f>
        <v/>
      </c>
      <c r="P65" s="50" t="str">
        <f>IFERROR(RIGHT(Table1[[#This Row],[Nth year]],LEN(Table1[[#This Row],[Nth year]])-FIND(":",Table1[[#This Row],[Nth year]])-1),"")</f>
        <v/>
      </c>
      <c r="Q65" s="50" t="str">
        <f t="array" ref="Q65">IFERROR(INDEX(Table2[Am Law 200 PPP Rank ’16],MATCH(1,(Table1[[#This Row],[Employer]]=Table2[EIW Name])*(Table1[[#This Row],[City, State]]=Table2[Offices Matched]),0)),"")</f>
        <v/>
      </c>
      <c r="R65" s="50" t="str">
        <f>IFERROR(LEFT(Table1[[#This Row],[Am Law 200 PPP Rank ’16]],FIND(":",Table1[[#This Row],[Am Law 200 PPP Rank ’16]])-1),"")</f>
        <v/>
      </c>
      <c r="S65" s="50">
        <f>IFERROR(INDEX(VaultRank[Rank],MATCH(Table1[[#This Row],[Employer]],VaultRank[EIW Name],0)),"")</f>
        <v>16</v>
      </c>
      <c r="T65" s="50" t="str">
        <f t="array" ref="T65">IFERROR(INDEX(Table2[Summers Matched],MATCH(1,(Table1[[#This Row],[Employer]]=Table2[EIW Name])*(Table1[[#This Row],[City, State]]=Table2[Offices Matched]),0)),"")</f>
        <v/>
      </c>
      <c r="U65" s="52" t="str">
        <f t="shared" si="0"/>
        <v/>
      </c>
      <c r="V65" s="60"/>
      <c r="W65" s="114">
        <v>42594</v>
      </c>
      <c r="X65"/>
    </row>
    <row r="66" spans="1:24" ht="14.1" customHeight="1">
      <c r="A66" s="45" t="s">
        <v>352</v>
      </c>
      <c r="B66" s="45" t="s">
        <v>301</v>
      </c>
      <c r="C66" s="45" t="s">
        <v>302</v>
      </c>
      <c r="D66" s="45" t="str">
        <f>Table1[[#This Row],[City]]&amp;", "&amp;Table1[[#This Row],[State]]</f>
        <v>Washington, DC</v>
      </c>
      <c r="E66" s="49">
        <v>114</v>
      </c>
      <c r="F66" s="50">
        <v>3</v>
      </c>
      <c r="G66" s="50" t="str">
        <f t="array" ref="G66">IFERROR(INDEX(Table2[1st Year],MATCH(1,(Table1[[#This Row],[Employer]]=Table2[EIW Name])*(Table1[[#This Row],[City, State]]=Table2[Offices Matched]),0)),"")</f>
        <v/>
      </c>
      <c r="H66" s="50" t="str">
        <f>_xlfn.IFNA(INDEX(saCAGR[CAGR],MATCH(Table1[[#This Row],[Employer]],saCAGR[EIW Name],0)),"")</f>
        <v/>
      </c>
      <c r="I66" s="50" t="str">
        <f>IFERROR(Table1[[#This Row],[SA CAGR]]*Table1[[#This Row],[Number of Summer 2016 2L SAs]],"")</f>
        <v/>
      </c>
      <c r="J66" s="50">
        <v>11</v>
      </c>
      <c r="K66" s="51">
        <f>IFERROR(Table1[[#This Row],[Number of Summer 2016 NYU 2L SAs]]/Table1[[#This Row],[Interview Slots]],0)</f>
        <v>9.6491228070175433E-2</v>
      </c>
      <c r="L66" s="51">
        <f>Table1[[#This Row],[Number of Summer 2016 2L SAs]]/Table1[[#This Row],[Interview Slots]]</f>
        <v>2.6315789473684209E-2</v>
      </c>
      <c r="M66" s="51">
        <f>IFERROR(Table1[[#This Row],[Number of Summer 2016 NYU 2L SAs]]/Table1[[#This Row],[Number of Summer 2016 2L SAs]],0)</f>
        <v>3.6666666666666665</v>
      </c>
      <c r="N66" s="50" t="str">
        <f>IFERROR(RIGHT(Table1[[#This Row],[1st year]],LEN(Table1[[#This Row],[1st year]])-FIND(":",Table1[[#This Row],[1st year]])-1),"")</f>
        <v/>
      </c>
      <c r="O66" s="50" t="str">
        <f t="array" ref="O66">IFERROR(INDEX(Table2[Nth year],MATCH(1,(Table1[[#This Row],[Employer]]=Table2[EIW Name])*(Table1[[#This Row],[City, State]]=Table2[Offices Matched]),0)),"")</f>
        <v/>
      </c>
      <c r="P66" s="50" t="str">
        <f>IFERROR(RIGHT(Table1[[#This Row],[Nth year]],LEN(Table1[[#This Row],[Nth year]])-FIND(":",Table1[[#This Row],[Nth year]])-1),"")</f>
        <v/>
      </c>
      <c r="Q66" s="50" t="str">
        <f t="array" ref="Q66">IFERROR(INDEX(Table2[Am Law 200 PPP Rank ’16],MATCH(1,(Table1[[#This Row],[Employer]]=Table2[EIW Name])*(Table1[[#This Row],[City, State]]=Table2[Offices Matched]),0)),"")</f>
        <v/>
      </c>
      <c r="R66" s="50" t="str">
        <f>IFERROR(LEFT(Table1[[#This Row],[Am Law 200 PPP Rank ’16]],FIND(":",Table1[[#This Row],[Am Law 200 PPP Rank ’16]])-1),"")</f>
        <v/>
      </c>
      <c r="S66" s="50">
        <f>IFERROR(INDEX(VaultRank[Rank],MATCH(Table1[[#This Row],[Employer]],VaultRank[EIW Name],0)),"")</f>
        <v>16</v>
      </c>
      <c r="T66" s="50" t="str">
        <f t="array" ref="T66">IFERROR(INDEX(Table2[Summers Matched],MATCH(1,(Table1[[#This Row],[Employer]]=Table2[EIW Name])*(Table1[[#This Row],[City, State]]=Table2[Offices Matched]),0)),"")</f>
        <v/>
      </c>
      <c r="U66" s="52" t="str">
        <f t="shared" ref="U66:U129" si="1">IF(MOD(ROW(),23)=0,3.6,IF(MOD(ROW(),16)=0,3.4,""))</f>
        <v/>
      </c>
      <c r="V66" s="60"/>
      <c r="W66" s="114">
        <v>42592</v>
      </c>
      <c r="X66"/>
    </row>
    <row r="67" spans="1:24" ht="14.1" customHeight="1">
      <c r="A67" s="45" t="s">
        <v>352</v>
      </c>
      <c r="B67" s="45" t="s">
        <v>355</v>
      </c>
      <c r="C67" s="45" t="s">
        <v>324</v>
      </c>
      <c r="D67" s="45" t="str">
        <f>Table1[[#This Row],[City]]&amp;", "&amp;Table1[[#This Row],[State]]</f>
        <v>Ft. Lauderdale, FL</v>
      </c>
      <c r="E67" s="49">
        <v>15</v>
      </c>
      <c r="F67" s="50">
        <v>0</v>
      </c>
      <c r="G67" s="50" t="str">
        <f t="array" ref="G67">IFERROR(INDEX(Table2[1st Year],MATCH(1,(Table1[[#This Row],[Employer]]=Table2[EIW Name])*(Table1[[#This Row],[City, State]]=Table2[Offices Matched]),0)),"")</f>
        <v/>
      </c>
      <c r="H67" s="50" t="str">
        <f>_xlfn.IFNA(INDEX(saCAGR[CAGR],MATCH(Table1[[#This Row],[Employer]],saCAGR[EIW Name],0)),"")</f>
        <v/>
      </c>
      <c r="I67" s="50" t="str">
        <f>IFERROR(Table1[[#This Row],[SA CAGR]]*Table1[[#This Row],[Number of Summer 2016 2L SAs]],"")</f>
        <v/>
      </c>
      <c r="J67" s="50">
        <v>0</v>
      </c>
      <c r="K67" s="51">
        <f>IFERROR(Table1[[#This Row],[Number of Summer 2016 NYU 2L SAs]]/Table1[[#This Row],[Interview Slots]],0)</f>
        <v>0</v>
      </c>
      <c r="L67" s="51">
        <f>Table1[[#This Row],[Number of Summer 2016 2L SAs]]/Table1[[#This Row],[Interview Slots]]</f>
        <v>0</v>
      </c>
      <c r="M67" s="51">
        <f>IFERROR(Table1[[#This Row],[Number of Summer 2016 NYU 2L SAs]]/Table1[[#This Row],[Number of Summer 2016 2L SAs]],0)</f>
        <v>0</v>
      </c>
      <c r="N67" s="50" t="str">
        <f>IFERROR(RIGHT(Table1[[#This Row],[1st year]],LEN(Table1[[#This Row],[1st year]])-FIND(":",Table1[[#This Row],[1st year]])-1),"")</f>
        <v/>
      </c>
      <c r="O67" s="50" t="str">
        <f t="array" ref="O67">IFERROR(INDEX(Table2[Nth year],MATCH(1,(Table1[[#This Row],[Employer]]=Table2[EIW Name])*(Table1[[#This Row],[City, State]]=Table2[Offices Matched]),0)),"")</f>
        <v/>
      </c>
      <c r="P67" s="50" t="str">
        <f>IFERROR(RIGHT(Table1[[#This Row],[Nth year]],LEN(Table1[[#This Row],[Nth year]])-FIND(":",Table1[[#This Row],[Nth year]])-1),"")</f>
        <v/>
      </c>
      <c r="Q67" s="50" t="str">
        <f t="array" ref="Q67">IFERROR(INDEX(Table2[Am Law 200 PPP Rank ’16],MATCH(1,(Table1[[#This Row],[Employer]]=Table2[EIW Name])*(Table1[[#This Row],[City, State]]=Table2[Offices Matched]),0)),"")</f>
        <v/>
      </c>
      <c r="R67" s="50" t="str">
        <f>IFERROR(LEFT(Table1[[#This Row],[Am Law 200 PPP Rank ’16]],FIND(":",Table1[[#This Row],[Am Law 200 PPP Rank ’16]])-1),"")</f>
        <v/>
      </c>
      <c r="S67" s="50">
        <f>IFERROR(INDEX(VaultRank[Rank],MATCH(Table1[[#This Row],[Employer]],VaultRank[EIW Name],0)),"")</f>
        <v>16</v>
      </c>
      <c r="T67" s="50" t="str">
        <f t="array" ref="T67">IFERROR(INDEX(Table2[Summers Matched],MATCH(1,(Table1[[#This Row],[Employer]]=Table2[EIW Name])*(Table1[[#This Row],[City, State]]=Table2[Offices Matched]),0)),"")</f>
        <v/>
      </c>
      <c r="U67" s="52" t="str">
        <f t="shared" si="1"/>
        <v/>
      </c>
      <c r="V67" s="60"/>
      <c r="W67" s="114">
        <v>42592</v>
      </c>
      <c r="X67"/>
    </row>
    <row r="68" spans="1:24" ht="14.1" customHeight="1">
      <c r="A68" s="45" t="s">
        <v>352</v>
      </c>
      <c r="B68" s="45" t="s">
        <v>356</v>
      </c>
      <c r="C68" s="45" t="s">
        <v>324</v>
      </c>
      <c r="D68" s="45" t="str">
        <f>Table1[[#This Row],[City]]&amp;", "&amp;Table1[[#This Row],[State]]</f>
        <v>Hollywood, FL</v>
      </c>
      <c r="E68" s="49">
        <v>25</v>
      </c>
      <c r="F68" s="50">
        <v>0</v>
      </c>
      <c r="G68" s="50" t="str">
        <f t="array" ref="G68">IFERROR(INDEX(Table2[1st Year],MATCH(1,(Table1[[#This Row],[Employer]]=Table2[EIW Name])*(Table1[[#This Row],[City, State]]=Table2[Offices Matched]),0)),"")</f>
        <v>1st Year: $180K</v>
      </c>
      <c r="H68" s="50" t="str">
        <f>_xlfn.IFNA(INDEX(saCAGR[CAGR],MATCH(Table1[[#This Row],[Employer]],saCAGR[EIW Name],0)),"")</f>
        <v/>
      </c>
      <c r="I68" s="50" t="str">
        <f>IFERROR(Table1[[#This Row],[SA CAGR]]*Table1[[#This Row],[Number of Summer 2016 2L SAs]],"")</f>
        <v/>
      </c>
      <c r="J68" s="50">
        <v>5</v>
      </c>
      <c r="K68" s="51">
        <f>IFERROR(Table1[[#This Row],[Number of Summer 2016 NYU 2L SAs]]/Table1[[#This Row],[Interview Slots]],0)</f>
        <v>0.2</v>
      </c>
      <c r="L68" s="51">
        <f>Table1[[#This Row],[Number of Summer 2016 2L SAs]]/Table1[[#This Row],[Interview Slots]]</f>
        <v>0</v>
      </c>
      <c r="M68" s="51">
        <f>IFERROR(Table1[[#This Row],[Number of Summer 2016 NYU 2L SAs]]/Table1[[#This Row],[Number of Summer 2016 2L SAs]],0)</f>
        <v>0</v>
      </c>
      <c r="N68" s="50" t="str">
        <f>IFERROR(RIGHT(Table1[[#This Row],[1st year]],LEN(Table1[[#This Row],[1st year]])-FIND(":",Table1[[#This Row],[1st year]])-1),"")</f>
        <v>$180K</v>
      </c>
      <c r="O68" s="50" t="str">
        <f t="array" ref="O68">IFERROR(INDEX(Table2[Nth year],MATCH(1,(Table1[[#This Row],[Employer]]=Table2[EIW Name])*(Table1[[#This Row],[City, State]]=Table2[Offices Matched]),0)),"")</f>
        <v>7th Year: $300K</v>
      </c>
      <c r="P68" s="50" t="str">
        <f>IFERROR(RIGHT(Table1[[#This Row],[Nth year]],LEN(Table1[[#This Row],[Nth year]])-FIND(":",Table1[[#This Row],[Nth year]])-1),"")</f>
        <v>$300K</v>
      </c>
      <c r="Q68" s="50" t="str">
        <f t="array" ref="Q68">IFERROR(INDEX(Table2[Am Law 200 PPP Rank ’16],MATCH(1,(Table1[[#This Row],[Employer]]=Table2[EIW Name])*(Table1[[#This Row],[City, State]]=Table2[Offices Matched]),0)),"")</f>
        <v>13: $3.09M</v>
      </c>
      <c r="R68" s="50" t="str">
        <f>IFERROR(LEFT(Table1[[#This Row],[Am Law 200 PPP Rank ’16]],FIND(":",Table1[[#This Row],[Am Law 200 PPP Rank ’16]])-1),"")</f>
        <v>13</v>
      </c>
      <c r="S68" s="50">
        <f>IFERROR(INDEX(VaultRank[Rank],MATCH(Table1[[#This Row],[Employer]],VaultRank[EIW Name],0)),"")</f>
        <v>16</v>
      </c>
      <c r="T68" s="50" t="str">
        <f t="array" ref="T68">IFERROR(INDEX(Table2[Summers Matched],MATCH(1,(Table1[[#This Row],[Employer]]=Table2[EIW Name])*(Table1[[#This Row],[City, State]]=Table2[Offices Matched]),0)),"")</f>
        <v>Yes</v>
      </c>
      <c r="U68" s="52" t="str">
        <f t="shared" si="1"/>
        <v/>
      </c>
      <c r="V68" s="60"/>
      <c r="W68" s="114">
        <v>42593</v>
      </c>
      <c r="X68"/>
    </row>
    <row r="69" spans="1:24" ht="14.1" customHeight="1">
      <c r="A69" s="45" t="s">
        <v>352</v>
      </c>
      <c r="B69" s="45" t="s">
        <v>337</v>
      </c>
      <c r="C69" s="45" t="s">
        <v>324</v>
      </c>
      <c r="D69" s="45" t="str">
        <f>Table1[[#This Row],[City]]&amp;", "&amp;Table1[[#This Row],[State]]</f>
        <v>Miami, FL</v>
      </c>
      <c r="E69" s="49">
        <v>3</v>
      </c>
      <c r="F69" s="50">
        <v>0</v>
      </c>
      <c r="G69" s="50" t="str">
        <f t="array" ref="G69">IFERROR(INDEX(Table2[1st Year],MATCH(1,(Table1[[#This Row],[Employer]]=Table2[EIW Name])*(Table1[[#This Row],[City, State]]=Table2[Offices Matched]),0)),"")</f>
        <v>1st Year: $180K</v>
      </c>
      <c r="H69" s="50" t="str">
        <f>_xlfn.IFNA(INDEX(saCAGR[CAGR],MATCH(Table1[[#This Row],[Employer]],saCAGR[EIW Name],0)),"")</f>
        <v/>
      </c>
      <c r="I69" s="50" t="str">
        <f>IFERROR(Table1[[#This Row],[SA CAGR]]*Table1[[#This Row],[Number of Summer 2016 2L SAs]],"")</f>
        <v/>
      </c>
      <c r="J69" s="50">
        <v>6</v>
      </c>
      <c r="K69" s="51">
        <f>IFERROR(Table1[[#This Row],[Number of Summer 2016 NYU 2L SAs]]/Table1[[#This Row],[Interview Slots]],0)</f>
        <v>2</v>
      </c>
      <c r="L69" s="51">
        <f>Table1[[#This Row],[Number of Summer 2016 2L SAs]]/Table1[[#This Row],[Interview Slots]]</f>
        <v>0</v>
      </c>
      <c r="M69" s="51">
        <f>IFERROR(Table1[[#This Row],[Number of Summer 2016 NYU 2L SAs]]/Table1[[#This Row],[Number of Summer 2016 2L SAs]],0)</f>
        <v>0</v>
      </c>
      <c r="N69" s="50" t="str">
        <f>IFERROR(RIGHT(Table1[[#This Row],[1st year]],LEN(Table1[[#This Row],[1st year]])-FIND(":",Table1[[#This Row],[1st year]])-1),"")</f>
        <v>$180K</v>
      </c>
      <c r="O69" s="50" t="str">
        <f t="array" ref="O69">IFERROR(INDEX(Table2[Nth year],MATCH(1,(Table1[[#This Row],[Employer]]=Table2[EIW Name])*(Table1[[#This Row],[City, State]]=Table2[Offices Matched]),0)),"")</f>
        <v>7th Year: $300K</v>
      </c>
      <c r="P69" s="50" t="str">
        <f>IFERROR(RIGHT(Table1[[#This Row],[Nth year]],LEN(Table1[[#This Row],[Nth year]])-FIND(":",Table1[[#This Row],[Nth year]])-1),"")</f>
        <v>$300K</v>
      </c>
      <c r="Q69" s="50" t="str">
        <f t="array" ref="Q69">IFERROR(INDEX(Table2[Am Law 200 PPP Rank ’16],MATCH(1,(Table1[[#This Row],[Employer]]=Table2[EIW Name])*(Table1[[#This Row],[City, State]]=Table2[Offices Matched]),0)),"")</f>
        <v>13: $3.09M</v>
      </c>
      <c r="R69" s="50" t="str">
        <f>IFERROR(LEFT(Table1[[#This Row],[Am Law 200 PPP Rank ’16]],FIND(":",Table1[[#This Row],[Am Law 200 PPP Rank ’16]])-1),"")</f>
        <v>13</v>
      </c>
      <c r="S69" s="50">
        <f>IFERROR(INDEX(VaultRank[Rank],MATCH(Table1[[#This Row],[Employer]],VaultRank[EIW Name],0)),"")</f>
        <v>16</v>
      </c>
      <c r="T69" s="50" t="str">
        <f t="array" ref="T69">IFERROR(INDEX(Table2[Summers Matched],MATCH(1,(Table1[[#This Row],[Employer]]=Table2[EIW Name])*(Table1[[#This Row],[City, State]]=Table2[Offices Matched]),0)),"")</f>
        <v>Yes</v>
      </c>
      <c r="U69" s="52">
        <f t="shared" si="1"/>
        <v>3.6</v>
      </c>
      <c r="V69" s="60"/>
      <c r="W69" s="114">
        <v>42594</v>
      </c>
      <c r="X69"/>
    </row>
    <row r="70" spans="1:24" ht="14.1" customHeight="1">
      <c r="A70" s="45" t="s">
        <v>352</v>
      </c>
      <c r="B70" s="45" t="s">
        <v>323</v>
      </c>
      <c r="C70" s="45" t="s">
        <v>324</v>
      </c>
      <c r="D70" s="45" t="str">
        <f>Table1[[#This Row],[City]]&amp;", "&amp;Table1[[#This Row],[State]]</f>
        <v>Orlando, FL</v>
      </c>
      <c r="E70" s="49">
        <v>92</v>
      </c>
      <c r="F70" s="50">
        <v>0</v>
      </c>
      <c r="G70" s="50" t="str">
        <f t="array" ref="G70">IFERROR(INDEX(Table2[1st Year],MATCH(1,(Table1[[#This Row],[Employer]]=Table2[EIW Name])*(Table1[[#This Row],[City, State]]=Table2[Offices Matched]),0)),"")</f>
        <v>1st Year: $180K</v>
      </c>
      <c r="H70" s="50" t="str">
        <f>_xlfn.IFNA(INDEX(saCAGR[CAGR],MATCH(Table1[[#This Row],[Employer]],saCAGR[EIW Name],0)),"")</f>
        <v/>
      </c>
      <c r="I70" s="50" t="str">
        <f>IFERROR(Table1[[#This Row],[SA CAGR]]*Table1[[#This Row],[Number of Summer 2016 2L SAs]],"")</f>
        <v/>
      </c>
      <c r="J70" s="50">
        <v>5</v>
      </c>
      <c r="K70" s="51">
        <f>IFERROR(Table1[[#This Row],[Number of Summer 2016 NYU 2L SAs]]/Table1[[#This Row],[Interview Slots]],0)</f>
        <v>5.434782608695652E-2</v>
      </c>
      <c r="L70" s="51">
        <f>Table1[[#This Row],[Number of Summer 2016 2L SAs]]/Table1[[#This Row],[Interview Slots]]</f>
        <v>0</v>
      </c>
      <c r="M70" s="51">
        <f>IFERROR(Table1[[#This Row],[Number of Summer 2016 NYU 2L SAs]]/Table1[[#This Row],[Number of Summer 2016 2L SAs]],0)</f>
        <v>0</v>
      </c>
      <c r="N70" s="50" t="str">
        <f>IFERROR(RIGHT(Table1[[#This Row],[1st year]],LEN(Table1[[#This Row],[1st year]])-FIND(":",Table1[[#This Row],[1st year]])-1),"")</f>
        <v>$180K</v>
      </c>
      <c r="O70" s="50" t="str">
        <f t="array" ref="O70">IFERROR(INDEX(Table2[Nth year],MATCH(1,(Table1[[#This Row],[Employer]]=Table2[EIW Name])*(Table1[[#This Row],[City, State]]=Table2[Offices Matched]),0)),"")</f>
        <v>7th Year: $300K</v>
      </c>
      <c r="P70" s="50" t="str">
        <f>IFERROR(RIGHT(Table1[[#This Row],[Nth year]],LEN(Table1[[#This Row],[Nth year]])-FIND(":",Table1[[#This Row],[Nth year]])-1),"")</f>
        <v>$300K</v>
      </c>
      <c r="Q70" s="50" t="str">
        <f t="array" ref="Q70">IFERROR(INDEX(Table2[Am Law 200 PPP Rank ’16],MATCH(1,(Table1[[#This Row],[Employer]]=Table2[EIW Name])*(Table1[[#This Row],[City, State]]=Table2[Offices Matched]),0)),"")</f>
        <v>13: $3.09M</v>
      </c>
      <c r="R70" s="50" t="str">
        <f>IFERROR(LEFT(Table1[[#This Row],[Am Law 200 PPP Rank ’16]],FIND(":",Table1[[#This Row],[Am Law 200 PPP Rank ’16]])-1),"")</f>
        <v>13</v>
      </c>
      <c r="S70" s="50">
        <f>IFERROR(INDEX(VaultRank[Rank],MATCH(Table1[[#This Row],[Employer]],VaultRank[EIW Name],0)),"")</f>
        <v>16</v>
      </c>
      <c r="T70" s="50" t="str">
        <f t="array" ref="T70">IFERROR(INDEX(Table2[Summers Matched],MATCH(1,(Table1[[#This Row],[Employer]]=Table2[EIW Name])*(Table1[[#This Row],[City, State]]=Table2[Offices Matched]),0)),"")</f>
        <v>Yes</v>
      </c>
      <c r="U70" s="52" t="str">
        <f t="shared" si="1"/>
        <v/>
      </c>
      <c r="V70" s="60"/>
      <c r="W70" s="114">
        <v>42593</v>
      </c>
      <c r="X70"/>
    </row>
    <row r="71" spans="1:24" ht="14.1" customHeight="1">
      <c r="A71" s="45" t="s">
        <v>352</v>
      </c>
      <c r="B71" s="45" t="s">
        <v>357</v>
      </c>
      <c r="C71" s="45" t="s">
        <v>358</v>
      </c>
      <c r="D71" s="45" t="str">
        <f>Table1[[#This Row],[City]]&amp;", "&amp;Table1[[#This Row],[State]]</f>
        <v>Hanover, NH</v>
      </c>
      <c r="E71" s="49">
        <v>100</v>
      </c>
      <c r="F71" s="50">
        <v>0</v>
      </c>
      <c r="G71" s="50" t="str">
        <f t="array" ref="G71">IFERROR(INDEX(Table2[1st Year],MATCH(1,(Table1[[#This Row],[Employer]]=Table2[EIW Name])*(Table1[[#This Row],[City, State]]=Table2[Offices Matched]),0)),"")</f>
        <v>1st Year: $180K</v>
      </c>
      <c r="H71" s="50" t="str">
        <f>_xlfn.IFNA(INDEX(saCAGR[CAGR],MATCH(Table1[[#This Row],[Employer]],saCAGR[EIW Name],0)),"")</f>
        <v/>
      </c>
      <c r="I71" s="50" t="str">
        <f>IFERROR(Table1[[#This Row],[SA CAGR]]*Table1[[#This Row],[Number of Summer 2016 2L SAs]],"")</f>
        <v/>
      </c>
      <c r="J71" s="50">
        <v>24</v>
      </c>
      <c r="K71" s="51">
        <f>IFERROR(Table1[[#This Row],[Number of Summer 2016 NYU 2L SAs]]/Table1[[#This Row],[Interview Slots]],0)</f>
        <v>0.24</v>
      </c>
      <c r="L71" s="51">
        <f>Table1[[#This Row],[Number of Summer 2016 2L SAs]]/Table1[[#This Row],[Interview Slots]]</f>
        <v>0</v>
      </c>
      <c r="M71" s="51">
        <f>IFERROR(Table1[[#This Row],[Number of Summer 2016 NYU 2L SAs]]/Table1[[#This Row],[Number of Summer 2016 2L SAs]],0)</f>
        <v>0</v>
      </c>
      <c r="N71" s="50" t="str">
        <f>IFERROR(RIGHT(Table1[[#This Row],[1st year]],LEN(Table1[[#This Row],[1st year]])-FIND(":",Table1[[#This Row],[1st year]])-1),"")</f>
        <v>$180K</v>
      </c>
      <c r="O71" s="50" t="str">
        <f t="array" ref="O71">IFERROR(INDEX(Table2[Nth year],MATCH(1,(Table1[[#This Row],[Employer]]=Table2[EIW Name])*(Table1[[#This Row],[City, State]]=Table2[Offices Matched]),0)),"")</f>
        <v>7th Year: $300K</v>
      </c>
      <c r="P71" s="50" t="str">
        <f>IFERROR(RIGHT(Table1[[#This Row],[Nth year]],LEN(Table1[[#This Row],[Nth year]])-FIND(":",Table1[[#This Row],[Nth year]])-1),"")</f>
        <v>$300K</v>
      </c>
      <c r="Q71" s="50" t="str">
        <f t="array" ref="Q71">IFERROR(INDEX(Table2[Am Law 200 PPP Rank ’16],MATCH(1,(Table1[[#This Row],[Employer]]=Table2[EIW Name])*(Table1[[#This Row],[City, State]]=Table2[Offices Matched]),0)),"")</f>
        <v>13: $3.09M</v>
      </c>
      <c r="R71" s="50" t="str">
        <f>IFERROR(LEFT(Table1[[#This Row],[Am Law 200 PPP Rank ’16]],FIND(":",Table1[[#This Row],[Am Law 200 PPP Rank ’16]])-1),"")</f>
        <v>13</v>
      </c>
      <c r="S71" s="50">
        <f>IFERROR(INDEX(VaultRank[Rank],MATCH(Table1[[#This Row],[Employer]],VaultRank[EIW Name],0)),"")</f>
        <v>16</v>
      </c>
      <c r="T71" s="50" t="str">
        <f t="array" ref="T71">IFERROR(INDEX(Table2[Summers Matched],MATCH(1,(Table1[[#This Row],[Employer]]=Table2[EIW Name])*(Table1[[#This Row],[City, State]]=Table2[Offices Matched]),0)),"")</f>
        <v>Yes</v>
      </c>
      <c r="U71" s="52" t="str">
        <f t="shared" si="1"/>
        <v/>
      </c>
      <c r="V71" s="60"/>
      <c r="W71" s="114">
        <v>42593</v>
      </c>
      <c r="X71"/>
    </row>
    <row r="72" spans="1:24" ht="14.1" customHeight="1">
      <c r="A72" s="45" t="s">
        <v>352</v>
      </c>
      <c r="B72" s="45" t="s">
        <v>359</v>
      </c>
      <c r="C72" s="45" t="s">
        <v>360</v>
      </c>
      <c r="D72" s="45" t="str">
        <f>Table1[[#This Row],[City]]&amp;", "&amp;Table1[[#This Row],[State]]</f>
        <v>Las Vegas, NV</v>
      </c>
      <c r="E72" s="49">
        <v>142</v>
      </c>
      <c r="F72" s="50">
        <v>0</v>
      </c>
      <c r="G72" s="50" t="str">
        <f t="array" ref="G72">IFERROR(INDEX(Table2[1st Year],MATCH(1,(Table1[[#This Row],[Employer]]=Table2[EIW Name])*(Table1[[#This Row],[City, State]]=Table2[Offices Matched]),0)),"")</f>
        <v>1st Year: $180K</v>
      </c>
      <c r="H72" s="50" t="str">
        <f>_xlfn.IFNA(INDEX(saCAGR[CAGR],MATCH(Table1[[#This Row],[Employer]],saCAGR[EIW Name],0)),"")</f>
        <v/>
      </c>
      <c r="I72" s="50" t="str">
        <f>IFERROR(Table1[[#This Row],[SA CAGR]]*Table1[[#This Row],[Number of Summer 2016 2L SAs]],"")</f>
        <v/>
      </c>
      <c r="J72" s="50">
        <v>22</v>
      </c>
      <c r="K72" s="51">
        <f>IFERROR(Table1[[#This Row],[Number of Summer 2016 NYU 2L SAs]]/Table1[[#This Row],[Interview Slots]],0)</f>
        <v>0.15492957746478872</v>
      </c>
      <c r="L72" s="51">
        <f>Table1[[#This Row],[Number of Summer 2016 2L SAs]]/Table1[[#This Row],[Interview Slots]]</f>
        <v>0</v>
      </c>
      <c r="M72" s="51">
        <f>IFERROR(Table1[[#This Row],[Number of Summer 2016 NYU 2L SAs]]/Table1[[#This Row],[Number of Summer 2016 2L SAs]],0)</f>
        <v>0</v>
      </c>
      <c r="N72" s="50" t="str">
        <f>IFERROR(RIGHT(Table1[[#This Row],[1st year]],LEN(Table1[[#This Row],[1st year]])-FIND(":",Table1[[#This Row],[1st year]])-1),"")</f>
        <v>$180K</v>
      </c>
      <c r="O72" s="50" t="str">
        <f t="array" ref="O72">IFERROR(INDEX(Table2[Nth year],MATCH(1,(Table1[[#This Row],[Employer]]=Table2[EIW Name])*(Table1[[#This Row],[City, State]]=Table2[Offices Matched]),0)),"")</f>
        <v>7th Year: $300K</v>
      </c>
      <c r="P72" s="50" t="str">
        <f>IFERROR(RIGHT(Table1[[#This Row],[Nth year]],LEN(Table1[[#This Row],[Nth year]])-FIND(":",Table1[[#This Row],[Nth year]])-1),"")</f>
        <v>$300K</v>
      </c>
      <c r="Q72" s="50" t="str">
        <f t="array" ref="Q72">IFERROR(INDEX(Table2[Am Law 200 PPP Rank ’16],MATCH(1,(Table1[[#This Row],[Employer]]=Table2[EIW Name])*(Table1[[#This Row],[City, State]]=Table2[Offices Matched]),0)),"")</f>
        <v>13: $3.09M</v>
      </c>
      <c r="R72" s="50" t="str">
        <f>IFERROR(LEFT(Table1[[#This Row],[Am Law 200 PPP Rank ’16]],FIND(":",Table1[[#This Row],[Am Law 200 PPP Rank ’16]])-1),"")</f>
        <v>13</v>
      </c>
      <c r="S72" s="50">
        <f>IFERROR(INDEX(VaultRank[Rank],MATCH(Table1[[#This Row],[Employer]],VaultRank[EIW Name],0)),"")</f>
        <v>16</v>
      </c>
      <c r="T72" s="50" t="str">
        <f t="array" ref="T72">IFERROR(INDEX(Table2[Summers Matched],MATCH(1,(Table1[[#This Row],[Employer]]=Table2[EIW Name])*(Table1[[#This Row],[City, State]]=Table2[Offices Matched]),0)),"")</f>
        <v>Yes</v>
      </c>
      <c r="U72" s="52" t="str">
        <f t="shared" si="1"/>
        <v/>
      </c>
      <c r="V72" s="60"/>
      <c r="W72" s="114">
        <v>42593</v>
      </c>
      <c r="X72"/>
    </row>
    <row r="73" spans="1:24" ht="14.1" customHeight="1">
      <c r="A73" s="45" t="s">
        <v>352</v>
      </c>
      <c r="B73" s="45" t="s">
        <v>361</v>
      </c>
      <c r="C73" s="45" t="s">
        <v>362</v>
      </c>
      <c r="D73" s="45" t="str">
        <f>Table1[[#This Row],[City]]&amp;", "&amp;Table1[[#This Row],[State]]</f>
        <v>Albany, NY</v>
      </c>
      <c r="E73" s="49">
        <v>92</v>
      </c>
      <c r="F73" s="50">
        <v>0</v>
      </c>
      <c r="G73" s="50" t="str">
        <f t="array" ref="G73">IFERROR(INDEX(Table2[1st Year],MATCH(1,(Table1[[#This Row],[Employer]]=Table2[EIW Name])*(Table1[[#This Row],[City, State]]=Table2[Offices Matched]),0)),"")</f>
        <v>1st Year: $180K</v>
      </c>
      <c r="H73" s="50" t="str">
        <f>_xlfn.IFNA(INDEX(saCAGR[CAGR],MATCH(Table1[[#This Row],[Employer]],saCAGR[EIW Name],0)),"")</f>
        <v/>
      </c>
      <c r="I73" s="50" t="str">
        <f>IFERROR(Table1[[#This Row],[SA CAGR]]*Table1[[#This Row],[Number of Summer 2016 2L SAs]],"")</f>
        <v/>
      </c>
      <c r="J73" s="50">
        <v>11</v>
      </c>
      <c r="K73" s="51">
        <f>IFERROR(Table1[[#This Row],[Number of Summer 2016 NYU 2L SAs]]/Table1[[#This Row],[Interview Slots]],0)</f>
        <v>0.11956521739130435</v>
      </c>
      <c r="L73" s="51">
        <f>Table1[[#This Row],[Number of Summer 2016 2L SAs]]/Table1[[#This Row],[Interview Slots]]</f>
        <v>0</v>
      </c>
      <c r="M73" s="51">
        <f>IFERROR(Table1[[#This Row],[Number of Summer 2016 NYU 2L SAs]]/Table1[[#This Row],[Number of Summer 2016 2L SAs]],0)</f>
        <v>0</v>
      </c>
      <c r="N73" s="50" t="str">
        <f>IFERROR(RIGHT(Table1[[#This Row],[1st year]],LEN(Table1[[#This Row],[1st year]])-FIND(":",Table1[[#This Row],[1st year]])-1),"")</f>
        <v>$180K</v>
      </c>
      <c r="O73" s="50" t="str">
        <f t="array" ref="O73">IFERROR(INDEX(Table2[Nth year],MATCH(1,(Table1[[#This Row],[Employer]]=Table2[EIW Name])*(Table1[[#This Row],[City, State]]=Table2[Offices Matched]),0)),"")</f>
        <v>7th Year: $300K</v>
      </c>
      <c r="P73" s="50" t="str">
        <f>IFERROR(RIGHT(Table1[[#This Row],[Nth year]],LEN(Table1[[#This Row],[Nth year]])-FIND(":",Table1[[#This Row],[Nth year]])-1),"")</f>
        <v>$300K</v>
      </c>
      <c r="Q73" s="50" t="str">
        <f t="array" ref="Q73">IFERROR(INDEX(Table2[Am Law 200 PPP Rank ’16],MATCH(1,(Table1[[#This Row],[Employer]]=Table2[EIW Name])*(Table1[[#This Row],[City, State]]=Table2[Offices Matched]),0)),"")</f>
        <v>13: $3.09M</v>
      </c>
      <c r="R73" s="50" t="str">
        <f>IFERROR(LEFT(Table1[[#This Row],[Am Law 200 PPP Rank ’16]],FIND(":",Table1[[#This Row],[Am Law 200 PPP Rank ’16]])-1),"")</f>
        <v>13</v>
      </c>
      <c r="S73" s="50">
        <f>IFERROR(INDEX(VaultRank[Rank],MATCH(Table1[[#This Row],[Employer]],VaultRank[EIW Name],0)),"")</f>
        <v>16</v>
      </c>
      <c r="T73" s="50" t="str">
        <f t="array" ref="T73">IFERROR(INDEX(Table2[Summers Matched],MATCH(1,(Table1[[#This Row],[Employer]]=Table2[EIW Name])*(Table1[[#This Row],[City, State]]=Table2[Offices Matched]),0)),"")</f>
        <v>Yes</v>
      </c>
      <c r="U73" s="52" t="str">
        <f t="shared" si="1"/>
        <v/>
      </c>
      <c r="V73" s="60"/>
      <c r="W73" s="114">
        <v>42595</v>
      </c>
      <c r="X73"/>
    </row>
    <row r="74" spans="1:24" ht="14.1" customHeight="1">
      <c r="A74" s="45" t="s">
        <v>352</v>
      </c>
      <c r="B74" s="45" t="s">
        <v>363</v>
      </c>
      <c r="C74" s="45" t="s">
        <v>362</v>
      </c>
      <c r="D74" s="45" t="str">
        <f>Table1[[#This Row],[City]]&amp;", "&amp;Table1[[#This Row],[State]]</f>
        <v>Armonk, NY</v>
      </c>
      <c r="E74" s="49">
        <v>132</v>
      </c>
      <c r="F74" s="50">
        <v>0</v>
      </c>
      <c r="G74" s="50" t="str">
        <f t="array" ref="G74">IFERROR(INDEX(Table2[1st Year],MATCH(1,(Table1[[#This Row],[Employer]]=Table2[EIW Name])*(Table1[[#This Row],[City, State]]=Table2[Offices Matched]),0)),"")</f>
        <v>1st Year: $180K</v>
      </c>
      <c r="H74" s="50" t="str">
        <f>_xlfn.IFNA(INDEX(saCAGR[CAGR],MATCH(Table1[[#This Row],[Employer]],saCAGR[EIW Name],0)),"")</f>
        <v/>
      </c>
      <c r="I74" s="50" t="str">
        <f>IFERROR(Table1[[#This Row],[SA CAGR]]*Table1[[#This Row],[Number of Summer 2016 2L SAs]],"")</f>
        <v/>
      </c>
      <c r="J74" s="50">
        <v>24</v>
      </c>
      <c r="K74" s="51">
        <f>IFERROR(Table1[[#This Row],[Number of Summer 2016 NYU 2L SAs]]/Table1[[#This Row],[Interview Slots]],0)</f>
        <v>0.18181818181818182</v>
      </c>
      <c r="L74" s="51">
        <f>Table1[[#This Row],[Number of Summer 2016 2L SAs]]/Table1[[#This Row],[Interview Slots]]</f>
        <v>0</v>
      </c>
      <c r="M74" s="51">
        <f>IFERROR(Table1[[#This Row],[Number of Summer 2016 NYU 2L SAs]]/Table1[[#This Row],[Number of Summer 2016 2L SAs]],0)</f>
        <v>0</v>
      </c>
      <c r="N74" s="50" t="str">
        <f>IFERROR(RIGHT(Table1[[#This Row],[1st year]],LEN(Table1[[#This Row],[1st year]])-FIND(":",Table1[[#This Row],[1st year]])-1),"")</f>
        <v>$180K</v>
      </c>
      <c r="O74" s="50" t="str">
        <f t="array" ref="O74">IFERROR(INDEX(Table2[Nth year],MATCH(1,(Table1[[#This Row],[Employer]]=Table2[EIW Name])*(Table1[[#This Row],[City, State]]=Table2[Offices Matched]),0)),"")</f>
        <v>7th Year: $300K</v>
      </c>
      <c r="P74" s="50" t="str">
        <f>IFERROR(RIGHT(Table1[[#This Row],[Nth year]],LEN(Table1[[#This Row],[Nth year]])-FIND(":",Table1[[#This Row],[Nth year]])-1),"")</f>
        <v>$300K</v>
      </c>
      <c r="Q74" s="50" t="str">
        <f t="array" ref="Q74">IFERROR(INDEX(Table2[Am Law 200 PPP Rank ’16],MATCH(1,(Table1[[#This Row],[Employer]]=Table2[EIW Name])*(Table1[[#This Row],[City, State]]=Table2[Offices Matched]),0)),"")</f>
        <v>13: $3.09M</v>
      </c>
      <c r="R74" s="50" t="str">
        <f>IFERROR(LEFT(Table1[[#This Row],[Am Law 200 PPP Rank ’16]],FIND(":",Table1[[#This Row],[Am Law 200 PPP Rank ’16]])-1),"")</f>
        <v>13</v>
      </c>
      <c r="S74" s="50">
        <f>IFERROR(INDEX(VaultRank[Rank],MATCH(Table1[[#This Row],[Employer]],VaultRank[EIW Name],0)),"")</f>
        <v>16</v>
      </c>
      <c r="T74" s="50" t="str">
        <f t="array" ref="T74">IFERROR(INDEX(Table2[Summers Matched],MATCH(1,(Table1[[#This Row],[Employer]]=Table2[EIW Name])*(Table1[[#This Row],[City, State]]=Table2[Offices Matched]),0)),"")</f>
        <v>Yes</v>
      </c>
      <c r="U74" s="52" t="str">
        <f t="shared" si="1"/>
        <v/>
      </c>
      <c r="V74" s="60"/>
      <c r="W74" s="114">
        <v>42595</v>
      </c>
      <c r="X74"/>
    </row>
    <row r="75" spans="1:24" ht="14.1" customHeight="1">
      <c r="A75" s="45" t="s">
        <v>417</v>
      </c>
      <c r="B75" s="45" t="s">
        <v>364</v>
      </c>
      <c r="C75" s="45" t="s">
        <v>362</v>
      </c>
      <c r="D75" s="45" t="str">
        <f>Table1[[#This Row],[City]]&amp;", "&amp;Table1[[#This Row],[State]]</f>
        <v>New York, NY</v>
      </c>
      <c r="E75" s="49">
        <v>148</v>
      </c>
      <c r="F75" s="50">
        <v>23</v>
      </c>
      <c r="G75" s="50" t="str">
        <f t="array" ref="G75">IFERROR(INDEX(Table2[1st Year],MATCH(1,(Table1[[#This Row],[Employer]]=Table2[EIW Name])*(Table1[[#This Row],[City, State]]=Table2[Offices Matched]),0)),"")</f>
        <v>1st Year: $180K</v>
      </c>
      <c r="H75" s="51">
        <f>_xlfn.IFNA(INDEX(saCAGR[CAGR],MATCH(Table1[[#This Row],[Employer]],saCAGR[EIW Name],0)),"")</f>
        <v>1.010388824948556</v>
      </c>
      <c r="I75" s="50">
        <f>IFERROR(Table1[[#This Row],[SA CAGR]]*Table1[[#This Row],[Number of Summer 2016 2L SAs]],"")</f>
        <v>23.238942973816787</v>
      </c>
      <c r="J75" s="50">
        <v>1</v>
      </c>
      <c r="K75" s="51">
        <f>IFERROR(Table1[[#This Row],[Number of Summer 2016 NYU 2L SAs]]/Table1[[#This Row],[Interview Slots]],0)</f>
        <v>6.7567567567567571E-3</v>
      </c>
      <c r="L75" s="51">
        <f>Table1[[#This Row],[Number of Summer 2016 2L SAs]]/Table1[[#This Row],[Interview Slots]]</f>
        <v>0.1554054054054054</v>
      </c>
      <c r="M75" s="51">
        <f>IFERROR(Table1[[#This Row],[Number of Summer 2016 NYU 2L SAs]]/Table1[[#This Row],[Number of Summer 2016 2L SAs]],0)</f>
        <v>4.3478260869565216E-2</v>
      </c>
      <c r="N75" s="50" t="str">
        <f>IFERROR(RIGHT(Table1[[#This Row],[1st year]],LEN(Table1[[#This Row],[1st year]])-FIND(":",Table1[[#This Row],[1st year]])-1),"")</f>
        <v>$180K</v>
      </c>
      <c r="O75" s="50" t="str">
        <f t="array" ref="O75">IFERROR(INDEX(Table2[Nth year],MATCH(1,(Table1[[#This Row],[Employer]]=Table2[EIW Name])*(Table1[[#This Row],[City, State]]=Table2[Offices Matched]),0)),"")</f>
        <v>9th Year+: $325K</v>
      </c>
      <c r="P75" s="50" t="str">
        <f>IFERROR(RIGHT(Table1[[#This Row],[Nth year]],LEN(Table1[[#This Row],[Nth year]])-FIND(":",Table1[[#This Row],[Nth year]])-1),"")</f>
        <v>$325K</v>
      </c>
      <c r="Q75" s="50" t="str">
        <f t="array" ref="Q75">IFERROR(INDEX(Table2[Am Law 200 PPP Rank ’16],MATCH(1,(Table1[[#This Row],[Employer]]=Table2[EIW Name])*(Table1[[#This Row],[City, State]]=Table2[Offices Matched]),0)),"")</f>
        <v>N/A</v>
      </c>
      <c r="R75" s="50" t="str">
        <f>IFERROR(LEFT(Table1[[#This Row],[Am Law 200 PPP Rank ’16]],FIND(":",Table1[[#This Row],[Am Law 200 PPP Rank ’16]])-1),"")</f>
        <v/>
      </c>
      <c r="S75" s="50">
        <f>IFERROR(INDEX(VaultRank[Rank],MATCH(Table1[[#This Row],[Employer]],VaultRank[EIW Name],0)),"")</f>
        <v>48</v>
      </c>
      <c r="T75" s="50" t="str">
        <f t="array" ref="T75">IFERROR(INDEX(Table2[Summers Matched],MATCH(1,(Table1[[#This Row],[Employer]]=Table2[EIW Name])*(Table1[[#This Row],[City, State]]=Table2[Offices Matched]),0)),"")</f>
        <v>Yes</v>
      </c>
      <c r="U75" s="52" t="str">
        <f t="shared" si="1"/>
        <v/>
      </c>
      <c r="V75" s="60"/>
      <c r="W75" s="114">
        <v>42592</v>
      </c>
      <c r="X75"/>
    </row>
    <row r="76" spans="1:24" ht="14.1" customHeight="1">
      <c r="A76" s="45" t="s">
        <v>352</v>
      </c>
      <c r="B76" s="45" t="s">
        <v>528</v>
      </c>
      <c r="C76" s="45" t="s">
        <v>362</v>
      </c>
      <c r="D76" s="45" t="str">
        <f>Table1[[#This Row],[City]]&amp;", "&amp;Table1[[#This Row],[State]]</f>
        <v>New York - Corporate, NY</v>
      </c>
      <c r="E76" s="49">
        <v>53</v>
      </c>
      <c r="F76" s="50">
        <v>3</v>
      </c>
      <c r="G76" s="50" t="str">
        <f t="array" ref="G76">IFERROR(INDEX(Table2[1st Year],MATCH(1,(Table1[[#This Row],[Employer]]=Table2[EIW Name])*(Table1[[#This Row],[City, State]]=Table2[Offices Matched]),0)),"")</f>
        <v/>
      </c>
      <c r="H76" s="50" t="str">
        <f>_xlfn.IFNA(INDEX(saCAGR[CAGR],MATCH(Table1[[#This Row],[Employer]],saCAGR[EIW Name],0)),"")</f>
        <v/>
      </c>
      <c r="I76" s="50" t="str">
        <f>IFERROR(Table1[[#This Row],[SA CAGR]]*Table1[[#This Row],[Number of Summer 2016 2L SAs]],"")</f>
        <v/>
      </c>
      <c r="J76" s="50">
        <v>4</v>
      </c>
      <c r="K76" s="51">
        <f>IFERROR(Table1[[#This Row],[Number of Summer 2016 NYU 2L SAs]]/Table1[[#This Row],[Interview Slots]],0)</f>
        <v>7.5471698113207544E-2</v>
      </c>
      <c r="L76" s="51">
        <f>Table1[[#This Row],[Number of Summer 2016 2L SAs]]/Table1[[#This Row],[Interview Slots]]</f>
        <v>5.6603773584905662E-2</v>
      </c>
      <c r="M76" s="51">
        <f>IFERROR(Table1[[#This Row],[Number of Summer 2016 NYU 2L SAs]]/Table1[[#This Row],[Number of Summer 2016 2L SAs]],0)</f>
        <v>1.3333333333333333</v>
      </c>
      <c r="N76" s="50" t="str">
        <f>IFERROR(RIGHT(Table1[[#This Row],[1st year]],LEN(Table1[[#This Row],[1st year]])-FIND(":",Table1[[#This Row],[1st year]])-1),"")</f>
        <v/>
      </c>
      <c r="O76" s="50" t="str">
        <f t="array" ref="O76">IFERROR(INDEX(Table2[Nth year],MATCH(1,(Table1[[#This Row],[Employer]]=Table2[EIW Name])*(Table1[[#This Row],[City, State]]=Table2[Offices Matched]),0)),"")</f>
        <v/>
      </c>
      <c r="P76" s="50" t="str">
        <f>IFERROR(RIGHT(Table1[[#This Row],[Nth year]],LEN(Table1[[#This Row],[Nth year]])-FIND(":",Table1[[#This Row],[Nth year]])-1),"")</f>
        <v/>
      </c>
      <c r="Q76" s="50" t="str">
        <f t="array" ref="Q76">IFERROR(INDEX(Table2[Am Law 200 PPP Rank ’16],MATCH(1,(Table1[[#This Row],[Employer]]=Table2[EIW Name])*(Table1[[#This Row],[City, State]]=Table2[Offices Matched]),0)),"")</f>
        <v/>
      </c>
      <c r="R76" s="50" t="str">
        <f>IFERROR(LEFT(Table1[[#This Row],[Am Law 200 PPP Rank ’16]],FIND(":",Table1[[#This Row],[Am Law 200 PPP Rank ’16]])-1),"")</f>
        <v/>
      </c>
      <c r="S76" s="50">
        <f>IFERROR(INDEX(VaultRank[Rank],MATCH(Table1[[#This Row],[Employer]],VaultRank[EIW Name],0)),"")</f>
        <v>16</v>
      </c>
      <c r="T76" s="50" t="str">
        <f t="array" ref="T76">IFERROR(INDEX(Table2[Summers Matched],MATCH(1,(Table1[[#This Row],[Employer]]=Table2[EIW Name])*(Table1[[#This Row],[City, State]]=Table2[Offices Matched]),0)),"")</f>
        <v/>
      </c>
      <c r="U76" s="52" t="str">
        <f t="shared" si="1"/>
        <v/>
      </c>
      <c r="V76" s="60"/>
      <c r="W76" s="114">
        <v>42593</v>
      </c>
      <c r="X76"/>
    </row>
    <row r="77" spans="1:24" ht="14.1" customHeight="1">
      <c r="A77" s="45" t="s">
        <v>180</v>
      </c>
      <c r="B77" s="45" t="s">
        <v>364</v>
      </c>
      <c r="C77" s="45" t="s">
        <v>362</v>
      </c>
      <c r="D77" s="45" t="str">
        <f>Table1[[#This Row],[City]]&amp;", "&amp;Table1[[#This Row],[State]]</f>
        <v>New York, NY</v>
      </c>
      <c r="E77" s="49">
        <v>26</v>
      </c>
      <c r="F77" s="50">
        <v>6</v>
      </c>
      <c r="G77" s="50" t="str">
        <f t="array" ref="G77">IFERROR(INDEX(Table2[1st Year],MATCH(1,(Table1[[#This Row],[Employer]]=Table2[EIW Name])*(Table1[[#This Row],[City, State]]=Table2[Offices Matched]),0)),"")</f>
        <v/>
      </c>
      <c r="H77" s="51">
        <f>_xlfn.IFNA(INDEX(saCAGR[CAGR],MATCH(Table1[[#This Row],[Employer]],saCAGR[EIW Name],0)),"")</f>
        <v>1.0077464456706189</v>
      </c>
      <c r="I77" s="50">
        <f>IFERROR(Table1[[#This Row],[SA CAGR]]*Table1[[#This Row],[Number of Summer 2016 2L SAs]],"")</f>
        <v>6.0464786740237138</v>
      </c>
      <c r="J77" s="50">
        <v>11</v>
      </c>
      <c r="K77" s="51">
        <f>IFERROR(Table1[[#This Row],[Number of Summer 2016 NYU 2L SAs]]/Table1[[#This Row],[Interview Slots]],0)</f>
        <v>0.42307692307692307</v>
      </c>
      <c r="L77" s="51">
        <f>Table1[[#This Row],[Number of Summer 2016 2L SAs]]/Table1[[#This Row],[Interview Slots]]</f>
        <v>0.23076923076923078</v>
      </c>
      <c r="M77" s="51">
        <f>IFERROR(Table1[[#This Row],[Number of Summer 2016 NYU 2L SAs]]/Table1[[#This Row],[Number of Summer 2016 2L SAs]],0)</f>
        <v>1.8333333333333333</v>
      </c>
      <c r="N77" s="50" t="str">
        <f>IFERROR(RIGHT(Table1[[#This Row],[1st year]],LEN(Table1[[#This Row],[1st year]])-FIND(":",Table1[[#This Row],[1st year]])-1),"")</f>
        <v/>
      </c>
      <c r="O77" s="50" t="str">
        <f t="array" ref="O77">IFERROR(INDEX(Table2[Nth year],MATCH(1,(Table1[[#This Row],[Employer]]=Table2[EIW Name])*(Table1[[#This Row],[City, State]]=Table2[Offices Matched]),0)),"")</f>
        <v/>
      </c>
      <c r="P77" s="50" t="str">
        <f>IFERROR(RIGHT(Table1[[#This Row],[Nth year]],LEN(Table1[[#This Row],[Nth year]])-FIND(":",Table1[[#This Row],[Nth year]])-1),"")</f>
        <v/>
      </c>
      <c r="Q77" s="50" t="str">
        <f t="array" ref="Q77">IFERROR(INDEX(Table2[Am Law 200 PPP Rank ’16],MATCH(1,(Table1[[#This Row],[Employer]]=Table2[EIW Name])*(Table1[[#This Row],[City, State]]=Table2[Offices Matched]),0)),"")</f>
        <v/>
      </c>
      <c r="R77" s="50" t="str">
        <f>IFERROR(LEFT(Table1[[#This Row],[Am Law 200 PPP Rank ’16]],FIND(":",Table1[[#This Row],[Am Law 200 PPP Rank ’16]])-1),"")</f>
        <v/>
      </c>
      <c r="S77" s="50">
        <f>IFERROR(INDEX(VaultRank[Rank],MATCH(Table1[[#This Row],[Employer]],VaultRank[EIW Name],0)),"")</f>
        <v>57</v>
      </c>
      <c r="T77" s="50" t="str">
        <f t="array" ref="T77">IFERROR(INDEX(Table2[Summers Matched],MATCH(1,(Table1[[#This Row],[Employer]]=Table2[EIW Name])*(Table1[[#This Row],[City, State]]=Table2[Offices Matched]),0)),"")</f>
        <v/>
      </c>
      <c r="U77" s="52" t="str">
        <f t="shared" si="1"/>
        <v/>
      </c>
      <c r="V77" s="60"/>
      <c r="W77" s="114">
        <v>42593</v>
      </c>
      <c r="X77"/>
    </row>
    <row r="78" spans="1:24" ht="14.1" customHeight="1">
      <c r="A78" s="45" t="s">
        <v>365</v>
      </c>
      <c r="B78" s="45" t="s">
        <v>301</v>
      </c>
      <c r="C78" s="45" t="s">
        <v>302</v>
      </c>
      <c r="D78" s="45" t="str">
        <f>Table1[[#This Row],[City]]&amp;", "&amp;Table1[[#This Row],[State]]</f>
        <v>Washington, DC</v>
      </c>
      <c r="E78" s="49">
        <v>116</v>
      </c>
      <c r="F78" s="50">
        <v>7</v>
      </c>
      <c r="G78" s="50" t="str">
        <f t="array" ref="G78">IFERROR(INDEX(Table2[1st Year],MATCH(1,(Table1[[#This Row],[Employer]]=Table2[EIW Name])*(Table1[[#This Row],[City, State]]=Table2[Offices Matched]),0)),"")</f>
        <v/>
      </c>
      <c r="H78" s="50" t="str">
        <f>_xlfn.IFNA(INDEX(saCAGR[CAGR],MATCH(Table1[[#This Row],[Employer]],saCAGR[EIW Name],0)),"")</f>
        <v/>
      </c>
      <c r="I78" s="50" t="str">
        <f>IFERROR(Table1[[#This Row],[SA CAGR]]*Table1[[#This Row],[Number of Summer 2016 2L SAs]],"")</f>
        <v/>
      </c>
      <c r="J78" s="50">
        <v>9</v>
      </c>
      <c r="K78" s="51">
        <f>IFERROR(Table1[[#This Row],[Number of Summer 2016 NYU 2L SAs]]/Table1[[#This Row],[Interview Slots]],0)</f>
        <v>7.7586206896551727E-2</v>
      </c>
      <c r="L78" s="51">
        <f>Table1[[#This Row],[Number of Summer 2016 2L SAs]]/Table1[[#This Row],[Interview Slots]]</f>
        <v>6.0344827586206899E-2</v>
      </c>
      <c r="M78" s="51">
        <f>IFERROR(Table1[[#This Row],[Number of Summer 2016 NYU 2L SAs]]/Table1[[#This Row],[Number of Summer 2016 2L SAs]],0)</f>
        <v>1.2857142857142858</v>
      </c>
      <c r="N78" s="50" t="str">
        <f>IFERROR(RIGHT(Table1[[#This Row],[1st year]],LEN(Table1[[#This Row],[1st year]])-FIND(":",Table1[[#This Row],[1st year]])-1),"")</f>
        <v/>
      </c>
      <c r="O78" s="50" t="str">
        <f t="array" ref="O78">IFERROR(INDEX(Table2[Nth year],MATCH(1,(Table1[[#This Row],[Employer]]=Table2[EIW Name])*(Table1[[#This Row],[City, State]]=Table2[Offices Matched]),0)),"")</f>
        <v/>
      </c>
      <c r="P78" s="50" t="str">
        <f>IFERROR(RIGHT(Table1[[#This Row],[Nth year]],LEN(Table1[[#This Row],[Nth year]])-FIND(":",Table1[[#This Row],[Nth year]])-1),"")</f>
        <v/>
      </c>
      <c r="Q78" s="50" t="str">
        <f t="array" ref="Q78">IFERROR(INDEX(Table2[Am Law 200 PPP Rank ’16],MATCH(1,(Table1[[#This Row],[Employer]]=Table2[EIW Name])*(Table1[[#This Row],[City, State]]=Table2[Offices Matched]),0)),"")</f>
        <v/>
      </c>
      <c r="R78" s="50" t="str">
        <f>IFERROR(LEFT(Table1[[#This Row],[Am Law 200 PPP Rank ’16]],FIND(":",Table1[[#This Row],[Am Law 200 PPP Rank ’16]])-1),"")</f>
        <v/>
      </c>
      <c r="S78" s="50" t="str">
        <f>IFERROR(INDEX(VaultRank[Rank],MATCH(Table1[[#This Row],[Employer]],VaultRank[EIW Name],0)),"")</f>
        <v/>
      </c>
      <c r="T78" s="50" t="str">
        <f t="array" ref="T78">IFERROR(INDEX(Table2[Summers Matched],MATCH(1,(Table1[[#This Row],[Employer]]=Table2[EIW Name])*(Table1[[#This Row],[City, State]]=Table2[Offices Matched]),0)),"")</f>
        <v/>
      </c>
      <c r="U78" s="52" t="str">
        <f t="shared" si="1"/>
        <v/>
      </c>
      <c r="V78" s="60"/>
      <c r="W78" s="114">
        <v>42594</v>
      </c>
      <c r="X78"/>
    </row>
    <row r="79" spans="1:24" ht="14.1" customHeight="1">
      <c r="A79" s="45" t="s">
        <v>366</v>
      </c>
      <c r="B79" s="45" t="s">
        <v>313</v>
      </c>
      <c r="C79" s="45" t="s">
        <v>314</v>
      </c>
      <c r="D79" s="45" t="str">
        <f>Table1[[#This Row],[City]]&amp;", "&amp;Table1[[#This Row],[State]]</f>
        <v>Dallas, TX</v>
      </c>
      <c r="E79" s="49">
        <v>149</v>
      </c>
      <c r="F79" s="50">
        <v>2</v>
      </c>
      <c r="G79" s="50" t="str">
        <f t="array" ref="G79">IFERROR(INDEX(Table2[1st Year],MATCH(1,(Table1[[#This Row],[Employer]]=Table2[EIW Name])*(Table1[[#This Row],[City, State]]=Table2[Offices Matched]),0)),"")</f>
        <v/>
      </c>
      <c r="H79" s="50" t="str">
        <f>_xlfn.IFNA(INDEX(saCAGR[CAGR],MATCH(Table1[[#This Row],[Employer]],saCAGR[EIW Name],0)),"")</f>
        <v/>
      </c>
      <c r="I79" s="50" t="str">
        <f>IFERROR(Table1[[#This Row],[SA CAGR]]*Table1[[#This Row],[Number of Summer 2016 2L SAs]],"")</f>
        <v/>
      </c>
      <c r="J79" s="50">
        <v>19</v>
      </c>
      <c r="K79" s="51">
        <f>IFERROR(Table1[[#This Row],[Number of Summer 2016 NYU 2L SAs]]/Table1[[#This Row],[Interview Slots]],0)</f>
        <v>0.12751677852348994</v>
      </c>
      <c r="L79" s="51">
        <f>Table1[[#This Row],[Number of Summer 2016 2L SAs]]/Table1[[#This Row],[Interview Slots]]</f>
        <v>1.3422818791946308E-2</v>
      </c>
      <c r="M79" s="51">
        <f>IFERROR(Table1[[#This Row],[Number of Summer 2016 NYU 2L SAs]]/Table1[[#This Row],[Number of Summer 2016 2L SAs]],0)</f>
        <v>9.5</v>
      </c>
      <c r="N79" s="50" t="str">
        <f>IFERROR(RIGHT(Table1[[#This Row],[1st year]],LEN(Table1[[#This Row],[1st year]])-FIND(":",Table1[[#This Row],[1st year]])-1),"")</f>
        <v/>
      </c>
      <c r="O79" s="50" t="str">
        <f t="array" ref="O79">IFERROR(INDEX(Table2[Nth year],MATCH(1,(Table1[[#This Row],[Employer]]=Table2[EIW Name])*(Table1[[#This Row],[City, State]]=Table2[Offices Matched]),0)),"")</f>
        <v/>
      </c>
      <c r="P79" s="50" t="str">
        <f>IFERROR(RIGHT(Table1[[#This Row],[Nth year]],LEN(Table1[[#This Row],[Nth year]])-FIND(":",Table1[[#This Row],[Nth year]])-1),"")</f>
        <v/>
      </c>
      <c r="Q79" s="50" t="str">
        <f t="array" ref="Q79">IFERROR(INDEX(Table2[Am Law 200 PPP Rank ’16],MATCH(1,(Table1[[#This Row],[Employer]]=Table2[EIW Name])*(Table1[[#This Row],[City, State]]=Table2[Offices Matched]),0)),"")</f>
        <v/>
      </c>
      <c r="R79" s="50" t="str">
        <f>IFERROR(LEFT(Table1[[#This Row],[Am Law 200 PPP Rank ’16]],FIND(":",Table1[[#This Row],[Am Law 200 PPP Rank ’16]])-1),"")</f>
        <v/>
      </c>
      <c r="S79" s="50" t="str">
        <f>IFERROR(INDEX(VaultRank[Rank],MATCH(Table1[[#This Row],[Employer]],VaultRank[EIW Name],0)),"")</f>
        <v/>
      </c>
      <c r="T79" s="50" t="str">
        <f t="array" ref="T79">IFERROR(INDEX(Table2[Summers Matched],MATCH(1,(Table1[[#This Row],[Employer]]=Table2[EIW Name])*(Table1[[#This Row],[City, State]]=Table2[Offices Matched]),0)),"")</f>
        <v/>
      </c>
      <c r="U79" s="52" t="str">
        <f t="shared" si="1"/>
        <v/>
      </c>
      <c r="V79" s="60"/>
      <c r="W79" s="114">
        <v>42592</v>
      </c>
      <c r="X79"/>
    </row>
    <row r="80" spans="1:24" ht="14.1" customHeight="1">
      <c r="A80" s="45" t="s">
        <v>398</v>
      </c>
      <c r="B80" s="45" t="s">
        <v>364</v>
      </c>
      <c r="C80" s="45" t="s">
        <v>362</v>
      </c>
      <c r="D80" s="45" t="str">
        <f>Table1[[#This Row],[City]]&amp;", "&amp;Table1[[#This Row],[State]]</f>
        <v>New York, NY</v>
      </c>
      <c r="E80" s="49">
        <v>74</v>
      </c>
      <c r="F80" s="50">
        <v>110</v>
      </c>
      <c r="G80" s="50" t="str">
        <f t="array" ref="G80">IFERROR(INDEX(Table2[1st Year],MATCH(1,(Table1[[#This Row],[Employer]]=Table2[EIW Name])*(Table1[[#This Row],[City, State]]=Table2[Offices Matched]),0)),"")</f>
        <v>1st Year: $180K</v>
      </c>
      <c r="H80" s="51">
        <f>_xlfn.IFNA(INDEX(saCAGR[CAGR],MATCH(Table1[[#This Row],[Employer]],saCAGR[EIW Name],0)),"")</f>
        <v>1.0487416931926572</v>
      </c>
      <c r="I80" s="50">
        <f>IFERROR(Table1[[#This Row],[SA CAGR]]*Table1[[#This Row],[Number of Summer 2016 2L SAs]],"")</f>
        <v>115.36158625119229</v>
      </c>
      <c r="J80" s="50">
        <v>15</v>
      </c>
      <c r="K80" s="51">
        <f>IFERROR(Table1[[#This Row],[Number of Summer 2016 NYU 2L SAs]]/Table1[[#This Row],[Interview Slots]],0)</f>
        <v>0.20270270270270271</v>
      </c>
      <c r="L80" s="51">
        <f>Table1[[#This Row],[Number of Summer 2016 2L SAs]]/Table1[[#This Row],[Interview Slots]]</f>
        <v>1.4864864864864864</v>
      </c>
      <c r="M80" s="51">
        <f>IFERROR(Table1[[#This Row],[Number of Summer 2016 NYU 2L SAs]]/Table1[[#This Row],[Number of Summer 2016 2L SAs]],0)</f>
        <v>0.13636363636363635</v>
      </c>
      <c r="N80" s="50" t="str">
        <f>IFERROR(RIGHT(Table1[[#This Row],[1st year]],LEN(Table1[[#This Row],[1st year]])-FIND(":",Table1[[#This Row],[1st year]])-1),"")</f>
        <v>$180K</v>
      </c>
      <c r="O80" s="50" t="str">
        <f t="array" ref="O80">IFERROR(INDEX(Table2[Nth year],MATCH(1,(Table1[[#This Row],[Employer]]=Table2[EIW Name])*(Table1[[#This Row],[City, State]]=Table2[Offices Matched]),0)),"")</f>
        <v>8th Year: $315K</v>
      </c>
      <c r="P80" s="50" t="str">
        <f>IFERROR(RIGHT(Table1[[#This Row],[Nth year]],LEN(Table1[[#This Row],[Nth year]])-FIND(":",Table1[[#This Row],[Nth year]])-1),"")</f>
        <v>$315K</v>
      </c>
      <c r="Q80" s="50" t="str">
        <f t="array" ref="Q80">IFERROR(INDEX(Table2[Am Law 200 PPP Rank ’16],MATCH(1,(Table1[[#This Row],[Employer]]=Table2[EIW Name])*(Table1[[#This Row],[City, State]]=Table2[Offices Matched]),0)),"")</f>
        <v>6: $3.56M</v>
      </c>
      <c r="R80" s="50" t="str">
        <f>IFERROR(LEFT(Table1[[#This Row],[Am Law 200 PPP Rank ’16]],FIND(":",Table1[[#This Row],[Am Law 200 PPP Rank ’16]])-1),"")</f>
        <v>6</v>
      </c>
      <c r="S80" s="50" t="str">
        <f>IFERROR(INDEX(VaultRank[Rank],MATCH(Table1[[#This Row],[Employer]],VaultRank[EIW Name],0)),"")</f>
        <v>1</v>
      </c>
      <c r="T80" s="50" t="str">
        <f t="array" ref="T80">IFERROR(INDEX(Table2[Summers Matched],MATCH(1,(Table1[[#This Row],[Employer]]=Table2[EIW Name])*(Table1[[#This Row],[City, State]]=Table2[Offices Matched]),0)),"")</f>
        <v>TBD</v>
      </c>
      <c r="U80" s="52">
        <f t="shared" si="1"/>
        <v>3.4</v>
      </c>
      <c r="V80" s="60"/>
      <c r="W80" s="114">
        <v>42592</v>
      </c>
      <c r="X80"/>
    </row>
    <row r="81" spans="1:24" ht="14.1" customHeight="1">
      <c r="A81" s="45" t="s">
        <v>115</v>
      </c>
      <c r="B81" s="45" t="s">
        <v>301</v>
      </c>
      <c r="C81" s="45" t="s">
        <v>302</v>
      </c>
      <c r="D81" s="45" t="str">
        <f>Table1[[#This Row],[City]]&amp;", "&amp;Table1[[#This Row],[State]]</f>
        <v>Washington, DC</v>
      </c>
      <c r="E81" s="49">
        <v>106</v>
      </c>
      <c r="F81" s="50">
        <v>3</v>
      </c>
      <c r="G81" s="50" t="str">
        <f t="array" ref="G81">IFERROR(INDEX(Table2[1st Year],MATCH(1,(Table1[[#This Row],[Employer]]=Table2[EIW Name])*(Table1[[#This Row],[City, State]]=Table2[Offices Matched]),0)),"")</f>
        <v/>
      </c>
      <c r="H81" s="50">
        <f>_xlfn.IFNA(INDEX(saCAGR[CAGR],MATCH(Table1[[#This Row],[Employer]],saCAGR[EIW Name],0)),"")</f>
        <v>0.97678811799247645</v>
      </c>
      <c r="I81" s="50">
        <f>IFERROR(Table1[[#This Row],[SA CAGR]]*Table1[[#This Row],[Number of Summer 2016 2L SAs]],"")</f>
        <v>2.9303643539774296</v>
      </c>
      <c r="J81" s="50">
        <v>16</v>
      </c>
      <c r="K81" s="51">
        <f>IFERROR(Table1[[#This Row],[Number of Summer 2016 NYU 2L SAs]]/Table1[[#This Row],[Interview Slots]],0)</f>
        <v>0.15094339622641509</v>
      </c>
      <c r="L81" s="51">
        <f>Table1[[#This Row],[Number of Summer 2016 2L SAs]]/Table1[[#This Row],[Interview Slots]]</f>
        <v>2.8301886792452831E-2</v>
      </c>
      <c r="M81" s="51">
        <f>IFERROR(Table1[[#This Row],[Number of Summer 2016 NYU 2L SAs]]/Table1[[#This Row],[Number of Summer 2016 2L SAs]],0)</f>
        <v>5.333333333333333</v>
      </c>
      <c r="N81" s="50" t="str">
        <f>IFERROR(RIGHT(Table1[[#This Row],[1st year]],LEN(Table1[[#This Row],[1st year]])-FIND(":",Table1[[#This Row],[1st year]])-1),"")</f>
        <v/>
      </c>
      <c r="O81" s="50" t="str">
        <f t="array" ref="O81">IFERROR(INDEX(Table2[Nth year],MATCH(1,(Table1[[#This Row],[Employer]]=Table2[EIW Name])*(Table1[[#This Row],[City, State]]=Table2[Offices Matched]),0)),"")</f>
        <v/>
      </c>
      <c r="P81" s="50" t="str">
        <f>IFERROR(RIGHT(Table1[[#This Row],[Nth year]],LEN(Table1[[#This Row],[Nth year]])-FIND(":",Table1[[#This Row],[Nth year]])-1),"")</f>
        <v/>
      </c>
      <c r="Q81" s="50" t="str">
        <f t="array" ref="Q81">IFERROR(INDEX(Table2[Am Law 200 PPP Rank ’16],MATCH(1,(Table1[[#This Row],[Employer]]=Table2[EIW Name])*(Table1[[#This Row],[City, State]]=Table2[Offices Matched]),0)),"")</f>
        <v/>
      </c>
      <c r="R81" s="50" t="str">
        <f>IFERROR(LEFT(Table1[[#This Row],[Am Law 200 PPP Rank ’16]],FIND(":",Table1[[#This Row],[Am Law 200 PPP Rank ’16]])-1),"")</f>
        <v/>
      </c>
      <c r="S81" s="50" t="str">
        <f>IFERROR(INDEX(VaultRank[Rank],MATCH(Table1[[#This Row],[Employer]],VaultRank[EIW Name],0)),"")</f>
        <v/>
      </c>
      <c r="T81" s="50" t="str">
        <f t="array" ref="T81">IFERROR(INDEX(Table2[Summers Matched],MATCH(1,(Table1[[#This Row],[Employer]]=Table2[EIW Name])*(Table1[[#This Row],[City, State]]=Table2[Offices Matched]),0)),"")</f>
        <v/>
      </c>
      <c r="U81" s="52" t="str">
        <f t="shared" si="1"/>
        <v/>
      </c>
      <c r="V81" s="60"/>
      <c r="W81" s="114">
        <v>42593</v>
      </c>
      <c r="X81"/>
    </row>
    <row r="82" spans="1:24" ht="14.1" customHeight="1">
      <c r="A82" s="45" t="s">
        <v>115</v>
      </c>
      <c r="B82" s="45" t="s">
        <v>367</v>
      </c>
      <c r="C82" s="45" t="s">
        <v>368</v>
      </c>
      <c r="D82" s="45" t="str">
        <f>Table1[[#This Row],[City]]&amp;", "&amp;Table1[[#This Row],[State]]</f>
        <v>Boston, MA</v>
      </c>
      <c r="E82" s="49">
        <v>61</v>
      </c>
      <c r="F82" s="50">
        <v>2</v>
      </c>
      <c r="G82" s="50" t="str">
        <f t="array" ref="G82">IFERROR(INDEX(Table2[1st Year],MATCH(1,(Table1[[#This Row],[Employer]]=Table2[EIW Name])*(Table1[[#This Row],[City, State]]=Table2[Offices Matched]),0)),"")</f>
        <v>1st Year: $180K</v>
      </c>
      <c r="H82" s="50">
        <f>_xlfn.IFNA(INDEX(saCAGR[CAGR],MATCH(Table1[[#This Row],[Employer]],saCAGR[EIW Name],0)),"")</f>
        <v>0.97678811799247645</v>
      </c>
      <c r="I82" s="50">
        <f>IFERROR(Table1[[#This Row],[SA CAGR]]*Table1[[#This Row],[Number of Summer 2016 2L SAs]],"")</f>
        <v>1.9535762359849529</v>
      </c>
      <c r="J82" s="50">
        <v>10</v>
      </c>
      <c r="K82" s="51">
        <f>IFERROR(Table1[[#This Row],[Number of Summer 2016 NYU 2L SAs]]/Table1[[#This Row],[Interview Slots]],0)</f>
        <v>0.16393442622950818</v>
      </c>
      <c r="L82" s="51">
        <f>Table1[[#This Row],[Number of Summer 2016 2L SAs]]/Table1[[#This Row],[Interview Slots]]</f>
        <v>3.2786885245901641E-2</v>
      </c>
      <c r="M82" s="51">
        <f>IFERROR(Table1[[#This Row],[Number of Summer 2016 NYU 2L SAs]]/Table1[[#This Row],[Number of Summer 2016 2L SAs]],0)</f>
        <v>5</v>
      </c>
      <c r="N82" s="50" t="str">
        <f>IFERROR(RIGHT(Table1[[#This Row],[1st year]],LEN(Table1[[#This Row],[1st year]])-FIND(":",Table1[[#This Row],[1st year]])-1),"")</f>
        <v>$180K</v>
      </c>
      <c r="O82" s="50" t="str">
        <f t="array" ref="O82">IFERROR(INDEX(Table2[Nth year],MATCH(1,(Table1[[#This Row],[Employer]]=Table2[EIW Name])*(Table1[[#This Row],[City, State]]=Table2[Offices Matched]),0)),"")</f>
        <v>7th Year+: $300K</v>
      </c>
      <c r="P82" s="50" t="str">
        <f>IFERROR(RIGHT(Table1[[#This Row],[Nth year]],LEN(Table1[[#This Row],[Nth year]])-FIND(":",Table1[[#This Row],[Nth year]])-1),"")</f>
        <v>$300K</v>
      </c>
      <c r="Q82" s="50" t="str">
        <f t="array" ref="Q82">IFERROR(INDEX(Table2[Am Law 200 PPP Rank ’16],MATCH(1,(Table1[[#This Row],[Employer]]=Table2[EIW Name])*(Table1[[#This Row],[City, State]]=Table2[Offices Matched]),0)),"")</f>
        <v>67: $1.36M</v>
      </c>
      <c r="R82" s="50" t="str">
        <f>IFERROR(LEFT(Table1[[#This Row],[Am Law 200 PPP Rank ’16]],FIND(":",Table1[[#This Row],[Am Law 200 PPP Rank ’16]])-1),"")</f>
        <v>67</v>
      </c>
      <c r="S82" s="50" t="str">
        <f>IFERROR(INDEX(VaultRank[Rank],MATCH(Table1[[#This Row],[Employer]],VaultRank[EIW Name],0)),"")</f>
        <v/>
      </c>
      <c r="T82" s="50" t="str">
        <f t="array" ref="T82">IFERROR(INDEX(Table2[Summers Matched],MATCH(1,(Table1[[#This Row],[Employer]]=Table2[EIW Name])*(Table1[[#This Row],[City, State]]=Table2[Offices Matched]),0)),"")</f>
        <v>Yes</v>
      </c>
      <c r="U82" s="52" t="str">
        <f t="shared" si="1"/>
        <v/>
      </c>
      <c r="V82" s="60"/>
      <c r="W82" s="114">
        <v>42595</v>
      </c>
      <c r="X82"/>
    </row>
    <row r="83" spans="1:24" ht="14.1" customHeight="1">
      <c r="A83" s="45" t="s">
        <v>352</v>
      </c>
      <c r="B83" s="45" t="s">
        <v>364</v>
      </c>
      <c r="C83" s="45" t="s">
        <v>362</v>
      </c>
      <c r="D83" s="45" t="str">
        <f>Table1[[#This Row],[City]]&amp;", "&amp;Table1[[#This Row],[State]]</f>
        <v>New York, NY</v>
      </c>
      <c r="E83" s="49">
        <v>66</v>
      </c>
      <c r="F83" s="50">
        <v>8</v>
      </c>
      <c r="G83" s="50" t="str">
        <f t="array" ref="G83">IFERROR(INDEX(Table2[1st Year],MATCH(1,(Table1[[#This Row],[Employer]]=Table2[EIW Name])*(Table1[[#This Row],[City, State]]=Table2[Offices Matched]),0)),"")</f>
        <v>1st Year: $180K</v>
      </c>
      <c r="H83" s="50" t="str">
        <f>_xlfn.IFNA(INDEX(saCAGR[CAGR],MATCH(Table1[[#This Row],[Employer]],saCAGR[EIW Name],0)),"")</f>
        <v/>
      </c>
      <c r="I83" s="50" t="str">
        <f>IFERROR(Table1[[#This Row],[SA CAGR]]*Table1[[#This Row],[Number of Summer 2016 2L SAs]],"")</f>
        <v/>
      </c>
      <c r="J83" s="50">
        <v>2</v>
      </c>
      <c r="K83" s="51">
        <f>IFERROR(Table1[[#This Row],[Number of Summer 2016 NYU 2L SAs]]/Table1[[#This Row],[Interview Slots]],0)</f>
        <v>3.0303030303030304E-2</v>
      </c>
      <c r="L83" s="51">
        <f>Table1[[#This Row],[Number of Summer 2016 2L SAs]]/Table1[[#This Row],[Interview Slots]]</f>
        <v>0.12121212121212122</v>
      </c>
      <c r="M83" s="51">
        <f>IFERROR(Table1[[#This Row],[Number of Summer 2016 NYU 2L SAs]]/Table1[[#This Row],[Number of Summer 2016 2L SAs]],0)</f>
        <v>0.25</v>
      </c>
      <c r="N83" s="50" t="str">
        <f>IFERROR(RIGHT(Table1[[#This Row],[1st year]],LEN(Table1[[#This Row],[1st year]])-FIND(":",Table1[[#This Row],[1st year]])-1),"")</f>
        <v>$180K</v>
      </c>
      <c r="O83" s="50" t="str">
        <f t="array" ref="O83">IFERROR(INDEX(Table2[Nth year],MATCH(1,(Table1[[#This Row],[Employer]]=Table2[EIW Name])*(Table1[[#This Row],[City, State]]=Table2[Offices Matched]),0)),"")</f>
        <v>7th Year: $300K</v>
      </c>
      <c r="P83" s="50" t="str">
        <f>IFERROR(RIGHT(Table1[[#This Row],[Nth year]],LEN(Table1[[#This Row],[Nth year]])-FIND(":",Table1[[#This Row],[Nth year]])-1),"")</f>
        <v>$300K</v>
      </c>
      <c r="Q83" s="50" t="str">
        <f t="array" ref="Q83">IFERROR(INDEX(Table2[Am Law 200 PPP Rank ’16],MATCH(1,(Table1[[#This Row],[Employer]]=Table2[EIW Name])*(Table1[[#This Row],[City, State]]=Table2[Offices Matched]),0)),"")</f>
        <v>13: $3.09M</v>
      </c>
      <c r="R83" s="50" t="str">
        <f>IFERROR(LEFT(Table1[[#This Row],[Am Law 200 PPP Rank ’16]],FIND(":",Table1[[#This Row],[Am Law 200 PPP Rank ’16]])-1),"")</f>
        <v>13</v>
      </c>
      <c r="S83" s="50">
        <f>IFERROR(INDEX(VaultRank[Rank],MATCH(Table1[[#This Row],[Employer]],VaultRank[EIW Name],0)),"")</f>
        <v>16</v>
      </c>
      <c r="T83" s="50" t="str">
        <f t="array" ref="T83">IFERROR(INDEX(Table2[Summers Matched],MATCH(1,(Table1[[#This Row],[Employer]]=Table2[EIW Name])*(Table1[[#This Row],[City, State]]=Table2[Offices Matched]),0)),"")</f>
        <v>Yes</v>
      </c>
      <c r="U83" s="52" t="str">
        <f t="shared" si="1"/>
        <v/>
      </c>
      <c r="V83" s="60"/>
      <c r="W83" s="114">
        <v>42595</v>
      </c>
      <c r="X83"/>
    </row>
    <row r="84" spans="1:24" ht="14.1" customHeight="1">
      <c r="A84" s="45" t="s">
        <v>521</v>
      </c>
      <c r="B84" s="45" t="s">
        <v>364</v>
      </c>
      <c r="C84" s="45" t="s">
        <v>362</v>
      </c>
      <c r="D84" s="45" t="str">
        <f>Table1[[#This Row],[City]]&amp;", "&amp;Table1[[#This Row],[State]]</f>
        <v>New York, NY</v>
      </c>
      <c r="E84" s="49">
        <v>71</v>
      </c>
      <c r="F84" s="50">
        <v>28</v>
      </c>
      <c r="G84" s="50" t="str">
        <f t="array" ref="G84">IFERROR(INDEX(Table2[1st Year],MATCH(1,(Table1[[#This Row],[Employer]]=Table2[EIW Name])*(Table1[[#This Row],[City, State]]=Table2[Offices Matched]),0)),"")</f>
        <v/>
      </c>
      <c r="H84" s="51" t="str">
        <f>_xlfn.IFNA(INDEX(saCAGR[CAGR],MATCH(Table1[[#This Row],[Employer]],saCAGR[EIW Name],0)),"")</f>
        <v/>
      </c>
      <c r="I84" s="50" t="str">
        <f>IFERROR(Table1[[#This Row],[SA CAGR]]*Table1[[#This Row],[Number of Summer 2016 2L SAs]],"")</f>
        <v/>
      </c>
      <c r="J84" s="50">
        <v>2</v>
      </c>
      <c r="K84" s="51">
        <f>IFERROR(Table1[[#This Row],[Number of Summer 2016 NYU 2L SAs]]/Table1[[#This Row],[Interview Slots]],0)</f>
        <v>2.8169014084507043E-2</v>
      </c>
      <c r="L84" s="51">
        <f>Table1[[#This Row],[Number of Summer 2016 2L SAs]]/Table1[[#This Row],[Interview Slots]]</f>
        <v>0.39436619718309857</v>
      </c>
      <c r="M84" s="51">
        <f>IFERROR(Table1[[#This Row],[Number of Summer 2016 NYU 2L SAs]]/Table1[[#This Row],[Number of Summer 2016 2L SAs]],0)</f>
        <v>7.1428571428571425E-2</v>
      </c>
      <c r="N84" s="50" t="str">
        <f>IFERROR(RIGHT(Table1[[#This Row],[1st year]],LEN(Table1[[#This Row],[1st year]])-FIND(":",Table1[[#This Row],[1st year]])-1),"")</f>
        <v/>
      </c>
      <c r="O84" s="50" t="str">
        <f t="array" ref="O84">IFERROR(INDEX(Table2[Nth year],MATCH(1,(Table1[[#This Row],[Employer]]=Table2[EIW Name])*(Table1[[#This Row],[City, State]]=Table2[Offices Matched]),0)),"")</f>
        <v/>
      </c>
      <c r="P84" s="50" t="str">
        <f>IFERROR(RIGHT(Table1[[#This Row],[Nth year]],LEN(Table1[[#This Row],[Nth year]])-FIND(":",Table1[[#This Row],[Nth year]])-1),"")</f>
        <v/>
      </c>
      <c r="Q84" s="50" t="str">
        <f t="array" ref="Q84">IFERROR(INDEX(Table2[Am Law 200 PPP Rank ’16],MATCH(1,(Table1[[#This Row],[Employer]]=Table2[EIW Name])*(Table1[[#This Row],[City, State]]=Table2[Offices Matched]),0)),"")</f>
        <v/>
      </c>
      <c r="R84" s="50" t="str">
        <f>IFERROR(LEFT(Table1[[#This Row],[Am Law 200 PPP Rank ’16]],FIND(":",Table1[[#This Row],[Am Law 200 PPP Rank ’16]])-1),"")</f>
        <v/>
      </c>
      <c r="S84" s="50">
        <f>IFERROR(INDEX(VaultRank[Rank],MATCH(Table1[[#This Row],[Employer]],VaultRank[EIW Name],0)),"")</f>
        <v>2</v>
      </c>
      <c r="T84" s="50" t="str">
        <f t="array" ref="T84">IFERROR(INDEX(Table2[Summers Matched],MATCH(1,(Table1[[#This Row],[Employer]]=Table2[EIW Name])*(Table1[[#This Row],[City, State]]=Table2[Offices Matched]),0)),"")</f>
        <v/>
      </c>
      <c r="U84" s="52" t="str">
        <f t="shared" si="1"/>
        <v/>
      </c>
      <c r="V84" s="60"/>
      <c r="W84" s="114">
        <v>42594</v>
      </c>
      <c r="X84"/>
    </row>
    <row r="85" spans="1:24" ht="14.1" customHeight="1">
      <c r="A85" s="45" t="s">
        <v>370</v>
      </c>
      <c r="B85" s="45" t="s">
        <v>301</v>
      </c>
      <c r="C85" s="45" t="s">
        <v>302</v>
      </c>
      <c r="D85" s="45" t="str">
        <f>Table1[[#This Row],[City]]&amp;", "&amp;Table1[[#This Row],[State]]</f>
        <v>Washington, DC</v>
      </c>
      <c r="E85" s="49">
        <v>126</v>
      </c>
      <c r="F85" s="50">
        <v>6</v>
      </c>
      <c r="G85" s="50" t="str">
        <f t="array" ref="G85">IFERROR(INDEX(Table2[1st Year],MATCH(1,(Table1[[#This Row],[Employer]]=Table2[EIW Name])*(Table1[[#This Row],[City, State]]=Table2[Offices Matched]),0)),"")</f>
        <v/>
      </c>
      <c r="H85" s="50">
        <f>_xlfn.IFNA(INDEX(saCAGR[CAGR],MATCH(Table1[[#This Row],[Employer]],saCAGR[EIW Name],0)),"")</f>
        <v>1.0132126165547759</v>
      </c>
      <c r="I85" s="50">
        <f>IFERROR(Table1[[#This Row],[SA CAGR]]*Table1[[#This Row],[Number of Summer 2016 2L SAs]],"")</f>
        <v>6.0792756993286554</v>
      </c>
      <c r="J85" s="50">
        <v>24</v>
      </c>
      <c r="K85" s="51">
        <f>IFERROR(Table1[[#This Row],[Number of Summer 2016 NYU 2L SAs]]/Table1[[#This Row],[Interview Slots]],0)</f>
        <v>0.19047619047619047</v>
      </c>
      <c r="L85" s="51">
        <f>Table1[[#This Row],[Number of Summer 2016 2L SAs]]/Table1[[#This Row],[Interview Slots]]</f>
        <v>4.7619047619047616E-2</v>
      </c>
      <c r="M85" s="51">
        <f>IFERROR(Table1[[#This Row],[Number of Summer 2016 NYU 2L SAs]]/Table1[[#This Row],[Number of Summer 2016 2L SAs]],0)</f>
        <v>4</v>
      </c>
      <c r="N85" s="50" t="str">
        <f>IFERROR(RIGHT(Table1[[#This Row],[1st year]],LEN(Table1[[#This Row],[1st year]])-FIND(":",Table1[[#This Row],[1st year]])-1),"")</f>
        <v/>
      </c>
      <c r="O85" s="50" t="str">
        <f t="array" ref="O85">IFERROR(INDEX(Table2[Nth year],MATCH(1,(Table1[[#This Row],[Employer]]=Table2[EIW Name])*(Table1[[#This Row],[City, State]]=Table2[Offices Matched]),0)),"")</f>
        <v/>
      </c>
      <c r="P85" s="50" t="str">
        <f>IFERROR(RIGHT(Table1[[#This Row],[Nth year]],LEN(Table1[[#This Row],[Nth year]])-FIND(":",Table1[[#This Row],[Nth year]])-1),"")</f>
        <v/>
      </c>
      <c r="Q85" s="50" t="str">
        <f t="array" ref="Q85">IFERROR(INDEX(Table2[Am Law 200 PPP Rank ’16],MATCH(1,(Table1[[#This Row],[Employer]]=Table2[EIW Name])*(Table1[[#This Row],[City, State]]=Table2[Offices Matched]),0)),"")</f>
        <v/>
      </c>
      <c r="R85" s="50" t="str">
        <f>IFERROR(LEFT(Table1[[#This Row],[Am Law 200 PPP Rank ’16]],FIND(":",Table1[[#This Row],[Am Law 200 PPP Rank ’16]])-1),"")</f>
        <v/>
      </c>
      <c r="S85" s="50">
        <f>IFERROR(INDEX(VaultRank[Rank],MATCH(Table1[[#This Row],[Employer]],VaultRank[EIW Name],0)),"")</f>
        <v>37</v>
      </c>
      <c r="T85" s="50" t="str">
        <f t="array" ref="T85">IFERROR(INDEX(Table2[Summers Matched],MATCH(1,(Table1[[#This Row],[Employer]]=Table2[EIW Name])*(Table1[[#This Row],[City, State]]=Table2[Offices Matched]),0)),"")</f>
        <v/>
      </c>
      <c r="U85" s="52" t="str">
        <f t="shared" si="1"/>
        <v/>
      </c>
      <c r="V85" s="60"/>
      <c r="W85" s="114">
        <v>42593</v>
      </c>
      <c r="X85"/>
    </row>
    <row r="86" spans="1:24" ht="14.1" customHeight="1">
      <c r="A86" s="45" t="s">
        <v>510</v>
      </c>
      <c r="B86" s="45" t="s">
        <v>364</v>
      </c>
      <c r="C86" s="45" t="s">
        <v>362</v>
      </c>
      <c r="D86" s="45" t="str">
        <f>Table1[[#This Row],[City]]&amp;", "&amp;Table1[[#This Row],[State]]</f>
        <v>New York, NY</v>
      </c>
      <c r="E86" s="49">
        <v>79</v>
      </c>
      <c r="F86" s="50">
        <v>93</v>
      </c>
      <c r="G86" s="50" t="str">
        <f t="array" ref="G86">IFERROR(INDEX(Table2[1st Year],MATCH(1,(Table1[[#This Row],[Employer]]=Table2[EIW Name])*(Table1[[#This Row],[City, State]]=Table2[Offices Matched]),0)),"")</f>
        <v/>
      </c>
      <c r="H86" s="51" t="str">
        <f>_xlfn.IFNA(INDEX(saCAGR[CAGR],MATCH(Table1[[#This Row],[Employer]],saCAGR[EIW Name],0)),"")</f>
        <v/>
      </c>
      <c r="I86" s="50" t="str">
        <f>IFERROR(Table1[[#This Row],[SA CAGR]]*Table1[[#This Row],[Number of Summer 2016 2L SAs]],"")</f>
        <v/>
      </c>
      <c r="J86" s="50">
        <v>12</v>
      </c>
      <c r="K86" s="51">
        <f>IFERROR(Table1[[#This Row],[Number of Summer 2016 NYU 2L SAs]]/Table1[[#This Row],[Interview Slots]],0)</f>
        <v>0.15189873417721519</v>
      </c>
      <c r="L86" s="51">
        <f>Table1[[#This Row],[Number of Summer 2016 2L SAs]]/Table1[[#This Row],[Interview Slots]]</f>
        <v>1.1772151898734178</v>
      </c>
      <c r="M86" s="51">
        <f>IFERROR(Table1[[#This Row],[Number of Summer 2016 NYU 2L SAs]]/Table1[[#This Row],[Number of Summer 2016 2L SAs]],0)</f>
        <v>0.12903225806451613</v>
      </c>
      <c r="N86" s="50" t="s">
        <v>651</v>
      </c>
      <c r="O86" s="50" t="str">
        <f t="array" ref="O86">IFERROR(INDEX(Table2[Nth year],MATCH(1,(Table1[[#This Row],[Employer]]=Table2[EIW Name])*(Table1[[#This Row],[City, State]]=Table2[Offices Matched]),0)),"")</f>
        <v/>
      </c>
      <c r="P86" s="50" t="str">
        <f>IFERROR(RIGHT(Table1[[#This Row],[Nth year]],LEN(Table1[[#This Row],[Nth year]])-FIND(":",Table1[[#This Row],[Nth year]])-1),"")</f>
        <v/>
      </c>
      <c r="Q86" s="50" t="str">
        <f t="array" ref="Q86">IFERROR(INDEX(Table2[Am Law 200 PPP Rank ’16],MATCH(1,(Table1[[#This Row],[Employer]]=Table2[EIW Name])*(Table1[[#This Row],[City, State]]=Table2[Offices Matched]),0)),"")</f>
        <v/>
      </c>
      <c r="R86" s="50" t="str">
        <f>IFERROR(LEFT(Table1[[#This Row],[Am Law 200 PPP Rank ’16]],FIND(":",Table1[[#This Row],[Am Law 200 PPP Rank ’16]])-1),"")</f>
        <v/>
      </c>
      <c r="S86" s="50" t="str">
        <f>IFERROR(INDEX(VaultRank[Rank],MATCH(Table1[[#This Row],[Employer]],VaultRank[EIW Name],0)),"")</f>
        <v/>
      </c>
      <c r="T86" s="50" t="str">
        <f t="array" ref="T86">IFERROR(INDEX(Table2[Summers Matched],MATCH(1,(Table1[[#This Row],[Employer]]=Table2[EIW Name])*(Table1[[#This Row],[City, State]]=Table2[Offices Matched]),0)),"")</f>
        <v/>
      </c>
      <c r="U86" s="52" t="str">
        <f t="shared" si="1"/>
        <v/>
      </c>
      <c r="V86" s="60"/>
      <c r="W86" s="114">
        <v>42592</v>
      </c>
      <c r="X86"/>
    </row>
    <row r="87" spans="1:24" ht="14.1" customHeight="1">
      <c r="A87" s="45" t="s">
        <v>59</v>
      </c>
      <c r="B87" s="45" t="s">
        <v>364</v>
      </c>
      <c r="C87" s="45" t="s">
        <v>362</v>
      </c>
      <c r="D87" s="45" t="str">
        <f>Table1[[#This Row],[City]]&amp;", "&amp;Table1[[#This Row],[State]]</f>
        <v>New York, NY</v>
      </c>
      <c r="E87" s="49">
        <v>145</v>
      </c>
      <c r="F87" s="50">
        <v>102</v>
      </c>
      <c r="G87" s="50" t="str">
        <f t="array" ref="G87">IFERROR(INDEX(Table2[1st Year],MATCH(1,(Table1[[#This Row],[Employer]]=Table2[EIW Name])*(Table1[[#This Row],[City, State]]=Table2[Offices Matched]),0)),"")</f>
        <v>1st Year: $180K</v>
      </c>
      <c r="H87" s="51">
        <f>_xlfn.IFNA(INDEX(saCAGR[CAGR],MATCH(Table1[[#This Row],[Employer]],saCAGR[EIW Name],0)),"")</f>
        <v>1.0185825422982304</v>
      </c>
      <c r="I87" s="50">
        <f>IFERROR(Table1[[#This Row],[SA CAGR]]*Table1[[#This Row],[Number of Summer 2016 2L SAs]],"")</f>
        <v>103.8954193144195</v>
      </c>
      <c r="J87" s="50">
        <v>11</v>
      </c>
      <c r="K87" s="51">
        <f>IFERROR(Table1[[#This Row],[Number of Summer 2016 NYU 2L SAs]]/Table1[[#This Row],[Interview Slots]],0)</f>
        <v>7.586206896551724E-2</v>
      </c>
      <c r="L87" s="51">
        <f>Table1[[#This Row],[Number of Summer 2016 2L SAs]]/Table1[[#This Row],[Interview Slots]]</f>
        <v>0.70344827586206893</v>
      </c>
      <c r="M87" s="51">
        <f>IFERROR(Table1[[#This Row],[Number of Summer 2016 NYU 2L SAs]]/Table1[[#This Row],[Number of Summer 2016 2L SAs]],0)</f>
        <v>0.10784313725490197</v>
      </c>
      <c r="N87" s="50" t="str">
        <f>IFERROR(RIGHT(Table1[[#This Row],[1st year]],LEN(Table1[[#This Row],[1st year]])-FIND(":",Table1[[#This Row],[1st year]])-1),"")</f>
        <v>$180K</v>
      </c>
      <c r="O87" s="50" t="str">
        <f t="array" ref="O87">IFERROR(INDEX(Table2[Nth year],MATCH(1,(Table1[[#This Row],[Employer]]=Table2[EIW Name])*(Table1[[#This Row],[City, State]]=Table2[Offices Matched]),0)),"")</f>
        <v>9th Year: $345K</v>
      </c>
      <c r="P87" s="50" t="str">
        <f>IFERROR(RIGHT(Table1[[#This Row],[Nth year]],LEN(Table1[[#This Row],[Nth year]])-FIND(":",Table1[[#This Row],[Nth year]])-1),"")</f>
        <v>$345K</v>
      </c>
      <c r="Q87" s="50" t="str">
        <f t="array" ref="Q87">IFERROR(INDEX(Table2[Am Law 200 PPP Rank ’16],MATCH(1,(Table1[[#This Row],[Employer]]=Table2[EIW Name])*(Table1[[#This Row],[City, State]]=Table2[Offices Matched]),0)),"")</f>
        <v>4: $3.87M</v>
      </c>
      <c r="R87" s="50" t="str">
        <f>IFERROR(LEFT(Table1[[#This Row],[Am Law 200 PPP Rank ’16]],FIND(":",Table1[[#This Row],[Am Law 200 PPP Rank ’16]])-1),"")</f>
        <v>4</v>
      </c>
      <c r="S87" s="50">
        <f>IFERROR(INDEX(VaultRank[Rank],MATCH(Table1[[#This Row],[Employer]],VaultRank[EIW Name],0)),"")</f>
        <v>4</v>
      </c>
      <c r="T87" s="50" t="str">
        <f t="array" ref="T87">IFERROR(INDEX(Table2[Summers Matched],MATCH(1,(Table1[[#This Row],[Employer]]=Table2[EIW Name])*(Table1[[#This Row],[City, State]]=Table2[Offices Matched]),0)),"")</f>
        <v>Yes</v>
      </c>
      <c r="U87" s="52" t="str">
        <f t="shared" si="1"/>
        <v/>
      </c>
      <c r="V87" s="60"/>
      <c r="W87" s="114">
        <v>42593</v>
      </c>
      <c r="X87"/>
    </row>
    <row r="88" spans="1:24" ht="14.1" customHeight="1">
      <c r="A88" s="45" t="s">
        <v>372</v>
      </c>
      <c r="B88" s="45" t="s">
        <v>301</v>
      </c>
      <c r="C88" s="45" t="s">
        <v>302</v>
      </c>
      <c r="D88" s="45" t="str">
        <f>Table1[[#This Row],[City]]&amp;", "&amp;Table1[[#This Row],[State]]</f>
        <v>Washington, DC</v>
      </c>
      <c r="E88" s="49">
        <v>103</v>
      </c>
      <c r="F88" s="50">
        <v>2</v>
      </c>
      <c r="G88" s="50" t="str">
        <f t="array" ref="G88">IFERROR(INDEX(Table2[1st Year],MATCH(1,(Table1[[#This Row],[Employer]]=Table2[EIW Name])*(Table1[[#This Row],[City, State]]=Table2[Offices Matched]),0)),"")</f>
        <v/>
      </c>
      <c r="H88" s="50">
        <f>_xlfn.IFNA(INDEX(saCAGR[CAGR],MATCH(Table1[[#This Row],[Employer]],saCAGR[EIW Name],0)),"")</f>
        <v>0.99345844411863404</v>
      </c>
      <c r="I88" s="50">
        <f>IFERROR(Table1[[#This Row],[SA CAGR]]*Table1[[#This Row],[Number of Summer 2016 2L SAs]],"")</f>
        <v>1.9869168882372681</v>
      </c>
      <c r="J88" s="50">
        <v>0</v>
      </c>
      <c r="K88" s="51">
        <f>IFERROR(Table1[[#This Row],[Number of Summer 2016 NYU 2L SAs]]/Table1[[#This Row],[Interview Slots]],0)</f>
        <v>0</v>
      </c>
      <c r="L88" s="51">
        <f>Table1[[#This Row],[Number of Summer 2016 2L SAs]]/Table1[[#This Row],[Interview Slots]]</f>
        <v>1.9417475728155338E-2</v>
      </c>
      <c r="M88" s="51">
        <f>IFERROR(Table1[[#This Row],[Number of Summer 2016 NYU 2L SAs]]/Table1[[#This Row],[Number of Summer 2016 2L SAs]],0)</f>
        <v>0</v>
      </c>
      <c r="N88" s="50" t="str">
        <f>IFERROR(RIGHT(Table1[[#This Row],[1st year]],LEN(Table1[[#This Row],[1st year]])-FIND(":",Table1[[#This Row],[1st year]])-1),"")</f>
        <v/>
      </c>
      <c r="O88" s="50" t="str">
        <f t="array" ref="O88">IFERROR(INDEX(Table2[Nth year],MATCH(1,(Table1[[#This Row],[Employer]]=Table2[EIW Name])*(Table1[[#This Row],[City, State]]=Table2[Offices Matched]),0)),"")</f>
        <v/>
      </c>
      <c r="P88" s="50" t="str">
        <f>IFERROR(RIGHT(Table1[[#This Row],[Nth year]],LEN(Table1[[#This Row],[Nth year]])-FIND(":",Table1[[#This Row],[Nth year]])-1),"")</f>
        <v/>
      </c>
      <c r="Q88" s="50" t="str">
        <f t="array" ref="Q88">IFERROR(INDEX(Table2[Am Law 200 PPP Rank ’16],MATCH(1,(Table1[[#This Row],[Employer]]=Table2[EIW Name])*(Table1[[#This Row],[City, State]]=Table2[Offices Matched]),0)),"")</f>
        <v/>
      </c>
      <c r="R88" s="50" t="str">
        <f>IFERROR(LEFT(Table1[[#This Row],[Am Law 200 PPP Rank ’16]],FIND(":",Table1[[#This Row],[Am Law 200 PPP Rank ’16]])-1),"")</f>
        <v/>
      </c>
      <c r="S88" s="50">
        <f>IFERROR(INDEX(VaultRank[Rank],MATCH(Table1[[#This Row],[Employer]],VaultRank[EIW Name],0)),"")</f>
        <v>76</v>
      </c>
      <c r="T88" s="50" t="str">
        <f t="array" ref="T88">IFERROR(INDEX(Table2[Summers Matched],MATCH(1,(Table1[[#This Row],[Employer]]=Table2[EIW Name])*(Table1[[#This Row],[City, State]]=Table2[Offices Matched]),0)),"")</f>
        <v/>
      </c>
      <c r="U88" s="52" t="str">
        <f t="shared" si="1"/>
        <v/>
      </c>
      <c r="V88" s="60"/>
      <c r="W88" s="114">
        <v>42595</v>
      </c>
      <c r="X88"/>
    </row>
    <row r="89" spans="1:24" ht="14.1" customHeight="1">
      <c r="A89" s="45" t="s">
        <v>381</v>
      </c>
      <c r="B89" s="45" t="s">
        <v>364</v>
      </c>
      <c r="C89" s="45" t="s">
        <v>362</v>
      </c>
      <c r="D89" s="45" t="str">
        <f>Table1[[#This Row],[City]]&amp;", "&amp;Table1[[#This Row],[State]]</f>
        <v>New York, NY</v>
      </c>
      <c r="E89" s="49">
        <v>4</v>
      </c>
      <c r="F89" s="50">
        <v>143</v>
      </c>
      <c r="G89" s="50" t="str">
        <f t="array" ref="G89">IFERROR(INDEX(Table2[1st Year],MATCH(1,(Table1[[#This Row],[Employer]]=Table2[EIW Name])*(Table1[[#This Row],[City, State]]=Table2[Offices Matched]),0)),"")</f>
        <v>1st Year: $180K</v>
      </c>
      <c r="H89" s="51">
        <f>_xlfn.IFNA(INDEX(saCAGR[CAGR],MATCH(Table1[[#This Row],[Employer]],saCAGR[EIW Name],0)),"")</f>
        <v>1.0114075900573098</v>
      </c>
      <c r="I89" s="50">
        <f>IFERROR(Table1[[#This Row],[SA CAGR]]*Table1[[#This Row],[Number of Summer 2016 2L SAs]],"")</f>
        <v>144.63128537819532</v>
      </c>
      <c r="J89" s="50">
        <v>15</v>
      </c>
      <c r="K89" s="51">
        <f>IFERROR(Table1[[#This Row],[Number of Summer 2016 NYU 2L SAs]]/Table1[[#This Row],[Interview Slots]],0)</f>
        <v>3.75</v>
      </c>
      <c r="L89" s="51">
        <f>Table1[[#This Row],[Number of Summer 2016 2L SAs]]/Table1[[#This Row],[Interview Slots]]</f>
        <v>35.75</v>
      </c>
      <c r="M89" s="51">
        <f>IFERROR(Table1[[#This Row],[Number of Summer 2016 NYU 2L SAs]]/Table1[[#This Row],[Number of Summer 2016 2L SAs]],0)</f>
        <v>0.1048951048951049</v>
      </c>
      <c r="N89" s="50" t="str">
        <f>IFERROR(RIGHT(Table1[[#This Row],[1st year]],LEN(Table1[[#This Row],[1st year]])-FIND(":",Table1[[#This Row],[1st year]])-1),"")</f>
        <v>$180K</v>
      </c>
      <c r="O89" s="50" t="str">
        <f t="array" ref="O89">IFERROR(INDEX(Table2[Nth year],MATCH(1,(Table1[[#This Row],[Employer]]=Table2[EIW Name])*(Table1[[#This Row],[City, State]]=Table2[Offices Matched]),0)),"")</f>
        <v>9th Year+: $325K</v>
      </c>
      <c r="P89" s="50" t="str">
        <f>IFERROR(RIGHT(Table1[[#This Row],[Nth year]],LEN(Table1[[#This Row],[Nth year]])-FIND(":",Table1[[#This Row],[Nth year]])-1),"")</f>
        <v>$325K</v>
      </c>
      <c r="Q89" s="50" t="str">
        <f t="array" ref="Q89">IFERROR(INDEX(Table2[Am Law 200 PPP Rank ’16],MATCH(1,(Table1[[#This Row],[Employer]]=Table2[EIW Name])*(Table1[[#This Row],[City, State]]=Table2[Offices Matched]),0)),"")</f>
        <v>9: $3.31M</v>
      </c>
      <c r="R89" s="50" t="str">
        <f>IFERROR(LEFT(Table1[[#This Row],[Am Law 200 PPP Rank ’16]],FIND(":",Table1[[#This Row],[Am Law 200 PPP Rank ’16]])-1),"")</f>
        <v>9</v>
      </c>
      <c r="S89" s="50">
        <f>IFERROR(INDEX(VaultRank[Rank],MATCH(Table1[[#This Row],[Employer]],VaultRank[EIW Name],0)),"")</f>
        <v>5</v>
      </c>
      <c r="T89" s="50" t="str">
        <f t="array" ref="T89">IFERROR(INDEX(Table2[Summers Matched],MATCH(1,(Table1[[#This Row],[Employer]]=Table2[EIW Name])*(Table1[[#This Row],[City, State]]=Table2[Offices Matched]),0)),"")</f>
        <v>Yes</v>
      </c>
      <c r="U89" s="52" t="str">
        <f t="shared" si="1"/>
        <v/>
      </c>
      <c r="V89" s="60"/>
      <c r="W89" s="114">
        <v>42592</v>
      </c>
      <c r="X89"/>
    </row>
    <row r="90" spans="1:24" ht="14.1" customHeight="1">
      <c r="A90" s="45" t="s">
        <v>373</v>
      </c>
      <c r="B90" s="45" t="s">
        <v>367</v>
      </c>
      <c r="C90" s="45" t="s">
        <v>368</v>
      </c>
      <c r="D90" s="45" t="str">
        <f>Table1[[#This Row],[City]]&amp;", "&amp;Table1[[#This Row],[State]]</f>
        <v>Boston, MA</v>
      </c>
      <c r="E90" s="49">
        <v>107</v>
      </c>
      <c r="F90" s="50">
        <v>15</v>
      </c>
      <c r="G90" s="50" t="str">
        <f t="array" ref="G90">IFERROR(INDEX(Table2[1st Year],MATCH(1,(Table1[[#This Row],[Employer]]=Table2[EIW Name])*(Table1[[#This Row],[City, State]]=Table2[Offices Matched]),0)),"")</f>
        <v>1st Year: $180K</v>
      </c>
      <c r="H90" s="50">
        <f>_xlfn.IFNA(INDEX(saCAGR[CAGR],MATCH(Table1[[#This Row],[Employer]],saCAGR[EIW Name],0)),"")</f>
        <v>1.0070459660448159</v>
      </c>
      <c r="I90" s="50">
        <f>IFERROR(Table1[[#This Row],[SA CAGR]]*Table1[[#This Row],[Number of Summer 2016 2L SAs]],"")</f>
        <v>15.105689490672239</v>
      </c>
      <c r="J90" s="50">
        <v>22</v>
      </c>
      <c r="K90" s="51">
        <f>IFERROR(Table1[[#This Row],[Number of Summer 2016 NYU 2L SAs]]/Table1[[#This Row],[Interview Slots]],0)</f>
        <v>0.20560747663551401</v>
      </c>
      <c r="L90" s="51">
        <f>Table1[[#This Row],[Number of Summer 2016 2L SAs]]/Table1[[#This Row],[Interview Slots]]</f>
        <v>0.14018691588785046</v>
      </c>
      <c r="M90" s="51">
        <f>IFERROR(Table1[[#This Row],[Number of Summer 2016 NYU 2L SAs]]/Table1[[#This Row],[Number of Summer 2016 2L SAs]],0)</f>
        <v>1.4666666666666666</v>
      </c>
      <c r="N90" s="50" t="str">
        <f>IFERROR(RIGHT(Table1[[#This Row],[1st year]],LEN(Table1[[#This Row],[1st year]])-FIND(":",Table1[[#This Row],[1st year]])-1),"")</f>
        <v>$180K</v>
      </c>
      <c r="O90" s="50" t="str">
        <f t="array" ref="O90">IFERROR(INDEX(Table2[Nth year],MATCH(1,(Table1[[#This Row],[Employer]]=Table2[EIW Name])*(Table1[[#This Row],[City, State]]=Table2[Offices Matched]),0)),"")</f>
        <v>Others: TBD</v>
      </c>
      <c r="P90" s="50" t="str">
        <f>IFERROR(RIGHT(Table1[[#This Row],[Nth year]],LEN(Table1[[#This Row],[Nth year]])-FIND(":",Table1[[#This Row],[Nth year]])-1),"")</f>
        <v>TBD</v>
      </c>
      <c r="Q90" s="50" t="str">
        <f t="array" ref="Q90">IFERROR(INDEX(Table2[Am Law 200 PPP Rank ’16],MATCH(1,(Table1[[#This Row],[Employer]]=Table2[EIW Name])*(Table1[[#This Row],[City, State]]=Table2[Offices Matched]),0)),"")</f>
        <v>34: $1.91M</v>
      </c>
      <c r="R90" s="50" t="str">
        <f>IFERROR(LEFT(Table1[[#This Row],[Am Law 200 PPP Rank ’16]],FIND(":",Table1[[#This Row],[Am Law 200 PPP Rank ’16]])-1),"")</f>
        <v>34</v>
      </c>
      <c r="S90" s="50" t="str">
        <f>IFERROR(INDEX(VaultRank[Rank],MATCH(Table1[[#This Row],[Employer]],VaultRank[EIW Name],0)),"")</f>
        <v/>
      </c>
      <c r="T90" s="50" t="str">
        <f t="array" ref="T90">IFERROR(INDEX(Table2[Summers Matched],MATCH(1,(Table1[[#This Row],[Employer]]=Table2[EIW Name])*(Table1[[#This Row],[City, State]]=Table2[Offices Matched]),0)),"")</f>
        <v>Yes</v>
      </c>
      <c r="U90" s="52" t="str">
        <f t="shared" si="1"/>
        <v/>
      </c>
      <c r="V90" s="60"/>
      <c r="W90" s="114">
        <v>42592</v>
      </c>
      <c r="X90"/>
    </row>
    <row r="91" spans="1:24" ht="14.1" customHeight="1">
      <c r="A91" s="45" t="s">
        <v>508</v>
      </c>
      <c r="B91" s="45" t="s">
        <v>364</v>
      </c>
      <c r="C91" s="45" t="s">
        <v>362</v>
      </c>
      <c r="D91" s="45" t="str">
        <f>Table1[[#This Row],[City]]&amp;", "&amp;Table1[[#This Row],[State]]</f>
        <v>New York, NY</v>
      </c>
      <c r="E91" s="49">
        <v>111</v>
      </c>
      <c r="F91" s="50">
        <v>101</v>
      </c>
      <c r="G91" s="50" t="str">
        <f t="array" ref="G91">IFERROR(INDEX(Table2[1st Year],MATCH(1,(Table1[[#This Row],[Employer]]=Table2[EIW Name])*(Table1[[#This Row],[City, State]]=Table2[Offices Matched]),0)),"")</f>
        <v>1st Year: $180K</v>
      </c>
      <c r="H91" s="51">
        <f>_xlfn.IFNA(INDEX(saCAGR[CAGR],MATCH(Table1[[#This Row],[Employer]],saCAGR[EIW Name],0)),"")</f>
        <v>1.0197506397513165</v>
      </c>
      <c r="I91" s="50">
        <f>IFERROR(Table1[[#This Row],[SA CAGR]]*Table1[[#This Row],[Number of Summer 2016 2L SAs]],"")</f>
        <v>102.99481461488297</v>
      </c>
      <c r="J91" s="50">
        <v>7</v>
      </c>
      <c r="K91" s="51">
        <f>IFERROR(Table1[[#This Row],[Number of Summer 2016 NYU 2L SAs]]/Table1[[#This Row],[Interview Slots]],0)</f>
        <v>6.3063063063063057E-2</v>
      </c>
      <c r="L91" s="51">
        <f>Table1[[#This Row],[Number of Summer 2016 2L SAs]]/Table1[[#This Row],[Interview Slots]]</f>
        <v>0.90990990990990994</v>
      </c>
      <c r="M91" s="51">
        <f>IFERROR(Table1[[#This Row],[Number of Summer 2016 NYU 2L SAs]]/Table1[[#This Row],[Number of Summer 2016 2L SAs]],0)</f>
        <v>6.9306930693069313E-2</v>
      </c>
      <c r="N91" s="50" t="str">
        <f>IFERROR(RIGHT(Table1[[#This Row],[1st year]],LEN(Table1[[#This Row],[1st year]])-FIND(":",Table1[[#This Row],[1st year]])-1),"")</f>
        <v>$180K</v>
      </c>
      <c r="O91" s="50" t="str">
        <f t="array" ref="O91">IFERROR(INDEX(Table2[Nth year],MATCH(1,(Table1[[#This Row],[Employer]]=Table2[EIW Name])*(Table1[[#This Row],[City, State]]=Table2[Offices Matched]),0)),"")</f>
        <v>8th Year: $315K</v>
      </c>
      <c r="P91" s="50" t="str">
        <f>IFERROR(RIGHT(Table1[[#This Row],[Nth year]],LEN(Table1[[#This Row],[Nth year]])-FIND(":",Table1[[#This Row],[Nth year]])-1),"")</f>
        <v>$315K</v>
      </c>
      <c r="Q91" s="50" t="str">
        <f t="array" ref="Q91">IFERROR(INDEX(Table2[Am Law 200 PPP Rank ’16],MATCH(1,(Table1[[#This Row],[Employer]]=Table2[EIW Name])*(Table1[[#This Row],[City, State]]=Table2[Offices Matched]),0)),"")</f>
        <v>7: $3.47M</v>
      </c>
      <c r="R91" s="50" t="str">
        <f>IFERROR(LEFT(Table1[[#This Row],[Am Law 200 PPP Rank ’16]],FIND(":",Table1[[#This Row],[Am Law 200 PPP Rank ’16]])-1),"")</f>
        <v>7</v>
      </c>
      <c r="S91" s="50">
        <f>IFERROR(INDEX(VaultRank[Rank],MATCH(Table1[[#This Row],[Employer]],VaultRank[EIW Name],0)),"")</f>
        <v>6</v>
      </c>
      <c r="T91" s="50" t="str">
        <f t="array" ref="T91">IFERROR(INDEX(Table2[Summers Matched],MATCH(1,(Table1[[#This Row],[Employer]]=Table2[EIW Name])*(Table1[[#This Row],[City, State]]=Table2[Offices Matched]),0)),"")</f>
        <v>Yes</v>
      </c>
      <c r="U91" s="52" t="str">
        <f t="shared" si="1"/>
        <v/>
      </c>
      <c r="V91" s="60"/>
      <c r="W91" s="114">
        <v>42592</v>
      </c>
      <c r="X91"/>
    </row>
    <row r="92" spans="1:24" ht="14.1" customHeight="1">
      <c r="A92" s="45" t="s">
        <v>374</v>
      </c>
      <c r="B92" s="45" t="s">
        <v>301</v>
      </c>
      <c r="C92" s="45" t="s">
        <v>302</v>
      </c>
      <c r="D92" s="45" t="str">
        <f>Table1[[#This Row],[City]]&amp;", "&amp;Table1[[#This Row],[State]]</f>
        <v>Washington, DC</v>
      </c>
      <c r="E92" s="49">
        <v>18</v>
      </c>
      <c r="F92" s="50">
        <v>25</v>
      </c>
      <c r="G92" s="50" t="str">
        <f t="array" ref="G92">IFERROR(INDEX(Table2[1st Year],MATCH(1,(Table1[[#This Row],[Employer]]=Table2[EIW Name])*(Table1[[#This Row],[City, State]]=Table2[Offices Matched]),0)),"")</f>
        <v/>
      </c>
      <c r="H92" s="50">
        <f>_xlfn.IFNA(INDEX(saCAGR[CAGR],MATCH(Table1[[#This Row],[Employer]],saCAGR[EIW Name],0)),"")</f>
        <v>1.004017945785953</v>
      </c>
      <c r="I92" s="50">
        <f>IFERROR(Table1[[#This Row],[SA CAGR]]*Table1[[#This Row],[Number of Summer 2016 2L SAs]],"")</f>
        <v>25.100448644648825</v>
      </c>
      <c r="J92" s="50">
        <v>17</v>
      </c>
      <c r="K92" s="51">
        <f>IFERROR(Table1[[#This Row],[Number of Summer 2016 NYU 2L SAs]]/Table1[[#This Row],[Interview Slots]],0)</f>
        <v>0.94444444444444442</v>
      </c>
      <c r="L92" s="51">
        <f>Table1[[#This Row],[Number of Summer 2016 2L SAs]]/Table1[[#This Row],[Interview Slots]]</f>
        <v>1.3888888888888888</v>
      </c>
      <c r="M92" s="51">
        <f>IFERROR(Table1[[#This Row],[Number of Summer 2016 NYU 2L SAs]]/Table1[[#This Row],[Number of Summer 2016 2L SAs]],0)</f>
        <v>0.68</v>
      </c>
      <c r="N92" s="50" t="str">
        <f>IFERROR(RIGHT(Table1[[#This Row],[1st year]],LEN(Table1[[#This Row],[1st year]])-FIND(":",Table1[[#This Row],[1st year]])-1),"")</f>
        <v/>
      </c>
      <c r="O92" s="50" t="str">
        <f t="array" ref="O92">IFERROR(INDEX(Table2[Nth year],MATCH(1,(Table1[[#This Row],[Employer]]=Table2[EIW Name])*(Table1[[#This Row],[City, State]]=Table2[Offices Matched]),0)),"")</f>
        <v/>
      </c>
      <c r="P92" s="50" t="str">
        <f>IFERROR(RIGHT(Table1[[#This Row],[Nth year]],LEN(Table1[[#This Row],[Nth year]])-FIND(":",Table1[[#This Row],[Nth year]])-1),"")</f>
        <v/>
      </c>
      <c r="Q92" s="50" t="str">
        <f t="array" ref="Q92">IFERROR(INDEX(Table2[Am Law 200 PPP Rank ’16],MATCH(1,(Table1[[#This Row],[Employer]]=Table2[EIW Name])*(Table1[[#This Row],[City, State]]=Table2[Offices Matched]),0)),"")</f>
        <v/>
      </c>
      <c r="R92" s="50" t="str">
        <f>IFERROR(LEFT(Table1[[#This Row],[Am Law 200 PPP Rank ’16]],FIND(":",Table1[[#This Row],[Am Law 200 PPP Rank ’16]])-1),"")</f>
        <v/>
      </c>
      <c r="S92" s="50">
        <f>IFERROR(INDEX(VaultRank[Rank],MATCH(Table1[[#This Row],[Employer]],VaultRank[EIW Name],0)),"")</f>
        <v>9</v>
      </c>
      <c r="T92" s="50" t="str">
        <f t="array" ref="T92">IFERROR(INDEX(Table2[Summers Matched],MATCH(1,(Table1[[#This Row],[Employer]]=Table2[EIW Name])*(Table1[[#This Row],[City, State]]=Table2[Offices Matched]),0)),"")</f>
        <v/>
      </c>
      <c r="U92" s="52">
        <f t="shared" si="1"/>
        <v>3.6</v>
      </c>
      <c r="V92" s="60"/>
      <c r="W92" s="114">
        <v>42595</v>
      </c>
      <c r="X92"/>
    </row>
    <row r="93" spans="1:24" ht="14.1" customHeight="1">
      <c r="A93" s="61" t="s">
        <v>95</v>
      </c>
      <c r="B93" s="61" t="s">
        <v>306</v>
      </c>
      <c r="C93" s="45" t="s">
        <v>609</v>
      </c>
      <c r="D93" s="42" t="str">
        <f>Table1[[#This Row],[City]]&amp;", "&amp;Table1[[#This Row],[State]]</f>
        <v>London, UK</v>
      </c>
      <c r="E93" s="60">
        <v>28</v>
      </c>
      <c r="F93" s="50">
        <v>3</v>
      </c>
      <c r="G93" s="50" t="str">
        <f t="array" ref="G93">IFERROR(INDEX(Table2[1st Year],MATCH(1,(Table1[[#This Row],[Employer]]=Table2[EIW Name])*(Table1[[#This Row],[City, State]]=Table2[Offices Matched]),0)),"")</f>
        <v/>
      </c>
      <c r="H93" s="50">
        <f>_xlfn.IFNA(INDEX(saCAGR[CAGR],MATCH(Table1[[#This Row],[Employer]],saCAGR[EIW Name],0)),"")</f>
        <v>1.0292680506696286</v>
      </c>
      <c r="I93" s="50">
        <f>IFERROR(Table1[[#This Row],[SA CAGR]]*Table1[[#This Row],[Number of Summer 2016 2L SAs]],"")</f>
        <v>3.0878041520088857</v>
      </c>
      <c r="J93" s="50">
        <v>21</v>
      </c>
      <c r="K93" s="51">
        <f>IFERROR(Table1[[#This Row],[Number of Summer 2016 NYU 2L SAs]]/Table1[[#This Row],[Interview Slots]],0)</f>
        <v>0.75</v>
      </c>
      <c r="L93" s="51">
        <f>Table1[[#This Row],[Number of Summer 2016 2L SAs]]/Table1[[#This Row],[Interview Slots]]</f>
        <v>0.10714285714285714</v>
      </c>
      <c r="M93" s="51">
        <f>IFERROR(Table1[[#This Row],[Number of Summer 2016 NYU 2L SAs]]/Table1[[#This Row],[Number of Summer 2016 2L SAs]],0)</f>
        <v>7</v>
      </c>
      <c r="N93" s="50" t="str">
        <f>IFERROR(RIGHT(Table1[[#This Row],[1st year]],LEN(Table1[[#This Row],[1st year]])-FIND(":",Table1[[#This Row],[1st year]])-1),"")</f>
        <v/>
      </c>
      <c r="O93" s="50" t="str">
        <f t="array" ref="O93">IFERROR(INDEX(Table2[Nth year],MATCH(1,(Table1[[#This Row],[Employer]]=Table2[EIW Name])*(Table1[[#This Row],[City, State]]=Table2[Offices Matched]),0)),"")</f>
        <v/>
      </c>
      <c r="P93" s="50" t="str">
        <f>IFERROR(RIGHT(Table1[[#This Row],[Nth year]],LEN(Table1[[#This Row],[Nth year]])-FIND(":",Table1[[#This Row],[Nth year]])-1),"")</f>
        <v/>
      </c>
      <c r="Q93" s="50" t="str">
        <f t="array" ref="Q93">IFERROR(INDEX(Table2[Am Law 200 PPP Rank ’16],MATCH(1,(Table1[[#This Row],[Employer]]=Table2[EIW Name])*(Table1[[#This Row],[City, State]]=Table2[Offices Matched]),0)),"")</f>
        <v/>
      </c>
      <c r="R93" s="50" t="str">
        <f>IFERROR(LEFT(Table1[[#This Row],[Am Law 200 PPP Rank ’16]],FIND(":",Table1[[#This Row],[Am Law 200 PPP Rank ’16]])-1),"")</f>
        <v/>
      </c>
      <c r="S93" s="50">
        <f>IFERROR(INDEX(VaultRank[Rank],MATCH(Table1[[#This Row],[Employer]],VaultRank[EIW Name],0)),"")</f>
        <v>27</v>
      </c>
      <c r="T93" s="50" t="str">
        <f t="array" ref="T93">IFERROR(INDEX(Table2[Summers Matched],MATCH(1,(Table1[[#This Row],[Employer]]=Table2[EIW Name])*(Table1[[#This Row],[City, State]]=Table2[Offices Matched]),0)),"")</f>
        <v/>
      </c>
      <c r="U93" s="52" t="str">
        <f t="shared" si="1"/>
        <v/>
      </c>
      <c r="V93" s="60"/>
      <c r="W93" s="114">
        <v>42592</v>
      </c>
      <c r="X93"/>
    </row>
    <row r="94" spans="1:24" ht="14.1" customHeight="1">
      <c r="A94" s="45" t="s">
        <v>374</v>
      </c>
      <c r="B94" s="45" t="s">
        <v>364</v>
      </c>
      <c r="C94" s="45" t="s">
        <v>362</v>
      </c>
      <c r="D94" s="45" t="str">
        <f>Table1[[#This Row],[City]]&amp;", "&amp;Table1[[#This Row],[State]]</f>
        <v>New York, NY</v>
      </c>
      <c r="E94" s="49">
        <v>86</v>
      </c>
      <c r="F94" s="50">
        <v>97</v>
      </c>
      <c r="G94" s="50" t="str">
        <f t="array" ref="G94">IFERROR(INDEX(Table2[1st Year],MATCH(1,(Table1[[#This Row],[Employer]]=Table2[EIW Name])*(Table1[[#This Row],[City, State]]=Table2[Offices Matched]),0)),"")</f>
        <v>1st Year: $180K</v>
      </c>
      <c r="H94" s="51">
        <f>_xlfn.IFNA(INDEX(saCAGR[CAGR],MATCH(Table1[[#This Row],[Employer]],saCAGR[EIW Name],0)),"")</f>
        <v>1.004017945785953</v>
      </c>
      <c r="I94" s="50">
        <f>IFERROR(Table1[[#This Row],[SA CAGR]]*Table1[[#This Row],[Number of Summer 2016 2L SAs]],"")</f>
        <v>97.389740741237446</v>
      </c>
      <c r="J94" s="50">
        <v>17</v>
      </c>
      <c r="K94" s="51">
        <f>IFERROR(Table1[[#This Row],[Number of Summer 2016 NYU 2L SAs]]/Table1[[#This Row],[Interview Slots]],0)</f>
        <v>0.19767441860465115</v>
      </c>
      <c r="L94" s="51">
        <f>Table1[[#This Row],[Number of Summer 2016 2L SAs]]/Table1[[#This Row],[Interview Slots]]</f>
        <v>1.1279069767441861</v>
      </c>
      <c r="M94" s="51">
        <f>IFERROR(Table1[[#This Row],[Number of Summer 2016 NYU 2L SAs]]/Table1[[#This Row],[Number of Summer 2016 2L SAs]],0)</f>
        <v>0.17525773195876287</v>
      </c>
      <c r="N94" s="50" t="str">
        <f>IFERROR(RIGHT(Table1[[#This Row],[1st year]],LEN(Table1[[#This Row],[1st year]])-FIND(":",Table1[[#This Row],[1st year]])-1),"")</f>
        <v>$180K</v>
      </c>
      <c r="O94" s="50" t="str">
        <f t="array" ref="O94">IFERROR(INDEX(Table2[Nth year],MATCH(1,(Table1[[#This Row],[Employer]]=Table2[EIW Name])*(Table1[[#This Row],[City, State]]=Table2[Offices Matched]),0)),"")</f>
        <v>9th Year+: $325K</v>
      </c>
      <c r="P94" s="50" t="str">
        <f>IFERROR(RIGHT(Table1[[#This Row],[Nth year]],LEN(Table1[[#This Row],[Nth year]])-FIND(":",Table1[[#This Row],[Nth year]])-1),"")</f>
        <v>$325K</v>
      </c>
      <c r="Q94" s="50" t="str">
        <f t="array" ref="Q94">IFERROR(INDEX(Table2[Am Law 200 PPP Rank ’16],MATCH(1,(Table1[[#This Row],[Employer]]=Table2[EIW Name])*(Table1[[#This Row],[City, State]]=Table2[Offices Matched]),0)),"")</f>
        <v>14: $3.08M</v>
      </c>
      <c r="R94" s="50" t="str">
        <f>IFERROR(LEFT(Table1[[#This Row],[Am Law 200 PPP Rank ’16]],FIND(":",Table1[[#This Row],[Am Law 200 PPP Rank ’16]])-1),"")</f>
        <v>14</v>
      </c>
      <c r="S94" s="50">
        <f>IFERROR(INDEX(VaultRank[Rank],MATCH(Table1[[#This Row],[Employer]],VaultRank[EIW Name],0)),"")</f>
        <v>9</v>
      </c>
      <c r="T94" s="50" t="str">
        <f t="array" ref="T94">IFERROR(INDEX(Table2[Summers Matched],MATCH(1,(Table1[[#This Row],[Employer]]=Table2[EIW Name])*(Table1[[#This Row],[City, State]]=Table2[Offices Matched]),0)),"")</f>
        <v>Yes</v>
      </c>
      <c r="U94" s="52" t="str">
        <f t="shared" si="1"/>
        <v/>
      </c>
      <c r="V94" s="60"/>
      <c r="W94" s="114">
        <v>42595</v>
      </c>
      <c r="X94"/>
    </row>
    <row r="95" spans="1:24" ht="14.1" customHeight="1">
      <c r="A95" s="45" t="s">
        <v>95</v>
      </c>
      <c r="B95" s="45"/>
      <c r="C95" s="45"/>
      <c r="D95" s="46" t="s">
        <v>37</v>
      </c>
      <c r="E95" s="62">
        <v>18</v>
      </c>
      <c r="F95" s="50"/>
      <c r="G95" s="50" t="str">
        <f t="array" ref="G95">IFERROR(INDEX(Table2[1st Year],MATCH(1,(Table1[[#This Row],[Employer]]=Table2[EIW Name])*(Table1[[#This Row],[City, State]]=Table2[Offices Matched]),0)),"")</f>
        <v/>
      </c>
      <c r="H95" s="50">
        <f>_xlfn.IFNA(INDEX(saCAGR[CAGR],MATCH(Table1[[#This Row],[Employer]],saCAGR[EIW Name],0)),"")</f>
        <v>1.0292680506696286</v>
      </c>
      <c r="I95" s="50">
        <f>IFERROR(Table1[[#This Row],[SA CAGR]]*Table1[[#This Row],[Number of Summer 2016 2L SAs]],"")</f>
        <v>0</v>
      </c>
      <c r="J95" s="50">
        <v>17</v>
      </c>
      <c r="K95" s="51">
        <f>IFERROR(Table1[[#This Row],[Number of Summer 2016 NYU 2L SAs]]/Table1[[#This Row],[Interview Slots]],0)</f>
        <v>0.94444444444444442</v>
      </c>
      <c r="L95" s="51">
        <f>Table1[[#This Row],[Number of Summer 2016 2L SAs]]/Table1[[#This Row],[Interview Slots]]</f>
        <v>0</v>
      </c>
      <c r="M95" s="51">
        <f>IFERROR(Table1[[#This Row],[Number of Summer 2016 NYU 2L SAs]]/Table1[[#This Row],[Number of Summer 2016 2L SAs]],0)</f>
        <v>0</v>
      </c>
      <c r="N95" s="50" t="str">
        <f>IFERROR(RIGHT(Table1[[#This Row],[1st year]],LEN(Table1[[#This Row],[1st year]])-FIND(":",Table1[[#This Row],[1st year]])-1),"")</f>
        <v/>
      </c>
      <c r="O95" s="50" t="str">
        <f t="array" ref="O95">IFERROR(INDEX(Table2[Nth year],MATCH(1,(Table1[[#This Row],[Employer]]=Table2[EIW Name])*(Table1[[#This Row],[City, State]]=Table2[Offices Matched]),0)),"")</f>
        <v/>
      </c>
      <c r="P95" s="50" t="str">
        <f>IFERROR(RIGHT(Table1[[#This Row],[Nth year]],LEN(Table1[[#This Row],[Nth year]])-FIND(":",Table1[[#This Row],[Nth year]])-1),"")</f>
        <v/>
      </c>
      <c r="Q95" s="50" t="str">
        <f t="array" ref="Q95">IFERROR(INDEX(Table2[Am Law 200 PPP Rank ’16],MATCH(1,(Table1[[#This Row],[Employer]]=Table2[EIW Name])*(Table1[[#This Row],[City, State]]=Table2[Offices Matched]),0)),"")</f>
        <v/>
      </c>
      <c r="R95" s="50" t="str">
        <f>IFERROR(LEFT(Table1[[#This Row],[Am Law 200 PPP Rank ’16]],FIND(":",Table1[[#This Row],[Am Law 200 PPP Rank ’16]])-1),"")</f>
        <v/>
      </c>
      <c r="S95" s="50">
        <f>IFERROR(INDEX(VaultRank[Rank],MATCH(Table1[[#This Row],[Employer]],VaultRank[EIW Name],0)),"")</f>
        <v>27</v>
      </c>
      <c r="T95" s="50" t="str">
        <f t="array" ref="T95">IFERROR(INDEX(Table2[Summers Matched],MATCH(1,(Table1[[#This Row],[Employer]]=Table2[EIW Name])*(Table1[[#This Row],[City, State]]=Table2[Offices Matched]),0)),"")</f>
        <v/>
      </c>
      <c r="U95" s="52" t="str">
        <f t="shared" si="1"/>
        <v/>
      </c>
      <c r="V95" s="60"/>
      <c r="W95" s="114">
        <v>42592</v>
      </c>
      <c r="X95"/>
    </row>
    <row r="96" spans="1:24" ht="14.1" customHeight="1">
      <c r="A96" s="45" t="s">
        <v>67</v>
      </c>
      <c r="B96" s="45" t="s">
        <v>299</v>
      </c>
      <c r="C96" s="45" t="s">
        <v>300</v>
      </c>
      <c r="D96" s="45" t="str">
        <f>Table1[[#This Row],[City]]&amp;", "&amp;Table1[[#This Row],[State]]</f>
        <v>Los Angeles, CA</v>
      </c>
      <c r="E96" s="49">
        <v>38</v>
      </c>
      <c r="F96" s="50">
        <v>2</v>
      </c>
      <c r="G96" s="50" t="str">
        <f t="array" ref="G96">IFERROR(INDEX(Table2[1st Year],MATCH(1,(Table1[[#This Row],[Employer]]=Table2[EIW Name])*(Table1[[#This Row],[City, State]]=Table2[Offices Matched]),0)),"")</f>
        <v>1st Year: $180K</v>
      </c>
      <c r="H96" s="50">
        <f>_xlfn.IFNA(INDEX(saCAGR[CAGR],MATCH(Table1[[#This Row],[Employer]],saCAGR[EIW Name],0)),"")</f>
        <v>1.0297375095774446</v>
      </c>
      <c r="I96" s="50">
        <f>IFERROR(Table1[[#This Row],[SA CAGR]]*Table1[[#This Row],[Number of Summer 2016 2L SAs]],"")</f>
        <v>2.0594750191548892</v>
      </c>
      <c r="J96" s="50">
        <v>0</v>
      </c>
      <c r="K96" s="51">
        <f>IFERROR(Table1[[#This Row],[Number of Summer 2016 NYU 2L SAs]]/Table1[[#This Row],[Interview Slots]],0)</f>
        <v>0</v>
      </c>
      <c r="L96" s="51">
        <f>Table1[[#This Row],[Number of Summer 2016 2L SAs]]/Table1[[#This Row],[Interview Slots]]</f>
        <v>5.2631578947368418E-2</v>
      </c>
      <c r="M96" s="51">
        <f>IFERROR(Table1[[#This Row],[Number of Summer 2016 NYU 2L SAs]]/Table1[[#This Row],[Number of Summer 2016 2L SAs]],0)</f>
        <v>0</v>
      </c>
      <c r="N96" s="50" t="str">
        <f>IFERROR(RIGHT(Table1[[#This Row],[1st year]],LEN(Table1[[#This Row],[1st year]])-FIND(":",Table1[[#This Row],[1st year]])-1),"")</f>
        <v>$180K</v>
      </c>
      <c r="O96" s="50" t="str">
        <f t="array" ref="O96">IFERROR(INDEX(Table2[Nth year],MATCH(1,(Table1[[#This Row],[Employer]]=Table2[EIW Name])*(Table1[[#This Row],[City, State]]=Table2[Offices Matched]),0)),"")</f>
        <v>9th Year: $325K</v>
      </c>
      <c r="P96" s="50" t="str">
        <f>IFERROR(RIGHT(Table1[[#This Row],[Nth year]],LEN(Table1[[#This Row],[Nth year]])-FIND(":",Table1[[#This Row],[Nth year]])-1),"")</f>
        <v>$325K</v>
      </c>
      <c r="Q96" s="50" t="str">
        <f t="array" ref="Q96">IFERROR(INDEX(Table2[Am Law 200 PPP Rank ’16],MATCH(1,(Table1[[#This Row],[Employer]]=Table2[EIW Name])*(Table1[[#This Row],[City, State]]=Table2[Offices Matched]),0)),"")</f>
        <v>36: $1.89M</v>
      </c>
      <c r="R96" s="50" t="str">
        <f>IFERROR(LEFT(Table1[[#This Row],[Am Law 200 PPP Rank ’16]],FIND(":",Table1[[#This Row],[Am Law 200 PPP Rank ’16]])-1),"")</f>
        <v>36</v>
      </c>
      <c r="S96" s="50">
        <f>IFERROR(INDEX(VaultRank[Rank],MATCH(Table1[[#This Row],[Employer]],VaultRank[EIW Name],0)),"")</f>
        <v>35</v>
      </c>
      <c r="T96" s="50" t="str">
        <f t="array" ref="T96">IFERROR(INDEX(Table2[Summers Matched],MATCH(1,(Table1[[#This Row],[Employer]]=Table2[EIW Name])*(Table1[[#This Row],[City, State]]=Table2[Offices Matched]),0)),"")</f>
        <v>Yes</v>
      </c>
      <c r="U96" s="52">
        <f t="shared" si="1"/>
        <v>3.4</v>
      </c>
      <c r="V96" s="60"/>
      <c r="W96" s="114">
        <v>42593</v>
      </c>
      <c r="X96"/>
    </row>
    <row r="97" spans="1:24" ht="14.1" customHeight="1">
      <c r="A97" s="45" t="s">
        <v>67</v>
      </c>
      <c r="B97" s="45" t="s">
        <v>334</v>
      </c>
      <c r="C97" s="45" t="s">
        <v>300</v>
      </c>
      <c r="D97" s="45" t="str">
        <f>Table1[[#This Row],[City]]&amp;", "&amp;Table1[[#This Row],[State]]</f>
        <v>Palo Alto, CA</v>
      </c>
      <c r="E97" s="49">
        <v>78</v>
      </c>
      <c r="F97" s="50">
        <v>17</v>
      </c>
      <c r="G97" s="50" t="str">
        <f t="array" ref="G97">IFERROR(INDEX(Table2[1st Year],MATCH(1,(Table1[[#This Row],[Employer]]=Table2[EIW Name])*(Table1[[#This Row],[City, State]]=Table2[Offices Matched]),0)),"")</f>
        <v>1st Year: $180K</v>
      </c>
      <c r="H97" s="50">
        <f>_xlfn.IFNA(INDEX(saCAGR[CAGR],MATCH(Table1[[#This Row],[Employer]],saCAGR[EIW Name],0)),"")</f>
        <v>1.0297375095774446</v>
      </c>
      <c r="I97" s="50">
        <f>IFERROR(Table1[[#This Row],[SA CAGR]]*Table1[[#This Row],[Number of Summer 2016 2L SAs]],"")</f>
        <v>17.505537662816558</v>
      </c>
      <c r="J97" s="50">
        <v>2</v>
      </c>
      <c r="K97" s="51">
        <f>IFERROR(Table1[[#This Row],[Number of Summer 2016 NYU 2L SAs]]/Table1[[#This Row],[Interview Slots]],0)</f>
        <v>2.564102564102564E-2</v>
      </c>
      <c r="L97" s="51">
        <f>Table1[[#This Row],[Number of Summer 2016 2L SAs]]/Table1[[#This Row],[Interview Slots]]</f>
        <v>0.21794871794871795</v>
      </c>
      <c r="M97" s="51">
        <f>IFERROR(Table1[[#This Row],[Number of Summer 2016 NYU 2L SAs]]/Table1[[#This Row],[Number of Summer 2016 2L SAs]],0)</f>
        <v>0.11764705882352941</v>
      </c>
      <c r="N97" s="50" t="str">
        <f>IFERROR(RIGHT(Table1[[#This Row],[1st year]],LEN(Table1[[#This Row],[1st year]])-FIND(":",Table1[[#This Row],[1st year]])-1),"")</f>
        <v>$180K</v>
      </c>
      <c r="O97" s="50" t="str">
        <f t="array" ref="O97">IFERROR(INDEX(Table2[Nth year],MATCH(1,(Table1[[#This Row],[Employer]]=Table2[EIW Name])*(Table1[[#This Row],[City, State]]=Table2[Offices Matched]),0)),"")</f>
        <v>9th Year: $325K</v>
      </c>
      <c r="P97" s="50" t="str">
        <f>IFERROR(RIGHT(Table1[[#This Row],[Nth year]],LEN(Table1[[#This Row],[Nth year]])-FIND(":",Table1[[#This Row],[Nth year]])-1),"")</f>
        <v>$325K</v>
      </c>
      <c r="Q97" s="50" t="str">
        <f t="array" ref="Q97">IFERROR(INDEX(Table2[Am Law 200 PPP Rank ’16],MATCH(1,(Table1[[#This Row],[Employer]]=Table2[EIW Name])*(Table1[[#This Row],[City, State]]=Table2[Offices Matched]),0)),"")</f>
        <v>36: $1.89M</v>
      </c>
      <c r="R97" s="50" t="str">
        <f>IFERROR(LEFT(Table1[[#This Row],[Am Law 200 PPP Rank ’16]],FIND(":",Table1[[#This Row],[Am Law 200 PPP Rank ’16]])-1),"")</f>
        <v>36</v>
      </c>
      <c r="S97" s="50">
        <f>IFERROR(INDEX(VaultRank[Rank],MATCH(Table1[[#This Row],[Employer]],VaultRank[EIW Name],0)),"")</f>
        <v>35</v>
      </c>
      <c r="T97" s="50" t="str">
        <f t="array" ref="T97">IFERROR(INDEX(Table2[Summers Matched],MATCH(1,(Table1[[#This Row],[Employer]]=Table2[EIW Name])*(Table1[[#This Row],[City, State]]=Table2[Offices Matched]),0)),"")</f>
        <v>Yes</v>
      </c>
      <c r="U97" s="52" t="str">
        <f t="shared" si="1"/>
        <v/>
      </c>
      <c r="V97" s="60"/>
      <c r="W97" s="114">
        <v>42593</v>
      </c>
      <c r="X97"/>
    </row>
    <row r="98" spans="1:24" ht="14.1" customHeight="1">
      <c r="A98" s="45" t="s">
        <v>67</v>
      </c>
      <c r="B98" s="45" t="s">
        <v>375</v>
      </c>
      <c r="C98" s="45" t="s">
        <v>300</v>
      </c>
      <c r="D98" s="45" t="str">
        <f>Table1[[#This Row],[City]]&amp;", "&amp;Table1[[#This Row],[State]]</f>
        <v>San Diego, CA</v>
      </c>
      <c r="E98" s="49">
        <v>62</v>
      </c>
      <c r="F98" s="50">
        <v>7</v>
      </c>
      <c r="G98" s="50" t="str">
        <f t="array" ref="G98">IFERROR(INDEX(Table2[1st Year],MATCH(1,(Table1[[#This Row],[Employer]]=Table2[EIW Name])*(Table1[[#This Row],[City, State]]=Table2[Offices Matched]),0)),"")</f>
        <v>1st Year: $180K</v>
      </c>
      <c r="H98" s="50">
        <f>_xlfn.IFNA(INDEX(saCAGR[CAGR],MATCH(Table1[[#This Row],[Employer]],saCAGR[EIW Name],0)),"")</f>
        <v>1.0297375095774446</v>
      </c>
      <c r="I98" s="50">
        <f>IFERROR(Table1[[#This Row],[SA CAGR]]*Table1[[#This Row],[Number of Summer 2016 2L SAs]],"")</f>
        <v>7.2081625670421126</v>
      </c>
      <c r="J98" s="50">
        <v>9</v>
      </c>
      <c r="K98" s="51">
        <f>IFERROR(Table1[[#This Row],[Number of Summer 2016 NYU 2L SAs]]/Table1[[#This Row],[Interview Slots]],0)</f>
        <v>0.14516129032258066</v>
      </c>
      <c r="L98" s="51">
        <f>Table1[[#This Row],[Number of Summer 2016 2L SAs]]/Table1[[#This Row],[Interview Slots]]</f>
        <v>0.11290322580645161</v>
      </c>
      <c r="M98" s="51">
        <f>IFERROR(Table1[[#This Row],[Number of Summer 2016 NYU 2L SAs]]/Table1[[#This Row],[Number of Summer 2016 2L SAs]],0)</f>
        <v>1.2857142857142858</v>
      </c>
      <c r="N98" s="50" t="str">
        <f>IFERROR(RIGHT(Table1[[#This Row],[1st year]],LEN(Table1[[#This Row],[1st year]])-FIND(":",Table1[[#This Row],[1st year]])-1),"")</f>
        <v>$180K</v>
      </c>
      <c r="O98" s="50" t="str">
        <f t="array" ref="O98">IFERROR(INDEX(Table2[Nth year],MATCH(1,(Table1[[#This Row],[Employer]]=Table2[EIW Name])*(Table1[[#This Row],[City, State]]=Table2[Offices Matched]),0)),"")</f>
        <v>9th Year: $325K</v>
      </c>
      <c r="P98" s="50" t="str">
        <f>IFERROR(RIGHT(Table1[[#This Row],[Nth year]],LEN(Table1[[#This Row],[Nth year]])-FIND(":",Table1[[#This Row],[Nth year]])-1),"")</f>
        <v>$325K</v>
      </c>
      <c r="Q98" s="50" t="str">
        <f t="array" ref="Q98">IFERROR(INDEX(Table2[Am Law 200 PPP Rank ’16],MATCH(1,(Table1[[#This Row],[Employer]]=Table2[EIW Name])*(Table1[[#This Row],[City, State]]=Table2[Offices Matched]),0)),"")</f>
        <v>36: $1.89M</v>
      </c>
      <c r="R98" s="50" t="str">
        <f>IFERROR(LEFT(Table1[[#This Row],[Am Law 200 PPP Rank ’16]],FIND(":",Table1[[#This Row],[Am Law 200 PPP Rank ’16]])-1),"")</f>
        <v>36</v>
      </c>
      <c r="S98" s="50">
        <f>IFERROR(INDEX(VaultRank[Rank],MATCH(Table1[[#This Row],[Employer]],VaultRank[EIW Name],0)),"")</f>
        <v>35</v>
      </c>
      <c r="T98" s="50" t="str">
        <f t="array" ref="T98">IFERROR(INDEX(Table2[Summers Matched],MATCH(1,(Table1[[#This Row],[Employer]]=Table2[EIW Name])*(Table1[[#This Row],[City, State]]=Table2[Offices Matched]),0)),"")</f>
        <v>Yes</v>
      </c>
      <c r="U98" s="52" t="str">
        <f t="shared" si="1"/>
        <v/>
      </c>
      <c r="V98" s="60"/>
      <c r="W98" s="114">
        <v>42594</v>
      </c>
      <c r="X98"/>
    </row>
    <row r="99" spans="1:24" ht="14.1" customHeight="1">
      <c r="A99" s="45" t="s">
        <v>67</v>
      </c>
      <c r="B99" s="45" t="s">
        <v>316</v>
      </c>
      <c r="C99" s="45" t="s">
        <v>300</v>
      </c>
      <c r="D99" s="45" t="str">
        <f>Table1[[#This Row],[City]]&amp;", "&amp;Table1[[#This Row],[State]]</f>
        <v>San Francisco, CA</v>
      </c>
      <c r="E99" s="49">
        <v>178</v>
      </c>
      <c r="F99" s="50">
        <v>9</v>
      </c>
      <c r="G99" s="50" t="str">
        <f t="array" ref="G99">IFERROR(INDEX(Table2[1st Year],MATCH(1,(Table1[[#This Row],[Employer]]=Table2[EIW Name])*(Table1[[#This Row],[City, State]]=Table2[Offices Matched]),0)),"")</f>
        <v>1st Year: $180K</v>
      </c>
      <c r="H99" s="50">
        <f>_xlfn.IFNA(INDEX(saCAGR[CAGR],MATCH(Table1[[#This Row],[Employer]],saCAGR[EIW Name],0)),"")</f>
        <v>1.0297375095774446</v>
      </c>
      <c r="I99" s="50">
        <f>IFERROR(Table1[[#This Row],[SA CAGR]]*Table1[[#This Row],[Number of Summer 2016 2L SAs]],"")</f>
        <v>9.2676375861970008</v>
      </c>
      <c r="J99" s="50">
        <v>0</v>
      </c>
      <c r="K99" s="51">
        <f>IFERROR(Table1[[#This Row],[Number of Summer 2016 NYU 2L SAs]]/Table1[[#This Row],[Interview Slots]],0)</f>
        <v>0</v>
      </c>
      <c r="L99" s="51">
        <f>Table1[[#This Row],[Number of Summer 2016 2L SAs]]/Table1[[#This Row],[Interview Slots]]</f>
        <v>5.0561797752808987E-2</v>
      </c>
      <c r="M99" s="51">
        <f>IFERROR(Table1[[#This Row],[Number of Summer 2016 NYU 2L SAs]]/Table1[[#This Row],[Number of Summer 2016 2L SAs]],0)</f>
        <v>0</v>
      </c>
      <c r="N99" s="50" t="str">
        <f>IFERROR(RIGHT(Table1[[#This Row],[1st year]],LEN(Table1[[#This Row],[1st year]])-FIND(":",Table1[[#This Row],[1st year]])-1),"")</f>
        <v>$180K</v>
      </c>
      <c r="O99" s="50" t="str">
        <f t="array" ref="O99">IFERROR(INDEX(Table2[Nth year],MATCH(1,(Table1[[#This Row],[Employer]]=Table2[EIW Name])*(Table1[[#This Row],[City, State]]=Table2[Offices Matched]),0)),"")</f>
        <v>9th Year: $325K</v>
      </c>
      <c r="P99" s="50" t="str">
        <f>IFERROR(RIGHT(Table1[[#This Row],[Nth year]],LEN(Table1[[#This Row],[Nth year]])-FIND(":",Table1[[#This Row],[Nth year]])-1),"")</f>
        <v>$325K</v>
      </c>
      <c r="Q99" s="50" t="str">
        <f t="array" ref="Q99">IFERROR(INDEX(Table2[Am Law 200 PPP Rank ’16],MATCH(1,(Table1[[#This Row],[Employer]]=Table2[EIW Name])*(Table1[[#This Row],[City, State]]=Table2[Offices Matched]),0)),"")</f>
        <v>36: $1.89M</v>
      </c>
      <c r="R99" s="50" t="str">
        <f>IFERROR(LEFT(Table1[[#This Row],[Am Law 200 PPP Rank ’16]],FIND(":",Table1[[#This Row],[Am Law 200 PPP Rank ’16]])-1),"")</f>
        <v>36</v>
      </c>
      <c r="S99" s="50">
        <f>IFERROR(INDEX(VaultRank[Rank],MATCH(Table1[[#This Row],[Employer]],VaultRank[EIW Name],0)),"")</f>
        <v>35</v>
      </c>
      <c r="T99" s="50" t="str">
        <f t="array" ref="T99">IFERROR(INDEX(Table2[Summers Matched],MATCH(1,(Table1[[#This Row],[Employer]]=Table2[EIW Name])*(Table1[[#This Row],[City, State]]=Table2[Offices Matched]),0)),"")</f>
        <v>Yes</v>
      </c>
      <c r="U99" s="52" t="str">
        <f t="shared" si="1"/>
        <v/>
      </c>
      <c r="V99" s="60"/>
      <c r="W99" s="114">
        <v>42595</v>
      </c>
      <c r="X99"/>
    </row>
    <row r="100" spans="1:24" ht="14.1" customHeight="1">
      <c r="A100" s="45" t="s">
        <v>67</v>
      </c>
      <c r="B100" s="45" t="s">
        <v>376</v>
      </c>
      <c r="C100" s="45" t="s">
        <v>343</v>
      </c>
      <c r="D100" s="45" t="str">
        <f>Table1[[#This Row],[City]]&amp;", "&amp;Table1[[#This Row],[State]]</f>
        <v>Broomfield, CO</v>
      </c>
      <c r="E100" s="49">
        <v>56</v>
      </c>
      <c r="F100" s="50">
        <v>2</v>
      </c>
      <c r="G100" s="50" t="str">
        <f t="array" ref="G100">IFERROR(INDEX(Table2[1st Year],MATCH(1,(Table1[[#This Row],[Employer]]=Table2[EIW Name])*(Table1[[#This Row],[City, State]]=Table2[Offices Matched]),0)),"")</f>
        <v>1st Year: $180K</v>
      </c>
      <c r="H100" s="50">
        <f>_xlfn.IFNA(INDEX(saCAGR[CAGR],MATCH(Table1[[#This Row],[Employer]],saCAGR[EIW Name],0)),"")</f>
        <v>1.0297375095774446</v>
      </c>
      <c r="I100" s="50">
        <f>IFERROR(Table1[[#This Row],[SA CAGR]]*Table1[[#This Row],[Number of Summer 2016 2L SAs]],"")</f>
        <v>2.0594750191548892</v>
      </c>
      <c r="J100" s="50">
        <v>18</v>
      </c>
      <c r="K100" s="51">
        <f>IFERROR(Table1[[#This Row],[Number of Summer 2016 NYU 2L SAs]]/Table1[[#This Row],[Interview Slots]],0)</f>
        <v>0.32142857142857145</v>
      </c>
      <c r="L100" s="51">
        <f>Table1[[#This Row],[Number of Summer 2016 2L SAs]]/Table1[[#This Row],[Interview Slots]]</f>
        <v>3.5714285714285712E-2</v>
      </c>
      <c r="M100" s="51">
        <f>IFERROR(Table1[[#This Row],[Number of Summer 2016 NYU 2L SAs]]/Table1[[#This Row],[Number of Summer 2016 2L SAs]],0)</f>
        <v>9</v>
      </c>
      <c r="N100" s="50" t="str">
        <f>IFERROR(RIGHT(Table1[[#This Row],[1st year]],LEN(Table1[[#This Row],[1st year]])-FIND(":",Table1[[#This Row],[1st year]])-1),"")</f>
        <v>$180K</v>
      </c>
      <c r="O100" s="50" t="str">
        <f t="array" ref="O100">IFERROR(INDEX(Table2[Nth year],MATCH(1,(Table1[[#This Row],[Employer]]=Table2[EIW Name])*(Table1[[#This Row],[City, State]]=Table2[Offices Matched]),0)),"")</f>
        <v>9th Year: $325K</v>
      </c>
      <c r="P100" s="50" t="str">
        <f>IFERROR(RIGHT(Table1[[#This Row],[Nth year]],LEN(Table1[[#This Row],[Nth year]])-FIND(":",Table1[[#This Row],[Nth year]])-1),"")</f>
        <v>$325K</v>
      </c>
      <c r="Q100" s="50" t="str">
        <f t="array" ref="Q100">IFERROR(INDEX(Table2[Am Law 200 PPP Rank ’16],MATCH(1,(Table1[[#This Row],[Employer]]=Table2[EIW Name])*(Table1[[#This Row],[City, State]]=Table2[Offices Matched]),0)),"")</f>
        <v>36: $1.89M</v>
      </c>
      <c r="R100" s="50" t="str">
        <f>IFERROR(LEFT(Table1[[#This Row],[Am Law 200 PPP Rank ’16]],FIND(":",Table1[[#This Row],[Am Law 200 PPP Rank ’16]])-1),"")</f>
        <v>36</v>
      </c>
      <c r="S100" s="50">
        <f>IFERROR(INDEX(VaultRank[Rank],MATCH(Table1[[#This Row],[Employer]],VaultRank[EIW Name],0)),"")</f>
        <v>35</v>
      </c>
      <c r="T100" s="50" t="str">
        <f t="array" ref="T100">IFERROR(INDEX(Table2[Summers Matched],MATCH(1,(Table1[[#This Row],[Employer]]=Table2[EIW Name])*(Table1[[#This Row],[City, State]]=Table2[Offices Matched]),0)),"")</f>
        <v>Yes</v>
      </c>
      <c r="U100" s="52" t="str">
        <f t="shared" si="1"/>
        <v/>
      </c>
      <c r="V100" s="60"/>
      <c r="W100" s="114">
        <v>42595</v>
      </c>
      <c r="X100"/>
    </row>
    <row r="101" spans="1:24" ht="14.1" customHeight="1">
      <c r="A101" s="45" t="s">
        <v>67</v>
      </c>
      <c r="B101" s="45" t="s">
        <v>301</v>
      </c>
      <c r="C101" s="45" t="s">
        <v>302</v>
      </c>
      <c r="D101" s="45" t="str">
        <f>Table1[[#This Row],[City]]&amp;", "&amp;Table1[[#This Row],[State]]</f>
        <v>Washington, DC</v>
      </c>
      <c r="E101" s="49">
        <v>64</v>
      </c>
      <c r="F101" s="50">
        <v>5</v>
      </c>
      <c r="G101" s="50" t="str">
        <f t="array" ref="G101">IFERROR(INDEX(Table2[1st Year],MATCH(1,(Table1[[#This Row],[Employer]]=Table2[EIW Name])*(Table1[[#This Row],[City, State]]=Table2[Offices Matched]),0)),"")</f>
        <v/>
      </c>
      <c r="H101" s="50">
        <f>_xlfn.IFNA(INDEX(saCAGR[CAGR],MATCH(Table1[[#This Row],[Employer]],saCAGR[EIW Name],0)),"")</f>
        <v>1.0297375095774446</v>
      </c>
      <c r="I101" s="50">
        <f>IFERROR(Table1[[#This Row],[SA CAGR]]*Table1[[#This Row],[Number of Summer 2016 2L SAs]],"")</f>
        <v>5.1486875478872225</v>
      </c>
      <c r="J101" s="50">
        <v>3</v>
      </c>
      <c r="K101" s="51">
        <f>IFERROR(Table1[[#This Row],[Number of Summer 2016 NYU 2L SAs]]/Table1[[#This Row],[Interview Slots]],0)</f>
        <v>4.6875E-2</v>
      </c>
      <c r="L101" s="51">
        <f>Table1[[#This Row],[Number of Summer 2016 2L SAs]]/Table1[[#This Row],[Interview Slots]]</f>
        <v>7.8125E-2</v>
      </c>
      <c r="M101" s="51">
        <f>IFERROR(Table1[[#This Row],[Number of Summer 2016 NYU 2L SAs]]/Table1[[#This Row],[Number of Summer 2016 2L SAs]],0)</f>
        <v>0.6</v>
      </c>
      <c r="N101" s="50" t="str">
        <f>IFERROR(RIGHT(Table1[[#This Row],[1st year]],LEN(Table1[[#This Row],[1st year]])-FIND(":",Table1[[#This Row],[1st year]])-1),"")</f>
        <v/>
      </c>
      <c r="O101" s="50" t="str">
        <f t="array" ref="O101">IFERROR(INDEX(Table2[Nth year],MATCH(1,(Table1[[#This Row],[Employer]]=Table2[EIW Name])*(Table1[[#This Row],[City, State]]=Table2[Offices Matched]),0)),"")</f>
        <v/>
      </c>
      <c r="P101" s="50" t="str">
        <f>IFERROR(RIGHT(Table1[[#This Row],[Nth year]],LEN(Table1[[#This Row],[Nth year]])-FIND(":",Table1[[#This Row],[Nth year]])-1),"")</f>
        <v/>
      </c>
      <c r="Q101" s="50" t="str">
        <f t="array" ref="Q101">IFERROR(INDEX(Table2[Am Law 200 PPP Rank ’16],MATCH(1,(Table1[[#This Row],[Employer]]=Table2[EIW Name])*(Table1[[#This Row],[City, State]]=Table2[Offices Matched]),0)),"")</f>
        <v/>
      </c>
      <c r="R101" s="50" t="str">
        <f>IFERROR(LEFT(Table1[[#This Row],[Am Law 200 PPP Rank ’16]],FIND(":",Table1[[#This Row],[Am Law 200 PPP Rank ’16]])-1),"")</f>
        <v/>
      </c>
      <c r="S101" s="50">
        <f>IFERROR(INDEX(VaultRank[Rank],MATCH(Table1[[#This Row],[Employer]],VaultRank[EIW Name],0)),"")</f>
        <v>35</v>
      </c>
      <c r="T101" s="50" t="str">
        <f t="array" ref="T101">IFERROR(INDEX(Table2[Summers Matched],MATCH(1,(Table1[[#This Row],[Employer]]=Table2[EIW Name])*(Table1[[#This Row],[City, State]]=Table2[Offices Matched]),0)),"")</f>
        <v/>
      </c>
      <c r="U101" s="52" t="str">
        <f t="shared" si="1"/>
        <v/>
      </c>
      <c r="V101" s="60"/>
      <c r="W101" s="114">
        <v>42593</v>
      </c>
      <c r="X101"/>
    </row>
    <row r="102" spans="1:24" ht="14.1" customHeight="1">
      <c r="A102" s="45" t="s">
        <v>67</v>
      </c>
      <c r="B102" s="45" t="s">
        <v>367</v>
      </c>
      <c r="C102" s="45" t="s">
        <v>368</v>
      </c>
      <c r="D102" s="45" t="str">
        <f>Table1[[#This Row],[City]]&amp;", "&amp;Table1[[#This Row],[State]]</f>
        <v>Boston, MA</v>
      </c>
      <c r="E102" s="49">
        <v>18</v>
      </c>
      <c r="F102" s="50">
        <v>5</v>
      </c>
      <c r="G102" s="50" t="str">
        <f t="array" ref="G102">IFERROR(INDEX(Table2[1st Year],MATCH(1,(Table1[[#This Row],[Employer]]=Table2[EIW Name])*(Table1[[#This Row],[City, State]]=Table2[Offices Matched]),0)),"")</f>
        <v>1st Year: $180K</v>
      </c>
      <c r="H102" s="50">
        <f>_xlfn.IFNA(INDEX(saCAGR[CAGR],MATCH(Table1[[#This Row],[Employer]],saCAGR[EIW Name],0)),"")</f>
        <v>1.0297375095774446</v>
      </c>
      <c r="I102" s="50">
        <f>IFERROR(Table1[[#This Row],[SA CAGR]]*Table1[[#This Row],[Number of Summer 2016 2L SAs]],"")</f>
        <v>5.1486875478872225</v>
      </c>
      <c r="J102" s="50">
        <v>16</v>
      </c>
      <c r="K102" s="51">
        <f>IFERROR(Table1[[#This Row],[Number of Summer 2016 NYU 2L SAs]]/Table1[[#This Row],[Interview Slots]],0)</f>
        <v>0.88888888888888884</v>
      </c>
      <c r="L102" s="51">
        <f>Table1[[#This Row],[Number of Summer 2016 2L SAs]]/Table1[[#This Row],[Interview Slots]]</f>
        <v>0.27777777777777779</v>
      </c>
      <c r="M102" s="51">
        <f>IFERROR(Table1[[#This Row],[Number of Summer 2016 NYU 2L SAs]]/Table1[[#This Row],[Number of Summer 2016 2L SAs]],0)</f>
        <v>3.2</v>
      </c>
      <c r="N102" s="50" t="str">
        <f>IFERROR(RIGHT(Table1[[#This Row],[1st year]],LEN(Table1[[#This Row],[1st year]])-FIND(":",Table1[[#This Row],[1st year]])-1),"")</f>
        <v>$180K</v>
      </c>
      <c r="O102" s="50" t="str">
        <f t="array" ref="O102">IFERROR(INDEX(Table2[Nth year],MATCH(1,(Table1[[#This Row],[Employer]]=Table2[EIW Name])*(Table1[[#This Row],[City, State]]=Table2[Offices Matched]),0)),"")</f>
        <v>9th Year: $325K</v>
      </c>
      <c r="P102" s="50" t="str">
        <f>IFERROR(RIGHT(Table1[[#This Row],[Nth year]],LEN(Table1[[#This Row],[Nth year]])-FIND(":",Table1[[#This Row],[Nth year]])-1),"")</f>
        <v>$325K</v>
      </c>
      <c r="Q102" s="50" t="str">
        <f t="array" ref="Q102">IFERROR(INDEX(Table2[Am Law 200 PPP Rank ’16],MATCH(1,(Table1[[#This Row],[Employer]]=Table2[EIW Name])*(Table1[[#This Row],[City, State]]=Table2[Offices Matched]),0)),"")</f>
        <v>36: $1.89M</v>
      </c>
      <c r="R102" s="50" t="str">
        <f>IFERROR(LEFT(Table1[[#This Row],[Am Law 200 PPP Rank ’16]],FIND(":",Table1[[#This Row],[Am Law 200 PPP Rank ’16]])-1),"")</f>
        <v>36</v>
      </c>
      <c r="S102" s="50">
        <f>IFERROR(INDEX(VaultRank[Rank],MATCH(Table1[[#This Row],[Employer]],VaultRank[EIW Name],0)),"")</f>
        <v>35</v>
      </c>
      <c r="T102" s="50" t="str">
        <f t="array" ref="T102">IFERROR(INDEX(Table2[Summers Matched],MATCH(1,(Table1[[#This Row],[Employer]]=Table2[EIW Name])*(Table1[[#This Row],[City, State]]=Table2[Offices Matched]),0)),"")</f>
        <v>Yes</v>
      </c>
      <c r="U102" s="52" t="str">
        <f t="shared" si="1"/>
        <v/>
      </c>
      <c r="V102" s="60"/>
      <c r="W102" s="114">
        <v>42593</v>
      </c>
      <c r="X102"/>
    </row>
    <row r="103" spans="1:24" ht="14.1" customHeight="1">
      <c r="A103" s="45" t="s">
        <v>67</v>
      </c>
      <c r="B103" s="45" t="s">
        <v>377</v>
      </c>
      <c r="C103" s="45" t="s">
        <v>378</v>
      </c>
      <c r="D103" s="45" t="str">
        <f>Table1[[#This Row],[City]]&amp;", "&amp;Table1[[#This Row],[State]]</f>
        <v>Reston, VA</v>
      </c>
      <c r="E103" s="49">
        <v>176</v>
      </c>
      <c r="F103" s="50">
        <v>4</v>
      </c>
      <c r="G103" s="50" t="str">
        <f t="array" ref="G103">IFERROR(INDEX(Table2[1st Year],MATCH(1,(Table1[[#This Row],[Employer]]=Table2[EIW Name])*(Table1[[#This Row],[City, State]]=Table2[Offices Matched]),0)),"")</f>
        <v>1st Year: $180K</v>
      </c>
      <c r="H103" s="50">
        <f>_xlfn.IFNA(INDEX(saCAGR[CAGR],MATCH(Table1[[#This Row],[Employer]],saCAGR[EIW Name],0)),"")</f>
        <v>1.0297375095774446</v>
      </c>
      <c r="I103" s="50">
        <f>IFERROR(Table1[[#This Row],[SA CAGR]]*Table1[[#This Row],[Number of Summer 2016 2L SAs]],"")</f>
        <v>4.1189500383097783</v>
      </c>
      <c r="J103" s="50">
        <v>2</v>
      </c>
      <c r="K103" s="51">
        <f>IFERROR(Table1[[#This Row],[Number of Summer 2016 NYU 2L SAs]]/Table1[[#This Row],[Interview Slots]],0)</f>
        <v>1.1363636363636364E-2</v>
      </c>
      <c r="L103" s="51">
        <f>Table1[[#This Row],[Number of Summer 2016 2L SAs]]/Table1[[#This Row],[Interview Slots]]</f>
        <v>2.2727272727272728E-2</v>
      </c>
      <c r="M103" s="51">
        <f>IFERROR(Table1[[#This Row],[Number of Summer 2016 NYU 2L SAs]]/Table1[[#This Row],[Number of Summer 2016 2L SAs]],0)</f>
        <v>0.5</v>
      </c>
      <c r="N103" s="50" t="str">
        <f>IFERROR(RIGHT(Table1[[#This Row],[1st year]],LEN(Table1[[#This Row],[1st year]])-FIND(":",Table1[[#This Row],[1st year]])-1),"")</f>
        <v>$180K</v>
      </c>
      <c r="O103" s="50" t="str">
        <f t="array" ref="O103">IFERROR(INDEX(Table2[Nth year],MATCH(1,(Table1[[#This Row],[Employer]]=Table2[EIW Name])*(Table1[[#This Row],[City, State]]=Table2[Offices Matched]),0)),"")</f>
        <v>9th Year: $325K</v>
      </c>
      <c r="P103" s="50" t="str">
        <f>IFERROR(RIGHT(Table1[[#This Row],[Nth year]],LEN(Table1[[#This Row],[Nth year]])-FIND(":",Table1[[#This Row],[Nth year]])-1),"")</f>
        <v>$325K</v>
      </c>
      <c r="Q103" s="50" t="str">
        <f t="array" ref="Q103">IFERROR(INDEX(Table2[Am Law 200 PPP Rank ’16],MATCH(1,(Table1[[#This Row],[Employer]]=Table2[EIW Name])*(Table1[[#This Row],[City, State]]=Table2[Offices Matched]),0)),"")</f>
        <v>36: $1.89M</v>
      </c>
      <c r="R103" s="50" t="str">
        <f>IFERROR(LEFT(Table1[[#This Row],[Am Law 200 PPP Rank ’16]],FIND(":",Table1[[#This Row],[Am Law 200 PPP Rank ’16]])-1),"")</f>
        <v>36</v>
      </c>
      <c r="S103" s="50">
        <f>IFERROR(INDEX(VaultRank[Rank],MATCH(Table1[[#This Row],[Employer]],VaultRank[EIW Name],0)),"")</f>
        <v>35</v>
      </c>
      <c r="T103" s="50" t="str">
        <f t="array" ref="T103">IFERROR(INDEX(Table2[Summers Matched],MATCH(1,(Table1[[#This Row],[Employer]]=Table2[EIW Name])*(Table1[[#This Row],[City, State]]=Table2[Offices Matched]),0)),"")</f>
        <v>Yes</v>
      </c>
      <c r="U103" s="52" t="str">
        <f t="shared" si="1"/>
        <v/>
      </c>
      <c r="V103" s="60"/>
      <c r="W103" s="114">
        <v>42593</v>
      </c>
      <c r="X103"/>
    </row>
    <row r="104" spans="1:24" ht="14.1" customHeight="1">
      <c r="A104" s="45" t="s">
        <v>67</v>
      </c>
      <c r="B104" s="45" t="s">
        <v>332</v>
      </c>
      <c r="C104" s="45" t="s">
        <v>333</v>
      </c>
      <c r="D104" s="45" t="str">
        <f>Table1[[#This Row],[City]]&amp;", "&amp;Table1[[#This Row],[State]]</f>
        <v>Seattle, WA</v>
      </c>
      <c r="E104" s="49">
        <v>129</v>
      </c>
      <c r="F104" s="50">
        <v>1</v>
      </c>
      <c r="G104" s="50" t="str">
        <f t="array" ref="G104">IFERROR(INDEX(Table2[1st Year],MATCH(1,(Table1[[#This Row],[Employer]]=Table2[EIW Name])*(Table1[[#This Row],[City, State]]=Table2[Offices Matched]),0)),"")</f>
        <v>1st Year: $180K</v>
      </c>
      <c r="H104" s="50">
        <f>_xlfn.IFNA(INDEX(saCAGR[CAGR],MATCH(Table1[[#This Row],[Employer]],saCAGR[EIW Name],0)),"")</f>
        <v>1.0297375095774446</v>
      </c>
      <c r="I104" s="50">
        <f>IFERROR(Table1[[#This Row],[SA CAGR]]*Table1[[#This Row],[Number of Summer 2016 2L SAs]],"")</f>
        <v>1.0297375095774446</v>
      </c>
      <c r="J104" s="50">
        <v>10</v>
      </c>
      <c r="K104" s="51">
        <f>IFERROR(Table1[[#This Row],[Number of Summer 2016 NYU 2L SAs]]/Table1[[#This Row],[Interview Slots]],0)</f>
        <v>7.7519379844961239E-2</v>
      </c>
      <c r="L104" s="51">
        <f>Table1[[#This Row],[Number of Summer 2016 2L SAs]]/Table1[[#This Row],[Interview Slots]]</f>
        <v>7.7519379844961239E-3</v>
      </c>
      <c r="M104" s="51">
        <f>IFERROR(Table1[[#This Row],[Number of Summer 2016 NYU 2L SAs]]/Table1[[#This Row],[Number of Summer 2016 2L SAs]],0)</f>
        <v>10</v>
      </c>
      <c r="N104" s="50" t="str">
        <f>IFERROR(RIGHT(Table1[[#This Row],[1st year]],LEN(Table1[[#This Row],[1st year]])-FIND(":",Table1[[#This Row],[1st year]])-1),"")</f>
        <v>$180K</v>
      </c>
      <c r="O104" s="50" t="str">
        <f t="array" ref="O104">IFERROR(INDEX(Table2[Nth year],MATCH(1,(Table1[[#This Row],[Employer]]=Table2[EIW Name])*(Table1[[#This Row],[City, State]]=Table2[Offices Matched]),0)),"")</f>
        <v>9th Year: $325K</v>
      </c>
      <c r="P104" s="50" t="str">
        <f>IFERROR(RIGHT(Table1[[#This Row],[Nth year]],LEN(Table1[[#This Row],[Nth year]])-FIND(":",Table1[[#This Row],[Nth year]])-1),"")</f>
        <v>$325K</v>
      </c>
      <c r="Q104" s="50" t="str">
        <f t="array" ref="Q104">IFERROR(INDEX(Table2[Am Law 200 PPP Rank ’16],MATCH(1,(Table1[[#This Row],[Employer]]=Table2[EIW Name])*(Table1[[#This Row],[City, State]]=Table2[Offices Matched]),0)),"")</f>
        <v>36: $1.89M</v>
      </c>
      <c r="R104" s="50" t="str">
        <f>IFERROR(LEFT(Table1[[#This Row],[Am Law 200 PPP Rank ’16]],FIND(":",Table1[[#This Row],[Am Law 200 PPP Rank ’16]])-1),"")</f>
        <v>36</v>
      </c>
      <c r="S104" s="50">
        <f>IFERROR(INDEX(VaultRank[Rank],MATCH(Table1[[#This Row],[Employer]],VaultRank[EIW Name],0)),"")</f>
        <v>35</v>
      </c>
      <c r="T104" s="50" t="str">
        <f t="array" ref="T104">IFERROR(INDEX(Table2[Summers Matched],MATCH(1,(Table1[[#This Row],[Employer]]=Table2[EIW Name])*(Table1[[#This Row],[City, State]]=Table2[Offices Matched]),0)),"")</f>
        <v>Yes</v>
      </c>
      <c r="U104" s="52" t="str">
        <f t="shared" si="1"/>
        <v/>
      </c>
      <c r="V104" s="60"/>
      <c r="W104" s="114">
        <v>42592</v>
      </c>
      <c r="X104"/>
    </row>
    <row r="105" spans="1:24" ht="14.1" customHeight="1">
      <c r="A105" s="45" t="s">
        <v>489</v>
      </c>
      <c r="B105" s="45" t="s">
        <v>364</v>
      </c>
      <c r="C105" s="45" t="s">
        <v>362</v>
      </c>
      <c r="D105" s="45" t="str">
        <f>Table1[[#This Row],[City]]&amp;", "&amp;Table1[[#This Row],[State]]</f>
        <v>New York, NY</v>
      </c>
      <c r="E105" s="49">
        <v>186</v>
      </c>
      <c r="F105" s="50">
        <v>112</v>
      </c>
      <c r="G105" s="50" t="str">
        <f t="array" ref="G105">IFERROR(INDEX(Table2[1st Year],MATCH(1,(Table1[[#This Row],[Employer]]=Table2[EIW Name])*(Table1[[#This Row],[City, State]]=Table2[Offices Matched]),0)),"")</f>
        <v>1st Year: $180K</v>
      </c>
      <c r="H105" s="51">
        <f>_xlfn.IFNA(INDEX(saCAGR[CAGR],MATCH(Table1[[#This Row],[Employer]],saCAGR[EIW Name],0)),"")</f>
        <v>1.017438142714215</v>
      </c>
      <c r="I105" s="50">
        <f>IFERROR(Table1[[#This Row],[SA CAGR]]*Table1[[#This Row],[Number of Summer 2016 2L SAs]],"")</f>
        <v>113.95307198399207</v>
      </c>
      <c r="J105" s="50">
        <v>18</v>
      </c>
      <c r="K105" s="51">
        <f>IFERROR(Table1[[#This Row],[Number of Summer 2016 NYU 2L SAs]]/Table1[[#This Row],[Interview Slots]],0)</f>
        <v>9.6774193548387094E-2</v>
      </c>
      <c r="L105" s="51">
        <f>Table1[[#This Row],[Number of Summer 2016 2L SAs]]/Table1[[#This Row],[Interview Slots]]</f>
        <v>0.60215053763440862</v>
      </c>
      <c r="M105" s="51">
        <f>IFERROR(Table1[[#This Row],[Number of Summer 2016 NYU 2L SAs]]/Table1[[#This Row],[Number of Summer 2016 2L SAs]],0)</f>
        <v>0.16071428571428573</v>
      </c>
      <c r="N105" s="50" t="str">
        <f>IFERROR(RIGHT(Table1[[#This Row],[1st year]],LEN(Table1[[#This Row],[1st year]])-FIND(":",Table1[[#This Row],[1st year]])-1),"")</f>
        <v>$180K</v>
      </c>
      <c r="O105" s="50" t="str">
        <f t="array" ref="O105">IFERROR(INDEX(Table2[Nth year],MATCH(1,(Table1[[#This Row],[Employer]]=Table2[EIW Name])*(Table1[[#This Row],[City, State]]=Table2[Offices Matched]),0)),"")</f>
        <v>9th Year+: $325K</v>
      </c>
      <c r="P105" s="50" t="str">
        <f>IFERROR(RIGHT(Table1[[#This Row],[Nth year]],LEN(Table1[[#This Row],[Nth year]])-FIND(":",Table1[[#This Row],[Nth year]])-1),"")</f>
        <v>$325K</v>
      </c>
      <c r="Q105" s="50" t="str">
        <f t="array" ref="Q105">IFERROR(INDEX(Table2[Am Law 200 PPP Rank ’16],MATCH(1,(Table1[[#This Row],[Employer]]=Table2[EIW Name])*(Table1[[#This Row],[City, State]]=Table2[Offices Matched]),0)),"")</f>
        <v>3: $4.09M</v>
      </c>
      <c r="R105" s="50" t="str">
        <f>IFERROR(LEFT(Table1[[#This Row],[Am Law 200 PPP Rank ’16]],FIND(":",Table1[[#This Row],[Am Law 200 PPP Rank ’16]])-1),"")</f>
        <v>3</v>
      </c>
      <c r="S105" s="50">
        <f>IFERROR(INDEX(VaultRank[Rank],MATCH(Table1[[#This Row],[Employer]],VaultRank[EIW Name],0)),"")</f>
        <v>12</v>
      </c>
      <c r="T105" s="50" t="str">
        <f t="array" ref="T105">IFERROR(INDEX(Table2[Summers Matched],MATCH(1,(Table1[[#This Row],[Employer]]=Table2[EIW Name])*(Table1[[#This Row],[City, State]]=Table2[Offices Matched]),0)),"")</f>
        <v>Yes</v>
      </c>
      <c r="U105" s="52" t="str">
        <f t="shared" si="1"/>
        <v/>
      </c>
      <c r="V105" s="60"/>
      <c r="W105" s="114">
        <v>42593</v>
      </c>
      <c r="X105"/>
    </row>
    <row r="106" spans="1:24" ht="14.1" customHeight="1">
      <c r="A106" s="45" t="s">
        <v>182</v>
      </c>
      <c r="B106" s="45" t="s">
        <v>364</v>
      </c>
      <c r="C106" s="45" t="s">
        <v>362</v>
      </c>
      <c r="D106" s="45" t="str">
        <f>Table1[[#This Row],[City]]&amp;", "&amp;Table1[[#This Row],[State]]</f>
        <v>New York, NY</v>
      </c>
      <c r="E106" s="49">
        <v>25</v>
      </c>
      <c r="F106" s="50">
        <v>6</v>
      </c>
      <c r="G106" s="50" t="str">
        <f t="array" ref="G106">IFERROR(INDEX(Table2[1st Year],MATCH(1,(Table1[[#This Row],[Employer]]=Table2[EIW Name])*(Table1[[#This Row],[City, State]]=Table2[Offices Matched]),0)),"")</f>
        <v>1st Year: $180K</v>
      </c>
      <c r="H106" s="50" t="str">
        <f>_xlfn.IFNA(INDEX(saCAGR[CAGR],MATCH(Table1[[#This Row],[Employer]],saCAGR[EIW Name],0)),"")</f>
        <v/>
      </c>
      <c r="I106" s="50" t="str">
        <f>IFERROR(Table1[[#This Row],[SA CAGR]]*Table1[[#This Row],[Number of Summer 2016 2L SAs]],"")</f>
        <v/>
      </c>
      <c r="J106" s="50">
        <v>8</v>
      </c>
      <c r="K106" s="51">
        <f>IFERROR(Table1[[#This Row],[Number of Summer 2016 NYU 2L SAs]]/Table1[[#This Row],[Interview Slots]],0)</f>
        <v>0.32</v>
      </c>
      <c r="L106" s="51">
        <f>Table1[[#This Row],[Number of Summer 2016 2L SAs]]/Table1[[#This Row],[Interview Slots]]</f>
        <v>0.24</v>
      </c>
      <c r="M106" s="51">
        <f>IFERROR(Table1[[#This Row],[Number of Summer 2016 NYU 2L SAs]]/Table1[[#This Row],[Number of Summer 2016 2L SAs]],0)</f>
        <v>1.3333333333333333</v>
      </c>
      <c r="N106" s="50" t="str">
        <f>IFERROR(RIGHT(Table1[[#This Row],[1st year]],LEN(Table1[[#This Row],[1st year]])-FIND(":",Table1[[#This Row],[1st year]])-1),"")</f>
        <v>$180K</v>
      </c>
      <c r="O106" s="50" t="str">
        <f t="array" ref="O106">IFERROR(INDEX(Table2[Nth year],MATCH(1,(Table1[[#This Row],[Employer]]=Table2[EIW Name])*(Table1[[#This Row],[City, State]]=Table2[Offices Matched]),0)),"")</f>
        <v>8th Year: $315K</v>
      </c>
      <c r="P106" s="50" t="str">
        <f>IFERROR(RIGHT(Table1[[#This Row],[Nth year]],LEN(Table1[[#This Row],[Nth year]])-FIND(":",Table1[[#This Row],[Nth year]])-1),"")</f>
        <v>$315K</v>
      </c>
      <c r="Q106" s="50" t="str">
        <f t="array" ref="Q106">IFERROR(INDEX(Table2[Am Law 200 PPP Rank ’16],MATCH(1,(Table1[[#This Row],[Employer]]=Table2[EIW Name])*(Table1[[#This Row],[City, State]]=Table2[Offices Matched]),0)),"")</f>
        <v>69: $1.28M</v>
      </c>
      <c r="R106" s="50" t="str">
        <f>IFERROR(LEFT(Table1[[#This Row],[Am Law 200 PPP Rank ’16]],FIND(":",Table1[[#This Row],[Am Law 200 PPP Rank ’16]])-1),"")</f>
        <v>69</v>
      </c>
      <c r="S106" s="50">
        <f>IFERROR(INDEX(VaultRank[Rank],MATCH(Table1[[#This Row],[Employer]],VaultRank[EIW Name],0)),"")</f>
        <v>13</v>
      </c>
      <c r="T106" s="50" t="str">
        <f t="array" ref="T106">IFERROR(INDEX(Table2[Summers Matched],MATCH(1,(Table1[[#This Row],[Employer]]=Table2[EIW Name])*(Table1[[#This Row],[City, State]]=Table2[Offices Matched]),0)),"")</f>
        <v>Yes</v>
      </c>
      <c r="U106" s="52" t="str">
        <f t="shared" si="1"/>
        <v/>
      </c>
      <c r="V106" s="60"/>
      <c r="W106" s="114">
        <v>42595</v>
      </c>
      <c r="X106"/>
    </row>
    <row r="107" spans="1:24" ht="14.1" customHeight="1">
      <c r="A107" s="45" t="s">
        <v>182</v>
      </c>
      <c r="B107" s="45" t="s">
        <v>301</v>
      </c>
      <c r="C107" s="45" t="s">
        <v>302</v>
      </c>
      <c r="D107" s="45" t="str">
        <f>Table1[[#This Row],[City]]&amp;", "&amp;Table1[[#This Row],[State]]</f>
        <v>Washington, DC</v>
      </c>
      <c r="E107" s="49">
        <v>63</v>
      </c>
      <c r="F107" s="50">
        <v>61</v>
      </c>
      <c r="G107" s="50" t="str">
        <f t="array" ref="G107">IFERROR(INDEX(Table2[1st Year],MATCH(1,(Table1[[#This Row],[Employer]]=Table2[EIW Name])*(Table1[[#This Row],[City, State]]=Table2[Offices Matched]),0)),"")</f>
        <v/>
      </c>
      <c r="H107" s="50" t="str">
        <f>_xlfn.IFNA(INDEX(saCAGR[CAGR],MATCH(Table1[[#This Row],[Employer]],saCAGR[EIW Name],0)),"")</f>
        <v/>
      </c>
      <c r="I107" s="50" t="str">
        <f>IFERROR(Table1[[#This Row],[SA CAGR]]*Table1[[#This Row],[Number of Summer 2016 2L SAs]],"")</f>
        <v/>
      </c>
      <c r="J107" s="50">
        <v>18</v>
      </c>
      <c r="K107" s="51">
        <f>IFERROR(Table1[[#This Row],[Number of Summer 2016 NYU 2L SAs]]/Table1[[#This Row],[Interview Slots]],0)</f>
        <v>0.2857142857142857</v>
      </c>
      <c r="L107" s="51">
        <f>Table1[[#This Row],[Number of Summer 2016 2L SAs]]/Table1[[#This Row],[Interview Slots]]</f>
        <v>0.96825396825396826</v>
      </c>
      <c r="M107" s="51">
        <f>IFERROR(Table1[[#This Row],[Number of Summer 2016 NYU 2L SAs]]/Table1[[#This Row],[Number of Summer 2016 2L SAs]],0)</f>
        <v>0.29508196721311475</v>
      </c>
      <c r="N107" s="50" t="str">
        <f>IFERROR(RIGHT(Table1[[#This Row],[1st year]],LEN(Table1[[#This Row],[1st year]])-FIND(":",Table1[[#This Row],[1st year]])-1),"")</f>
        <v/>
      </c>
      <c r="O107" s="50" t="str">
        <f t="array" ref="O107">IFERROR(INDEX(Table2[Nth year],MATCH(1,(Table1[[#This Row],[Employer]]=Table2[EIW Name])*(Table1[[#This Row],[City, State]]=Table2[Offices Matched]),0)),"")</f>
        <v/>
      </c>
      <c r="P107" s="50" t="str">
        <f>IFERROR(RIGHT(Table1[[#This Row],[Nth year]],LEN(Table1[[#This Row],[Nth year]])-FIND(":",Table1[[#This Row],[Nth year]])-1),"")</f>
        <v/>
      </c>
      <c r="Q107" s="50" t="str">
        <f t="array" ref="Q107">IFERROR(INDEX(Table2[Am Law 200 PPP Rank ’16],MATCH(1,(Table1[[#This Row],[Employer]]=Table2[EIW Name])*(Table1[[#This Row],[City, State]]=Table2[Offices Matched]),0)),"")</f>
        <v/>
      </c>
      <c r="R107" s="50" t="str">
        <f>IFERROR(LEFT(Table1[[#This Row],[Am Law 200 PPP Rank ’16]],FIND(":",Table1[[#This Row],[Am Law 200 PPP Rank ’16]])-1),"")</f>
        <v/>
      </c>
      <c r="S107" s="50">
        <f>IFERROR(INDEX(VaultRank[Rank],MATCH(Table1[[#This Row],[Employer]],VaultRank[EIW Name],0)),"")</f>
        <v>13</v>
      </c>
      <c r="T107" s="50" t="str">
        <f t="array" ref="T107">IFERROR(INDEX(Table2[Summers Matched],MATCH(1,(Table1[[#This Row],[Employer]]=Table2[EIW Name])*(Table1[[#This Row],[City, State]]=Table2[Offices Matched]),0)),"")</f>
        <v/>
      </c>
      <c r="U107" s="52" t="str">
        <f t="shared" si="1"/>
        <v/>
      </c>
      <c r="V107" s="60"/>
      <c r="W107" s="114">
        <v>42595</v>
      </c>
      <c r="X107"/>
    </row>
    <row r="108" spans="1:24" ht="14.1" customHeight="1">
      <c r="A108" s="45" t="s">
        <v>252</v>
      </c>
      <c r="B108" s="45" t="s">
        <v>364</v>
      </c>
      <c r="C108" s="45" t="s">
        <v>362</v>
      </c>
      <c r="D108" s="45" t="str">
        <f>Table1[[#This Row],[City]]&amp;", "&amp;Table1[[#This Row],[State]]</f>
        <v>New York, NY</v>
      </c>
      <c r="E108" s="49">
        <v>181</v>
      </c>
      <c r="F108" s="50">
        <v>29</v>
      </c>
      <c r="G108" s="50" t="str">
        <f t="array" ref="G108">IFERROR(INDEX(Table2[1st Year],MATCH(1,(Table1[[#This Row],[Employer]]=Table2[EIW Name])*(Table1[[#This Row],[City, State]]=Table2[Offices Matched]),0)),"")</f>
        <v>1st Year: $180K</v>
      </c>
      <c r="H108" s="51">
        <f>_xlfn.IFNA(INDEX(saCAGR[CAGR],MATCH(Table1[[#This Row],[Employer]],saCAGR[EIW Name],0)),"")</f>
        <v>1.014590012684325</v>
      </c>
      <c r="I108" s="50">
        <f>IFERROR(Table1[[#This Row],[SA CAGR]]*Table1[[#This Row],[Number of Summer 2016 2L SAs]],"")</f>
        <v>29.423110367845425</v>
      </c>
      <c r="J108" s="50">
        <v>3</v>
      </c>
      <c r="K108" s="51">
        <f>IFERROR(Table1[[#This Row],[Number of Summer 2016 NYU 2L SAs]]/Table1[[#This Row],[Interview Slots]],0)</f>
        <v>1.6574585635359115E-2</v>
      </c>
      <c r="L108" s="51">
        <f>Table1[[#This Row],[Number of Summer 2016 2L SAs]]/Table1[[#This Row],[Interview Slots]]</f>
        <v>0.16022099447513813</v>
      </c>
      <c r="M108" s="51">
        <f>IFERROR(Table1[[#This Row],[Number of Summer 2016 NYU 2L SAs]]/Table1[[#This Row],[Number of Summer 2016 2L SAs]],0)</f>
        <v>0.10344827586206896</v>
      </c>
      <c r="N108" s="50" t="str">
        <f>IFERROR(RIGHT(Table1[[#This Row],[1st year]],LEN(Table1[[#This Row],[1st year]])-FIND(":",Table1[[#This Row],[1st year]])-1),"")</f>
        <v>$180K</v>
      </c>
      <c r="O108" s="50" t="str">
        <f t="array" ref="O108">IFERROR(INDEX(Table2[Nth year],MATCH(1,(Table1[[#This Row],[Employer]]=Table2[EIW Name])*(Table1[[#This Row],[City, State]]=Table2[Offices Matched]),0)),"")</f>
        <v>2nd Year Counsel+: $315K</v>
      </c>
      <c r="P108" s="50" t="str">
        <f>IFERROR(RIGHT(Table1[[#This Row],[Nth year]],LEN(Table1[[#This Row],[Nth year]])-FIND(":",Table1[[#This Row],[Nth year]])-1),"")</f>
        <v>$315K</v>
      </c>
      <c r="Q108" s="50" t="str">
        <f t="array" ref="Q108">IFERROR(INDEX(Table2[Am Law 200 PPP Rank ’16],MATCH(1,(Table1[[#This Row],[Employer]]=Table2[EIW Name])*(Table1[[#This Row],[City, State]]=Table2[Offices Matched]),0)),"")</f>
        <v>43: $1.81M</v>
      </c>
      <c r="R108" s="50" t="str">
        <f>IFERROR(LEFT(Table1[[#This Row],[Am Law 200 PPP Rank ’16]],FIND(":",Table1[[#This Row],[Am Law 200 PPP Rank ’16]])-1),"")</f>
        <v>43</v>
      </c>
      <c r="S108" s="50">
        <f>IFERROR(INDEX(VaultRank[Rank],MATCH(Table1[[#This Row],[Employer]],VaultRank[EIW Name],0)),"")</f>
        <v>22</v>
      </c>
      <c r="T108" s="50" t="str">
        <f t="array" ref="T108">IFERROR(INDEX(Table2[Summers Matched],MATCH(1,(Table1[[#This Row],[Employer]]=Table2[EIW Name])*(Table1[[#This Row],[City, State]]=Table2[Offices Matched]),0)),"")</f>
        <v>Yes</v>
      </c>
      <c r="U108" s="52" t="str">
        <f t="shared" si="1"/>
        <v/>
      </c>
      <c r="V108" s="60"/>
      <c r="W108" s="114">
        <v>42592</v>
      </c>
      <c r="X108"/>
    </row>
    <row r="109" spans="1:24" ht="14.1" customHeight="1">
      <c r="A109" s="45" t="s">
        <v>305</v>
      </c>
      <c r="B109" s="45" t="s">
        <v>301</v>
      </c>
      <c r="C109" s="45" t="s">
        <v>302</v>
      </c>
      <c r="D109" s="45" t="str">
        <f>Table1[[#This Row],[City]]&amp;", "&amp;Table1[[#This Row],[State]]</f>
        <v>Washington, DC</v>
      </c>
      <c r="E109" s="49">
        <v>133</v>
      </c>
      <c r="F109" s="50">
        <v>3</v>
      </c>
      <c r="G109" s="50" t="str">
        <f t="array" ref="G109">IFERROR(INDEX(Table2[1st Year],MATCH(1,(Table1[[#This Row],[Employer]]=Table2[EIW Name])*(Table1[[#This Row],[City, State]]=Table2[Offices Matched]),0)),"")</f>
        <v/>
      </c>
      <c r="H109" s="50">
        <f>_xlfn.IFNA(INDEX(saCAGR[CAGR],MATCH(Table1[[#This Row],[Employer]],saCAGR[EIW Name],0)),"")</f>
        <v>1.0039475842332735</v>
      </c>
      <c r="I109" s="50">
        <f>IFERROR(Table1[[#This Row],[SA CAGR]]*Table1[[#This Row],[Number of Summer 2016 2L SAs]],"")</f>
        <v>3.0118427526998204</v>
      </c>
      <c r="J109" s="50">
        <v>16</v>
      </c>
      <c r="K109" s="51">
        <f>IFERROR(Table1[[#This Row],[Number of Summer 2016 NYU 2L SAs]]/Table1[[#This Row],[Interview Slots]],0)</f>
        <v>0.12030075187969924</v>
      </c>
      <c r="L109" s="51">
        <f>Table1[[#This Row],[Number of Summer 2016 2L SAs]]/Table1[[#This Row],[Interview Slots]]</f>
        <v>2.2556390977443608E-2</v>
      </c>
      <c r="M109" s="51">
        <f>IFERROR(Table1[[#This Row],[Number of Summer 2016 NYU 2L SAs]]/Table1[[#This Row],[Number of Summer 2016 2L SAs]],0)</f>
        <v>5.333333333333333</v>
      </c>
      <c r="N109" s="50" t="str">
        <f>IFERROR(RIGHT(Table1[[#This Row],[1st year]],LEN(Table1[[#This Row],[1st year]])-FIND(":",Table1[[#This Row],[1st year]])-1),"")</f>
        <v/>
      </c>
      <c r="O109" s="50" t="str">
        <f t="array" ref="O109">IFERROR(INDEX(Table2[Nth year],MATCH(1,(Table1[[#This Row],[Employer]]=Table2[EIW Name])*(Table1[[#This Row],[City, State]]=Table2[Offices Matched]),0)),"")</f>
        <v/>
      </c>
      <c r="P109" s="50" t="str">
        <f>IFERROR(RIGHT(Table1[[#This Row],[Nth year]],LEN(Table1[[#This Row],[Nth year]])-FIND(":",Table1[[#This Row],[Nth year]])-1),"")</f>
        <v/>
      </c>
      <c r="Q109" s="50" t="str">
        <f t="array" ref="Q109">IFERROR(INDEX(Table2[Am Law 200 PPP Rank ’16],MATCH(1,(Table1[[#This Row],[Employer]]=Table2[EIW Name])*(Table1[[#This Row],[City, State]]=Table2[Offices Matched]),0)),"")</f>
        <v/>
      </c>
      <c r="R109" s="50" t="str">
        <f>IFERROR(LEFT(Table1[[#This Row],[Am Law 200 PPP Rank ’16]],FIND(":",Table1[[#This Row],[Am Law 200 PPP Rank ’16]])-1),"")</f>
        <v/>
      </c>
      <c r="S109" s="50" t="str">
        <f>IFERROR(INDEX(VaultRank[Rank],MATCH(Table1[[#This Row],[Employer]],VaultRank[EIW Name],0)),"")</f>
        <v/>
      </c>
      <c r="T109" s="50" t="str">
        <f t="array" ref="T109">IFERROR(INDEX(Table2[Summers Matched],MATCH(1,(Table1[[#This Row],[Employer]]=Table2[EIW Name])*(Table1[[#This Row],[City, State]]=Table2[Offices Matched]),0)),"")</f>
        <v/>
      </c>
      <c r="U109" s="52" t="str">
        <f t="shared" si="1"/>
        <v/>
      </c>
      <c r="V109" s="60"/>
      <c r="W109" s="114">
        <v>42592</v>
      </c>
      <c r="X109"/>
    </row>
    <row r="110" spans="1:24" ht="14.1" customHeight="1">
      <c r="A110" s="45" t="s">
        <v>305</v>
      </c>
      <c r="B110" s="45" t="s">
        <v>329</v>
      </c>
      <c r="C110" s="45" t="s">
        <v>330</v>
      </c>
      <c r="D110" s="45" t="str">
        <f>Table1[[#This Row],[City]]&amp;", "&amp;Table1[[#This Row],[State]]</f>
        <v>Philadelphia, PA</v>
      </c>
      <c r="E110" s="49">
        <v>107</v>
      </c>
      <c r="F110" s="50">
        <v>5</v>
      </c>
      <c r="G110" s="50" t="str">
        <f t="array" ref="G110">IFERROR(INDEX(Table2[1st Year],MATCH(1,(Table1[[#This Row],[Employer]]=Table2[EIW Name])*(Table1[[#This Row],[City, State]]=Table2[Offices Matched]),0)),"")</f>
        <v/>
      </c>
      <c r="H110" s="50">
        <f>_xlfn.IFNA(INDEX(saCAGR[CAGR],MATCH(Table1[[#This Row],[Employer]],saCAGR[EIW Name],0)),"")</f>
        <v>1.0039475842332735</v>
      </c>
      <c r="I110" s="50">
        <f>IFERROR(Table1[[#This Row],[SA CAGR]]*Table1[[#This Row],[Number of Summer 2016 2L SAs]],"")</f>
        <v>5.0197379211663673</v>
      </c>
      <c r="J110" s="50">
        <v>10</v>
      </c>
      <c r="K110" s="51">
        <f>IFERROR(Table1[[#This Row],[Number of Summer 2016 NYU 2L SAs]]/Table1[[#This Row],[Interview Slots]],0)</f>
        <v>9.3457943925233641E-2</v>
      </c>
      <c r="L110" s="51">
        <f>Table1[[#This Row],[Number of Summer 2016 2L SAs]]/Table1[[#This Row],[Interview Slots]]</f>
        <v>4.6728971962616821E-2</v>
      </c>
      <c r="M110" s="51">
        <f>IFERROR(Table1[[#This Row],[Number of Summer 2016 NYU 2L SAs]]/Table1[[#This Row],[Number of Summer 2016 2L SAs]],0)</f>
        <v>2</v>
      </c>
      <c r="N110" s="50" t="str">
        <f>IFERROR(RIGHT(Table1[[#This Row],[1st year]],LEN(Table1[[#This Row],[1st year]])-FIND(":",Table1[[#This Row],[1st year]])-1),"")</f>
        <v/>
      </c>
      <c r="O110" s="50" t="str">
        <f t="array" ref="O110">IFERROR(INDEX(Table2[Nth year],MATCH(1,(Table1[[#This Row],[Employer]]=Table2[EIW Name])*(Table1[[#This Row],[City, State]]=Table2[Offices Matched]),0)),"")</f>
        <v/>
      </c>
      <c r="P110" s="50" t="str">
        <f>IFERROR(RIGHT(Table1[[#This Row],[Nth year]],LEN(Table1[[#This Row],[Nth year]])-FIND(":",Table1[[#This Row],[Nth year]])-1),"")</f>
        <v/>
      </c>
      <c r="Q110" s="50" t="str">
        <f t="array" ref="Q110">IFERROR(INDEX(Table2[Am Law 200 PPP Rank ’16],MATCH(1,(Table1[[#This Row],[Employer]]=Table2[EIW Name])*(Table1[[#This Row],[City, State]]=Table2[Offices Matched]),0)),"")</f>
        <v/>
      </c>
      <c r="R110" s="50" t="str">
        <f>IFERROR(LEFT(Table1[[#This Row],[Am Law 200 PPP Rank ’16]],FIND(":",Table1[[#This Row],[Am Law 200 PPP Rank ’16]])-1),"")</f>
        <v/>
      </c>
      <c r="S110" s="50" t="str">
        <f>IFERROR(INDEX(VaultRank[Rank],MATCH(Table1[[#This Row],[Employer]],VaultRank[EIW Name],0)),"")</f>
        <v/>
      </c>
      <c r="T110" s="50" t="str">
        <f t="array" ref="T110">IFERROR(INDEX(Table2[Summers Matched],MATCH(1,(Table1[[#This Row],[Employer]]=Table2[EIW Name])*(Table1[[#This Row],[City, State]]=Table2[Offices Matched]),0)),"")</f>
        <v/>
      </c>
      <c r="U110" s="52" t="str">
        <f t="shared" si="1"/>
        <v/>
      </c>
      <c r="V110" s="60"/>
      <c r="W110" s="114">
        <v>42593</v>
      </c>
      <c r="X110"/>
    </row>
    <row r="111" spans="1:24" ht="14.1" customHeight="1">
      <c r="A111" s="45" t="s">
        <v>305</v>
      </c>
      <c r="B111" s="45" t="s">
        <v>332</v>
      </c>
      <c r="C111" s="45" t="s">
        <v>333</v>
      </c>
      <c r="D111" s="45" t="str">
        <f>Table1[[#This Row],[City]]&amp;", "&amp;Table1[[#This Row],[State]]</f>
        <v>Seattle, WA</v>
      </c>
      <c r="E111" s="49">
        <v>43</v>
      </c>
      <c r="F111" s="50">
        <v>2</v>
      </c>
      <c r="G111" s="50" t="str">
        <f t="array" ref="G111">IFERROR(INDEX(Table2[1st Year],MATCH(1,(Table1[[#This Row],[Employer]]=Table2[EIW Name])*(Table1[[#This Row],[City, State]]=Table2[Offices Matched]),0)),"")</f>
        <v/>
      </c>
      <c r="H111" s="50">
        <f>_xlfn.IFNA(INDEX(saCAGR[CAGR],MATCH(Table1[[#This Row],[Employer]],saCAGR[EIW Name],0)),"")</f>
        <v>1.0039475842332735</v>
      </c>
      <c r="I111" s="50">
        <f>IFERROR(Table1[[#This Row],[SA CAGR]]*Table1[[#This Row],[Number of Summer 2016 2L SAs]],"")</f>
        <v>2.0078951684665469</v>
      </c>
      <c r="J111" s="50">
        <v>15</v>
      </c>
      <c r="K111" s="51">
        <f>IFERROR(Table1[[#This Row],[Number of Summer 2016 NYU 2L SAs]]/Table1[[#This Row],[Interview Slots]],0)</f>
        <v>0.34883720930232559</v>
      </c>
      <c r="L111" s="51">
        <f>Table1[[#This Row],[Number of Summer 2016 2L SAs]]/Table1[[#This Row],[Interview Slots]]</f>
        <v>4.6511627906976744E-2</v>
      </c>
      <c r="M111" s="51">
        <f>IFERROR(Table1[[#This Row],[Number of Summer 2016 NYU 2L SAs]]/Table1[[#This Row],[Number of Summer 2016 2L SAs]],0)</f>
        <v>7.5</v>
      </c>
      <c r="N111" s="50" t="str">
        <f>IFERROR(RIGHT(Table1[[#This Row],[1st year]],LEN(Table1[[#This Row],[1st year]])-FIND(":",Table1[[#This Row],[1st year]])-1),"")</f>
        <v/>
      </c>
      <c r="O111" s="50" t="str">
        <f t="array" ref="O111">IFERROR(INDEX(Table2[Nth year],MATCH(1,(Table1[[#This Row],[Employer]]=Table2[EIW Name])*(Table1[[#This Row],[City, State]]=Table2[Offices Matched]),0)),"")</f>
        <v/>
      </c>
      <c r="P111" s="50" t="str">
        <f>IFERROR(RIGHT(Table1[[#This Row],[Nth year]],LEN(Table1[[#This Row],[Nth year]])-FIND(":",Table1[[#This Row],[Nth year]])-1),"")</f>
        <v/>
      </c>
      <c r="Q111" s="50" t="str">
        <f t="array" ref="Q111">IFERROR(INDEX(Table2[Am Law 200 PPP Rank ’16],MATCH(1,(Table1[[#This Row],[Employer]]=Table2[EIW Name])*(Table1[[#This Row],[City, State]]=Table2[Offices Matched]),0)),"")</f>
        <v/>
      </c>
      <c r="R111" s="50" t="str">
        <f>IFERROR(LEFT(Table1[[#This Row],[Am Law 200 PPP Rank ’16]],FIND(":",Table1[[#This Row],[Am Law 200 PPP Rank ’16]])-1),"")</f>
        <v/>
      </c>
      <c r="S111" s="50" t="str">
        <f>IFERROR(INDEX(VaultRank[Rank],MATCH(Table1[[#This Row],[Employer]],VaultRank[EIW Name],0)),"")</f>
        <v/>
      </c>
      <c r="T111" s="50" t="str">
        <f t="array" ref="T111">IFERROR(INDEX(Table2[Summers Matched],MATCH(1,(Table1[[#This Row],[Employer]]=Table2[EIW Name])*(Table1[[#This Row],[City, State]]=Table2[Offices Matched]),0)),"")</f>
        <v/>
      </c>
      <c r="U111" s="52" t="str">
        <f t="shared" si="1"/>
        <v/>
      </c>
      <c r="V111" s="60"/>
      <c r="W111" s="114">
        <v>42595</v>
      </c>
      <c r="X111"/>
    </row>
    <row r="112" spans="1:24" ht="14.1" customHeight="1">
      <c r="A112" s="45" t="s">
        <v>96</v>
      </c>
      <c r="B112" s="45" t="s">
        <v>364</v>
      </c>
      <c r="C112" s="45" t="s">
        <v>362</v>
      </c>
      <c r="D112" s="45" t="str">
        <f>Table1[[#This Row],[City]]&amp;", "&amp;Table1[[#This Row],[State]]</f>
        <v>New York, NY</v>
      </c>
      <c r="E112" s="49">
        <v>173</v>
      </c>
      <c r="F112" s="50">
        <v>43</v>
      </c>
      <c r="G112" s="50" t="str">
        <f t="array" ref="G112">IFERROR(INDEX(Table2[1st Year],MATCH(1,(Table1[[#This Row],[Employer]]=Table2[EIW Name])*(Table1[[#This Row],[City, State]]=Table2[Offices Matched]),0)),"")</f>
        <v>1st Year: $180K</v>
      </c>
      <c r="H112" s="51">
        <f>_xlfn.IFNA(INDEX(saCAGR[CAGR],MATCH(Table1[[#This Row],[Employer]],saCAGR[EIW Name],0)),"")</f>
        <v>1.039722134144117</v>
      </c>
      <c r="I112" s="50">
        <f>IFERROR(Table1[[#This Row],[SA CAGR]]*Table1[[#This Row],[Number of Summer 2016 2L SAs]],"")</f>
        <v>44.708051768197031</v>
      </c>
      <c r="J112" s="50">
        <v>8</v>
      </c>
      <c r="K112" s="51">
        <f>IFERROR(Table1[[#This Row],[Number of Summer 2016 NYU 2L SAs]]/Table1[[#This Row],[Interview Slots]],0)</f>
        <v>4.6242774566473986E-2</v>
      </c>
      <c r="L112" s="51">
        <f>Table1[[#This Row],[Number of Summer 2016 2L SAs]]/Table1[[#This Row],[Interview Slots]]</f>
        <v>0.24855491329479767</v>
      </c>
      <c r="M112" s="51">
        <f>IFERROR(Table1[[#This Row],[Number of Summer 2016 NYU 2L SAs]]/Table1[[#This Row],[Number of Summer 2016 2L SAs]],0)</f>
        <v>0.18604651162790697</v>
      </c>
      <c r="N112" s="50" t="str">
        <f>IFERROR(RIGHT(Table1[[#This Row],[1st year]],LEN(Table1[[#This Row],[1st year]])-FIND(":",Table1[[#This Row],[1st year]])-1),"")</f>
        <v>$180K</v>
      </c>
      <c r="O112" s="50" t="str">
        <f t="array" ref="O112">IFERROR(INDEX(Table2[Nth year],MATCH(1,(Table1[[#This Row],[Employer]]=Table2[EIW Name])*(Table1[[#This Row],[City, State]]=Table2[Offices Matched]),0)),"")</f>
        <v>8th Year: $315K</v>
      </c>
      <c r="P112" s="50" t="str">
        <f>IFERROR(RIGHT(Table1[[#This Row],[Nth year]],LEN(Table1[[#This Row],[Nth year]])-FIND(":",Table1[[#This Row],[Nth year]])-1),"")</f>
        <v>$315K</v>
      </c>
      <c r="Q112" s="50" t="str">
        <f t="array" ref="Q112">IFERROR(INDEX(Table2[Am Law 200 PPP Rank ’16],MATCH(1,(Table1[[#This Row],[Employer]]=Table2[EIW Name])*(Table1[[#This Row],[City, State]]=Table2[Offices Matched]),0)),"")</f>
        <v>28: $2.07M</v>
      </c>
      <c r="R112" s="50" t="str">
        <f>IFERROR(LEFT(Table1[[#This Row],[Am Law 200 PPP Rank ’16]],FIND(":",Table1[[#This Row],[Am Law 200 PPP Rank ’16]])-1),"")</f>
        <v>28</v>
      </c>
      <c r="S112" s="50">
        <f>IFERROR(INDEX(VaultRank[Rank],MATCH(Table1[[#This Row],[Employer]],VaultRank[EIW Name],0)),"")</f>
        <v>14</v>
      </c>
      <c r="T112" s="50" t="str">
        <f t="array" ref="T112">IFERROR(INDEX(Table2[Summers Matched],MATCH(1,(Table1[[#This Row],[Employer]]=Table2[EIW Name])*(Table1[[#This Row],[City, State]]=Table2[Offices Matched]),0)),"")</f>
        <v>Yes</v>
      </c>
      <c r="U112" s="52">
        <f t="shared" si="1"/>
        <v>3.4</v>
      </c>
      <c r="V112" s="60"/>
      <c r="W112" s="114">
        <v>42592</v>
      </c>
      <c r="X112"/>
    </row>
    <row r="113" spans="1:24" ht="14.1" customHeight="1">
      <c r="A113" s="45" t="s">
        <v>171</v>
      </c>
      <c r="B113" s="45" t="s">
        <v>364</v>
      </c>
      <c r="C113" s="45" t="s">
        <v>362</v>
      </c>
      <c r="D113" s="45" t="str">
        <f>Table1[[#This Row],[City]]&amp;", "&amp;Table1[[#This Row],[State]]</f>
        <v>New York, NY</v>
      </c>
      <c r="E113" s="49">
        <v>133</v>
      </c>
      <c r="F113" s="50">
        <v>45</v>
      </c>
      <c r="G113" s="50" t="str">
        <f t="array" ref="G113">IFERROR(INDEX(Table2[1st Year],MATCH(1,(Table1[[#This Row],[Employer]]=Table2[EIW Name])*(Table1[[#This Row],[City, State]]=Table2[Offices Matched]),0)),"")</f>
        <v>1st Year: $180K</v>
      </c>
      <c r="H113" s="51">
        <f>_xlfn.IFNA(INDEX(saCAGR[CAGR],MATCH(Table1[[#This Row],[Employer]],saCAGR[EIW Name],0)),"")</f>
        <v>1.0166994931496538</v>
      </c>
      <c r="I113" s="50">
        <f>IFERROR(Table1[[#This Row],[SA CAGR]]*Table1[[#This Row],[Number of Summer 2016 2L SAs]],"")</f>
        <v>45.751477191734423</v>
      </c>
      <c r="J113" s="50">
        <v>24</v>
      </c>
      <c r="K113" s="51">
        <f>IFERROR(Table1[[#This Row],[Number of Summer 2016 NYU 2L SAs]]/Table1[[#This Row],[Interview Slots]],0)</f>
        <v>0.18045112781954886</v>
      </c>
      <c r="L113" s="51">
        <f>Table1[[#This Row],[Number of Summer 2016 2L SAs]]/Table1[[#This Row],[Interview Slots]]</f>
        <v>0.33834586466165412</v>
      </c>
      <c r="M113" s="51">
        <f>IFERROR(Table1[[#This Row],[Number of Summer 2016 NYU 2L SAs]]/Table1[[#This Row],[Number of Summer 2016 2L SAs]],0)</f>
        <v>0.53333333333333333</v>
      </c>
      <c r="N113" s="50" t="str">
        <f>IFERROR(RIGHT(Table1[[#This Row],[1st year]],LEN(Table1[[#This Row],[1st year]])-FIND(":",Table1[[#This Row],[1st year]])-1),"")</f>
        <v>$180K</v>
      </c>
      <c r="O113" s="50" t="str">
        <f t="array" ref="O113">IFERROR(INDEX(Table2[Nth year],MATCH(1,(Table1[[#This Row],[Employer]]=Table2[EIW Name])*(Table1[[#This Row],[City, State]]=Table2[Offices Matched]),0)),"")</f>
        <v>8th Year: $315K</v>
      </c>
      <c r="P113" s="50" t="str">
        <f>IFERROR(RIGHT(Table1[[#This Row],[Nth year]],LEN(Table1[[#This Row],[Nth year]])-FIND(":",Table1[[#This Row],[Nth year]])-1),"")</f>
        <v>$315K</v>
      </c>
      <c r="Q113" s="50" t="str">
        <f t="array" ref="Q113">IFERROR(INDEX(Table2[Am Law 200 PPP Rank ’16],MATCH(1,(Table1[[#This Row],[Employer]]=Table2[EIW Name])*(Table1[[#This Row],[City, State]]=Table2[Offices Matched]),0)),"")</f>
        <v>31: $2.02M</v>
      </c>
      <c r="R113" s="50" t="str">
        <f>IFERROR(LEFT(Table1[[#This Row],[Am Law 200 PPP Rank ’16]],FIND(":",Table1[[#This Row],[Am Law 200 PPP Rank ’16]])-1),"")</f>
        <v>31</v>
      </c>
      <c r="S113" s="50">
        <f>IFERROR(INDEX(VaultRank[Rank],MATCH(Table1[[#This Row],[Employer]],VaultRank[EIW Name],0)),"")</f>
        <v>21</v>
      </c>
      <c r="T113" s="50" t="str">
        <f t="array" ref="T113">IFERROR(INDEX(Table2[Summers Matched],MATCH(1,(Table1[[#This Row],[Employer]]=Table2[EIW Name])*(Table1[[#This Row],[City, State]]=Table2[Offices Matched]),0)),"")</f>
        <v>Yes</v>
      </c>
      <c r="U113" s="52" t="str">
        <f t="shared" si="1"/>
        <v/>
      </c>
      <c r="V113" s="60"/>
      <c r="W113" s="114">
        <v>42593</v>
      </c>
      <c r="X113"/>
    </row>
    <row r="114" spans="1:24" ht="14.1" customHeight="1">
      <c r="A114" s="45" t="s">
        <v>171</v>
      </c>
      <c r="B114" s="45" t="s">
        <v>303</v>
      </c>
      <c r="C114" s="45" t="s">
        <v>304</v>
      </c>
      <c r="D114" s="45" t="str">
        <f>Table1[[#This Row],[City]]&amp;", "&amp;Table1[[#This Row],[State]]</f>
        <v>Chicago, IL</v>
      </c>
      <c r="E114" s="49">
        <v>50</v>
      </c>
      <c r="F114" s="50">
        <v>12</v>
      </c>
      <c r="G114" s="50" t="str">
        <f t="array" ref="G114">IFERROR(INDEX(Table2[1st Year],MATCH(1,(Table1[[#This Row],[Employer]]=Table2[EIW Name])*(Table1[[#This Row],[City, State]]=Table2[Offices Matched]),0)),"")</f>
        <v>1st Year: $180K</v>
      </c>
      <c r="H114" s="51">
        <f>_xlfn.IFNA(INDEX(saCAGR[CAGR],MATCH(Table1[[#This Row],[Employer]],saCAGR[EIW Name],0)),"")</f>
        <v>1.0166994931496538</v>
      </c>
      <c r="I114" s="50">
        <f>IFERROR(Table1[[#This Row],[SA CAGR]]*Table1[[#This Row],[Number of Summer 2016 2L SAs]],"")</f>
        <v>12.200393917795846</v>
      </c>
      <c r="J114" s="50">
        <v>11</v>
      </c>
      <c r="K114" s="51">
        <f>IFERROR(Table1[[#This Row],[Number of Summer 2016 NYU 2L SAs]]/Table1[[#This Row],[Interview Slots]],0)</f>
        <v>0.22</v>
      </c>
      <c r="L114" s="51">
        <f>Table1[[#This Row],[Number of Summer 2016 2L SAs]]/Table1[[#This Row],[Interview Slots]]</f>
        <v>0.24</v>
      </c>
      <c r="M114" s="51">
        <f>IFERROR(Table1[[#This Row],[Number of Summer 2016 NYU 2L SAs]]/Table1[[#This Row],[Number of Summer 2016 2L SAs]],0)</f>
        <v>0.91666666666666663</v>
      </c>
      <c r="N114" s="50" t="str">
        <f>IFERROR(RIGHT(Table1[[#This Row],[1st year]],LEN(Table1[[#This Row],[1st year]])-FIND(":",Table1[[#This Row],[1st year]])-1),"")</f>
        <v>$180K</v>
      </c>
      <c r="O114" s="50" t="str">
        <f t="array" ref="O114">IFERROR(INDEX(Table2[Nth year],MATCH(1,(Table1[[#This Row],[Employer]]=Table2[EIW Name])*(Table1[[#This Row],[City, State]]=Table2[Offices Matched]),0)),"")</f>
        <v>8th Year: $315K</v>
      </c>
      <c r="P114" s="50" t="str">
        <f>IFERROR(RIGHT(Table1[[#This Row],[Nth year]],LEN(Table1[[#This Row],[Nth year]])-FIND(":",Table1[[#This Row],[Nth year]])-1),"")</f>
        <v>$315K</v>
      </c>
      <c r="Q114" s="50" t="str">
        <f t="array" ref="Q114">IFERROR(INDEX(Table2[Am Law 200 PPP Rank ’16],MATCH(1,(Table1[[#This Row],[Employer]]=Table2[EIW Name])*(Table1[[#This Row],[City, State]]=Table2[Offices Matched]),0)),"")</f>
        <v>31: $2.02M</v>
      </c>
      <c r="R114" s="50" t="str">
        <f>IFERROR(LEFT(Table1[[#This Row],[Am Law 200 PPP Rank ’16]],FIND(":",Table1[[#This Row],[Am Law 200 PPP Rank ’16]])-1),"")</f>
        <v>31</v>
      </c>
      <c r="S114" s="50">
        <f>IFERROR(INDEX(VaultRank[Rank],MATCH(Table1[[#This Row],[Employer]],VaultRank[EIW Name],0)),"")</f>
        <v>21</v>
      </c>
      <c r="T114" s="50" t="str">
        <f t="array" ref="T114">IFERROR(INDEX(Table2[Summers Matched],MATCH(1,(Table1[[#This Row],[Employer]]=Table2[EIW Name])*(Table1[[#This Row],[City, State]]=Table2[Offices Matched]),0)),"")</f>
        <v>Yes</v>
      </c>
      <c r="U114" s="52" t="str">
        <f t="shared" si="1"/>
        <v/>
      </c>
      <c r="V114" s="60"/>
      <c r="W114" s="114">
        <v>42593</v>
      </c>
      <c r="X114"/>
    </row>
    <row r="115" spans="1:24" ht="14.1" customHeight="1">
      <c r="A115" s="45" t="s">
        <v>154</v>
      </c>
      <c r="B115" s="45" t="s">
        <v>303</v>
      </c>
      <c r="C115" s="45" t="s">
        <v>304</v>
      </c>
      <c r="D115" s="45" t="str">
        <f>Table1[[#This Row],[City]]&amp;", "&amp;Table1[[#This Row],[State]]</f>
        <v>Chicago, IL</v>
      </c>
      <c r="E115" s="49">
        <v>133</v>
      </c>
      <c r="F115" s="50">
        <v>12</v>
      </c>
      <c r="G115" s="50" t="str">
        <f t="array" ref="G115">IFERROR(INDEX(Table2[1st Year],MATCH(1,(Table1[[#This Row],[Employer]]=Table2[EIW Name])*(Table1[[#This Row],[City, State]]=Table2[Offices Matched]),0)),"")</f>
        <v>1st Year: $180K</v>
      </c>
      <c r="H115" s="50">
        <f>_xlfn.IFNA(INDEX(saCAGR[CAGR],MATCH(Table1[[#This Row],[Employer]],saCAGR[EIW Name],0)),"")</f>
        <v>1.0137917817793485</v>
      </c>
      <c r="I115" s="50">
        <f>IFERROR(Table1[[#This Row],[SA CAGR]]*Table1[[#This Row],[Number of Summer 2016 2L SAs]],"")</f>
        <v>12.165501381352183</v>
      </c>
      <c r="J115" s="50">
        <v>10</v>
      </c>
      <c r="K115" s="51">
        <f>IFERROR(Table1[[#This Row],[Number of Summer 2016 NYU 2L SAs]]/Table1[[#This Row],[Interview Slots]],0)</f>
        <v>7.5187969924812026E-2</v>
      </c>
      <c r="L115" s="51">
        <f>Table1[[#This Row],[Number of Summer 2016 2L SAs]]/Table1[[#This Row],[Interview Slots]]</f>
        <v>9.0225563909774431E-2</v>
      </c>
      <c r="M115" s="51">
        <f>IFERROR(Table1[[#This Row],[Number of Summer 2016 NYU 2L SAs]]/Table1[[#This Row],[Number of Summer 2016 2L SAs]],0)</f>
        <v>0.83333333333333337</v>
      </c>
      <c r="N115" s="50" t="str">
        <f>IFERROR(RIGHT(Table1[[#This Row],[1st year]],LEN(Table1[[#This Row],[1st year]])-FIND(":",Table1[[#This Row],[1st year]])-1),"")</f>
        <v>$180K</v>
      </c>
      <c r="O115" s="50" t="str">
        <f t="array" ref="O115">IFERROR(INDEX(Table2[Nth year],MATCH(1,(Table1[[#This Row],[Employer]]=Table2[EIW Name])*(Table1[[#This Row],[City, State]]=Table2[Offices Matched]),0)),"")</f>
        <v>8th Year: $315K</v>
      </c>
      <c r="P115" s="50" t="str">
        <f>IFERROR(RIGHT(Table1[[#This Row],[Nth year]],LEN(Table1[[#This Row],[Nth year]])-FIND(":",Table1[[#This Row],[Nth year]])-1),"")</f>
        <v>$315K</v>
      </c>
      <c r="Q115" s="50" t="str">
        <f t="array" ref="Q115">IFERROR(INDEX(Table2[Am Law 200 PPP Rank ’16],MATCH(1,(Table1[[#This Row],[Employer]]=Table2[EIW Name])*(Table1[[#This Row],[City, State]]=Table2[Offices Matched]),0)),"")</f>
        <v>23: $2.51</v>
      </c>
      <c r="R115" s="50" t="str">
        <f>IFERROR(LEFT(Table1[[#This Row],[Am Law 200 PPP Rank ’16]],FIND(":",Table1[[#This Row],[Am Law 200 PPP Rank ’16]])-1),"")</f>
        <v>23</v>
      </c>
      <c r="S115" s="50">
        <f>IFERROR(INDEX(VaultRank[Rank],MATCH(Table1[[#This Row],[Employer]],VaultRank[EIW Name],0)),"")</f>
        <v>24</v>
      </c>
      <c r="T115" s="50" t="str">
        <f t="array" ref="T115">IFERROR(INDEX(Table2[Summers Matched],MATCH(1,(Table1[[#This Row],[Employer]]=Table2[EIW Name])*(Table1[[#This Row],[City, State]]=Table2[Offices Matched]),0)),"")</f>
        <v>TBD</v>
      </c>
      <c r="U115" s="52">
        <f t="shared" si="1"/>
        <v>3.6</v>
      </c>
      <c r="V115" s="60"/>
      <c r="W115" s="114">
        <v>42593</v>
      </c>
      <c r="X115"/>
    </row>
    <row r="116" spans="1:24" ht="14.1" customHeight="1">
      <c r="A116" s="45" t="s">
        <v>154</v>
      </c>
      <c r="B116" s="45" t="s">
        <v>364</v>
      </c>
      <c r="C116" s="45" t="s">
        <v>362</v>
      </c>
      <c r="D116" s="45" t="str">
        <f>Table1[[#This Row],[City]]&amp;", "&amp;Table1[[#This Row],[State]]</f>
        <v>New York, NY</v>
      </c>
      <c r="E116" s="49">
        <v>23</v>
      </c>
      <c r="F116" s="50">
        <v>45</v>
      </c>
      <c r="G116" s="50" t="str">
        <f t="array" ref="G116">IFERROR(INDEX(Table2[1st Year],MATCH(1,(Table1[[#This Row],[Employer]]=Table2[EIW Name])*(Table1[[#This Row],[City, State]]=Table2[Offices Matched]),0)),"")</f>
        <v>1st Year: $180K</v>
      </c>
      <c r="H116" s="51">
        <f>_xlfn.IFNA(INDEX(saCAGR[CAGR],MATCH(Table1[[#This Row],[Employer]],saCAGR[EIW Name],0)),"")</f>
        <v>1.0137917817793485</v>
      </c>
      <c r="I116" s="50">
        <f>IFERROR(Table1[[#This Row],[SA CAGR]]*Table1[[#This Row],[Number of Summer 2016 2L SAs]],"")</f>
        <v>45.620630180070684</v>
      </c>
      <c r="J116" s="50">
        <v>3</v>
      </c>
      <c r="K116" s="51">
        <f>IFERROR(Table1[[#This Row],[Number of Summer 2016 NYU 2L SAs]]/Table1[[#This Row],[Interview Slots]],0)</f>
        <v>0.13043478260869565</v>
      </c>
      <c r="L116" s="51">
        <f>Table1[[#This Row],[Number of Summer 2016 2L SAs]]/Table1[[#This Row],[Interview Slots]]</f>
        <v>1.9565217391304348</v>
      </c>
      <c r="M116" s="51">
        <f>IFERROR(Table1[[#This Row],[Number of Summer 2016 NYU 2L SAs]]/Table1[[#This Row],[Number of Summer 2016 2L SAs]],0)</f>
        <v>6.6666666666666666E-2</v>
      </c>
      <c r="N116" s="50" t="str">
        <f>IFERROR(RIGHT(Table1[[#This Row],[1st year]],LEN(Table1[[#This Row],[1st year]])-FIND(":",Table1[[#This Row],[1st year]])-1),"")</f>
        <v>$180K</v>
      </c>
      <c r="O116" s="50" t="str">
        <f t="array" ref="O116">IFERROR(INDEX(Table2[Nth year],MATCH(1,(Table1[[#This Row],[Employer]]=Table2[EIW Name])*(Table1[[#This Row],[City, State]]=Table2[Offices Matched]),0)),"")</f>
        <v>8th Year: $315K</v>
      </c>
      <c r="P116" s="50" t="str">
        <f>IFERROR(RIGHT(Table1[[#This Row],[Nth year]],LEN(Table1[[#This Row],[Nth year]])-FIND(":",Table1[[#This Row],[Nth year]])-1),"")</f>
        <v>$315K</v>
      </c>
      <c r="Q116" s="50" t="str">
        <f t="array" ref="Q116">IFERROR(INDEX(Table2[Am Law 200 PPP Rank ’16],MATCH(1,(Table1[[#This Row],[Employer]]=Table2[EIW Name])*(Table1[[#This Row],[City, State]]=Table2[Offices Matched]),0)),"")</f>
        <v>23: $2.51</v>
      </c>
      <c r="R116" s="50" t="str">
        <f>IFERROR(LEFT(Table1[[#This Row],[Am Law 200 PPP Rank ’16]],FIND(":",Table1[[#This Row],[Am Law 200 PPP Rank ’16]])-1),"")</f>
        <v>23</v>
      </c>
      <c r="S116" s="50">
        <f>IFERROR(INDEX(VaultRank[Rank],MATCH(Table1[[#This Row],[Employer]],VaultRank[EIW Name],0)),"")</f>
        <v>24</v>
      </c>
      <c r="T116" s="50" t="str">
        <f t="array" ref="T116">IFERROR(INDEX(Table2[Summers Matched],MATCH(1,(Table1[[#This Row],[Employer]]=Table2[EIW Name])*(Table1[[#This Row],[City, State]]=Table2[Offices Matched]),0)),"")</f>
        <v>TBD</v>
      </c>
      <c r="U116" s="52" t="str">
        <f t="shared" si="1"/>
        <v/>
      </c>
      <c r="V116" s="60"/>
      <c r="W116" s="114">
        <v>42593</v>
      </c>
      <c r="X116"/>
    </row>
    <row r="117" spans="1:24" ht="14.1" customHeight="1">
      <c r="A117" s="45" t="s">
        <v>483</v>
      </c>
      <c r="B117" s="45" t="s">
        <v>364</v>
      </c>
      <c r="C117" s="45" t="s">
        <v>362</v>
      </c>
      <c r="D117" s="45" t="str">
        <f>Table1[[#This Row],[City]]&amp;", "&amp;Table1[[#This Row],[State]]</f>
        <v>New York, NY</v>
      </c>
      <c r="E117" s="49">
        <v>19</v>
      </c>
      <c r="F117" s="50">
        <v>20</v>
      </c>
      <c r="G117" s="50" t="str">
        <f t="array" ref="G117">IFERROR(INDEX(Table2[1st Year],MATCH(1,(Table1[[#This Row],[Employer]]=Table2[EIW Name])*(Table1[[#This Row],[City, State]]=Table2[Offices Matched]),0)),"")</f>
        <v>1st Year: $180K</v>
      </c>
      <c r="H117" s="51">
        <f>_xlfn.IFNA(INDEX(saCAGR[CAGR],MATCH(Table1[[#This Row],[Employer]],saCAGR[EIW Name],0)),"")</f>
        <v>1.0053416618593545</v>
      </c>
      <c r="I117" s="50">
        <f>IFERROR(Table1[[#This Row],[SA CAGR]]*Table1[[#This Row],[Number of Summer 2016 2L SAs]],"")</f>
        <v>20.106833237187089</v>
      </c>
      <c r="J117" s="50">
        <v>23</v>
      </c>
      <c r="K117" s="51">
        <f>IFERROR(Table1[[#This Row],[Number of Summer 2016 NYU 2L SAs]]/Table1[[#This Row],[Interview Slots]],0)</f>
        <v>1.2105263157894737</v>
      </c>
      <c r="L117" s="51">
        <f>Table1[[#This Row],[Number of Summer 2016 2L SAs]]/Table1[[#This Row],[Interview Slots]]</f>
        <v>1.0526315789473684</v>
      </c>
      <c r="M117" s="51">
        <f>IFERROR(Table1[[#This Row],[Number of Summer 2016 NYU 2L SAs]]/Table1[[#This Row],[Number of Summer 2016 2L SAs]],0)</f>
        <v>1.1499999999999999</v>
      </c>
      <c r="N117" s="50" t="str">
        <f>IFERROR(RIGHT(Table1[[#This Row],[1st year]],LEN(Table1[[#This Row],[1st year]])-FIND(":",Table1[[#This Row],[1st year]])-1),"")</f>
        <v>$180K</v>
      </c>
      <c r="O117" s="50" t="str">
        <f t="array" ref="O117">IFERROR(INDEX(Table2[Nth year],MATCH(1,(Table1[[#This Row],[Employer]]=Table2[EIW Name])*(Table1[[#This Row],[City, State]]=Table2[Offices Matched]),0)),"")</f>
        <v>8th Year: $315K</v>
      </c>
      <c r="P117" s="50" t="str">
        <f>IFERROR(RIGHT(Table1[[#This Row],[Nth year]],LEN(Table1[[#This Row],[Nth year]])-FIND(":",Table1[[#This Row],[Nth year]])-1),"")</f>
        <v>$315K</v>
      </c>
      <c r="Q117" s="50" t="str">
        <f t="array" ref="Q117">IFERROR(INDEX(Table2[Am Law 200 PPP Rank ’16],MATCH(1,(Table1[[#This Row],[Employer]]=Table2[EIW Name])*(Table1[[#This Row],[City, State]]=Table2[Offices Matched]),0)),"")</f>
        <v>47: $1.76M</v>
      </c>
      <c r="R117" s="50" t="str">
        <f>IFERROR(LEFT(Table1[[#This Row],[Am Law 200 PPP Rank ’16]],FIND(":",Table1[[#This Row],[Am Law 200 PPP Rank ’16]])-1),"")</f>
        <v>47</v>
      </c>
      <c r="S117" s="50">
        <f>IFERROR(INDEX(VaultRank[Rank],MATCH(Table1[[#This Row],[Employer]],VaultRank[EIW Name],0)),"")</f>
        <v>26</v>
      </c>
      <c r="T117" s="50" t="str">
        <f t="array" ref="T117">IFERROR(INDEX(Table2[Summers Matched],MATCH(1,(Table1[[#This Row],[Employer]]=Table2[EIW Name])*(Table1[[#This Row],[City, State]]=Table2[Offices Matched]),0)),"")</f>
        <v>TBD</v>
      </c>
      <c r="U117" s="52" t="str">
        <f t="shared" si="1"/>
        <v/>
      </c>
      <c r="V117" s="60"/>
      <c r="W117" s="114">
        <v>42594</v>
      </c>
      <c r="X117"/>
    </row>
    <row r="118" spans="1:24" ht="14.1" customHeight="1">
      <c r="A118" s="45" t="s">
        <v>381</v>
      </c>
      <c r="B118" s="45" t="s">
        <v>382</v>
      </c>
      <c r="C118" s="45" t="s">
        <v>300</v>
      </c>
      <c r="D118" s="45" t="str">
        <f>Table1[[#This Row],[City]]&amp;", "&amp;Table1[[#This Row],[State]]</f>
        <v>Menlo Park, CA</v>
      </c>
      <c r="E118" s="49">
        <v>172</v>
      </c>
      <c r="F118" s="50">
        <v>10</v>
      </c>
      <c r="G118" s="50" t="str">
        <f t="array" ref="G118">IFERROR(INDEX(Table2[1st Year],MATCH(1,(Table1[[#This Row],[Employer]]=Table2[EIW Name])*(Table1[[#This Row],[City, State]]=Table2[Offices Matched]),0)),"")</f>
        <v>1st Year: $180K</v>
      </c>
      <c r="H118" s="50">
        <f>_xlfn.IFNA(INDEX(saCAGR[CAGR],MATCH(Table1[[#This Row],[Employer]],saCAGR[EIW Name],0)),"")</f>
        <v>1.0114075900573098</v>
      </c>
      <c r="I118" s="50">
        <f>IFERROR(Table1[[#This Row],[SA CAGR]]*Table1[[#This Row],[Number of Summer 2016 2L SAs]],"")</f>
        <v>10.114075900573098</v>
      </c>
      <c r="J118" s="50">
        <v>6</v>
      </c>
      <c r="K118" s="51">
        <f>IFERROR(Table1[[#This Row],[Number of Summer 2016 NYU 2L SAs]]/Table1[[#This Row],[Interview Slots]],0)</f>
        <v>3.4883720930232558E-2</v>
      </c>
      <c r="L118" s="51">
        <f>Table1[[#This Row],[Number of Summer 2016 2L SAs]]/Table1[[#This Row],[Interview Slots]]</f>
        <v>5.8139534883720929E-2</v>
      </c>
      <c r="M118" s="51">
        <f>IFERROR(Table1[[#This Row],[Number of Summer 2016 NYU 2L SAs]]/Table1[[#This Row],[Number of Summer 2016 2L SAs]],0)</f>
        <v>0.6</v>
      </c>
      <c r="N118" s="50" t="str">
        <f>IFERROR(RIGHT(Table1[[#This Row],[1st year]],LEN(Table1[[#This Row],[1st year]])-FIND(":",Table1[[#This Row],[1st year]])-1),"")</f>
        <v>$180K</v>
      </c>
      <c r="O118" s="50" t="str">
        <f t="array" ref="O118">IFERROR(INDEX(Table2[Nth year],MATCH(1,(Table1[[#This Row],[Employer]]=Table2[EIW Name])*(Table1[[#This Row],[City, State]]=Table2[Offices Matched]),0)),"")</f>
        <v>9th Year+: $325K</v>
      </c>
      <c r="P118" s="50" t="str">
        <f>IFERROR(RIGHT(Table1[[#This Row],[Nth year]],LEN(Table1[[#This Row],[Nth year]])-FIND(":",Table1[[#This Row],[Nth year]])-1),"")</f>
        <v>$325K</v>
      </c>
      <c r="Q118" s="50" t="str">
        <f t="array" ref="Q118">IFERROR(INDEX(Table2[Am Law 200 PPP Rank ’16],MATCH(1,(Table1[[#This Row],[Employer]]=Table2[EIW Name])*(Table1[[#This Row],[City, State]]=Table2[Offices Matched]),0)),"")</f>
        <v>9: $3.31M</v>
      </c>
      <c r="R118" s="50" t="str">
        <f>IFERROR(LEFT(Table1[[#This Row],[Am Law 200 PPP Rank ’16]],FIND(":",Table1[[#This Row],[Am Law 200 PPP Rank ’16]])-1),"")</f>
        <v>9</v>
      </c>
      <c r="S118" s="50">
        <f>IFERROR(INDEX(VaultRank[Rank],MATCH(Table1[[#This Row],[Employer]],VaultRank[EIW Name],0)),"")</f>
        <v>5</v>
      </c>
      <c r="T118" s="50" t="str">
        <f t="array" ref="T118">IFERROR(INDEX(Table2[Summers Matched],MATCH(1,(Table1[[#This Row],[Employer]]=Table2[EIW Name])*(Table1[[#This Row],[City, State]]=Table2[Offices Matched]),0)),"")</f>
        <v>Yes</v>
      </c>
      <c r="U118" s="52" t="str">
        <f t="shared" si="1"/>
        <v/>
      </c>
      <c r="V118" s="60"/>
      <c r="W118" s="114">
        <v>42593</v>
      </c>
      <c r="X118"/>
    </row>
    <row r="119" spans="1:24" ht="14.1" customHeight="1">
      <c r="A119" s="45" t="s">
        <v>384</v>
      </c>
      <c r="B119" s="45" t="s">
        <v>385</v>
      </c>
      <c r="C119" s="45" t="s">
        <v>386</v>
      </c>
      <c r="D119" s="45" t="str">
        <f>Table1[[#This Row],[City]]&amp;", "&amp;Table1[[#This Row],[State]]</f>
        <v>Portland, OR</v>
      </c>
      <c r="E119" s="49">
        <v>69</v>
      </c>
      <c r="F119" s="50">
        <v>2</v>
      </c>
      <c r="G119" s="50" t="str">
        <f t="array" ref="G119">IFERROR(INDEX(Table2[1st Year],MATCH(1,(Table1[[#This Row],[Employer]]=Table2[EIW Name])*(Table1[[#This Row],[City, State]]=Table2[Offices Matched]),0)),"")</f>
        <v/>
      </c>
      <c r="H119" s="50" t="str">
        <f>_xlfn.IFNA(INDEX(saCAGR[CAGR],MATCH(Table1[[#This Row],[Employer]],saCAGR[EIW Name],0)),"")</f>
        <v/>
      </c>
      <c r="I119" s="50" t="str">
        <f>IFERROR(Table1[[#This Row],[SA CAGR]]*Table1[[#This Row],[Number of Summer 2016 2L SAs]],"")</f>
        <v/>
      </c>
      <c r="J119" s="50">
        <v>14</v>
      </c>
      <c r="K119" s="51">
        <f>IFERROR(Table1[[#This Row],[Number of Summer 2016 NYU 2L SAs]]/Table1[[#This Row],[Interview Slots]],0)</f>
        <v>0.20289855072463769</v>
      </c>
      <c r="L119" s="51">
        <f>Table1[[#This Row],[Number of Summer 2016 2L SAs]]/Table1[[#This Row],[Interview Slots]]</f>
        <v>2.8985507246376812E-2</v>
      </c>
      <c r="M119" s="51">
        <f>IFERROR(Table1[[#This Row],[Number of Summer 2016 NYU 2L SAs]]/Table1[[#This Row],[Number of Summer 2016 2L SAs]],0)</f>
        <v>7</v>
      </c>
      <c r="N119" s="50" t="str">
        <f>IFERROR(RIGHT(Table1[[#This Row],[1st year]],LEN(Table1[[#This Row],[1st year]])-FIND(":",Table1[[#This Row],[1st year]])-1),"")</f>
        <v/>
      </c>
      <c r="O119" s="50" t="str">
        <f t="array" ref="O119">IFERROR(INDEX(Table2[Nth year],MATCH(1,(Table1[[#This Row],[Employer]]=Table2[EIW Name])*(Table1[[#This Row],[City, State]]=Table2[Offices Matched]),0)),"")</f>
        <v/>
      </c>
      <c r="P119" s="50" t="str">
        <f>IFERROR(RIGHT(Table1[[#This Row],[Nth year]],LEN(Table1[[#This Row],[Nth year]])-FIND(":",Table1[[#This Row],[Nth year]])-1),"")</f>
        <v/>
      </c>
      <c r="Q119" s="50" t="str">
        <f t="array" ref="Q119">IFERROR(INDEX(Table2[Am Law 200 PPP Rank ’16],MATCH(1,(Table1[[#This Row],[Employer]]=Table2[EIW Name])*(Table1[[#This Row],[City, State]]=Table2[Offices Matched]),0)),"")</f>
        <v/>
      </c>
      <c r="R119" s="50" t="str">
        <f>IFERROR(LEFT(Table1[[#This Row],[Am Law 200 PPP Rank ’16]],FIND(":",Table1[[#This Row],[Am Law 200 PPP Rank ’16]])-1),"")</f>
        <v/>
      </c>
      <c r="S119" s="50" t="str">
        <f>IFERROR(INDEX(VaultRank[Rank],MATCH(Table1[[#This Row],[Employer]],VaultRank[EIW Name],0)),"")</f>
        <v/>
      </c>
      <c r="T119" s="50" t="str">
        <f t="array" ref="T119">IFERROR(INDEX(Table2[Summers Matched],MATCH(1,(Table1[[#This Row],[Employer]]=Table2[EIW Name])*(Table1[[#This Row],[City, State]]=Table2[Offices Matched]),0)),"")</f>
        <v/>
      </c>
      <c r="U119" s="52" t="str">
        <f t="shared" si="1"/>
        <v/>
      </c>
      <c r="V119" s="60"/>
      <c r="W119" s="114">
        <v>42592</v>
      </c>
      <c r="X119"/>
    </row>
    <row r="120" spans="1:24" ht="14.1" customHeight="1">
      <c r="A120" s="45" t="s">
        <v>384</v>
      </c>
      <c r="B120" s="45" t="s">
        <v>332</v>
      </c>
      <c r="C120" s="45" t="s">
        <v>333</v>
      </c>
      <c r="D120" s="45" t="str">
        <f>Table1[[#This Row],[City]]&amp;", "&amp;Table1[[#This Row],[State]]</f>
        <v>Seattle, WA</v>
      </c>
      <c r="E120" s="49">
        <v>16</v>
      </c>
      <c r="F120" s="50">
        <v>5</v>
      </c>
      <c r="G120" s="50" t="str">
        <f t="array" ref="G120">IFERROR(INDEX(Table2[1st Year],MATCH(1,(Table1[[#This Row],[Employer]]=Table2[EIW Name])*(Table1[[#This Row],[City, State]]=Table2[Offices Matched]),0)),"")</f>
        <v/>
      </c>
      <c r="H120" s="50" t="str">
        <f>_xlfn.IFNA(INDEX(saCAGR[CAGR],MATCH(Table1[[#This Row],[Employer]],saCAGR[EIW Name],0)),"")</f>
        <v/>
      </c>
      <c r="I120" s="50" t="str">
        <f>IFERROR(Table1[[#This Row],[SA CAGR]]*Table1[[#This Row],[Number of Summer 2016 2L SAs]],"")</f>
        <v/>
      </c>
      <c r="J120" s="50">
        <v>7</v>
      </c>
      <c r="K120" s="51">
        <f>IFERROR(Table1[[#This Row],[Number of Summer 2016 NYU 2L SAs]]/Table1[[#This Row],[Interview Slots]],0)</f>
        <v>0.4375</v>
      </c>
      <c r="L120" s="51">
        <f>Table1[[#This Row],[Number of Summer 2016 2L SAs]]/Table1[[#This Row],[Interview Slots]]</f>
        <v>0.3125</v>
      </c>
      <c r="M120" s="51">
        <f>IFERROR(Table1[[#This Row],[Number of Summer 2016 NYU 2L SAs]]/Table1[[#This Row],[Number of Summer 2016 2L SAs]],0)</f>
        <v>1.4</v>
      </c>
      <c r="N120" s="50" t="str">
        <f>IFERROR(RIGHT(Table1[[#This Row],[1st year]],LEN(Table1[[#This Row],[1st year]])-FIND(":",Table1[[#This Row],[1st year]])-1),"")</f>
        <v/>
      </c>
      <c r="O120" s="50" t="str">
        <f t="array" ref="O120">IFERROR(INDEX(Table2[Nth year],MATCH(1,(Table1[[#This Row],[Employer]]=Table2[EIW Name])*(Table1[[#This Row],[City, State]]=Table2[Offices Matched]),0)),"")</f>
        <v/>
      </c>
      <c r="P120" s="50" t="str">
        <f>IFERROR(RIGHT(Table1[[#This Row],[Nth year]],LEN(Table1[[#This Row],[Nth year]])-FIND(":",Table1[[#This Row],[Nth year]])-1),"")</f>
        <v/>
      </c>
      <c r="Q120" s="50" t="str">
        <f t="array" ref="Q120">IFERROR(INDEX(Table2[Am Law 200 PPP Rank ’16],MATCH(1,(Table1[[#This Row],[Employer]]=Table2[EIW Name])*(Table1[[#This Row],[City, State]]=Table2[Offices Matched]),0)),"")</f>
        <v/>
      </c>
      <c r="R120" s="50" t="str">
        <f>IFERROR(LEFT(Table1[[#This Row],[Am Law 200 PPP Rank ’16]],FIND(":",Table1[[#This Row],[Am Law 200 PPP Rank ’16]])-1),"")</f>
        <v/>
      </c>
      <c r="S120" s="50" t="str">
        <f>IFERROR(INDEX(VaultRank[Rank],MATCH(Table1[[#This Row],[Employer]],VaultRank[EIW Name],0)),"")</f>
        <v/>
      </c>
      <c r="T120" s="50" t="str">
        <f t="array" ref="T120">IFERROR(INDEX(Table2[Summers Matched],MATCH(1,(Table1[[#This Row],[Employer]]=Table2[EIW Name])*(Table1[[#This Row],[City, State]]=Table2[Offices Matched]),0)),"")</f>
        <v/>
      </c>
      <c r="U120" s="52" t="str">
        <f t="shared" si="1"/>
        <v/>
      </c>
      <c r="V120" s="60"/>
      <c r="W120" s="114">
        <v>42592</v>
      </c>
      <c r="X120"/>
    </row>
    <row r="121" spans="1:24" ht="14.1" customHeight="1">
      <c r="A121" s="45" t="s">
        <v>95</v>
      </c>
      <c r="B121" s="45" t="s">
        <v>364</v>
      </c>
      <c r="C121" s="45" t="s">
        <v>362</v>
      </c>
      <c r="D121" s="45" t="str">
        <f>Table1[[#This Row],[City]]&amp;", "&amp;Table1[[#This Row],[State]]</f>
        <v>New York, NY</v>
      </c>
      <c r="E121" s="49">
        <v>40</v>
      </c>
      <c r="F121" s="50">
        <v>19</v>
      </c>
      <c r="G121" s="50" t="str">
        <f t="array" ref="G121">IFERROR(INDEX(Table2[1st Year],MATCH(1,(Table1[[#This Row],[Employer]]=Table2[EIW Name])*(Table1[[#This Row],[City, State]]=Table2[Offices Matched]),0)),"")</f>
        <v>1st Year: $180K</v>
      </c>
      <c r="H121" s="51">
        <f>_xlfn.IFNA(INDEX(saCAGR[CAGR],MATCH(Table1[[#This Row],[Employer]],saCAGR[EIW Name],0)),"")</f>
        <v>1.0292680506696286</v>
      </c>
      <c r="I121" s="50">
        <f>IFERROR(Table1[[#This Row],[SA CAGR]]*Table1[[#This Row],[Number of Summer 2016 2L SAs]],"")</f>
        <v>19.556092962722943</v>
      </c>
      <c r="J121" s="50">
        <v>21</v>
      </c>
      <c r="K121" s="51">
        <f>IFERROR(Table1[[#This Row],[Number of Summer 2016 NYU 2L SAs]]/Table1[[#This Row],[Interview Slots]],0)</f>
        <v>0.52500000000000002</v>
      </c>
      <c r="L121" s="51">
        <f>Table1[[#This Row],[Number of Summer 2016 2L SAs]]/Table1[[#This Row],[Interview Slots]]</f>
        <v>0.47499999999999998</v>
      </c>
      <c r="M121" s="51">
        <f>IFERROR(Table1[[#This Row],[Number of Summer 2016 NYU 2L SAs]]/Table1[[#This Row],[Number of Summer 2016 2L SAs]],0)</f>
        <v>1.1052631578947369</v>
      </c>
      <c r="N121" s="50" t="str">
        <f>IFERROR(RIGHT(Table1[[#This Row],[1st year]],LEN(Table1[[#This Row],[1st year]])-FIND(":",Table1[[#This Row],[1st year]])-1),"")</f>
        <v>$180K</v>
      </c>
      <c r="O121" s="50" t="str">
        <f t="array" ref="O121">IFERROR(INDEX(Table2[Nth year],MATCH(1,(Table1[[#This Row],[Employer]]=Table2[EIW Name])*(Table1[[#This Row],[City, State]]=Table2[Offices Matched]),0)),"")</f>
        <v>9th Year+: $325K</v>
      </c>
      <c r="P121" s="50" t="str">
        <f>IFERROR(RIGHT(Table1[[#This Row],[Nth year]],LEN(Table1[[#This Row],[Nth year]])-FIND(":",Table1[[#This Row],[Nth year]])-1),"")</f>
        <v>$325K</v>
      </c>
      <c r="Q121" s="50" t="str">
        <f t="array" ref="Q121">IFERROR(INDEX(Table2[Am Law 200 PPP Rank ’16],MATCH(1,(Table1[[#This Row],[Employer]]=Table2[EIW Name])*(Table1[[#This Row],[City, State]]=Table2[Offices Matched]),0)),"")</f>
        <v>N/A</v>
      </c>
      <c r="R121" s="50" t="str">
        <f>IFERROR(LEFT(Table1[[#This Row],[Am Law 200 PPP Rank ’16]],FIND(":",Table1[[#This Row],[Am Law 200 PPP Rank ’16]])-1),"")</f>
        <v/>
      </c>
      <c r="S121" s="50">
        <f>IFERROR(INDEX(VaultRank[Rank],MATCH(Table1[[#This Row],[Employer]],VaultRank[EIW Name],0)),"")</f>
        <v>27</v>
      </c>
      <c r="T121" s="50" t="str">
        <f t="array" ref="T121">IFERROR(INDEX(Table2[Summers Matched],MATCH(1,(Table1[[#This Row],[Employer]]=Table2[EIW Name])*(Table1[[#This Row],[City, State]]=Table2[Offices Matched]),0)),"")</f>
        <v>Yes</v>
      </c>
      <c r="U121" s="52" t="str">
        <f t="shared" si="1"/>
        <v/>
      </c>
      <c r="V121" s="60"/>
      <c r="W121" s="114">
        <v>42593</v>
      </c>
      <c r="X121"/>
    </row>
    <row r="122" spans="1:24" ht="14.1" customHeight="1">
      <c r="A122" s="45" t="s">
        <v>218</v>
      </c>
      <c r="B122" s="45" t="s">
        <v>299</v>
      </c>
      <c r="C122" s="45" t="s">
        <v>300</v>
      </c>
      <c r="D122" s="45" t="str">
        <f>Table1[[#This Row],[City]]&amp;", "&amp;Table1[[#This Row],[State]]</f>
        <v>Los Angeles, CA</v>
      </c>
      <c r="E122" s="49">
        <v>174</v>
      </c>
      <c r="F122" s="50">
        <v>1</v>
      </c>
      <c r="G122" s="50" t="str">
        <f t="array" ref="G122">IFERROR(INDEX(Table2[1st Year],MATCH(1,(Table1[[#This Row],[Employer]]=Table2[EIW Name])*(Table1[[#This Row],[City, State]]=Table2[Offices Matched]),0)),"")</f>
        <v>1st Year: $180K</v>
      </c>
      <c r="H122" s="50">
        <f>_xlfn.IFNA(INDEX(saCAGR[CAGR],MATCH(Table1[[#This Row],[Employer]],saCAGR[EIW Name],0)),"")</f>
        <v>0.99827089368793842</v>
      </c>
      <c r="I122" s="50">
        <f>IFERROR(Table1[[#This Row],[SA CAGR]]*Table1[[#This Row],[Number of Summer 2016 2L SAs]],"")</f>
        <v>0.99827089368793842</v>
      </c>
      <c r="J122" s="50">
        <v>13</v>
      </c>
      <c r="K122" s="51">
        <f>IFERROR(Table1[[#This Row],[Number of Summer 2016 NYU 2L SAs]]/Table1[[#This Row],[Interview Slots]],0)</f>
        <v>7.4712643678160925E-2</v>
      </c>
      <c r="L122" s="51">
        <f>Table1[[#This Row],[Number of Summer 2016 2L SAs]]/Table1[[#This Row],[Interview Slots]]</f>
        <v>5.7471264367816091E-3</v>
      </c>
      <c r="M122" s="51">
        <f>IFERROR(Table1[[#This Row],[Number of Summer 2016 NYU 2L SAs]]/Table1[[#This Row],[Number of Summer 2016 2L SAs]],0)</f>
        <v>13</v>
      </c>
      <c r="N122" s="50" t="str">
        <f>IFERROR(RIGHT(Table1[[#This Row],[1st year]],LEN(Table1[[#This Row],[1st year]])-FIND(":",Table1[[#This Row],[1st year]])-1),"")</f>
        <v>$180K</v>
      </c>
      <c r="O122" s="50" t="str">
        <f t="array" ref="O122">IFERROR(INDEX(Table2[Nth year],MATCH(1,(Table1[[#This Row],[Employer]]=Table2[EIW Name])*(Table1[[#This Row],[City, State]]=Table2[Offices Matched]),0)),"")</f>
        <v>8th Year+: $315K</v>
      </c>
      <c r="P122" s="50" t="str">
        <f>IFERROR(RIGHT(Table1[[#This Row],[Nth year]],LEN(Table1[[#This Row],[Nth year]])-FIND(":",Table1[[#This Row],[Nth year]])-1),"")</f>
        <v>$315K</v>
      </c>
      <c r="Q122" s="50" t="str">
        <f t="array" ref="Q122">IFERROR(INDEX(Table2[Am Law 200 PPP Rank ’16],MATCH(1,(Table1[[#This Row],[Employer]]=Table2[EIW Name])*(Table1[[#This Row],[City, State]]=Table2[Offices Matched]),0)),"")</f>
        <v>22: $2.51M</v>
      </c>
      <c r="R122" s="50" t="str">
        <f>IFERROR(LEFT(Table1[[#This Row],[Am Law 200 PPP Rank ’16]],FIND(":",Table1[[#This Row],[Am Law 200 PPP Rank ’16]])-1),"")</f>
        <v>22</v>
      </c>
      <c r="S122" s="50">
        <f>IFERROR(INDEX(VaultRank[Rank],MATCH(Table1[[#This Row],[Employer]],VaultRank[EIW Name],0)),"")</f>
        <v>51</v>
      </c>
      <c r="T122" s="50" t="str">
        <f t="array" ref="T122">IFERROR(INDEX(Table2[Summers Matched],MATCH(1,(Table1[[#This Row],[Employer]]=Table2[EIW Name])*(Table1[[#This Row],[City, State]]=Table2[Offices Matched]),0)),"")</f>
        <v>Yes</v>
      </c>
      <c r="U122" s="52" t="str">
        <f t="shared" si="1"/>
        <v/>
      </c>
      <c r="V122" s="60"/>
      <c r="W122" s="114">
        <v>42595</v>
      </c>
      <c r="X122"/>
    </row>
    <row r="123" spans="1:24" ht="14.1" customHeight="1">
      <c r="A123" s="45" t="s">
        <v>218</v>
      </c>
      <c r="B123" s="45" t="s">
        <v>387</v>
      </c>
      <c r="C123" s="45" t="s">
        <v>300</v>
      </c>
      <c r="D123" s="45" t="str">
        <f>Table1[[#This Row],[City]]&amp;", "&amp;Table1[[#This Row],[State]]</f>
        <v>Orange County, CA</v>
      </c>
      <c r="E123" s="49">
        <v>146</v>
      </c>
      <c r="F123" s="50">
        <v>0</v>
      </c>
      <c r="G123" s="50" t="str">
        <f t="array" ref="G123">IFERROR(INDEX(Table2[1st Year],MATCH(1,(Table1[[#This Row],[Employer]]=Table2[EIW Name])*(Table1[[#This Row],[City, State]]=Table2[Offices Matched]),0)),"")</f>
        <v/>
      </c>
      <c r="H123" s="50">
        <f>_xlfn.IFNA(INDEX(saCAGR[CAGR],MATCH(Table1[[#This Row],[Employer]],saCAGR[EIW Name],0)),"")</f>
        <v>0.99827089368793842</v>
      </c>
      <c r="I123" s="50">
        <f>IFERROR(Table1[[#This Row],[SA CAGR]]*Table1[[#This Row],[Number of Summer 2016 2L SAs]],"")</f>
        <v>0</v>
      </c>
      <c r="J123" s="50">
        <v>5</v>
      </c>
      <c r="K123" s="51">
        <f>IFERROR(Table1[[#This Row],[Number of Summer 2016 NYU 2L SAs]]/Table1[[#This Row],[Interview Slots]],0)</f>
        <v>3.4246575342465752E-2</v>
      </c>
      <c r="L123" s="51">
        <f>Table1[[#This Row],[Number of Summer 2016 2L SAs]]/Table1[[#This Row],[Interview Slots]]</f>
        <v>0</v>
      </c>
      <c r="M123" s="51">
        <f>IFERROR(Table1[[#This Row],[Number of Summer 2016 NYU 2L SAs]]/Table1[[#This Row],[Number of Summer 2016 2L SAs]],0)</f>
        <v>0</v>
      </c>
      <c r="N123" s="50" t="str">
        <f>IFERROR(RIGHT(Table1[[#This Row],[1st year]],LEN(Table1[[#This Row],[1st year]])-FIND(":",Table1[[#This Row],[1st year]])-1),"")</f>
        <v/>
      </c>
      <c r="O123" s="50" t="str">
        <f t="array" ref="O123">IFERROR(INDEX(Table2[Nth year],MATCH(1,(Table1[[#This Row],[Employer]]=Table2[EIW Name])*(Table1[[#This Row],[City, State]]=Table2[Offices Matched]),0)),"")</f>
        <v/>
      </c>
      <c r="P123" s="50" t="str">
        <f>IFERROR(RIGHT(Table1[[#This Row],[Nth year]],LEN(Table1[[#This Row],[Nth year]])-FIND(":",Table1[[#This Row],[Nth year]])-1),"")</f>
        <v/>
      </c>
      <c r="Q123" s="50" t="str">
        <f t="array" ref="Q123">IFERROR(INDEX(Table2[Am Law 200 PPP Rank ’16],MATCH(1,(Table1[[#This Row],[Employer]]=Table2[EIW Name])*(Table1[[#This Row],[City, State]]=Table2[Offices Matched]),0)),"")</f>
        <v/>
      </c>
      <c r="R123" s="50" t="str">
        <f>IFERROR(LEFT(Table1[[#This Row],[Am Law 200 PPP Rank ’16]],FIND(":",Table1[[#This Row],[Am Law 200 PPP Rank ’16]])-1),"")</f>
        <v/>
      </c>
      <c r="S123" s="50">
        <f>IFERROR(INDEX(VaultRank[Rank],MATCH(Table1[[#This Row],[Employer]],VaultRank[EIW Name],0)),"")</f>
        <v>51</v>
      </c>
      <c r="T123" s="50" t="str">
        <f t="array" ref="T123">IFERROR(INDEX(Table2[Summers Matched],MATCH(1,(Table1[[#This Row],[Employer]]=Table2[EIW Name])*(Table1[[#This Row],[City, State]]=Table2[Offices Matched]),0)),"")</f>
        <v/>
      </c>
      <c r="U123" s="52" t="str">
        <f t="shared" si="1"/>
        <v/>
      </c>
      <c r="V123" s="60"/>
      <c r="W123" s="114">
        <v>42593</v>
      </c>
      <c r="X123"/>
    </row>
    <row r="124" spans="1:24" ht="14.1" customHeight="1">
      <c r="A124" s="45" t="s">
        <v>218</v>
      </c>
      <c r="B124" s="45" t="s">
        <v>316</v>
      </c>
      <c r="C124" s="45" t="s">
        <v>300</v>
      </c>
      <c r="D124" s="45" t="str">
        <f>Table1[[#This Row],[City]]&amp;", "&amp;Table1[[#This Row],[State]]</f>
        <v>San Francisco, CA</v>
      </c>
      <c r="E124" s="49">
        <v>127</v>
      </c>
      <c r="F124" s="50">
        <v>1</v>
      </c>
      <c r="G124" s="50" t="str">
        <f t="array" ref="G124">IFERROR(INDEX(Table2[1st Year],MATCH(1,(Table1[[#This Row],[Employer]]=Table2[EIW Name])*(Table1[[#This Row],[City, State]]=Table2[Offices Matched]),0)),"")</f>
        <v>1st Year: $180K</v>
      </c>
      <c r="H124" s="50">
        <f>_xlfn.IFNA(INDEX(saCAGR[CAGR],MATCH(Table1[[#This Row],[Employer]],saCAGR[EIW Name],0)),"")</f>
        <v>0.99827089368793842</v>
      </c>
      <c r="I124" s="50">
        <f>IFERROR(Table1[[#This Row],[SA CAGR]]*Table1[[#This Row],[Number of Summer 2016 2L SAs]],"")</f>
        <v>0.99827089368793842</v>
      </c>
      <c r="J124" s="50">
        <v>2</v>
      </c>
      <c r="K124" s="51">
        <f>IFERROR(Table1[[#This Row],[Number of Summer 2016 NYU 2L SAs]]/Table1[[#This Row],[Interview Slots]],0)</f>
        <v>1.5748031496062992E-2</v>
      </c>
      <c r="L124" s="51">
        <f>Table1[[#This Row],[Number of Summer 2016 2L SAs]]/Table1[[#This Row],[Interview Slots]]</f>
        <v>7.874015748031496E-3</v>
      </c>
      <c r="M124" s="51">
        <f>IFERROR(Table1[[#This Row],[Number of Summer 2016 NYU 2L SAs]]/Table1[[#This Row],[Number of Summer 2016 2L SAs]],0)</f>
        <v>2</v>
      </c>
      <c r="N124" s="50" t="str">
        <f>IFERROR(RIGHT(Table1[[#This Row],[1st year]],LEN(Table1[[#This Row],[1st year]])-FIND(":",Table1[[#This Row],[1st year]])-1),"")</f>
        <v>$180K</v>
      </c>
      <c r="O124" s="50" t="str">
        <f t="array" ref="O124">IFERROR(INDEX(Table2[Nth year],MATCH(1,(Table1[[#This Row],[Employer]]=Table2[EIW Name])*(Table1[[#This Row],[City, State]]=Table2[Offices Matched]),0)),"")</f>
        <v>8th Year+: $315K</v>
      </c>
      <c r="P124" s="50" t="str">
        <f>IFERROR(RIGHT(Table1[[#This Row],[Nth year]],LEN(Table1[[#This Row],[Nth year]])-FIND(":",Table1[[#This Row],[Nth year]])-1),"")</f>
        <v>$315K</v>
      </c>
      <c r="Q124" s="50" t="str">
        <f t="array" ref="Q124">IFERROR(INDEX(Table2[Am Law 200 PPP Rank ’16],MATCH(1,(Table1[[#This Row],[Employer]]=Table2[EIW Name])*(Table1[[#This Row],[City, State]]=Table2[Offices Matched]),0)),"")</f>
        <v>22: $2.51M</v>
      </c>
      <c r="R124" s="50" t="str">
        <f>IFERROR(LEFT(Table1[[#This Row],[Am Law 200 PPP Rank ’16]],FIND(":",Table1[[#This Row],[Am Law 200 PPP Rank ’16]])-1),"")</f>
        <v>22</v>
      </c>
      <c r="S124" s="50">
        <f>IFERROR(INDEX(VaultRank[Rank],MATCH(Table1[[#This Row],[Employer]],VaultRank[EIW Name],0)),"")</f>
        <v>51</v>
      </c>
      <c r="T124" s="50" t="str">
        <f t="array" ref="T124">IFERROR(INDEX(Table2[Summers Matched],MATCH(1,(Table1[[#This Row],[Employer]]=Table2[EIW Name])*(Table1[[#This Row],[City, State]]=Table2[Offices Matched]),0)),"")</f>
        <v>Yes</v>
      </c>
      <c r="U124" s="52" t="str">
        <f t="shared" si="1"/>
        <v/>
      </c>
      <c r="V124" s="60"/>
      <c r="W124" s="114">
        <v>42592</v>
      </c>
      <c r="X124"/>
    </row>
    <row r="125" spans="1:24" ht="14.1" customHeight="1">
      <c r="A125" s="45" t="s">
        <v>218</v>
      </c>
      <c r="B125" s="45" t="s">
        <v>307</v>
      </c>
      <c r="C125" s="45" t="s">
        <v>300</v>
      </c>
      <c r="D125" s="45" t="str">
        <f>Table1[[#This Row],[City]]&amp;", "&amp;Table1[[#This Row],[State]]</f>
        <v>Silicon Valley, CA</v>
      </c>
      <c r="E125" s="49">
        <v>183</v>
      </c>
      <c r="F125" s="50">
        <v>1</v>
      </c>
      <c r="G125" s="50" t="str">
        <f t="array" ref="G125">IFERROR(INDEX(Table2[1st Year],MATCH(1,(Table1[[#This Row],[Employer]]=Table2[EIW Name])*(Table1[[#This Row],[City, State]]=Table2[Offices Matched]),0)),"")</f>
        <v/>
      </c>
      <c r="H125" s="50">
        <f>_xlfn.IFNA(INDEX(saCAGR[CAGR],MATCH(Table1[[#This Row],[Employer]],saCAGR[EIW Name],0)),"")</f>
        <v>0.99827089368793842</v>
      </c>
      <c r="I125" s="50">
        <f>IFERROR(Table1[[#This Row],[SA CAGR]]*Table1[[#This Row],[Number of Summer 2016 2L SAs]],"")</f>
        <v>0.99827089368793842</v>
      </c>
      <c r="J125" s="50">
        <v>6</v>
      </c>
      <c r="K125" s="51">
        <f>IFERROR(Table1[[#This Row],[Number of Summer 2016 NYU 2L SAs]]/Table1[[#This Row],[Interview Slots]],0)</f>
        <v>3.2786885245901641E-2</v>
      </c>
      <c r="L125" s="51">
        <f>Table1[[#This Row],[Number of Summer 2016 2L SAs]]/Table1[[#This Row],[Interview Slots]]</f>
        <v>5.4644808743169399E-3</v>
      </c>
      <c r="M125" s="51">
        <f>IFERROR(Table1[[#This Row],[Number of Summer 2016 NYU 2L SAs]]/Table1[[#This Row],[Number of Summer 2016 2L SAs]],0)</f>
        <v>6</v>
      </c>
      <c r="N125" s="50" t="str">
        <f>IFERROR(RIGHT(Table1[[#This Row],[1st year]],LEN(Table1[[#This Row],[1st year]])-FIND(":",Table1[[#This Row],[1st year]])-1),"")</f>
        <v/>
      </c>
      <c r="O125" s="50" t="str">
        <f t="array" ref="O125">IFERROR(INDEX(Table2[Nth year],MATCH(1,(Table1[[#This Row],[Employer]]=Table2[EIW Name])*(Table1[[#This Row],[City, State]]=Table2[Offices Matched]),0)),"")</f>
        <v/>
      </c>
      <c r="P125" s="50" t="str">
        <f>IFERROR(RIGHT(Table1[[#This Row],[Nth year]],LEN(Table1[[#This Row],[Nth year]])-FIND(":",Table1[[#This Row],[Nth year]])-1),"")</f>
        <v/>
      </c>
      <c r="Q125" s="50" t="str">
        <f t="array" ref="Q125">IFERROR(INDEX(Table2[Am Law 200 PPP Rank ’16],MATCH(1,(Table1[[#This Row],[Employer]]=Table2[EIW Name])*(Table1[[#This Row],[City, State]]=Table2[Offices Matched]),0)),"")</f>
        <v/>
      </c>
      <c r="R125" s="50" t="str">
        <f>IFERROR(LEFT(Table1[[#This Row],[Am Law 200 PPP Rank ’16]],FIND(":",Table1[[#This Row],[Am Law 200 PPP Rank ’16]])-1),"")</f>
        <v/>
      </c>
      <c r="S125" s="50">
        <f>IFERROR(INDEX(VaultRank[Rank],MATCH(Table1[[#This Row],[Employer]],VaultRank[EIW Name],0)),"")</f>
        <v>51</v>
      </c>
      <c r="T125" s="50" t="str">
        <f t="array" ref="T125">IFERROR(INDEX(Table2[Summers Matched],MATCH(1,(Table1[[#This Row],[Employer]]=Table2[EIW Name])*(Table1[[#This Row],[City, State]]=Table2[Offices Matched]),0)),"")</f>
        <v/>
      </c>
      <c r="U125" s="52" t="str">
        <f t="shared" si="1"/>
        <v/>
      </c>
      <c r="V125" s="60"/>
      <c r="W125" s="114">
        <v>42592</v>
      </c>
      <c r="X125"/>
    </row>
    <row r="126" spans="1:24" ht="14.1" customHeight="1">
      <c r="A126" s="45" t="s">
        <v>218</v>
      </c>
      <c r="B126" s="45" t="s">
        <v>319</v>
      </c>
      <c r="C126" s="45" t="s">
        <v>320</v>
      </c>
      <c r="D126" s="45" t="str">
        <f>Table1[[#This Row],[City]]&amp;", "&amp;Table1[[#This Row],[State]]</f>
        <v>Hartford, CT</v>
      </c>
      <c r="E126" s="49">
        <v>155</v>
      </c>
      <c r="F126" s="50">
        <v>2</v>
      </c>
      <c r="G126" s="50" t="str">
        <f t="array" ref="G126">IFERROR(INDEX(Table2[1st Year],MATCH(1,(Table1[[#This Row],[Employer]]=Table2[EIW Name])*(Table1[[#This Row],[City, State]]=Table2[Offices Matched]),0)),"")</f>
        <v>1st Year: $180K</v>
      </c>
      <c r="H126" s="50">
        <f>_xlfn.IFNA(INDEX(saCAGR[CAGR],MATCH(Table1[[#This Row],[Employer]],saCAGR[EIW Name],0)),"")</f>
        <v>0.99827089368793842</v>
      </c>
      <c r="I126" s="50">
        <f>IFERROR(Table1[[#This Row],[SA CAGR]]*Table1[[#This Row],[Number of Summer 2016 2L SAs]],"")</f>
        <v>1.9965417873758768</v>
      </c>
      <c r="J126" s="50">
        <v>2</v>
      </c>
      <c r="K126" s="51">
        <f>IFERROR(Table1[[#This Row],[Number of Summer 2016 NYU 2L SAs]]/Table1[[#This Row],[Interview Slots]],0)</f>
        <v>1.2903225806451613E-2</v>
      </c>
      <c r="L126" s="51">
        <f>Table1[[#This Row],[Number of Summer 2016 2L SAs]]/Table1[[#This Row],[Interview Slots]]</f>
        <v>1.2903225806451613E-2</v>
      </c>
      <c r="M126" s="51">
        <f>IFERROR(Table1[[#This Row],[Number of Summer 2016 NYU 2L SAs]]/Table1[[#This Row],[Number of Summer 2016 2L SAs]],0)</f>
        <v>1</v>
      </c>
      <c r="N126" s="50" t="str">
        <f>IFERROR(RIGHT(Table1[[#This Row],[1st year]],LEN(Table1[[#This Row],[1st year]])-FIND(":",Table1[[#This Row],[1st year]])-1),"")</f>
        <v>$180K</v>
      </c>
      <c r="O126" s="50" t="str">
        <f t="array" ref="O126">IFERROR(INDEX(Table2[Nth year],MATCH(1,(Table1[[#This Row],[Employer]]=Table2[EIW Name])*(Table1[[#This Row],[City, State]]=Table2[Offices Matched]),0)),"")</f>
        <v>8th Year+: $315K</v>
      </c>
      <c r="P126" s="50" t="str">
        <f>IFERROR(RIGHT(Table1[[#This Row],[Nth year]],LEN(Table1[[#This Row],[Nth year]])-FIND(":",Table1[[#This Row],[Nth year]])-1),"")</f>
        <v>$315K</v>
      </c>
      <c r="Q126" s="50" t="str">
        <f t="array" ref="Q126">IFERROR(INDEX(Table2[Am Law 200 PPP Rank ’16],MATCH(1,(Table1[[#This Row],[Employer]]=Table2[EIW Name])*(Table1[[#This Row],[City, State]]=Table2[Offices Matched]),0)),"")</f>
        <v>22: $2.51M</v>
      </c>
      <c r="R126" s="50" t="str">
        <f>IFERROR(LEFT(Table1[[#This Row],[Am Law 200 PPP Rank ’16]],FIND(":",Table1[[#This Row],[Am Law 200 PPP Rank ’16]])-1),"")</f>
        <v>22</v>
      </c>
      <c r="S126" s="50">
        <f>IFERROR(INDEX(VaultRank[Rank],MATCH(Table1[[#This Row],[Employer]],VaultRank[EIW Name],0)),"")</f>
        <v>51</v>
      </c>
      <c r="T126" s="50" t="str">
        <f t="array" ref="T126">IFERROR(INDEX(Table2[Summers Matched],MATCH(1,(Table1[[#This Row],[Employer]]=Table2[EIW Name])*(Table1[[#This Row],[City, State]]=Table2[Offices Matched]),0)),"")</f>
        <v>Yes</v>
      </c>
      <c r="U126" s="52" t="str">
        <f t="shared" si="1"/>
        <v/>
      </c>
      <c r="V126" s="60"/>
      <c r="W126" s="114">
        <v>42594</v>
      </c>
      <c r="X126"/>
    </row>
    <row r="127" spans="1:24" ht="14.1" customHeight="1">
      <c r="A127" s="45" t="s">
        <v>218</v>
      </c>
      <c r="B127" s="45" t="s">
        <v>301</v>
      </c>
      <c r="C127" s="45" t="s">
        <v>302</v>
      </c>
      <c r="D127" s="45" t="str">
        <f>Table1[[#This Row],[City]]&amp;", "&amp;Table1[[#This Row],[State]]</f>
        <v>Washington, DC</v>
      </c>
      <c r="E127" s="49">
        <v>163</v>
      </c>
      <c r="F127" s="50">
        <v>8</v>
      </c>
      <c r="G127" s="50" t="str">
        <f t="array" ref="G127">IFERROR(INDEX(Table2[1st Year],MATCH(1,(Table1[[#This Row],[Employer]]=Table2[EIW Name])*(Table1[[#This Row],[City, State]]=Table2[Offices Matched]),0)),"")</f>
        <v/>
      </c>
      <c r="H127" s="50">
        <f>_xlfn.IFNA(INDEX(saCAGR[CAGR],MATCH(Table1[[#This Row],[Employer]],saCAGR[EIW Name],0)),"")</f>
        <v>0.99827089368793842</v>
      </c>
      <c r="I127" s="50">
        <f>IFERROR(Table1[[#This Row],[SA CAGR]]*Table1[[#This Row],[Number of Summer 2016 2L SAs]],"")</f>
        <v>7.9861671495035074</v>
      </c>
      <c r="J127" s="50">
        <v>1</v>
      </c>
      <c r="K127" s="51">
        <f>IFERROR(Table1[[#This Row],[Number of Summer 2016 NYU 2L SAs]]/Table1[[#This Row],[Interview Slots]],0)</f>
        <v>6.1349693251533744E-3</v>
      </c>
      <c r="L127" s="51">
        <f>Table1[[#This Row],[Number of Summer 2016 2L SAs]]/Table1[[#This Row],[Interview Slots]]</f>
        <v>4.9079754601226995E-2</v>
      </c>
      <c r="M127" s="51">
        <f>IFERROR(Table1[[#This Row],[Number of Summer 2016 NYU 2L SAs]]/Table1[[#This Row],[Number of Summer 2016 2L SAs]],0)</f>
        <v>0.125</v>
      </c>
      <c r="N127" s="50" t="str">
        <f>IFERROR(RIGHT(Table1[[#This Row],[1st year]],LEN(Table1[[#This Row],[1st year]])-FIND(":",Table1[[#This Row],[1st year]])-1),"")</f>
        <v/>
      </c>
      <c r="O127" s="50" t="str">
        <f t="array" ref="O127">IFERROR(INDEX(Table2[Nth year],MATCH(1,(Table1[[#This Row],[Employer]]=Table2[EIW Name])*(Table1[[#This Row],[City, State]]=Table2[Offices Matched]),0)),"")</f>
        <v/>
      </c>
      <c r="P127" s="50" t="str">
        <f>IFERROR(RIGHT(Table1[[#This Row],[Nth year]],LEN(Table1[[#This Row],[Nth year]])-FIND(":",Table1[[#This Row],[Nth year]])-1),"")</f>
        <v/>
      </c>
      <c r="Q127" s="50" t="str">
        <f t="array" ref="Q127">IFERROR(INDEX(Table2[Am Law 200 PPP Rank ’16],MATCH(1,(Table1[[#This Row],[Employer]]=Table2[EIW Name])*(Table1[[#This Row],[City, State]]=Table2[Offices Matched]),0)),"")</f>
        <v/>
      </c>
      <c r="R127" s="50" t="str">
        <f>IFERROR(LEFT(Table1[[#This Row],[Am Law 200 PPP Rank ’16]],FIND(":",Table1[[#This Row],[Am Law 200 PPP Rank ’16]])-1),"")</f>
        <v/>
      </c>
      <c r="S127" s="50">
        <f>IFERROR(INDEX(VaultRank[Rank],MATCH(Table1[[#This Row],[Employer]],VaultRank[EIW Name],0)),"")</f>
        <v>51</v>
      </c>
      <c r="T127" s="50" t="str">
        <f t="array" ref="T127">IFERROR(INDEX(Table2[Summers Matched],MATCH(1,(Table1[[#This Row],[Employer]]=Table2[EIW Name])*(Table1[[#This Row],[City, State]]=Table2[Offices Matched]),0)),"")</f>
        <v/>
      </c>
      <c r="U127" s="52" t="str">
        <f t="shared" si="1"/>
        <v/>
      </c>
      <c r="V127" s="60"/>
      <c r="W127" s="114">
        <v>42593</v>
      </c>
      <c r="X127"/>
    </row>
    <row r="128" spans="1:24" ht="14.1" customHeight="1">
      <c r="A128" s="45" t="s">
        <v>218</v>
      </c>
      <c r="B128" s="45" t="s">
        <v>367</v>
      </c>
      <c r="C128" s="45" t="s">
        <v>368</v>
      </c>
      <c r="D128" s="45" t="str">
        <f>Table1[[#This Row],[City]]&amp;", "&amp;Table1[[#This Row],[State]]</f>
        <v>Boston, MA</v>
      </c>
      <c r="E128" s="49">
        <v>169</v>
      </c>
      <c r="F128" s="50">
        <v>8</v>
      </c>
      <c r="G128" s="50" t="str">
        <f t="array" ref="G128">IFERROR(INDEX(Table2[1st Year],MATCH(1,(Table1[[#This Row],[Employer]]=Table2[EIW Name])*(Table1[[#This Row],[City, State]]=Table2[Offices Matched]),0)),"")</f>
        <v>1st Year: $180K</v>
      </c>
      <c r="H128" s="50">
        <f>_xlfn.IFNA(INDEX(saCAGR[CAGR],MATCH(Table1[[#This Row],[Employer]],saCAGR[EIW Name],0)),"")</f>
        <v>0.99827089368793842</v>
      </c>
      <c r="I128" s="50">
        <f>IFERROR(Table1[[#This Row],[SA CAGR]]*Table1[[#This Row],[Number of Summer 2016 2L SAs]],"")</f>
        <v>7.9861671495035074</v>
      </c>
      <c r="J128" s="50">
        <v>16</v>
      </c>
      <c r="K128" s="51">
        <f>IFERROR(Table1[[#This Row],[Number of Summer 2016 NYU 2L SAs]]/Table1[[#This Row],[Interview Slots]],0)</f>
        <v>9.4674556213017749E-2</v>
      </c>
      <c r="L128" s="51">
        <f>Table1[[#This Row],[Number of Summer 2016 2L SAs]]/Table1[[#This Row],[Interview Slots]]</f>
        <v>4.7337278106508875E-2</v>
      </c>
      <c r="M128" s="51">
        <f>IFERROR(Table1[[#This Row],[Number of Summer 2016 NYU 2L SAs]]/Table1[[#This Row],[Number of Summer 2016 2L SAs]],0)</f>
        <v>2</v>
      </c>
      <c r="N128" s="50" t="str">
        <f>IFERROR(RIGHT(Table1[[#This Row],[1st year]],LEN(Table1[[#This Row],[1st year]])-FIND(":",Table1[[#This Row],[1st year]])-1),"")</f>
        <v>$180K</v>
      </c>
      <c r="O128" s="50" t="str">
        <f t="array" ref="O128">IFERROR(INDEX(Table2[Nth year],MATCH(1,(Table1[[#This Row],[Employer]]=Table2[EIW Name])*(Table1[[#This Row],[City, State]]=Table2[Offices Matched]),0)),"")</f>
        <v>8th Year+: $315K</v>
      </c>
      <c r="P128" s="50" t="str">
        <f>IFERROR(RIGHT(Table1[[#This Row],[Nth year]],LEN(Table1[[#This Row],[Nth year]])-FIND(":",Table1[[#This Row],[Nth year]])-1),"")</f>
        <v>$315K</v>
      </c>
      <c r="Q128" s="50" t="str">
        <f t="array" ref="Q128">IFERROR(INDEX(Table2[Am Law 200 PPP Rank ’16],MATCH(1,(Table1[[#This Row],[Employer]]=Table2[EIW Name])*(Table1[[#This Row],[City, State]]=Table2[Offices Matched]),0)),"")</f>
        <v>22: $2.51M</v>
      </c>
      <c r="R128" s="50" t="str">
        <f>IFERROR(LEFT(Table1[[#This Row],[Am Law 200 PPP Rank ’16]],FIND(":",Table1[[#This Row],[Am Law 200 PPP Rank ’16]])-1),"")</f>
        <v>22</v>
      </c>
      <c r="S128" s="50">
        <f>IFERROR(INDEX(VaultRank[Rank],MATCH(Table1[[#This Row],[Employer]],VaultRank[EIW Name],0)),"")</f>
        <v>51</v>
      </c>
      <c r="T128" s="50" t="str">
        <f t="array" ref="T128">IFERROR(INDEX(Table2[Summers Matched],MATCH(1,(Table1[[#This Row],[Employer]]=Table2[EIW Name])*(Table1[[#This Row],[City, State]]=Table2[Offices Matched]),0)),"")</f>
        <v>Yes</v>
      </c>
      <c r="U128" s="52">
        <f t="shared" si="1"/>
        <v>3.4</v>
      </c>
      <c r="V128" s="60"/>
      <c r="W128" s="114">
        <v>42595</v>
      </c>
      <c r="X128"/>
    </row>
    <row r="129" spans="1:24" ht="14.1" customHeight="1">
      <c r="A129" s="45" t="s">
        <v>218</v>
      </c>
      <c r="B129" s="45" t="s">
        <v>310</v>
      </c>
      <c r="C129" s="45" t="s">
        <v>311</v>
      </c>
      <c r="D129" s="45" t="str">
        <f>Table1[[#This Row],[City]]&amp;", "&amp;Table1[[#This Row],[State]]</f>
        <v>Charlotte, NC</v>
      </c>
      <c r="E129" s="49">
        <v>198</v>
      </c>
      <c r="F129" s="50">
        <v>2</v>
      </c>
      <c r="G129" s="50" t="str">
        <f t="array" ref="G129">IFERROR(INDEX(Table2[1st Year],MATCH(1,(Table1[[#This Row],[Employer]]=Table2[EIW Name])*(Table1[[#This Row],[City, State]]=Table2[Offices Matched]),0)),"")</f>
        <v>1st Year: $180K</v>
      </c>
      <c r="H129" s="50">
        <f>_xlfn.IFNA(INDEX(saCAGR[CAGR],MATCH(Table1[[#This Row],[Employer]],saCAGR[EIW Name],0)),"")</f>
        <v>0.99827089368793842</v>
      </c>
      <c r="I129" s="50">
        <f>IFERROR(Table1[[#This Row],[SA CAGR]]*Table1[[#This Row],[Number of Summer 2016 2L SAs]],"")</f>
        <v>1.9965417873758768</v>
      </c>
      <c r="J129" s="50">
        <v>25</v>
      </c>
      <c r="K129" s="51">
        <f>IFERROR(Table1[[#This Row],[Number of Summer 2016 NYU 2L SAs]]/Table1[[#This Row],[Interview Slots]],0)</f>
        <v>0.12626262626262627</v>
      </c>
      <c r="L129" s="51">
        <f>Table1[[#This Row],[Number of Summer 2016 2L SAs]]/Table1[[#This Row],[Interview Slots]]</f>
        <v>1.0101010101010102E-2</v>
      </c>
      <c r="M129" s="51">
        <f>IFERROR(Table1[[#This Row],[Number of Summer 2016 NYU 2L SAs]]/Table1[[#This Row],[Number of Summer 2016 2L SAs]],0)</f>
        <v>12.5</v>
      </c>
      <c r="N129" s="50" t="str">
        <f>IFERROR(RIGHT(Table1[[#This Row],[1st year]],LEN(Table1[[#This Row],[1st year]])-FIND(":",Table1[[#This Row],[1st year]])-1),"")</f>
        <v>$180K</v>
      </c>
      <c r="O129" s="50" t="str">
        <f t="array" ref="O129">IFERROR(INDEX(Table2[Nth year],MATCH(1,(Table1[[#This Row],[Employer]]=Table2[EIW Name])*(Table1[[#This Row],[City, State]]=Table2[Offices Matched]),0)),"")</f>
        <v>8th Year+: $315K</v>
      </c>
      <c r="P129" s="50" t="str">
        <f>IFERROR(RIGHT(Table1[[#This Row],[Nth year]],LEN(Table1[[#This Row],[Nth year]])-FIND(":",Table1[[#This Row],[Nth year]])-1),"")</f>
        <v>$315K</v>
      </c>
      <c r="Q129" s="50" t="str">
        <f t="array" ref="Q129">IFERROR(INDEX(Table2[Am Law 200 PPP Rank ’16],MATCH(1,(Table1[[#This Row],[Employer]]=Table2[EIW Name])*(Table1[[#This Row],[City, State]]=Table2[Offices Matched]),0)),"")</f>
        <v>22: $2.51M</v>
      </c>
      <c r="R129" s="50" t="str">
        <f>IFERROR(LEFT(Table1[[#This Row],[Am Law 200 PPP Rank ’16]],FIND(":",Table1[[#This Row],[Am Law 200 PPP Rank ’16]])-1),"")</f>
        <v>22</v>
      </c>
      <c r="S129" s="50">
        <f>IFERROR(INDEX(VaultRank[Rank],MATCH(Table1[[#This Row],[Employer]],VaultRank[EIW Name],0)),"")</f>
        <v>51</v>
      </c>
      <c r="T129" s="50" t="str">
        <f t="array" ref="T129">IFERROR(INDEX(Table2[Summers Matched],MATCH(1,(Table1[[#This Row],[Employer]]=Table2[EIW Name])*(Table1[[#This Row],[City, State]]=Table2[Offices Matched]),0)),"")</f>
        <v>Yes</v>
      </c>
      <c r="U129" s="52" t="str">
        <f t="shared" si="1"/>
        <v/>
      </c>
      <c r="V129" s="60"/>
      <c r="W129" s="114">
        <v>42595</v>
      </c>
      <c r="X129"/>
    </row>
    <row r="130" spans="1:24" ht="14.1" customHeight="1">
      <c r="A130" s="45" t="s">
        <v>218</v>
      </c>
      <c r="B130" s="45" t="s">
        <v>329</v>
      </c>
      <c r="C130" s="45" t="s">
        <v>330</v>
      </c>
      <c r="D130" s="45" t="str">
        <f>Table1[[#This Row],[City]]&amp;", "&amp;Table1[[#This Row],[State]]</f>
        <v>Philadelphia, PA</v>
      </c>
      <c r="E130" s="49">
        <v>192</v>
      </c>
      <c r="F130" s="50">
        <v>20</v>
      </c>
      <c r="G130" s="50" t="str">
        <f t="array" ref="G130">IFERROR(INDEX(Table2[1st Year],MATCH(1,(Table1[[#This Row],[Employer]]=Table2[EIW Name])*(Table1[[#This Row],[City, State]]=Table2[Offices Matched]),0)),"")</f>
        <v>1st Year: $180K</v>
      </c>
      <c r="H130" s="50">
        <f>_xlfn.IFNA(INDEX(saCAGR[CAGR],MATCH(Table1[[#This Row],[Employer]],saCAGR[EIW Name],0)),"")</f>
        <v>0.99827089368793842</v>
      </c>
      <c r="I130" s="50">
        <f>IFERROR(Table1[[#This Row],[SA CAGR]]*Table1[[#This Row],[Number of Summer 2016 2L SAs]],"")</f>
        <v>19.965417873758767</v>
      </c>
      <c r="J130" s="50">
        <v>1</v>
      </c>
      <c r="K130" s="51">
        <f>IFERROR(Table1[[#This Row],[Number of Summer 2016 NYU 2L SAs]]/Table1[[#This Row],[Interview Slots]],0)</f>
        <v>5.208333333333333E-3</v>
      </c>
      <c r="L130" s="51">
        <f>Table1[[#This Row],[Number of Summer 2016 2L SAs]]/Table1[[#This Row],[Interview Slots]]</f>
        <v>0.10416666666666667</v>
      </c>
      <c r="M130" s="51">
        <f>IFERROR(Table1[[#This Row],[Number of Summer 2016 NYU 2L SAs]]/Table1[[#This Row],[Number of Summer 2016 2L SAs]],0)</f>
        <v>0.05</v>
      </c>
      <c r="N130" s="50" t="str">
        <f>IFERROR(RIGHT(Table1[[#This Row],[1st year]],LEN(Table1[[#This Row],[1st year]])-FIND(":",Table1[[#This Row],[1st year]])-1),"")</f>
        <v>$180K</v>
      </c>
      <c r="O130" s="50" t="str">
        <f t="array" ref="O130">IFERROR(INDEX(Table2[Nth year],MATCH(1,(Table1[[#This Row],[Employer]]=Table2[EIW Name])*(Table1[[#This Row],[City, State]]=Table2[Offices Matched]),0)),"")</f>
        <v>8th Year+: $315K</v>
      </c>
      <c r="P130" s="50" t="str">
        <f>IFERROR(RIGHT(Table1[[#This Row],[Nth year]],LEN(Table1[[#This Row],[Nth year]])-FIND(":",Table1[[#This Row],[Nth year]])-1),"")</f>
        <v>$315K</v>
      </c>
      <c r="Q130" s="50" t="str">
        <f t="array" ref="Q130">IFERROR(INDEX(Table2[Am Law 200 PPP Rank ’16],MATCH(1,(Table1[[#This Row],[Employer]]=Table2[EIW Name])*(Table1[[#This Row],[City, State]]=Table2[Offices Matched]),0)),"")</f>
        <v>22: $2.51M</v>
      </c>
      <c r="R130" s="50" t="str">
        <f>IFERROR(LEFT(Table1[[#This Row],[Am Law 200 PPP Rank ’16]],FIND(":",Table1[[#This Row],[Am Law 200 PPP Rank ’16]])-1),"")</f>
        <v>22</v>
      </c>
      <c r="S130" s="50">
        <f>IFERROR(INDEX(VaultRank[Rank],MATCH(Table1[[#This Row],[Employer]],VaultRank[EIW Name],0)),"")</f>
        <v>51</v>
      </c>
      <c r="T130" s="50" t="str">
        <f t="array" ref="T130">IFERROR(INDEX(Table2[Summers Matched],MATCH(1,(Table1[[#This Row],[Employer]]=Table2[EIW Name])*(Table1[[#This Row],[City, State]]=Table2[Offices Matched]),0)),"")</f>
        <v>Yes</v>
      </c>
      <c r="U130" s="52" t="str">
        <f t="shared" ref="U130:U193" si="2">IF(MOD(ROW(),23)=0,3.6,IF(MOD(ROW(),16)=0,3.4,""))</f>
        <v/>
      </c>
      <c r="V130" s="60"/>
      <c r="W130" s="114">
        <v>42593</v>
      </c>
      <c r="X130"/>
    </row>
    <row r="131" spans="1:24" ht="14.1" customHeight="1">
      <c r="A131" s="45" t="s">
        <v>218</v>
      </c>
      <c r="B131" s="45" t="s">
        <v>338</v>
      </c>
      <c r="C131" s="45" t="s">
        <v>314</v>
      </c>
      <c r="D131" s="45" t="str">
        <f>Table1[[#This Row],[City]]&amp;", "&amp;Table1[[#This Row],[State]]</f>
        <v>Austin, TX</v>
      </c>
      <c r="E131" s="49">
        <v>102</v>
      </c>
      <c r="F131" s="50">
        <v>2</v>
      </c>
      <c r="G131" s="50" t="str">
        <f t="array" ref="G131">IFERROR(INDEX(Table2[1st Year],MATCH(1,(Table1[[#This Row],[Employer]]=Table2[EIW Name])*(Table1[[#This Row],[City, State]]=Table2[Offices Matched]),0)),"")</f>
        <v>1st Year: $180K</v>
      </c>
      <c r="H131" s="50">
        <f>_xlfn.IFNA(INDEX(saCAGR[CAGR],MATCH(Table1[[#This Row],[Employer]],saCAGR[EIW Name],0)),"")</f>
        <v>0.99827089368793842</v>
      </c>
      <c r="I131" s="50">
        <f>IFERROR(Table1[[#This Row],[SA CAGR]]*Table1[[#This Row],[Number of Summer 2016 2L SAs]],"")</f>
        <v>1.9965417873758768</v>
      </c>
      <c r="J131" s="50">
        <v>19</v>
      </c>
      <c r="K131" s="51">
        <f>IFERROR(Table1[[#This Row],[Number of Summer 2016 NYU 2L SAs]]/Table1[[#This Row],[Interview Slots]],0)</f>
        <v>0.18627450980392157</v>
      </c>
      <c r="L131" s="51">
        <f>Table1[[#This Row],[Number of Summer 2016 2L SAs]]/Table1[[#This Row],[Interview Slots]]</f>
        <v>1.9607843137254902E-2</v>
      </c>
      <c r="M131" s="51">
        <f>IFERROR(Table1[[#This Row],[Number of Summer 2016 NYU 2L SAs]]/Table1[[#This Row],[Number of Summer 2016 2L SAs]],0)</f>
        <v>9.5</v>
      </c>
      <c r="N131" s="50" t="str">
        <f>IFERROR(RIGHT(Table1[[#This Row],[1st year]],LEN(Table1[[#This Row],[1st year]])-FIND(":",Table1[[#This Row],[1st year]])-1),"")</f>
        <v>$180K</v>
      </c>
      <c r="O131" s="50" t="str">
        <f t="array" ref="O131">IFERROR(INDEX(Table2[Nth year],MATCH(1,(Table1[[#This Row],[Employer]]=Table2[EIW Name])*(Table1[[#This Row],[City, State]]=Table2[Offices Matched]),0)),"")</f>
        <v>8th Year+: $315K</v>
      </c>
      <c r="P131" s="50" t="str">
        <f>IFERROR(RIGHT(Table1[[#This Row],[Nth year]],LEN(Table1[[#This Row],[Nth year]])-FIND(":",Table1[[#This Row],[Nth year]])-1),"")</f>
        <v>$315K</v>
      </c>
      <c r="Q131" s="50" t="str">
        <f t="array" ref="Q131">IFERROR(INDEX(Table2[Am Law 200 PPP Rank ’16],MATCH(1,(Table1[[#This Row],[Employer]]=Table2[EIW Name])*(Table1[[#This Row],[City, State]]=Table2[Offices Matched]),0)),"")</f>
        <v>22: $2.51M</v>
      </c>
      <c r="R131" s="50" t="str">
        <f>IFERROR(LEFT(Table1[[#This Row],[Am Law 200 PPP Rank ’16]],FIND(":",Table1[[#This Row],[Am Law 200 PPP Rank ’16]])-1),"")</f>
        <v>22</v>
      </c>
      <c r="S131" s="50">
        <f>IFERROR(INDEX(VaultRank[Rank],MATCH(Table1[[#This Row],[Employer]],VaultRank[EIW Name],0)),"")</f>
        <v>51</v>
      </c>
      <c r="T131" s="50" t="str">
        <f t="array" ref="T131">IFERROR(INDEX(Table2[Summers Matched],MATCH(1,(Table1[[#This Row],[Employer]]=Table2[EIW Name])*(Table1[[#This Row],[City, State]]=Table2[Offices Matched]),0)),"")</f>
        <v>Yes</v>
      </c>
      <c r="U131" s="52" t="str">
        <f t="shared" si="2"/>
        <v/>
      </c>
      <c r="V131" s="60"/>
      <c r="W131" s="114">
        <v>42594</v>
      </c>
      <c r="X131"/>
    </row>
    <row r="132" spans="1:24" ht="14.1" customHeight="1">
      <c r="A132" s="45" t="s">
        <v>168</v>
      </c>
      <c r="B132" s="45" t="s">
        <v>364</v>
      </c>
      <c r="C132" s="45" t="s">
        <v>362</v>
      </c>
      <c r="D132" s="45" t="str">
        <f>Table1[[#This Row],[City]]&amp;", "&amp;Table1[[#This Row],[State]]</f>
        <v>New York, NY</v>
      </c>
      <c r="E132" s="49">
        <v>127</v>
      </c>
      <c r="F132" s="50">
        <v>6</v>
      </c>
      <c r="G132" s="50" t="str">
        <f t="array" ref="G132">IFERROR(INDEX(Table2[1st Year],MATCH(1,(Table1[[#This Row],[Employer]]=Table2[EIW Name])*(Table1[[#This Row],[City, State]]=Table2[Offices Matched]),0)),"")</f>
        <v>1st Year: TBD</v>
      </c>
      <c r="H132" s="51">
        <f>_xlfn.IFNA(INDEX(saCAGR[CAGR],MATCH(Table1[[#This Row],[Employer]],saCAGR[EIW Name],0)),"")</f>
        <v>1.017438142714215</v>
      </c>
      <c r="I132" s="50">
        <f>IFERROR(Table1[[#This Row],[SA CAGR]]*Table1[[#This Row],[Number of Summer 2016 2L SAs]],"")</f>
        <v>6.1046288562852897</v>
      </c>
      <c r="J132" s="50">
        <v>1</v>
      </c>
      <c r="K132" s="51">
        <f>IFERROR(Table1[[#This Row],[Number of Summer 2016 NYU 2L SAs]]/Table1[[#This Row],[Interview Slots]],0)</f>
        <v>7.874015748031496E-3</v>
      </c>
      <c r="L132" s="51">
        <f>Table1[[#This Row],[Number of Summer 2016 2L SAs]]/Table1[[#This Row],[Interview Slots]]</f>
        <v>4.7244094488188976E-2</v>
      </c>
      <c r="M132" s="51">
        <f>IFERROR(Table1[[#This Row],[Number of Summer 2016 NYU 2L SAs]]/Table1[[#This Row],[Number of Summer 2016 2L SAs]],0)</f>
        <v>0.16666666666666666</v>
      </c>
      <c r="N132" s="50" t="str">
        <f>IFERROR(RIGHT(Table1[[#This Row],[1st year]],LEN(Table1[[#This Row],[1st year]])-FIND(":",Table1[[#This Row],[1st year]])-1),"")</f>
        <v>TBD</v>
      </c>
      <c r="O132" s="50" t="str">
        <f t="array" ref="O132">IFERROR(INDEX(Table2[Nth year],MATCH(1,(Table1[[#This Row],[Employer]]=Table2[EIW Name])*(Table1[[#This Row],[City, State]]=Table2[Offices Matched]),0)),"")</f>
        <v>8th Year: TBD</v>
      </c>
      <c r="P132" s="50" t="str">
        <f>IFERROR(RIGHT(Table1[[#This Row],[Nth year]],LEN(Table1[[#This Row],[Nth year]])-FIND(":",Table1[[#This Row],[Nth year]])-1),"")</f>
        <v>TBD</v>
      </c>
      <c r="Q132" s="50" t="str">
        <f t="array" ref="Q132">IFERROR(INDEX(Table2[Am Law 200 PPP Rank ’16],MATCH(1,(Table1[[#This Row],[Employer]]=Table2[EIW Name])*(Table1[[#This Row],[City, State]]=Table2[Offices Matched]),0)),"")</f>
        <v>79: $1.14M</v>
      </c>
      <c r="R132" s="50" t="str">
        <f>IFERROR(LEFT(Table1[[#This Row],[Am Law 200 PPP Rank ’16]],FIND(":",Table1[[#This Row],[Am Law 200 PPP Rank ’16]])-1),"")</f>
        <v>79</v>
      </c>
      <c r="S132" s="50">
        <f>IFERROR(INDEX(VaultRank[Rank],MATCH(Table1[[#This Row],[Employer]],VaultRank[EIW Name],0)),"")</f>
        <v>28</v>
      </c>
      <c r="T132" s="50" t="str">
        <f t="array" ref="T132">IFERROR(INDEX(Table2[Summers Matched],MATCH(1,(Table1[[#This Row],[Employer]]=Table2[EIW Name])*(Table1[[#This Row],[City, State]]=Table2[Offices Matched]),0)),"")</f>
        <v>TBD</v>
      </c>
      <c r="U132" s="52" t="str">
        <f t="shared" si="2"/>
        <v/>
      </c>
      <c r="V132" s="60"/>
      <c r="W132" s="114">
        <v>42595</v>
      </c>
      <c r="X132"/>
    </row>
    <row r="133" spans="1:24" ht="14.1" customHeight="1">
      <c r="A133" s="45" t="s">
        <v>168</v>
      </c>
      <c r="B133" s="45" t="s">
        <v>303</v>
      </c>
      <c r="C133" s="45" t="s">
        <v>304</v>
      </c>
      <c r="D133" s="45" t="str">
        <f>Table1[[#This Row],[City]]&amp;", "&amp;Table1[[#This Row],[State]]</f>
        <v>Chicago, IL</v>
      </c>
      <c r="E133" s="49">
        <v>57</v>
      </c>
      <c r="F133" s="50">
        <v>17</v>
      </c>
      <c r="G133" s="50" t="str">
        <f t="array" ref="G133">IFERROR(INDEX(Table2[1st Year],MATCH(1,(Table1[[#This Row],[Employer]]=Table2[EIW Name])*(Table1[[#This Row],[City, State]]=Table2[Offices Matched]),0)),"")</f>
        <v>1st Year: TBD</v>
      </c>
      <c r="H133" s="51">
        <f>_xlfn.IFNA(INDEX(saCAGR[CAGR],MATCH(Table1[[#This Row],[Employer]],saCAGR[EIW Name],0)),"")</f>
        <v>1.017438142714215</v>
      </c>
      <c r="I133" s="50">
        <f>IFERROR(Table1[[#This Row],[SA CAGR]]*Table1[[#This Row],[Number of Summer 2016 2L SAs]],"")</f>
        <v>17.296448426141655</v>
      </c>
      <c r="J133" s="50">
        <v>18</v>
      </c>
      <c r="K133" s="51">
        <f>IFERROR(Table1[[#This Row],[Number of Summer 2016 NYU 2L SAs]]/Table1[[#This Row],[Interview Slots]],0)</f>
        <v>0.31578947368421051</v>
      </c>
      <c r="L133" s="51">
        <f>Table1[[#This Row],[Number of Summer 2016 2L SAs]]/Table1[[#This Row],[Interview Slots]]</f>
        <v>0.2982456140350877</v>
      </c>
      <c r="M133" s="51">
        <f>IFERROR(Table1[[#This Row],[Number of Summer 2016 NYU 2L SAs]]/Table1[[#This Row],[Number of Summer 2016 2L SAs]],0)</f>
        <v>1.0588235294117647</v>
      </c>
      <c r="N133" s="50" t="str">
        <f>IFERROR(RIGHT(Table1[[#This Row],[1st year]],LEN(Table1[[#This Row],[1st year]])-FIND(":",Table1[[#This Row],[1st year]])-1),"")</f>
        <v>TBD</v>
      </c>
      <c r="O133" s="50" t="str">
        <f t="array" ref="O133">IFERROR(INDEX(Table2[Nth year],MATCH(1,(Table1[[#This Row],[Employer]]=Table2[EIW Name])*(Table1[[#This Row],[City, State]]=Table2[Offices Matched]),0)),"")</f>
        <v>8th Year: TBD</v>
      </c>
      <c r="P133" s="50" t="str">
        <f>IFERROR(RIGHT(Table1[[#This Row],[Nth year]],LEN(Table1[[#This Row],[Nth year]])-FIND(":",Table1[[#This Row],[Nth year]])-1),"")</f>
        <v>TBD</v>
      </c>
      <c r="Q133" s="50" t="str">
        <f t="array" ref="Q133">IFERROR(INDEX(Table2[Am Law 200 PPP Rank ’16],MATCH(1,(Table1[[#This Row],[Employer]]=Table2[EIW Name])*(Table1[[#This Row],[City, State]]=Table2[Offices Matched]),0)),"")</f>
        <v>79: $1.14M</v>
      </c>
      <c r="R133" s="50" t="str">
        <f>IFERROR(LEFT(Table1[[#This Row],[Am Law 200 PPP Rank ’16]],FIND(":",Table1[[#This Row],[Am Law 200 PPP Rank ’16]])-1),"")</f>
        <v>79</v>
      </c>
      <c r="S133" s="50">
        <f>IFERROR(INDEX(VaultRank[Rank],MATCH(Table1[[#This Row],[Employer]],VaultRank[EIW Name],0)),"")</f>
        <v>28</v>
      </c>
      <c r="T133" s="50" t="str">
        <f t="array" ref="T133">IFERROR(INDEX(Table2[Summers Matched],MATCH(1,(Table1[[#This Row],[Employer]]=Table2[EIW Name])*(Table1[[#This Row],[City, State]]=Table2[Offices Matched]),0)),"")</f>
        <v>TBD</v>
      </c>
      <c r="U133" s="52" t="str">
        <f t="shared" si="2"/>
        <v/>
      </c>
      <c r="V133" s="60"/>
      <c r="W133" s="114">
        <v>42592</v>
      </c>
      <c r="X133"/>
    </row>
    <row r="134" spans="1:24" ht="14.1" customHeight="1">
      <c r="A134" s="45" t="s">
        <v>298</v>
      </c>
      <c r="B134" s="45" t="s">
        <v>364</v>
      </c>
      <c r="C134" s="45" t="s">
        <v>362</v>
      </c>
      <c r="D134" s="45" t="str">
        <f>Table1[[#This Row],[City]]&amp;", "&amp;Table1[[#This Row],[State]]</f>
        <v>New York, NY</v>
      </c>
      <c r="E134" s="49">
        <v>4</v>
      </c>
      <c r="F134" s="50">
        <v>16</v>
      </c>
      <c r="G134" s="50" t="str">
        <f t="array" ref="G134">IFERROR(INDEX(Table2[1st Year],MATCH(1,(Table1[[#This Row],[Employer]]=Table2[EIW Name])*(Table1[[#This Row],[City, State]]=Table2[Offices Matched]),0)),"")</f>
        <v>1st Year: $180K</v>
      </c>
      <c r="H134" s="51">
        <f>_xlfn.IFNA(INDEX(saCAGR[CAGR],MATCH(Table1[[#This Row],[Employer]],saCAGR[EIW Name],0)),"")</f>
        <v>1.0136995648883524</v>
      </c>
      <c r="I134" s="50">
        <f>IFERROR(Table1[[#This Row],[SA CAGR]]*Table1[[#This Row],[Number of Summer 2016 2L SAs]],"")</f>
        <v>16.219193038213639</v>
      </c>
      <c r="J134" s="50">
        <v>24</v>
      </c>
      <c r="K134" s="51">
        <f>IFERROR(Table1[[#This Row],[Number of Summer 2016 NYU 2L SAs]]/Table1[[#This Row],[Interview Slots]],0)</f>
        <v>6</v>
      </c>
      <c r="L134" s="51">
        <f>Table1[[#This Row],[Number of Summer 2016 2L SAs]]/Table1[[#This Row],[Interview Slots]]</f>
        <v>4</v>
      </c>
      <c r="M134" s="51">
        <f>IFERROR(Table1[[#This Row],[Number of Summer 2016 NYU 2L SAs]]/Table1[[#This Row],[Number of Summer 2016 2L SAs]],0)</f>
        <v>1.5</v>
      </c>
      <c r="N134" s="50" t="str">
        <f>IFERROR(RIGHT(Table1[[#This Row],[1st year]],LEN(Table1[[#This Row],[1st year]])-FIND(":",Table1[[#This Row],[1st year]])-1),"")</f>
        <v>$180K</v>
      </c>
      <c r="O134" s="50" t="str">
        <f t="array" ref="O134">IFERROR(INDEX(Table2[Nth year],MATCH(1,(Table1[[#This Row],[Employer]]=Table2[EIW Name])*(Table1[[#This Row],[City, State]]=Table2[Offices Matched]),0)),"")</f>
        <v>8th Year: $315K</v>
      </c>
      <c r="P134" s="50" t="str">
        <f>IFERROR(RIGHT(Table1[[#This Row],[Nth year]],LEN(Table1[[#This Row],[Nth year]])-FIND(":",Table1[[#This Row],[Nth year]])-1),"")</f>
        <v>$315K</v>
      </c>
      <c r="Q134" s="50" t="str">
        <f t="array" ref="Q134">IFERROR(INDEX(Table2[Am Law 200 PPP Rank ’16],MATCH(1,(Table1[[#This Row],[Employer]]=Table2[EIW Name])*(Table1[[#This Row],[City, State]]=Table2[Offices Matched]),0)),"")</f>
        <v>33: $1.92M</v>
      </c>
      <c r="R134" s="50" t="str">
        <f>IFERROR(LEFT(Table1[[#This Row],[Am Law 200 PPP Rank ’16]],FIND(":",Table1[[#This Row],[Am Law 200 PPP Rank ’16]])-1),"")</f>
        <v>33</v>
      </c>
      <c r="S134" s="50">
        <f>IFERROR(INDEX(VaultRank[Rank],MATCH(Table1[[#This Row],[Employer]],VaultRank[EIW Name],0)),"")</f>
        <v>29</v>
      </c>
      <c r="T134" s="50" t="str">
        <f t="array" ref="T134">IFERROR(INDEX(Table2[Summers Matched],MATCH(1,(Table1[[#This Row],[Employer]]=Table2[EIW Name])*(Table1[[#This Row],[City, State]]=Table2[Offices Matched]),0)),"")</f>
        <v>Yes</v>
      </c>
      <c r="U134" s="52" t="str">
        <f t="shared" si="2"/>
        <v/>
      </c>
      <c r="V134" s="60"/>
      <c r="W134" s="114">
        <v>42592</v>
      </c>
      <c r="X134"/>
    </row>
    <row r="135" spans="1:24" ht="14.1" customHeight="1">
      <c r="A135" s="45" t="s">
        <v>100</v>
      </c>
      <c r="B135" s="45" t="s">
        <v>364</v>
      </c>
      <c r="C135" s="45" t="s">
        <v>362</v>
      </c>
      <c r="D135" s="45" t="str">
        <f>Table1[[#This Row],[City]]&amp;", "&amp;Table1[[#This Row],[State]]</f>
        <v>New York, NY</v>
      </c>
      <c r="E135" s="49">
        <v>86</v>
      </c>
      <c r="F135" s="50">
        <v>34</v>
      </c>
      <c r="G135" s="50" t="str">
        <f t="array" ref="G135">IFERROR(INDEX(Table2[1st Year],MATCH(1,(Table1[[#This Row],[Employer]]=Table2[EIW Name])*(Table1[[#This Row],[City, State]]=Table2[Offices Matched]),0)),"")</f>
        <v>1st Year: $180K</v>
      </c>
      <c r="H135" s="51">
        <f>_xlfn.IFNA(INDEX(saCAGR[CAGR],MATCH(Table1[[#This Row],[Employer]],saCAGR[EIW Name],0)),"")</f>
        <v>1.0179873824833936</v>
      </c>
      <c r="I135" s="50">
        <f>IFERROR(Table1[[#This Row],[SA CAGR]]*Table1[[#This Row],[Number of Summer 2016 2L SAs]],"")</f>
        <v>34.611571004435383</v>
      </c>
      <c r="J135" s="50">
        <v>6</v>
      </c>
      <c r="K135" s="51">
        <f>IFERROR(Table1[[#This Row],[Number of Summer 2016 NYU 2L SAs]]/Table1[[#This Row],[Interview Slots]],0)</f>
        <v>6.9767441860465115E-2</v>
      </c>
      <c r="L135" s="51">
        <f>Table1[[#This Row],[Number of Summer 2016 2L SAs]]/Table1[[#This Row],[Interview Slots]]</f>
        <v>0.39534883720930231</v>
      </c>
      <c r="M135" s="51">
        <f>IFERROR(Table1[[#This Row],[Number of Summer 2016 NYU 2L SAs]]/Table1[[#This Row],[Number of Summer 2016 2L SAs]],0)</f>
        <v>0.17647058823529413</v>
      </c>
      <c r="N135" s="50" t="str">
        <f>IFERROR(RIGHT(Table1[[#This Row],[1st year]],LEN(Table1[[#This Row],[1st year]])-FIND(":",Table1[[#This Row],[1st year]])-1),"")</f>
        <v>$180K</v>
      </c>
      <c r="O135" s="50" t="str">
        <f t="array" ref="O135">IFERROR(INDEX(Table2[Nth year],MATCH(1,(Table1[[#This Row],[Employer]]=Table2[EIW Name])*(Table1[[#This Row],[City, State]]=Table2[Offices Matched]),0)),"")</f>
        <v>8th Year: $315K</v>
      </c>
      <c r="P135" s="50" t="str">
        <f>IFERROR(RIGHT(Table1[[#This Row],[Nth year]],LEN(Table1[[#This Row],[Nth year]])-FIND(":",Table1[[#This Row],[Nth year]])-1),"")</f>
        <v>$315K</v>
      </c>
      <c r="Q135" s="50" t="str">
        <f t="array" ref="Q135">IFERROR(INDEX(Table2[Am Law 200 PPP Rank ’16],MATCH(1,(Table1[[#This Row],[Employer]]=Table2[EIW Name])*(Table1[[#This Row],[City, State]]=Table2[Offices Matched]),0)),"")</f>
        <v>27: $2.15M</v>
      </c>
      <c r="R135" s="50" t="str">
        <f>IFERROR(LEFT(Table1[[#This Row],[Am Law 200 PPP Rank ’16]],FIND(":",Table1[[#This Row],[Am Law 200 PPP Rank ’16]])-1),"")</f>
        <v>27</v>
      </c>
      <c r="S135" s="50">
        <f>IFERROR(INDEX(VaultRank[Rank],MATCH(Table1[[#This Row],[Employer]],VaultRank[EIW Name],0)),"")</f>
        <v>30</v>
      </c>
      <c r="T135" s="50" t="str">
        <f t="array" ref="T135">IFERROR(INDEX(Table2[Summers Matched],MATCH(1,(Table1[[#This Row],[Employer]]=Table2[EIW Name])*(Table1[[#This Row],[City, State]]=Table2[Offices Matched]),0)),"")</f>
        <v>Yes</v>
      </c>
      <c r="U135" s="52" t="str">
        <f t="shared" si="2"/>
        <v/>
      </c>
      <c r="V135" s="60"/>
      <c r="W135" s="114">
        <v>42594</v>
      </c>
      <c r="X135"/>
    </row>
    <row r="136" spans="1:24" ht="14.1" customHeight="1">
      <c r="A136" s="45" t="s">
        <v>195</v>
      </c>
      <c r="B136" s="45" t="s">
        <v>364</v>
      </c>
      <c r="C136" s="45" t="s">
        <v>362</v>
      </c>
      <c r="D136" s="45" t="str">
        <f>Table1[[#This Row],[City]]&amp;", "&amp;Table1[[#This Row],[State]]</f>
        <v>New York, NY</v>
      </c>
      <c r="E136" s="49">
        <v>144</v>
      </c>
      <c r="F136" s="50">
        <v>20</v>
      </c>
      <c r="G136" s="50" t="str">
        <f t="array" ref="G136">IFERROR(INDEX(Table2[1st Year],MATCH(1,(Table1[[#This Row],[Employer]]=Table2[EIW Name])*(Table1[[#This Row],[City, State]]=Table2[Offices Matched]),0)),"")</f>
        <v>1st Year: $180K</v>
      </c>
      <c r="H136" s="50">
        <f>_xlfn.IFNA(INDEX(saCAGR[CAGR],MATCH(Table1[[#This Row],[Employer]],saCAGR[EIW Name],0)),"")</f>
        <v>1.0184377282271837</v>
      </c>
      <c r="I136" s="50">
        <f>IFERROR(Table1[[#This Row],[SA CAGR]]*Table1[[#This Row],[Number of Summer 2016 2L SAs]],"")</f>
        <v>20.368754564543675</v>
      </c>
      <c r="J136" s="50">
        <v>23</v>
      </c>
      <c r="K136" s="51">
        <f>IFERROR(Table1[[#This Row],[Number of Summer 2016 NYU 2L SAs]]/Table1[[#This Row],[Interview Slots]],0)</f>
        <v>0.15972222222222221</v>
      </c>
      <c r="L136" s="51">
        <f>Table1[[#This Row],[Number of Summer 2016 2L SAs]]/Table1[[#This Row],[Interview Slots]]</f>
        <v>0.1388888888888889</v>
      </c>
      <c r="M136" s="51">
        <f>IFERROR(Table1[[#This Row],[Number of Summer 2016 NYU 2L SAs]]/Table1[[#This Row],[Number of Summer 2016 2L SAs]],0)</f>
        <v>1.1499999999999999</v>
      </c>
      <c r="N136" s="50" t="str">
        <f>IFERROR(RIGHT(Table1[[#This Row],[1st year]],LEN(Table1[[#This Row],[1st year]])-FIND(":",Table1[[#This Row],[1st year]])-1),"")</f>
        <v>$180K</v>
      </c>
      <c r="O136" s="50" t="str">
        <f t="array" ref="O136">IFERROR(INDEX(Table2[Nth year],MATCH(1,(Table1[[#This Row],[Employer]]=Table2[EIW Name])*(Table1[[#This Row],[City, State]]=Table2[Offices Matched]),0)),"")</f>
        <v>8th Year: $315K</v>
      </c>
      <c r="P136" s="50" t="str">
        <f>IFERROR(RIGHT(Table1[[#This Row],[Nth year]],LEN(Table1[[#This Row],[Nth year]])-FIND(":",Table1[[#This Row],[Nth year]])-1),"")</f>
        <v>$315K</v>
      </c>
      <c r="Q136" s="50" t="str">
        <f t="array" ref="Q136">IFERROR(INDEX(Table2[Am Law 200 PPP Rank ’16],MATCH(1,(Table1[[#This Row],[Employer]]=Table2[EIW Name])*(Table1[[#This Row],[City, State]]=Table2[Offices Matched]),0)),"")</f>
        <v>55: $1.56M</v>
      </c>
      <c r="R136" s="50" t="str">
        <f>IFERROR(LEFT(Table1[[#This Row],[Am Law 200 PPP Rank ’16]],FIND(":",Table1[[#This Row],[Am Law 200 PPP Rank ’16]])-1),"")</f>
        <v>55</v>
      </c>
      <c r="S136" s="50">
        <f>IFERROR(INDEX(VaultRank[Rank],MATCH(Table1[[#This Row],[Employer]],VaultRank[EIW Name],0)),"")</f>
        <v>34</v>
      </c>
      <c r="T136" s="50" t="str">
        <f t="array" ref="T136">IFERROR(INDEX(Table2[Summers Matched],MATCH(1,(Table1[[#This Row],[Employer]]=Table2[EIW Name])*(Table1[[#This Row],[City, State]]=Table2[Offices Matched]),0)),"")</f>
        <v>Yes</v>
      </c>
      <c r="U136" s="52" t="str">
        <f t="shared" si="2"/>
        <v/>
      </c>
      <c r="V136" s="60"/>
      <c r="W136" s="114">
        <v>42595</v>
      </c>
      <c r="X136"/>
    </row>
    <row r="137" spans="1:24" ht="14.1" customHeight="1">
      <c r="A137" s="61" t="s">
        <v>197</v>
      </c>
      <c r="B137" s="61" t="s">
        <v>389</v>
      </c>
      <c r="C137" s="61" t="s">
        <v>300</v>
      </c>
      <c r="D137" s="61" t="str">
        <f>Table1[[#This Row],[City]]&amp;", "&amp;Table1[[#This Row],[State]]</f>
        <v>East Palo Alto, CA</v>
      </c>
      <c r="E137" s="63">
        <v>26</v>
      </c>
      <c r="F137" s="50">
        <v>5</v>
      </c>
      <c r="G137" s="50" t="str">
        <f t="array" ref="G137">IFERROR(INDEX(Table2[1st Year],MATCH(1,(Table1[[#This Row],[Employer]]=Table2[EIW Name])*(Table1[[#This Row],[City, State]]=Table2[Offices Matched]),0)),"")</f>
        <v>1st Year: $180K</v>
      </c>
      <c r="H137" s="50">
        <f>_xlfn.IFNA(INDEX(saCAGR[CAGR],MATCH(Table1[[#This Row],[Employer]],saCAGR[EIW Name],0)),"")</f>
        <v>1.0196669232008464</v>
      </c>
      <c r="I137" s="50">
        <f>IFERROR(Table1[[#This Row],[SA CAGR]]*Table1[[#This Row],[Number of Summer 2016 2L SAs]],"")</f>
        <v>5.098334616004232</v>
      </c>
      <c r="J137" s="50">
        <v>13</v>
      </c>
      <c r="K137" s="51">
        <f>IFERROR(Table1[[#This Row],[Number of Summer 2016 NYU 2L SAs]]/Table1[[#This Row],[Interview Slots]],0)</f>
        <v>0.5</v>
      </c>
      <c r="L137" s="51">
        <f>Table1[[#This Row],[Number of Summer 2016 2L SAs]]/Table1[[#This Row],[Interview Slots]]</f>
        <v>0.19230769230769232</v>
      </c>
      <c r="M137" s="51">
        <f>IFERROR(Table1[[#This Row],[Number of Summer 2016 NYU 2L SAs]]/Table1[[#This Row],[Number of Summer 2016 2L SAs]],0)</f>
        <v>2.6</v>
      </c>
      <c r="N137" s="50" t="str">
        <f>IFERROR(RIGHT(Table1[[#This Row],[1st year]],LEN(Table1[[#This Row],[1st year]])-FIND(":",Table1[[#This Row],[1st year]])-1),"")</f>
        <v>$180K</v>
      </c>
      <c r="O137" s="50" t="str">
        <f t="array" ref="O137">IFERROR(INDEX(Table2[Nth year],MATCH(1,(Table1[[#This Row],[Employer]]=Table2[EIW Name])*(Table1[[#This Row],[City, State]]=Table2[Offices Matched]),0)),"")</f>
        <v>9th Year: $325K</v>
      </c>
      <c r="P137" s="50" t="str">
        <f>IFERROR(RIGHT(Table1[[#This Row],[Nth year]],LEN(Table1[[#This Row],[Nth year]])-FIND(":",Table1[[#This Row],[Nth year]])-1),"")</f>
        <v>$325K</v>
      </c>
      <c r="Q137" s="50" t="str">
        <f t="array" ref="Q137">IFERROR(INDEX(Table2[Am Law 200 PPP Rank ’16],MATCH(1,(Table1[[#This Row],[Employer]]=Table2[EIW Name])*(Table1[[#This Row],[City, State]]=Table2[Offices Matched]),0)),"")</f>
        <v>54: $1.57M</v>
      </c>
      <c r="R137" s="50" t="str">
        <f>IFERROR(LEFT(Table1[[#This Row],[Am Law 200 PPP Rank ’16]],FIND(":",Table1[[#This Row],[Am Law 200 PPP Rank ’16]])-1),"")</f>
        <v>54</v>
      </c>
      <c r="S137" s="50">
        <f>IFERROR(INDEX(VaultRank[Rank],MATCH(Table1[[#This Row],[Employer]],VaultRank[EIW Name],0)),"")</f>
        <v>41</v>
      </c>
      <c r="T137" s="50" t="str">
        <f t="array" ref="T137">IFERROR(INDEX(Table2[Summers Matched],MATCH(1,(Table1[[#This Row],[Employer]]=Table2[EIW Name])*(Table1[[#This Row],[City, State]]=Table2[Offices Matched]),0)),"")</f>
        <v>TBD</v>
      </c>
      <c r="U137" s="52" t="str">
        <f t="shared" si="2"/>
        <v/>
      </c>
      <c r="V137" s="49" t="s">
        <v>390</v>
      </c>
      <c r="W137" s="114">
        <v>42592</v>
      </c>
      <c r="X137"/>
    </row>
    <row r="138" spans="1:24" ht="14.1" customHeight="1">
      <c r="A138" s="61" t="s">
        <v>197</v>
      </c>
      <c r="B138" s="61" t="s">
        <v>391</v>
      </c>
      <c r="C138" s="61" t="s">
        <v>300</v>
      </c>
      <c r="D138" s="61" t="str">
        <f>Table1[[#This Row],[City]]&amp;", "&amp;Table1[[#This Row],[State]]</f>
        <v>Sacramento, CA</v>
      </c>
      <c r="E138" s="63">
        <v>124</v>
      </c>
      <c r="F138" s="50">
        <v>5</v>
      </c>
      <c r="G138" s="50" t="str">
        <f t="array" ref="G138">IFERROR(INDEX(Table2[1st Year],MATCH(1,(Table1[[#This Row],[Employer]]=Table2[EIW Name])*(Table1[[#This Row],[City, State]]=Table2[Offices Matched]),0)),"")</f>
        <v/>
      </c>
      <c r="H138" s="50">
        <f>_xlfn.IFNA(INDEX(saCAGR[CAGR],MATCH(Table1[[#This Row],[Employer]],saCAGR[EIW Name],0)),"")</f>
        <v>1.0196669232008464</v>
      </c>
      <c r="I138" s="50">
        <f>IFERROR(Table1[[#This Row],[SA CAGR]]*Table1[[#This Row],[Number of Summer 2016 2L SAs]],"")</f>
        <v>5.098334616004232</v>
      </c>
      <c r="J138" s="50">
        <v>16</v>
      </c>
      <c r="K138" s="51">
        <f>IFERROR(Table1[[#This Row],[Number of Summer 2016 NYU 2L SAs]]/Table1[[#This Row],[Interview Slots]],0)</f>
        <v>0.12903225806451613</v>
      </c>
      <c r="L138" s="51">
        <f>Table1[[#This Row],[Number of Summer 2016 2L SAs]]/Table1[[#This Row],[Interview Slots]]</f>
        <v>4.0322580645161289E-2</v>
      </c>
      <c r="M138" s="51">
        <f>IFERROR(Table1[[#This Row],[Number of Summer 2016 NYU 2L SAs]]/Table1[[#This Row],[Number of Summer 2016 2L SAs]],0)</f>
        <v>3.2</v>
      </c>
      <c r="N138" s="50" t="str">
        <f>IFERROR(RIGHT(Table1[[#This Row],[1st year]],LEN(Table1[[#This Row],[1st year]])-FIND(":",Table1[[#This Row],[1st year]])-1),"")</f>
        <v/>
      </c>
      <c r="O138" s="50" t="str">
        <f t="array" ref="O138">IFERROR(INDEX(Table2[Nth year],MATCH(1,(Table1[[#This Row],[Employer]]=Table2[EIW Name])*(Table1[[#This Row],[City, State]]=Table2[Offices Matched]),0)),"")</f>
        <v/>
      </c>
      <c r="P138" s="50" t="str">
        <f>IFERROR(RIGHT(Table1[[#This Row],[Nth year]],LEN(Table1[[#This Row],[Nth year]])-FIND(":",Table1[[#This Row],[Nth year]])-1),"")</f>
        <v/>
      </c>
      <c r="Q138" s="50" t="str">
        <f t="array" ref="Q138">IFERROR(INDEX(Table2[Am Law 200 PPP Rank ’16],MATCH(1,(Table1[[#This Row],[Employer]]=Table2[EIW Name])*(Table1[[#This Row],[City, State]]=Table2[Offices Matched]),0)),"")</f>
        <v/>
      </c>
      <c r="R138" s="50" t="str">
        <f>IFERROR(LEFT(Table1[[#This Row],[Am Law 200 PPP Rank ’16]],FIND(":",Table1[[#This Row],[Am Law 200 PPP Rank ’16]])-1),"")</f>
        <v/>
      </c>
      <c r="S138" s="50">
        <f>IFERROR(INDEX(VaultRank[Rank],MATCH(Table1[[#This Row],[Employer]],VaultRank[EIW Name],0)),"")</f>
        <v>41</v>
      </c>
      <c r="T138" s="50" t="str">
        <f t="array" ref="T138">IFERROR(INDEX(Table2[Summers Matched],MATCH(1,(Table1[[#This Row],[Employer]]=Table2[EIW Name])*(Table1[[#This Row],[City, State]]=Table2[Offices Matched]),0)),"")</f>
        <v/>
      </c>
      <c r="U138" s="52">
        <f t="shared" si="2"/>
        <v>3.6</v>
      </c>
      <c r="V138" s="49" t="s">
        <v>390</v>
      </c>
      <c r="W138" s="114">
        <v>42594</v>
      </c>
      <c r="X138"/>
    </row>
    <row r="139" spans="1:24" ht="14.1" customHeight="1">
      <c r="A139" s="61" t="s">
        <v>197</v>
      </c>
      <c r="B139" s="61" t="s">
        <v>316</v>
      </c>
      <c r="C139" s="61" t="s">
        <v>300</v>
      </c>
      <c r="D139" s="61" t="str">
        <f>Table1[[#This Row],[City]]&amp;", "&amp;Table1[[#This Row],[State]]</f>
        <v>San Francisco, CA</v>
      </c>
      <c r="E139" s="63">
        <v>39</v>
      </c>
      <c r="F139" s="50">
        <v>5</v>
      </c>
      <c r="G139" s="50" t="str">
        <f t="array" ref="G139">IFERROR(INDEX(Table2[1st Year],MATCH(1,(Table1[[#This Row],[Employer]]=Table2[EIW Name])*(Table1[[#This Row],[City, State]]=Table2[Offices Matched]),0)),"")</f>
        <v>1st Year: $180K</v>
      </c>
      <c r="H139" s="50">
        <f>_xlfn.IFNA(INDEX(saCAGR[CAGR],MATCH(Table1[[#This Row],[Employer]],saCAGR[EIW Name],0)),"")</f>
        <v>1.0196669232008464</v>
      </c>
      <c r="I139" s="50">
        <f>IFERROR(Table1[[#This Row],[SA CAGR]]*Table1[[#This Row],[Number of Summer 2016 2L SAs]],"")</f>
        <v>5.098334616004232</v>
      </c>
      <c r="J139" s="50">
        <v>20</v>
      </c>
      <c r="K139" s="51">
        <f>IFERROR(Table1[[#This Row],[Number of Summer 2016 NYU 2L SAs]]/Table1[[#This Row],[Interview Slots]],0)</f>
        <v>0.51282051282051277</v>
      </c>
      <c r="L139" s="51">
        <f>Table1[[#This Row],[Number of Summer 2016 2L SAs]]/Table1[[#This Row],[Interview Slots]]</f>
        <v>0.12820512820512819</v>
      </c>
      <c r="M139" s="51">
        <f>IFERROR(Table1[[#This Row],[Number of Summer 2016 NYU 2L SAs]]/Table1[[#This Row],[Number of Summer 2016 2L SAs]],0)</f>
        <v>4</v>
      </c>
      <c r="N139" s="50" t="str">
        <f>IFERROR(RIGHT(Table1[[#This Row],[1st year]],LEN(Table1[[#This Row],[1st year]])-FIND(":",Table1[[#This Row],[1st year]])-1),"")</f>
        <v>$180K</v>
      </c>
      <c r="O139" s="50" t="str">
        <f t="array" ref="O139">IFERROR(INDEX(Table2[Nth year],MATCH(1,(Table1[[#This Row],[Employer]]=Table2[EIW Name])*(Table1[[#This Row],[City, State]]=Table2[Offices Matched]),0)),"")</f>
        <v>9th Year: $325K</v>
      </c>
      <c r="P139" s="50" t="str">
        <f>IFERROR(RIGHT(Table1[[#This Row],[Nth year]],LEN(Table1[[#This Row],[Nth year]])-FIND(":",Table1[[#This Row],[Nth year]])-1),"")</f>
        <v>$325K</v>
      </c>
      <c r="Q139" s="50" t="str">
        <f t="array" ref="Q139">IFERROR(INDEX(Table2[Am Law 200 PPP Rank ’16],MATCH(1,(Table1[[#This Row],[Employer]]=Table2[EIW Name])*(Table1[[#This Row],[City, State]]=Table2[Offices Matched]),0)),"")</f>
        <v>54: $1.57M</v>
      </c>
      <c r="R139" s="50" t="str">
        <f>IFERROR(LEFT(Table1[[#This Row],[Am Law 200 PPP Rank ’16]],FIND(":",Table1[[#This Row],[Am Law 200 PPP Rank ’16]])-1),"")</f>
        <v>54</v>
      </c>
      <c r="S139" s="50">
        <f>IFERROR(INDEX(VaultRank[Rank],MATCH(Table1[[#This Row],[Employer]],VaultRank[EIW Name],0)),"")</f>
        <v>41</v>
      </c>
      <c r="T139" s="50" t="str">
        <f t="array" ref="T139">IFERROR(INDEX(Table2[Summers Matched],MATCH(1,(Table1[[#This Row],[Employer]]=Table2[EIW Name])*(Table1[[#This Row],[City, State]]=Table2[Offices Matched]),0)),"")</f>
        <v>TBD</v>
      </c>
      <c r="U139" s="52" t="str">
        <f t="shared" si="2"/>
        <v/>
      </c>
      <c r="V139" s="49" t="s">
        <v>390</v>
      </c>
      <c r="W139" s="114">
        <v>42595</v>
      </c>
      <c r="X139"/>
    </row>
    <row r="140" spans="1:24" ht="14.1" customHeight="1">
      <c r="A140" s="45" t="s">
        <v>392</v>
      </c>
      <c r="B140" s="45" t="s">
        <v>329</v>
      </c>
      <c r="C140" s="45" t="s">
        <v>330</v>
      </c>
      <c r="D140" s="45" t="str">
        <f>Table1[[#This Row],[City]]&amp;", "&amp;Table1[[#This Row],[State]]</f>
        <v>Philadelphia, PA</v>
      </c>
      <c r="E140" s="49">
        <v>62</v>
      </c>
      <c r="F140" s="50">
        <v>7</v>
      </c>
      <c r="G140" s="50" t="str">
        <f t="array" ref="G140">IFERROR(INDEX(Table2[1st Year],MATCH(1,(Table1[[#This Row],[Employer]]=Table2[EIW Name])*(Table1[[#This Row],[City, State]]=Table2[Offices Matched]),0)),"")</f>
        <v/>
      </c>
      <c r="H140" s="50">
        <f>_xlfn.IFNA(INDEX(saCAGR[CAGR],MATCH(Table1[[#This Row],[Employer]],saCAGR[EIW Name],0)),"")</f>
        <v>1.015729134048905</v>
      </c>
      <c r="I140" s="50">
        <f>IFERROR(Table1[[#This Row],[SA CAGR]]*Table1[[#This Row],[Number of Summer 2016 2L SAs]],"")</f>
        <v>7.110103938342335</v>
      </c>
      <c r="J140" s="50">
        <v>1</v>
      </c>
      <c r="K140" s="51">
        <f>IFERROR(Table1[[#This Row],[Number of Summer 2016 NYU 2L SAs]]/Table1[[#This Row],[Interview Slots]],0)</f>
        <v>1.6129032258064516E-2</v>
      </c>
      <c r="L140" s="51">
        <f>Table1[[#This Row],[Number of Summer 2016 2L SAs]]/Table1[[#This Row],[Interview Slots]]</f>
        <v>0.11290322580645161</v>
      </c>
      <c r="M140" s="51">
        <f>IFERROR(Table1[[#This Row],[Number of Summer 2016 NYU 2L SAs]]/Table1[[#This Row],[Number of Summer 2016 2L SAs]],0)</f>
        <v>0.14285714285714285</v>
      </c>
      <c r="N140" s="50" t="str">
        <f>IFERROR(RIGHT(Table1[[#This Row],[1st year]],LEN(Table1[[#This Row],[1st year]])-FIND(":",Table1[[#This Row],[1st year]])-1),"")</f>
        <v/>
      </c>
      <c r="O140" s="50" t="str">
        <f t="array" ref="O140">IFERROR(INDEX(Table2[Nth year],MATCH(1,(Table1[[#This Row],[Employer]]=Table2[EIW Name])*(Table1[[#This Row],[City, State]]=Table2[Offices Matched]),0)),"")</f>
        <v/>
      </c>
      <c r="P140" s="50" t="str">
        <f>IFERROR(RIGHT(Table1[[#This Row],[Nth year]],LEN(Table1[[#This Row],[Nth year]])-FIND(":",Table1[[#This Row],[Nth year]])-1),"")</f>
        <v/>
      </c>
      <c r="Q140" s="50" t="str">
        <f t="array" ref="Q140">IFERROR(INDEX(Table2[Am Law 200 PPP Rank ’16],MATCH(1,(Table1[[#This Row],[Employer]]=Table2[EIW Name])*(Table1[[#This Row],[City, State]]=Table2[Offices Matched]),0)),"")</f>
        <v/>
      </c>
      <c r="R140" s="50" t="str">
        <f>IFERROR(LEFT(Table1[[#This Row],[Am Law 200 PPP Rank ’16]],FIND(":",Table1[[#This Row],[Am Law 200 PPP Rank ’16]])-1),"")</f>
        <v/>
      </c>
      <c r="S140" s="50">
        <f>IFERROR(INDEX(VaultRank[Rank],MATCH(Table1[[#This Row],[Employer]],VaultRank[EIW Name],0)),"")</f>
        <v>95</v>
      </c>
      <c r="T140" s="50" t="str">
        <f t="array" ref="T140">IFERROR(INDEX(Table2[Summers Matched],MATCH(1,(Table1[[#This Row],[Employer]]=Table2[EIW Name])*(Table1[[#This Row],[City, State]]=Table2[Offices Matched]),0)),"")</f>
        <v/>
      </c>
      <c r="U140" s="52" t="str">
        <f t="shared" si="2"/>
        <v/>
      </c>
      <c r="V140" s="60"/>
      <c r="W140" s="114">
        <v>42592</v>
      </c>
      <c r="X140"/>
    </row>
    <row r="141" spans="1:24" ht="14.1" customHeight="1">
      <c r="A141" s="45" t="s">
        <v>428</v>
      </c>
      <c r="B141" s="45" t="s">
        <v>364</v>
      </c>
      <c r="C141" s="45" t="s">
        <v>362</v>
      </c>
      <c r="D141" s="45" t="str">
        <f>Table1[[#This Row],[City]]&amp;", "&amp;Table1[[#This Row],[State]]</f>
        <v>New York, NY</v>
      </c>
      <c r="E141" s="49">
        <v>33</v>
      </c>
      <c r="F141" s="50">
        <v>28</v>
      </c>
      <c r="G141" s="50" t="str">
        <f t="array" ref="G141">IFERROR(INDEX(Table2[1st Year],MATCH(1,(Table1[[#This Row],[Employer]]=Table2[EIW Name])*(Table1[[#This Row],[City, State]]=Table2[Offices Matched]),0)),"")</f>
        <v>1st Year: $180K</v>
      </c>
      <c r="H141" s="51">
        <f>_xlfn.IFNA(INDEX(saCAGR[CAGR],MATCH(Table1[[#This Row],[Employer]],saCAGR[EIW Name],0)),"")</f>
        <v>1.0155936581071436</v>
      </c>
      <c r="I141" s="50">
        <f>IFERROR(Table1[[#This Row],[SA CAGR]]*Table1[[#This Row],[Number of Summer 2016 2L SAs]],"")</f>
        <v>28.436622427000021</v>
      </c>
      <c r="J141" s="50">
        <v>12</v>
      </c>
      <c r="K141" s="51">
        <f>IFERROR(Table1[[#This Row],[Number of Summer 2016 NYU 2L SAs]]/Table1[[#This Row],[Interview Slots]],0)</f>
        <v>0.36363636363636365</v>
      </c>
      <c r="L141" s="51">
        <f>Table1[[#This Row],[Number of Summer 2016 2L SAs]]/Table1[[#This Row],[Interview Slots]]</f>
        <v>0.84848484848484851</v>
      </c>
      <c r="M141" s="51">
        <f>IFERROR(Table1[[#This Row],[Number of Summer 2016 NYU 2L SAs]]/Table1[[#This Row],[Number of Summer 2016 2L SAs]],0)</f>
        <v>0.42857142857142855</v>
      </c>
      <c r="N141" s="50" t="str">
        <f>IFERROR(RIGHT(Table1[[#This Row],[1st year]],LEN(Table1[[#This Row],[1st year]])-FIND(":",Table1[[#This Row],[1st year]])-1),"")</f>
        <v>$180K</v>
      </c>
      <c r="O141" s="50" t="str">
        <f t="array" ref="O141">IFERROR(INDEX(Table2[Nth year],MATCH(1,(Table1[[#This Row],[Employer]]=Table2[EIW Name])*(Table1[[#This Row],[City, State]]=Table2[Offices Matched]),0)),"")</f>
        <v>8th Year+: $315K</v>
      </c>
      <c r="P141" s="50" t="str">
        <f>IFERROR(RIGHT(Table1[[#This Row],[Nth year]],LEN(Table1[[#This Row],[Nth year]])-FIND(":",Table1[[#This Row],[Nth year]])-1),"")</f>
        <v>$315K</v>
      </c>
      <c r="Q141" s="50" t="str">
        <f t="array" ref="Q141">IFERROR(INDEX(Table2[Am Law 200 PPP Rank ’16],MATCH(1,(Table1[[#This Row],[Employer]]=Table2[EIW Name])*(Table1[[#This Row],[City, State]]=Table2[Offices Matched]),0)),"")</f>
        <v>70: $1.25M</v>
      </c>
      <c r="R141" s="50" t="str">
        <f>IFERROR(LEFT(Table1[[#This Row],[Am Law 200 PPP Rank ’16]],FIND(":",Table1[[#This Row],[Am Law 200 PPP Rank ’16]])-1),"")</f>
        <v>70</v>
      </c>
      <c r="S141" s="50">
        <f>IFERROR(INDEX(VaultRank[Rank],MATCH(Table1[[#This Row],[Employer]],VaultRank[EIW Name],0)),"")</f>
        <v>31</v>
      </c>
      <c r="T141" s="50" t="str">
        <f t="array" ref="T141">IFERROR(INDEX(Table2[Summers Matched],MATCH(1,(Table1[[#This Row],[Employer]]=Table2[EIW Name])*(Table1[[#This Row],[City, State]]=Table2[Offices Matched]),0)),"")</f>
        <v>Yes</v>
      </c>
      <c r="U141" s="52" t="str">
        <f t="shared" si="2"/>
        <v/>
      </c>
      <c r="V141" s="60"/>
      <c r="W141" s="114">
        <v>42595</v>
      </c>
      <c r="X141"/>
    </row>
    <row r="142" spans="1:24" ht="14.1" customHeight="1">
      <c r="A142" s="45" t="s">
        <v>393</v>
      </c>
      <c r="B142" s="45" t="s">
        <v>394</v>
      </c>
      <c r="C142" s="45" t="s">
        <v>311</v>
      </c>
      <c r="D142" s="45" t="str">
        <f>Table1[[#This Row],[City]]&amp;", "&amp;Table1[[#This Row],[State]]</f>
        <v>Greensboro, NC</v>
      </c>
      <c r="E142" s="49">
        <v>186</v>
      </c>
      <c r="F142" s="50">
        <v>0</v>
      </c>
      <c r="G142" s="50" t="str">
        <f t="array" ref="G142">IFERROR(INDEX(Table2[1st Year],MATCH(1,(Table1[[#This Row],[Employer]]=Table2[EIW Name])*(Table1[[#This Row],[City, State]]=Table2[Offices Matched]),0)),"")</f>
        <v/>
      </c>
      <c r="H142" s="50" t="str">
        <f>_xlfn.IFNA(INDEX(saCAGR[CAGR],MATCH(Table1[[#This Row],[Employer]],saCAGR[EIW Name],0)),"")</f>
        <v/>
      </c>
      <c r="I142" s="50" t="str">
        <f>IFERROR(Table1[[#This Row],[SA CAGR]]*Table1[[#This Row],[Number of Summer 2016 2L SAs]],"")</f>
        <v/>
      </c>
      <c r="J142" s="50">
        <v>17</v>
      </c>
      <c r="K142" s="51">
        <f>IFERROR(Table1[[#This Row],[Number of Summer 2016 NYU 2L SAs]]/Table1[[#This Row],[Interview Slots]],0)</f>
        <v>9.1397849462365593E-2</v>
      </c>
      <c r="L142" s="51">
        <f>Table1[[#This Row],[Number of Summer 2016 2L SAs]]/Table1[[#This Row],[Interview Slots]]</f>
        <v>0</v>
      </c>
      <c r="M142" s="51">
        <f>IFERROR(Table1[[#This Row],[Number of Summer 2016 NYU 2L SAs]]/Table1[[#This Row],[Number of Summer 2016 2L SAs]],0)</f>
        <v>0</v>
      </c>
      <c r="N142" s="50" t="str">
        <f>IFERROR(RIGHT(Table1[[#This Row],[1st year]],LEN(Table1[[#This Row],[1st year]])-FIND(":",Table1[[#This Row],[1st year]])-1),"")</f>
        <v/>
      </c>
      <c r="O142" s="50" t="str">
        <f t="array" ref="O142">IFERROR(INDEX(Table2[Nth year],MATCH(1,(Table1[[#This Row],[Employer]]=Table2[EIW Name])*(Table1[[#This Row],[City, State]]=Table2[Offices Matched]),0)),"")</f>
        <v/>
      </c>
      <c r="P142" s="50" t="str">
        <f>IFERROR(RIGHT(Table1[[#This Row],[Nth year]],LEN(Table1[[#This Row],[Nth year]])-FIND(":",Table1[[#This Row],[Nth year]])-1),"")</f>
        <v/>
      </c>
      <c r="Q142" s="50" t="str">
        <f t="array" ref="Q142">IFERROR(INDEX(Table2[Am Law 200 PPP Rank ’16],MATCH(1,(Table1[[#This Row],[Employer]]=Table2[EIW Name])*(Table1[[#This Row],[City, State]]=Table2[Offices Matched]),0)),"")</f>
        <v/>
      </c>
      <c r="R142" s="50" t="str">
        <f>IFERROR(LEFT(Table1[[#This Row],[Am Law 200 PPP Rank ’16]],FIND(":",Table1[[#This Row],[Am Law 200 PPP Rank ’16]])-1),"")</f>
        <v/>
      </c>
      <c r="S142" s="50" t="str">
        <f>IFERROR(INDEX(VaultRank[Rank],MATCH(Table1[[#This Row],[Employer]],VaultRank[EIW Name],0)),"")</f>
        <v/>
      </c>
      <c r="T142" s="50" t="str">
        <f t="array" ref="T142">IFERROR(INDEX(Table2[Summers Matched],MATCH(1,(Table1[[#This Row],[Employer]]=Table2[EIW Name])*(Table1[[#This Row],[City, State]]=Table2[Offices Matched]),0)),"")</f>
        <v/>
      </c>
      <c r="U142" s="52" t="str">
        <f t="shared" si="2"/>
        <v/>
      </c>
      <c r="V142" s="60"/>
      <c r="W142" s="114">
        <v>42593</v>
      </c>
      <c r="X142"/>
    </row>
    <row r="143" spans="1:24" ht="14.1" customHeight="1">
      <c r="A143" s="45" t="s">
        <v>393</v>
      </c>
      <c r="B143" s="45" t="s">
        <v>395</v>
      </c>
      <c r="C143" s="45" t="s">
        <v>311</v>
      </c>
      <c r="D143" s="45" t="str">
        <f>Table1[[#This Row],[City]]&amp;", "&amp;Table1[[#This Row],[State]]</f>
        <v>Raleigh, NC</v>
      </c>
      <c r="E143" s="49">
        <v>5</v>
      </c>
      <c r="F143" s="50">
        <v>2</v>
      </c>
      <c r="G143" s="50" t="str">
        <f t="array" ref="G143">IFERROR(INDEX(Table2[1st Year],MATCH(1,(Table1[[#This Row],[Employer]]=Table2[EIW Name])*(Table1[[#This Row],[City, State]]=Table2[Offices Matched]),0)),"")</f>
        <v/>
      </c>
      <c r="H143" s="50" t="str">
        <f>_xlfn.IFNA(INDEX(saCAGR[CAGR],MATCH(Table1[[#This Row],[Employer]],saCAGR[EIW Name],0)),"")</f>
        <v/>
      </c>
      <c r="I143" s="50" t="str">
        <f>IFERROR(Table1[[#This Row],[SA CAGR]]*Table1[[#This Row],[Number of Summer 2016 2L SAs]],"")</f>
        <v/>
      </c>
      <c r="J143" s="50">
        <v>8</v>
      </c>
      <c r="K143" s="51">
        <f>IFERROR(Table1[[#This Row],[Number of Summer 2016 NYU 2L SAs]]/Table1[[#This Row],[Interview Slots]],0)</f>
        <v>1.6</v>
      </c>
      <c r="L143" s="51">
        <f>Table1[[#This Row],[Number of Summer 2016 2L SAs]]/Table1[[#This Row],[Interview Slots]]</f>
        <v>0.4</v>
      </c>
      <c r="M143" s="51">
        <f>IFERROR(Table1[[#This Row],[Number of Summer 2016 NYU 2L SAs]]/Table1[[#This Row],[Number of Summer 2016 2L SAs]],0)</f>
        <v>4</v>
      </c>
      <c r="N143" s="50" t="str">
        <f>IFERROR(RIGHT(Table1[[#This Row],[1st year]],LEN(Table1[[#This Row],[1st year]])-FIND(":",Table1[[#This Row],[1st year]])-1),"")</f>
        <v/>
      </c>
      <c r="O143" s="50" t="str">
        <f t="array" ref="O143">IFERROR(INDEX(Table2[Nth year],MATCH(1,(Table1[[#This Row],[Employer]]=Table2[EIW Name])*(Table1[[#This Row],[City, State]]=Table2[Offices Matched]),0)),"")</f>
        <v/>
      </c>
      <c r="P143" s="50" t="str">
        <f>IFERROR(RIGHT(Table1[[#This Row],[Nth year]],LEN(Table1[[#This Row],[Nth year]])-FIND(":",Table1[[#This Row],[Nth year]])-1),"")</f>
        <v/>
      </c>
      <c r="Q143" s="50" t="str">
        <f t="array" ref="Q143">IFERROR(INDEX(Table2[Am Law 200 PPP Rank ’16],MATCH(1,(Table1[[#This Row],[Employer]]=Table2[EIW Name])*(Table1[[#This Row],[City, State]]=Table2[Offices Matched]),0)),"")</f>
        <v/>
      </c>
      <c r="R143" s="50" t="str">
        <f>IFERROR(LEFT(Table1[[#This Row],[Am Law 200 PPP Rank ’16]],FIND(":",Table1[[#This Row],[Am Law 200 PPP Rank ’16]])-1),"")</f>
        <v/>
      </c>
      <c r="S143" s="50" t="str">
        <f>IFERROR(INDEX(VaultRank[Rank],MATCH(Table1[[#This Row],[Employer]],VaultRank[EIW Name],0)),"")</f>
        <v/>
      </c>
      <c r="T143" s="50" t="str">
        <f t="array" ref="T143">IFERROR(INDEX(Table2[Summers Matched],MATCH(1,(Table1[[#This Row],[Employer]]=Table2[EIW Name])*(Table1[[#This Row],[City, State]]=Table2[Offices Matched]),0)),"")</f>
        <v/>
      </c>
      <c r="U143" s="52" t="str">
        <f t="shared" si="2"/>
        <v/>
      </c>
      <c r="V143" s="60"/>
      <c r="W143" s="114">
        <v>42592</v>
      </c>
      <c r="X143"/>
    </row>
    <row r="144" spans="1:24" ht="14.1" customHeight="1">
      <c r="A144" s="45" t="s">
        <v>396</v>
      </c>
      <c r="B144" s="45" t="s">
        <v>301</v>
      </c>
      <c r="C144" s="45" t="s">
        <v>302</v>
      </c>
      <c r="D144" s="45" t="str">
        <f>Table1[[#This Row],[City]]&amp;", "&amp;Table1[[#This Row],[State]]</f>
        <v>Washington, DC</v>
      </c>
      <c r="E144" s="49">
        <v>82</v>
      </c>
      <c r="F144" s="50">
        <v>5</v>
      </c>
      <c r="G144" s="50" t="str">
        <f t="array" ref="G144">IFERROR(INDEX(Table2[1st Year],MATCH(1,(Table1[[#This Row],[Employer]]=Table2[EIW Name])*(Table1[[#This Row],[City, State]]=Table2[Offices Matched]),0)),"")</f>
        <v/>
      </c>
      <c r="H144" s="50">
        <f>_xlfn.IFNA(INDEX(saCAGR[CAGR],MATCH(Table1[[#This Row],[Employer]],saCAGR[EIW Name],0)),"")</f>
        <v>1.0028071733353205</v>
      </c>
      <c r="I144" s="50">
        <f>IFERROR(Table1[[#This Row],[SA CAGR]]*Table1[[#This Row],[Number of Summer 2016 2L SAs]],"")</f>
        <v>5.0140358666766023</v>
      </c>
      <c r="J144" s="50">
        <v>6</v>
      </c>
      <c r="K144" s="51">
        <f>IFERROR(Table1[[#This Row],[Number of Summer 2016 NYU 2L SAs]]/Table1[[#This Row],[Interview Slots]],0)</f>
        <v>7.3170731707317069E-2</v>
      </c>
      <c r="L144" s="51">
        <f>Table1[[#This Row],[Number of Summer 2016 2L SAs]]/Table1[[#This Row],[Interview Slots]]</f>
        <v>6.097560975609756E-2</v>
      </c>
      <c r="M144" s="51">
        <f>IFERROR(Table1[[#This Row],[Number of Summer 2016 NYU 2L SAs]]/Table1[[#This Row],[Number of Summer 2016 2L SAs]],0)</f>
        <v>1.2</v>
      </c>
      <c r="N144" s="50" t="str">
        <f>IFERROR(RIGHT(Table1[[#This Row],[1st year]],LEN(Table1[[#This Row],[1st year]])-FIND(":",Table1[[#This Row],[1st year]])-1),"")</f>
        <v/>
      </c>
      <c r="O144" s="50" t="str">
        <f t="array" ref="O144">IFERROR(INDEX(Table2[Nth year],MATCH(1,(Table1[[#This Row],[Employer]]=Table2[EIW Name])*(Table1[[#This Row],[City, State]]=Table2[Offices Matched]),0)),"")</f>
        <v/>
      </c>
      <c r="P144" s="50" t="str">
        <f>IFERROR(RIGHT(Table1[[#This Row],[Nth year]],LEN(Table1[[#This Row],[Nth year]])-FIND(":",Table1[[#This Row],[Nth year]])-1),"")</f>
        <v/>
      </c>
      <c r="Q144" s="50" t="str">
        <f t="array" ref="Q144">IFERROR(INDEX(Table2[Am Law 200 PPP Rank ’16],MATCH(1,(Table1[[#This Row],[Employer]]=Table2[EIW Name])*(Table1[[#This Row],[City, State]]=Table2[Offices Matched]),0)),"")</f>
        <v/>
      </c>
      <c r="R144" s="50" t="str">
        <f>IFERROR(LEFT(Table1[[#This Row],[Am Law 200 PPP Rank ’16]],FIND(":",Table1[[#This Row],[Am Law 200 PPP Rank ’16]])-1),"")</f>
        <v/>
      </c>
      <c r="S144" s="50" t="str">
        <f>IFERROR(INDEX(VaultRank[Rank],MATCH(Table1[[#This Row],[Employer]],VaultRank[EIW Name],0)),"")</f>
        <v/>
      </c>
      <c r="T144" s="50" t="str">
        <f t="array" ref="T144">IFERROR(INDEX(Table2[Summers Matched],MATCH(1,(Table1[[#This Row],[Employer]]=Table2[EIW Name])*(Table1[[#This Row],[City, State]]=Table2[Offices Matched]),0)),"")</f>
        <v/>
      </c>
      <c r="U144" s="52">
        <f t="shared" si="2"/>
        <v>3.4</v>
      </c>
      <c r="V144" s="60"/>
      <c r="W144" s="114">
        <v>42595</v>
      </c>
      <c r="X144"/>
    </row>
    <row r="145" spans="1:24" ht="14.1" customHeight="1">
      <c r="A145" s="45" t="s">
        <v>396</v>
      </c>
      <c r="B145" s="45" t="s">
        <v>397</v>
      </c>
      <c r="C145" s="45" t="s">
        <v>347</v>
      </c>
      <c r="D145" s="45" t="str">
        <f>Table1[[#This Row],[City]]&amp;", "&amp;Table1[[#This Row],[State]]</f>
        <v>Newark, NJ</v>
      </c>
      <c r="E145" s="49">
        <v>139</v>
      </c>
      <c r="F145" s="50">
        <v>1</v>
      </c>
      <c r="G145" s="50" t="str">
        <f t="array" ref="G145">IFERROR(INDEX(Table2[1st Year],MATCH(1,(Table1[[#This Row],[Employer]]=Table2[EIW Name])*(Table1[[#This Row],[City, State]]=Table2[Offices Matched]),0)),"")</f>
        <v/>
      </c>
      <c r="H145" s="50">
        <f>_xlfn.IFNA(INDEX(saCAGR[CAGR],MATCH(Table1[[#This Row],[Employer]],saCAGR[EIW Name],0)),"")</f>
        <v>1.0028071733353205</v>
      </c>
      <c r="I145" s="50">
        <f>IFERROR(Table1[[#This Row],[SA CAGR]]*Table1[[#This Row],[Number of Summer 2016 2L SAs]],"")</f>
        <v>1.0028071733353205</v>
      </c>
      <c r="J145" s="50">
        <v>24</v>
      </c>
      <c r="K145" s="51">
        <f>IFERROR(Table1[[#This Row],[Number of Summer 2016 NYU 2L SAs]]/Table1[[#This Row],[Interview Slots]],0)</f>
        <v>0.17266187050359713</v>
      </c>
      <c r="L145" s="51">
        <f>Table1[[#This Row],[Number of Summer 2016 2L SAs]]/Table1[[#This Row],[Interview Slots]]</f>
        <v>7.1942446043165471E-3</v>
      </c>
      <c r="M145" s="51">
        <f>IFERROR(Table1[[#This Row],[Number of Summer 2016 NYU 2L SAs]]/Table1[[#This Row],[Number of Summer 2016 2L SAs]],0)</f>
        <v>24</v>
      </c>
      <c r="N145" s="50" t="str">
        <f>IFERROR(RIGHT(Table1[[#This Row],[1st year]],LEN(Table1[[#This Row],[1st year]])-FIND(":",Table1[[#This Row],[1st year]])-1),"")</f>
        <v/>
      </c>
      <c r="O145" s="50" t="str">
        <f t="array" ref="O145">IFERROR(INDEX(Table2[Nth year],MATCH(1,(Table1[[#This Row],[Employer]]=Table2[EIW Name])*(Table1[[#This Row],[City, State]]=Table2[Offices Matched]),0)),"")</f>
        <v/>
      </c>
      <c r="P145" s="50" t="str">
        <f>IFERROR(RIGHT(Table1[[#This Row],[Nth year]],LEN(Table1[[#This Row],[Nth year]])-FIND(":",Table1[[#This Row],[Nth year]])-1),"")</f>
        <v/>
      </c>
      <c r="Q145" s="50" t="str">
        <f t="array" ref="Q145">IFERROR(INDEX(Table2[Am Law 200 PPP Rank ’16],MATCH(1,(Table1[[#This Row],[Employer]]=Table2[EIW Name])*(Table1[[#This Row],[City, State]]=Table2[Offices Matched]),0)),"")</f>
        <v/>
      </c>
      <c r="R145" s="50" t="str">
        <f>IFERROR(LEFT(Table1[[#This Row],[Am Law 200 PPP Rank ’16]],FIND(":",Table1[[#This Row],[Am Law 200 PPP Rank ’16]])-1),"")</f>
        <v/>
      </c>
      <c r="S145" s="50" t="str">
        <f>IFERROR(INDEX(VaultRank[Rank],MATCH(Table1[[#This Row],[Employer]],VaultRank[EIW Name],0)),"")</f>
        <v/>
      </c>
      <c r="T145" s="50" t="str">
        <f t="array" ref="T145">IFERROR(INDEX(Table2[Summers Matched],MATCH(1,(Table1[[#This Row],[Employer]]=Table2[EIW Name])*(Table1[[#This Row],[City, State]]=Table2[Offices Matched]),0)),"")</f>
        <v/>
      </c>
      <c r="U145" s="52" t="str">
        <f t="shared" si="2"/>
        <v/>
      </c>
      <c r="V145" s="60"/>
      <c r="W145" s="114">
        <v>42595</v>
      </c>
      <c r="X145"/>
    </row>
    <row r="146" spans="1:24" ht="14.1" customHeight="1">
      <c r="A146" s="45" t="s">
        <v>199</v>
      </c>
      <c r="B146" s="45" t="s">
        <v>364</v>
      </c>
      <c r="C146" s="45" t="s">
        <v>362</v>
      </c>
      <c r="D146" s="45" t="str">
        <f>Table1[[#This Row],[City]]&amp;", "&amp;Table1[[#This Row],[State]]</f>
        <v>New York, NY</v>
      </c>
      <c r="E146" s="49">
        <v>58</v>
      </c>
      <c r="F146" s="50">
        <v>16</v>
      </c>
      <c r="G146" s="50" t="str">
        <f t="array" ref="G146">IFERROR(INDEX(Table2[1st Year],MATCH(1,(Table1[[#This Row],[Employer]]=Table2[EIW Name])*(Table1[[#This Row],[City, State]]=Table2[Offices Matched]),0)),"")</f>
        <v>1st Year: $180K</v>
      </c>
      <c r="H146" s="51">
        <f>_xlfn.IFNA(INDEX(saCAGR[CAGR],MATCH(Table1[[#This Row],[Employer]],saCAGR[EIW Name],0)),"")</f>
        <v>1.0104712619797067</v>
      </c>
      <c r="I146" s="50">
        <f>IFERROR(Table1[[#This Row],[SA CAGR]]*Table1[[#This Row],[Number of Summer 2016 2L SAs]],"")</f>
        <v>16.167540191675307</v>
      </c>
      <c r="J146" s="50">
        <v>9</v>
      </c>
      <c r="K146" s="51">
        <f>IFERROR(Table1[[#This Row],[Number of Summer 2016 NYU 2L SAs]]/Table1[[#This Row],[Interview Slots]],0)</f>
        <v>0.15517241379310345</v>
      </c>
      <c r="L146" s="51">
        <f>Table1[[#This Row],[Number of Summer 2016 2L SAs]]/Table1[[#This Row],[Interview Slots]]</f>
        <v>0.27586206896551724</v>
      </c>
      <c r="M146" s="51">
        <f>IFERROR(Table1[[#This Row],[Number of Summer 2016 NYU 2L SAs]]/Table1[[#This Row],[Number of Summer 2016 2L SAs]],0)</f>
        <v>0.5625</v>
      </c>
      <c r="N146" s="50" t="str">
        <f>IFERROR(RIGHT(Table1[[#This Row],[1st year]],LEN(Table1[[#This Row],[1st year]])-FIND(":",Table1[[#This Row],[1st year]])-1),"")</f>
        <v>$180K</v>
      </c>
      <c r="O146" s="50" t="str">
        <f t="array" ref="O146">IFERROR(INDEX(Table2[Nth year],MATCH(1,(Table1[[#This Row],[Employer]]=Table2[EIW Name])*(Table1[[#This Row],[City, State]]=Table2[Offices Matched]),0)),"")</f>
        <v>7th Year: $300K</v>
      </c>
      <c r="P146" s="50" t="str">
        <f>IFERROR(RIGHT(Table1[[#This Row],[Nth year]],LEN(Table1[[#This Row],[Nth year]])-FIND(":",Table1[[#This Row],[Nth year]])-1),"")</f>
        <v>$300K</v>
      </c>
      <c r="Q146" s="50" t="str">
        <f t="array" ref="Q146">IFERROR(INDEX(Table2[Am Law 200 PPP Rank ’16],MATCH(1,(Table1[[#This Row],[Employer]]=Table2[EIW Name])*(Table1[[#This Row],[City, State]]=Table2[Offices Matched]),0)),"")</f>
        <v>32: $1.99M</v>
      </c>
      <c r="R146" s="50" t="str">
        <f>IFERROR(LEFT(Table1[[#This Row],[Am Law 200 PPP Rank ’16]],FIND(":",Table1[[#This Row],[Am Law 200 PPP Rank ’16]])-1),"")</f>
        <v>32</v>
      </c>
      <c r="S146" s="50">
        <f>IFERROR(INDEX(VaultRank[Rank],MATCH(Table1[[#This Row],[Employer]],VaultRank[EIW Name],0)),"")</f>
        <v>32</v>
      </c>
      <c r="T146" s="50" t="str">
        <f t="array" ref="T146">IFERROR(INDEX(Table2[Summers Matched],MATCH(1,(Table1[[#This Row],[Employer]]=Table2[EIW Name])*(Table1[[#This Row],[City, State]]=Table2[Offices Matched]),0)),"")</f>
        <v>Yes</v>
      </c>
      <c r="U146" s="52" t="str">
        <f t="shared" si="2"/>
        <v/>
      </c>
      <c r="V146" s="60"/>
      <c r="W146" s="114">
        <v>42593</v>
      </c>
      <c r="X146"/>
    </row>
    <row r="147" spans="1:24" ht="14.1" customHeight="1">
      <c r="A147" s="45" t="s">
        <v>559</v>
      </c>
      <c r="B147" s="45"/>
      <c r="C147" s="45"/>
      <c r="D147" s="46" t="s">
        <v>534</v>
      </c>
      <c r="E147" s="62">
        <v>115</v>
      </c>
      <c r="F147" s="50"/>
      <c r="G147" s="50" t="str">
        <f t="array" ref="G147">IFERROR(INDEX(Table2[1st Year],MATCH(1,(Table1[[#This Row],[Employer]]=Table2[EIW Name])*(Table1[[#This Row],[City, State]]=Table2[Offices Matched]),0)),"")</f>
        <v/>
      </c>
      <c r="H147" s="50" t="str">
        <f>_xlfn.IFNA(INDEX(saCAGR[CAGR],MATCH(Table1[[#This Row],[Employer]],saCAGR[EIW Name],0)),"")</f>
        <v/>
      </c>
      <c r="I147" s="50" t="str">
        <f>IFERROR(Table1[[#This Row],[SA CAGR]]*Table1[[#This Row],[Number of Summer 2016 2L SAs]],"")</f>
        <v/>
      </c>
      <c r="J147" s="50">
        <v>2</v>
      </c>
      <c r="K147" s="51">
        <f>IFERROR(Table1[[#This Row],[Number of Summer 2016 NYU 2L SAs]]/Table1[[#This Row],[Interview Slots]],0)</f>
        <v>1.7391304347826087E-2</v>
      </c>
      <c r="L147" s="51">
        <f>Table1[[#This Row],[Number of Summer 2016 2L SAs]]/Table1[[#This Row],[Interview Slots]]</f>
        <v>0</v>
      </c>
      <c r="M147" s="51">
        <f>IFERROR(Table1[[#This Row],[Number of Summer 2016 NYU 2L SAs]]/Table1[[#This Row],[Number of Summer 2016 2L SAs]],0)</f>
        <v>0</v>
      </c>
      <c r="N147" s="50" t="str">
        <f>IFERROR(RIGHT(Table1[[#This Row],[1st year]],LEN(Table1[[#This Row],[1st year]])-FIND(":",Table1[[#This Row],[1st year]])-1),"")</f>
        <v/>
      </c>
      <c r="O147" s="50" t="str">
        <f t="array" ref="O147">IFERROR(INDEX(Table2[Nth year],MATCH(1,(Table1[[#This Row],[Employer]]=Table2[EIW Name])*(Table1[[#This Row],[City, State]]=Table2[Offices Matched]),0)),"")</f>
        <v/>
      </c>
      <c r="P147" s="50" t="str">
        <f>IFERROR(RIGHT(Table1[[#This Row],[Nth year]],LEN(Table1[[#This Row],[Nth year]])-FIND(":",Table1[[#This Row],[Nth year]])-1),"")</f>
        <v/>
      </c>
      <c r="Q147" s="50" t="str">
        <f t="array" ref="Q147">IFERROR(INDEX(Table2[Am Law 200 PPP Rank ’16],MATCH(1,(Table1[[#This Row],[Employer]]=Table2[EIW Name])*(Table1[[#This Row],[City, State]]=Table2[Offices Matched]),0)),"")</f>
        <v/>
      </c>
      <c r="R147" s="50" t="str">
        <f>IFERROR(LEFT(Table1[[#This Row],[Am Law 200 PPP Rank ’16]],FIND(":",Table1[[#This Row],[Am Law 200 PPP Rank ’16]])-1),"")</f>
        <v/>
      </c>
      <c r="S147" s="50" t="str">
        <f>IFERROR(INDEX(VaultRank[Rank],MATCH(Table1[[#This Row],[Employer]],VaultRank[EIW Name],0)),"")</f>
        <v/>
      </c>
      <c r="T147" s="50" t="str">
        <f t="array" ref="T147">IFERROR(INDEX(Table2[Summers Matched],MATCH(1,(Table1[[#This Row],[Employer]]=Table2[EIW Name])*(Table1[[#This Row],[City, State]]=Table2[Offices Matched]),0)),"")</f>
        <v/>
      </c>
      <c r="U147" s="52" t="str">
        <f t="shared" si="2"/>
        <v/>
      </c>
      <c r="V147" s="60"/>
      <c r="W147" s="114">
        <v>42592</v>
      </c>
      <c r="X147"/>
    </row>
    <row r="148" spans="1:24" ht="14.1" customHeight="1">
      <c r="A148" s="61" t="s">
        <v>106</v>
      </c>
      <c r="B148" s="45" t="s">
        <v>399</v>
      </c>
      <c r="C148" s="61" t="s">
        <v>300</v>
      </c>
      <c r="D148" s="61" t="str">
        <f>Table1[[#This Row],[City]]&amp;", "&amp;Table1[[#This Row],[State]]</f>
        <v>Silicon Valley (Mountain View), CA</v>
      </c>
      <c r="E148" s="63">
        <v>71</v>
      </c>
      <c r="F148" s="50">
        <v>32</v>
      </c>
      <c r="G148" s="50" t="str">
        <f t="array" ref="G148">IFERROR(INDEX(Table2[1st Year],MATCH(1,(Table1[[#This Row],[Employer]]=Table2[EIW Name])*(Table1[[#This Row],[City, State]]=Table2[Offices Matched]),0)),"")</f>
        <v/>
      </c>
      <c r="H148" s="50" t="str">
        <f>_xlfn.IFNA(INDEX(saCAGR[CAGR],MATCH(Table1[[#This Row],[Employer]],saCAGR[EIW Name],0)),"")</f>
        <v/>
      </c>
      <c r="I148" s="50" t="str">
        <f>IFERROR(Table1[[#This Row],[SA CAGR]]*Table1[[#This Row],[Number of Summer 2016 2L SAs]],"")</f>
        <v/>
      </c>
      <c r="J148" s="50">
        <v>18</v>
      </c>
      <c r="K148" s="51">
        <f>IFERROR(Table1[[#This Row],[Number of Summer 2016 NYU 2L SAs]]/Table1[[#This Row],[Interview Slots]],0)</f>
        <v>0.25352112676056338</v>
      </c>
      <c r="L148" s="51">
        <f>Table1[[#This Row],[Number of Summer 2016 2L SAs]]/Table1[[#This Row],[Interview Slots]]</f>
        <v>0.45070422535211269</v>
      </c>
      <c r="M148" s="51">
        <f>IFERROR(Table1[[#This Row],[Number of Summer 2016 NYU 2L SAs]]/Table1[[#This Row],[Number of Summer 2016 2L SAs]],0)</f>
        <v>0.5625</v>
      </c>
      <c r="N148" s="50" t="str">
        <f>IFERROR(RIGHT(Table1[[#This Row],[1st year]],LEN(Table1[[#This Row],[1st year]])-FIND(":",Table1[[#This Row],[1st year]])-1),"")</f>
        <v/>
      </c>
      <c r="O148" s="50" t="str">
        <f t="array" ref="O148">IFERROR(INDEX(Table2[Nth year],MATCH(1,(Table1[[#This Row],[Employer]]=Table2[EIW Name])*(Table1[[#This Row],[City, State]]=Table2[Offices Matched]),0)),"")</f>
        <v/>
      </c>
      <c r="P148" s="50" t="str">
        <f>IFERROR(RIGHT(Table1[[#This Row],[Nth year]],LEN(Table1[[#This Row],[Nth year]])-FIND(":",Table1[[#This Row],[Nth year]])-1),"")</f>
        <v/>
      </c>
      <c r="Q148" s="50" t="str">
        <f t="array" ref="Q148">IFERROR(INDEX(Table2[Am Law 200 PPP Rank ’16],MATCH(1,(Table1[[#This Row],[Employer]]=Table2[EIW Name])*(Table1[[#This Row],[City, State]]=Table2[Offices Matched]),0)),"")</f>
        <v/>
      </c>
      <c r="R148" s="50" t="str">
        <f>IFERROR(LEFT(Table1[[#This Row],[Am Law 200 PPP Rank ’16]],FIND(":",Table1[[#This Row],[Am Law 200 PPP Rank ’16]])-1),"")</f>
        <v/>
      </c>
      <c r="S148" s="50">
        <f>IFERROR(INDEX(VaultRank[Rank],MATCH(Table1[[#This Row],[Employer]],VaultRank[EIW Name],0)),"")</f>
        <v>77</v>
      </c>
      <c r="T148" s="50" t="str">
        <f t="array" ref="T148">IFERROR(INDEX(Table2[Summers Matched],MATCH(1,(Table1[[#This Row],[Employer]]=Table2[EIW Name])*(Table1[[#This Row],[City, State]]=Table2[Offices Matched]),0)),"")</f>
        <v/>
      </c>
      <c r="U148" s="52" t="str">
        <f t="shared" si="2"/>
        <v/>
      </c>
      <c r="V148" s="49" t="s">
        <v>400</v>
      </c>
      <c r="W148" s="114">
        <v>42594</v>
      </c>
      <c r="X148"/>
    </row>
    <row r="149" spans="1:24" ht="14.1" customHeight="1">
      <c r="A149" s="45" t="s">
        <v>106</v>
      </c>
      <c r="B149" s="45" t="s">
        <v>332</v>
      </c>
      <c r="C149" s="45" t="s">
        <v>333</v>
      </c>
      <c r="D149" s="45" t="str">
        <f>Table1[[#This Row],[City]]&amp;", "&amp;Table1[[#This Row],[State]]</f>
        <v>Seattle, WA</v>
      </c>
      <c r="E149" s="49">
        <v>72</v>
      </c>
      <c r="F149" s="50">
        <v>2</v>
      </c>
      <c r="G149" s="50" t="str">
        <f t="array" ref="G149">IFERROR(INDEX(Table2[1st Year],MATCH(1,(Table1[[#This Row],[Employer]]=Table2[EIW Name])*(Table1[[#This Row],[City, State]]=Table2[Offices Matched]),0)),"")</f>
        <v/>
      </c>
      <c r="H149" s="50" t="str">
        <f>_xlfn.IFNA(INDEX(saCAGR[CAGR],MATCH(Table1[[#This Row],[Employer]],saCAGR[EIW Name],0)),"")</f>
        <v/>
      </c>
      <c r="I149" s="50" t="str">
        <f>IFERROR(Table1[[#This Row],[SA CAGR]]*Table1[[#This Row],[Number of Summer 2016 2L SAs]],"")</f>
        <v/>
      </c>
      <c r="J149" s="50">
        <v>10</v>
      </c>
      <c r="K149" s="51">
        <f>IFERROR(Table1[[#This Row],[Number of Summer 2016 NYU 2L SAs]]/Table1[[#This Row],[Interview Slots]],0)</f>
        <v>0.1388888888888889</v>
      </c>
      <c r="L149" s="51">
        <f>Table1[[#This Row],[Number of Summer 2016 2L SAs]]/Table1[[#This Row],[Interview Slots]]</f>
        <v>2.7777777777777776E-2</v>
      </c>
      <c r="M149" s="51">
        <f>IFERROR(Table1[[#This Row],[Number of Summer 2016 NYU 2L SAs]]/Table1[[#This Row],[Number of Summer 2016 2L SAs]],0)</f>
        <v>5</v>
      </c>
      <c r="N149" s="50" t="str">
        <f>IFERROR(RIGHT(Table1[[#This Row],[1st year]],LEN(Table1[[#This Row],[1st year]])-FIND(":",Table1[[#This Row],[1st year]])-1),"")</f>
        <v/>
      </c>
      <c r="O149" s="50" t="str">
        <f t="array" ref="O149">IFERROR(INDEX(Table2[Nth year],MATCH(1,(Table1[[#This Row],[Employer]]=Table2[EIW Name])*(Table1[[#This Row],[City, State]]=Table2[Offices Matched]),0)),"")</f>
        <v>Tier 3: $300-325K</v>
      </c>
      <c r="P149" s="50" t="str">
        <f>IFERROR(RIGHT(Table1[[#This Row],[Nth year]],LEN(Table1[[#This Row],[Nth year]])-FIND(":",Table1[[#This Row],[Nth year]])-1),"")</f>
        <v>$300-325K</v>
      </c>
      <c r="Q149" s="50" t="str">
        <f t="array" ref="Q149">IFERROR(INDEX(Table2[Am Law 200 PPP Rank ’16],MATCH(1,(Table1[[#This Row],[Employer]]=Table2[EIW Name])*(Table1[[#This Row],[City, State]]=Table2[Offices Matched]),0)),"")</f>
        <v>51: $1.62M</v>
      </c>
      <c r="R149" s="50" t="str">
        <f>IFERROR(LEFT(Table1[[#This Row],[Am Law 200 PPP Rank ’16]],FIND(":",Table1[[#This Row],[Am Law 200 PPP Rank ’16]])-1),"")</f>
        <v>51</v>
      </c>
      <c r="S149" s="50">
        <f>IFERROR(INDEX(VaultRank[Rank],MATCH(Table1[[#This Row],[Employer]],VaultRank[EIW Name],0)),"")</f>
        <v>77</v>
      </c>
      <c r="T149" s="50" t="str">
        <f t="array" ref="T149">IFERROR(INDEX(Table2[Summers Matched],MATCH(1,(Table1[[#This Row],[Employer]]=Table2[EIW Name])*(Table1[[#This Row],[City, State]]=Table2[Offices Matched]),0)),"")</f>
        <v>TBD</v>
      </c>
      <c r="U149" s="52" t="str">
        <f t="shared" si="2"/>
        <v/>
      </c>
      <c r="V149" s="60"/>
      <c r="W149" s="114">
        <v>42592</v>
      </c>
      <c r="X149"/>
    </row>
    <row r="150" spans="1:24" ht="14.1" customHeight="1">
      <c r="A150" s="61" t="s">
        <v>106</v>
      </c>
      <c r="B150" s="61" t="s">
        <v>316</v>
      </c>
      <c r="C150" s="61" t="s">
        <v>300</v>
      </c>
      <c r="D150" s="61" t="str">
        <f>Table1[[#This Row],[City]]&amp;", "&amp;Table1[[#This Row],[State]]</f>
        <v>San Francisco, CA</v>
      </c>
      <c r="E150" s="63">
        <v>112</v>
      </c>
      <c r="F150" s="50">
        <v>32</v>
      </c>
      <c r="G150" s="50" t="str">
        <f t="array" ref="G150">IFERROR(INDEX(Table2[1st Year],MATCH(1,(Table1[[#This Row],[Employer]]=Table2[EIW Name])*(Table1[[#This Row],[City, State]]=Table2[Offices Matched]),0)),"")</f>
        <v/>
      </c>
      <c r="H150" s="50" t="str">
        <f>_xlfn.IFNA(INDEX(saCAGR[CAGR],MATCH(Table1[[#This Row],[Employer]],saCAGR[EIW Name],0)),"")</f>
        <v/>
      </c>
      <c r="I150" s="50" t="str">
        <f>IFERROR(Table1[[#This Row],[SA CAGR]]*Table1[[#This Row],[Number of Summer 2016 2L SAs]],"")</f>
        <v/>
      </c>
      <c r="J150" s="50">
        <v>10</v>
      </c>
      <c r="K150" s="51">
        <f>IFERROR(Table1[[#This Row],[Number of Summer 2016 NYU 2L SAs]]/Table1[[#This Row],[Interview Slots]],0)</f>
        <v>8.9285714285714288E-2</v>
      </c>
      <c r="L150" s="51">
        <f>Table1[[#This Row],[Number of Summer 2016 2L SAs]]/Table1[[#This Row],[Interview Slots]]</f>
        <v>0.2857142857142857</v>
      </c>
      <c r="M150" s="51">
        <f>IFERROR(Table1[[#This Row],[Number of Summer 2016 NYU 2L SAs]]/Table1[[#This Row],[Number of Summer 2016 2L SAs]],0)</f>
        <v>0.3125</v>
      </c>
      <c r="N150" s="50" t="str">
        <f>IFERROR(RIGHT(Table1[[#This Row],[1st year]],LEN(Table1[[#This Row],[1st year]])-FIND(":",Table1[[#This Row],[1st year]])-1),"")</f>
        <v/>
      </c>
      <c r="O150" s="50" t="str">
        <f t="array" ref="O150">IFERROR(INDEX(Table2[Nth year],MATCH(1,(Table1[[#This Row],[Employer]]=Table2[EIW Name])*(Table1[[#This Row],[City, State]]=Table2[Offices Matched]),0)),"")</f>
        <v>Tier 3: $300-325K</v>
      </c>
      <c r="P150" s="50" t="str">
        <f>IFERROR(RIGHT(Table1[[#This Row],[Nth year]],LEN(Table1[[#This Row],[Nth year]])-FIND(":",Table1[[#This Row],[Nth year]])-1),"")</f>
        <v>$300-325K</v>
      </c>
      <c r="Q150" s="50" t="str">
        <f t="array" ref="Q150">IFERROR(INDEX(Table2[Am Law 200 PPP Rank ’16],MATCH(1,(Table1[[#This Row],[Employer]]=Table2[EIW Name])*(Table1[[#This Row],[City, State]]=Table2[Offices Matched]),0)),"")</f>
        <v>51: $1.62M</v>
      </c>
      <c r="R150" s="50" t="str">
        <f>IFERROR(LEFT(Table1[[#This Row],[Am Law 200 PPP Rank ’16]],FIND(":",Table1[[#This Row],[Am Law 200 PPP Rank ’16]])-1),"")</f>
        <v>51</v>
      </c>
      <c r="S150" s="50">
        <f>IFERROR(INDEX(VaultRank[Rank],MATCH(Table1[[#This Row],[Employer]],VaultRank[EIW Name],0)),"")</f>
        <v>77</v>
      </c>
      <c r="T150" s="50" t="str">
        <f t="array" ref="T150">IFERROR(INDEX(Table2[Summers Matched],MATCH(1,(Table1[[#This Row],[Employer]]=Table2[EIW Name])*(Table1[[#This Row],[City, State]]=Table2[Offices Matched]),0)),"")</f>
        <v>TBD</v>
      </c>
      <c r="U150" s="52" t="str">
        <f t="shared" si="2"/>
        <v/>
      </c>
      <c r="V150" s="49" t="s">
        <v>400</v>
      </c>
      <c r="W150" s="114">
        <v>42594</v>
      </c>
      <c r="X150"/>
    </row>
    <row r="151" spans="1:24" ht="14.1" customHeight="1">
      <c r="A151" s="45" t="s">
        <v>611</v>
      </c>
      <c r="B151" s="45"/>
      <c r="C151" s="45"/>
      <c r="D151" s="46" t="s">
        <v>135</v>
      </c>
      <c r="E151" s="62">
        <v>2</v>
      </c>
      <c r="F151" s="50"/>
      <c r="G151" s="50" t="str">
        <f t="array" ref="G151">IFERROR(INDEX(Table2[1st Year],MATCH(1,(Table1[[#This Row],[Employer]]=Table2[EIW Name])*(Table1[[#This Row],[City, State]]=Table2[Offices Matched]),0)),"")</f>
        <v/>
      </c>
      <c r="H151" s="50" t="str">
        <f>_xlfn.IFNA(INDEX(saCAGR[CAGR],MATCH(Table1[[#This Row],[Employer]],saCAGR[EIW Name],0)),"")</f>
        <v/>
      </c>
      <c r="I151" s="50" t="str">
        <f>IFERROR(Table1[[#This Row],[SA CAGR]]*Table1[[#This Row],[Number of Summer 2016 2L SAs]],"")</f>
        <v/>
      </c>
      <c r="J151" s="50">
        <v>1</v>
      </c>
      <c r="K151" s="51">
        <f>IFERROR(Table1[[#This Row],[Number of Summer 2016 NYU 2L SAs]]/Table1[[#This Row],[Interview Slots]],0)</f>
        <v>0.5</v>
      </c>
      <c r="L151" s="51">
        <f>Table1[[#This Row],[Number of Summer 2016 2L SAs]]/Table1[[#This Row],[Interview Slots]]</f>
        <v>0</v>
      </c>
      <c r="M151" s="51">
        <f>IFERROR(Table1[[#This Row],[Number of Summer 2016 NYU 2L SAs]]/Table1[[#This Row],[Number of Summer 2016 2L SAs]],0)</f>
        <v>0</v>
      </c>
      <c r="N151" s="50" t="str">
        <f>IFERROR(RIGHT(Table1[[#This Row],[1st year]],LEN(Table1[[#This Row],[1st year]])-FIND(":",Table1[[#This Row],[1st year]])-1),"")</f>
        <v/>
      </c>
      <c r="O151" s="50" t="str">
        <f t="array" ref="O151">IFERROR(INDEX(Table2[Nth year],MATCH(1,(Table1[[#This Row],[Employer]]=Table2[EIW Name])*(Table1[[#This Row],[City, State]]=Table2[Offices Matched]),0)),"")</f>
        <v/>
      </c>
      <c r="P151" s="50" t="str">
        <f>IFERROR(RIGHT(Table1[[#This Row],[Nth year]],LEN(Table1[[#This Row],[Nth year]])-FIND(":",Table1[[#This Row],[Nth year]])-1),"")</f>
        <v/>
      </c>
      <c r="Q151" s="50" t="str">
        <f t="array" ref="Q151">IFERROR(INDEX(Table2[Am Law 200 PPP Rank ’16],MATCH(1,(Table1[[#This Row],[Employer]]=Table2[EIW Name])*(Table1[[#This Row],[City, State]]=Table2[Offices Matched]),0)),"")</f>
        <v/>
      </c>
      <c r="R151" s="50" t="str">
        <f>IFERROR(LEFT(Table1[[#This Row],[Am Law 200 PPP Rank ’16]],FIND(":",Table1[[#This Row],[Am Law 200 PPP Rank ’16]])-1),"")</f>
        <v/>
      </c>
      <c r="S151" s="50" t="str">
        <f>IFERROR(INDEX(VaultRank[Rank],MATCH(Table1[[#This Row],[Employer]],VaultRank[EIW Name],0)),"")</f>
        <v/>
      </c>
      <c r="T151" s="50" t="str">
        <f t="array" ref="T151">IFERROR(INDEX(Table2[Summers Matched],MATCH(1,(Table1[[#This Row],[Employer]]=Table2[EIW Name])*(Table1[[#This Row],[City, State]]=Table2[Offices Matched]),0)),"")</f>
        <v/>
      </c>
      <c r="U151" s="52" t="str">
        <f t="shared" si="2"/>
        <v/>
      </c>
      <c r="V151" s="60"/>
      <c r="W151" s="114">
        <v>42592</v>
      </c>
      <c r="X151"/>
    </row>
    <row r="152" spans="1:24" ht="14.1" customHeight="1">
      <c r="A152" s="45" t="s">
        <v>258</v>
      </c>
      <c r="B152" s="45" t="s">
        <v>375</v>
      </c>
      <c r="C152" s="45" t="s">
        <v>300</v>
      </c>
      <c r="D152" s="45" t="str">
        <f>Table1[[#This Row],[City]]&amp;", "&amp;Table1[[#This Row],[State]]</f>
        <v>San Diego, CA</v>
      </c>
      <c r="E152" s="49">
        <v>22</v>
      </c>
      <c r="F152" s="50">
        <v>2</v>
      </c>
      <c r="G152" s="50" t="str">
        <f t="array" ref="G152">IFERROR(INDEX(Table2[1st Year],MATCH(1,(Table1[[#This Row],[Employer]]=Table2[EIW Name])*(Table1[[#This Row],[City, State]]=Table2[Offices Matched]),0)),"")</f>
        <v>1st Year: $180K</v>
      </c>
      <c r="H152" s="50">
        <f>_xlfn.IFNA(INDEX(saCAGR[CAGR],MATCH(Table1[[#This Row],[Employer]],saCAGR[EIW Name],0)),"")</f>
        <v>1.0287914175139352</v>
      </c>
      <c r="I152" s="50">
        <f>IFERROR(Table1[[#This Row],[SA CAGR]]*Table1[[#This Row],[Number of Summer 2016 2L SAs]],"")</f>
        <v>2.0575828350278704</v>
      </c>
      <c r="J152" s="50">
        <v>8</v>
      </c>
      <c r="K152" s="51">
        <f>IFERROR(Table1[[#This Row],[Number of Summer 2016 NYU 2L SAs]]/Table1[[#This Row],[Interview Slots]],0)</f>
        <v>0.36363636363636365</v>
      </c>
      <c r="L152" s="51">
        <f>Table1[[#This Row],[Number of Summer 2016 2L SAs]]/Table1[[#This Row],[Interview Slots]]</f>
        <v>9.0909090909090912E-2</v>
      </c>
      <c r="M152" s="51">
        <f>IFERROR(Table1[[#This Row],[Number of Summer 2016 NYU 2L SAs]]/Table1[[#This Row],[Number of Summer 2016 2L SAs]],0)</f>
        <v>4</v>
      </c>
      <c r="N152" s="50" t="str">
        <f>IFERROR(RIGHT(Table1[[#This Row],[1st year]],LEN(Table1[[#This Row],[1st year]])-FIND(":",Table1[[#This Row],[1st year]])-1),"")</f>
        <v>$180K</v>
      </c>
      <c r="O152" s="50" t="str">
        <f t="array" ref="O152">IFERROR(INDEX(Table2[Nth year],MATCH(1,(Table1[[#This Row],[Employer]]=Table2[EIW Name])*(Table1[[#This Row],[City, State]]=Table2[Offices Matched]),0)),"")</f>
        <v>7th Year: $300K</v>
      </c>
      <c r="P152" s="50" t="str">
        <f>IFERROR(RIGHT(Table1[[#This Row],[Nth year]],LEN(Table1[[#This Row],[Nth year]])-FIND(":",Table1[[#This Row],[Nth year]])-1),"")</f>
        <v>$300K</v>
      </c>
      <c r="Q152" s="50" t="str">
        <f t="array" ref="Q152">IFERROR(INDEX(Table2[Am Law 200 PPP Rank ’16],MATCH(1,(Table1[[#This Row],[Employer]]=Table2[EIW Name])*(Table1[[#This Row],[City, State]]=Table2[Offices Matched]),0)),"")</f>
        <v>61: $1.49M</v>
      </c>
      <c r="R152" s="50" t="str">
        <f>IFERROR(LEFT(Table1[[#This Row],[Am Law 200 PPP Rank ’16]],FIND(":",Table1[[#This Row],[Am Law 200 PPP Rank ’16]])-1),"")</f>
        <v>61</v>
      </c>
      <c r="S152" s="50">
        <f>IFERROR(INDEX(VaultRank[Rank],MATCH(Table1[[#This Row],[Employer]],VaultRank[EIW Name],0)),"")</f>
        <v>69</v>
      </c>
      <c r="T152" s="50" t="str">
        <f t="array" ref="T152">IFERROR(INDEX(Table2[Summers Matched],MATCH(1,(Table1[[#This Row],[Employer]]=Table2[EIW Name])*(Table1[[#This Row],[City, State]]=Table2[Offices Matched]),0)),"")</f>
        <v>Yes</v>
      </c>
      <c r="U152" s="52" t="str">
        <f t="shared" si="2"/>
        <v/>
      </c>
      <c r="V152" s="60"/>
      <c r="W152" s="114">
        <v>42595</v>
      </c>
      <c r="X152"/>
    </row>
    <row r="153" spans="1:24" ht="14.1" customHeight="1">
      <c r="A153" s="45" t="s">
        <v>258</v>
      </c>
      <c r="B153" s="45" t="s">
        <v>307</v>
      </c>
      <c r="C153" s="45" t="s">
        <v>300</v>
      </c>
      <c r="D153" s="45" t="str">
        <f>Table1[[#This Row],[City]]&amp;", "&amp;Table1[[#This Row],[State]]</f>
        <v>Silicon Valley, CA</v>
      </c>
      <c r="E153" s="49">
        <v>181</v>
      </c>
      <c r="F153" s="50">
        <v>5</v>
      </c>
      <c r="G153" s="50" t="str">
        <f t="array" ref="G153">IFERROR(INDEX(Table2[1st Year],MATCH(1,(Table1[[#This Row],[Employer]]=Table2[EIW Name])*(Table1[[#This Row],[City, State]]=Table2[Offices Matched]),0)),"")</f>
        <v/>
      </c>
      <c r="H153" s="50">
        <f>_xlfn.IFNA(INDEX(saCAGR[CAGR],MATCH(Table1[[#This Row],[Employer]],saCAGR[EIW Name],0)),"")</f>
        <v>1.0287914175139352</v>
      </c>
      <c r="I153" s="50">
        <f>IFERROR(Table1[[#This Row],[SA CAGR]]*Table1[[#This Row],[Number of Summer 2016 2L SAs]],"")</f>
        <v>5.1439570875696763</v>
      </c>
      <c r="J153" s="50">
        <v>4</v>
      </c>
      <c r="K153" s="51">
        <f>IFERROR(Table1[[#This Row],[Number of Summer 2016 NYU 2L SAs]]/Table1[[#This Row],[Interview Slots]],0)</f>
        <v>2.2099447513812154E-2</v>
      </c>
      <c r="L153" s="51">
        <f>Table1[[#This Row],[Number of Summer 2016 2L SAs]]/Table1[[#This Row],[Interview Slots]]</f>
        <v>2.7624309392265192E-2</v>
      </c>
      <c r="M153" s="51">
        <f>IFERROR(Table1[[#This Row],[Number of Summer 2016 NYU 2L SAs]]/Table1[[#This Row],[Number of Summer 2016 2L SAs]],0)</f>
        <v>0.8</v>
      </c>
      <c r="N153" s="50" t="str">
        <f>IFERROR(RIGHT(Table1[[#This Row],[1st year]],LEN(Table1[[#This Row],[1st year]])-FIND(":",Table1[[#This Row],[1st year]])-1),"")</f>
        <v/>
      </c>
      <c r="O153" s="50" t="str">
        <f t="array" ref="O153">IFERROR(INDEX(Table2[Nth year],MATCH(1,(Table1[[#This Row],[Employer]]=Table2[EIW Name])*(Table1[[#This Row],[City, State]]=Table2[Offices Matched]),0)),"")</f>
        <v/>
      </c>
      <c r="P153" s="50" t="str">
        <f>IFERROR(RIGHT(Table1[[#This Row],[Nth year]],LEN(Table1[[#This Row],[Nth year]])-FIND(":",Table1[[#This Row],[Nth year]])-1),"")</f>
        <v/>
      </c>
      <c r="Q153" s="50" t="str">
        <f t="array" ref="Q153">IFERROR(INDEX(Table2[Am Law 200 PPP Rank ’16],MATCH(1,(Table1[[#This Row],[Employer]]=Table2[EIW Name])*(Table1[[#This Row],[City, State]]=Table2[Offices Matched]),0)),"")</f>
        <v/>
      </c>
      <c r="R153" s="50" t="str">
        <f>IFERROR(LEFT(Table1[[#This Row],[Am Law 200 PPP Rank ’16]],FIND(":",Table1[[#This Row],[Am Law 200 PPP Rank ’16]])-1),"")</f>
        <v/>
      </c>
      <c r="S153" s="50">
        <f>IFERROR(INDEX(VaultRank[Rank],MATCH(Table1[[#This Row],[Employer]],VaultRank[EIW Name],0)),"")</f>
        <v>69</v>
      </c>
      <c r="T153" s="50" t="str">
        <f t="array" ref="T153">IFERROR(INDEX(Table2[Summers Matched],MATCH(1,(Table1[[#This Row],[Employer]]=Table2[EIW Name])*(Table1[[#This Row],[City, State]]=Table2[Offices Matched]),0)),"")</f>
        <v/>
      </c>
      <c r="U153" s="52" t="str">
        <f t="shared" si="2"/>
        <v/>
      </c>
      <c r="V153" s="60"/>
      <c r="W153" s="114">
        <v>42595</v>
      </c>
      <c r="X153"/>
    </row>
    <row r="154" spans="1:24" ht="14.1" customHeight="1">
      <c r="A154" s="45" t="s">
        <v>258</v>
      </c>
      <c r="B154" s="45" t="s">
        <v>301</v>
      </c>
      <c r="C154" s="45" t="s">
        <v>302</v>
      </c>
      <c r="D154" s="45" t="str">
        <f>Table1[[#This Row],[City]]&amp;", "&amp;Table1[[#This Row],[State]]</f>
        <v>Washington, DC</v>
      </c>
      <c r="E154" s="49">
        <v>139</v>
      </c>
      <c r="F154" s="50">
        <v>5</v>
      </c>
      <c r="G154" s="50" t="str">
        <f t="array" ref="G154">IFERROR(INDEX(Table2[1st Year],MATCH(1,(Table1[[#This Row],[Employer]]=Table2[EIW Name])*(Table1[[#This Row],[City, State]]=Table2[Offices Matched]),0)),"")</f>
        <v/>
      </c>
      <c r="H154" s="50">
        <f>_xlfn.IFNA(INDEX(saCAGR[CAGR],MATCH(Table1[[#This Row],[Employer]],saCAGR[EIW Name],0)),"")</f>
        <v>1.0287914175139352</v>
      </c>
      <c r="I154" s="50">
        <f>IFERROR(Table1[[#This Row],[SA CAGR]]*Table1[[#This Row],[Number of Summer 2016 2L SAs]],"")</f>
        <v>5.1439570875696763</v>
      </c>
      <c r="J154" s="50">
        <v>2</v>
      </c>
      <c r="K154" s="51">
        <f>IFERROR(Table1[[#This Row],[Number of Summer 2016 NYU 2L SAs]]/Table1[[#This Row],[Interview Slots]],0)</f>
        <v>1.4388489208633094E-2</v>
      </c>
      <c r="L154" s="51">
        <f>Table1[[#This Row],[Number of Summer 2016 2L SAs]]/Table1[[#This Row],[Interview Slots]]</f>
        <v>3.5971223021582732E-2</v>
      </c>
      <c r="M154" s="51">
        <f>IFERROR(Table1[[#This Row],[Number of Summer 2016 NYU 2L SAs]]/Table1[[#This Row],[Number of Summer 2016 2L SAs]],0)</f>
        <v>0.4</v>
      </c>
      <c r="N154" s="50" t="str">
        <f>IFERROR(RIGHT(Table1[[#This Row],[1st year]],LEN(Table1[[#This Row],[1st year]])-FIND(":",Table1[[#This Row],[1st year]])-1),"")</f>
        <v/>
      </c>
      <c r="O154" s="50" t="str">
        <f t="array" ref="O154">IFERROR(INDEX(Table2[Nth year],MATCH(1,(Table1[[#This Row],[Employer]]=Table2[EIW Name])*(Table1[[#This Row],[City, State]]=Table2[Offices Matched]),0)),"")</f>
        <v/>
      </c>
      <c r="P154" s="50" t="str">
        <f>IFERROR(RIGHT(Table1[[#This Row],[Nth year]],LEN(Table1[[#This Row],[Nth year]])-FIND(":",Table1[[#This Row],[Nth year]])-1),"")</f>
        <v/>
      </c>
      <c r="Q154" s="50" t="str">
        <f t="array" ref="Q154">IFERROR(INDEX(Table2[Am Law 200 PPP Rank ’16],MATCH(1,(Table1[[#This Row],[Employer]]=Table2[EIW Name])*(Table1[[#This Row],[City, State]]=Table2[Offices Matched]),0)),"")</f>
        <v/>
      </c>
      <c r="R154" s="50" t="str">
        <f>IFERROR(LEFT(Table1[[#This Row],[Am Law 200 PPP Rank ’16]],FIND(":",Table1[[#This Row],[Am Law 200 PPP Rank ’16]])-1),"")</f>
        <v/>
      </c>
      <c r="S154" s="50">
        <f>IFERROR(INDEX(VaultRank[Rank],MATCH(Table1[[#This Row],[Employer]],VaultRank[EIW Name],0)),"")</f>
        <v>69</v>
      </c>
      <c r="T154" s="50" t="str">
        <f t="array" ref="T154">IFERROR(INDEX(Table2[Summers Matched],MATCH(1,(Table1[[#This Row],[Employer]]=Table2[EIW Name])*(Table1[[#This Row],[City, State]]=Table2[Offices Matched]),0)),"")</f>
        <v/>
      </c>
      <c r="U154" s="52" t="str">
        <f t="shared" si="2"/>
        <v/>
      </c>
      <c r="V154" s="60"/>
      <c r="W154" s="114">
        <v>42595</v>
      </c>
      <c r="X154"/>
    </row>
    <row r="155" spans="1:24" ht="14.1" customHeight="1">
      <c r="A155" s="45" t="s">
        <v>258</v>
      </c>
      <c r="B155" s="45" t="s">
        <v>401</v>
      </c>
      <c r="C155" s="45" t="s">
        <v>402</v>
      </c>
      <c r="D155" s="45" t="str">
        <f>Table1[[#This Row],[City]]&amp;", "&amp;Table1[[#This Row],[State]]</f>
        <v>Wilmington, DE</v>
      </c>
      <c r="E155" s="49">
        <v>151</v>
      </c>
      <c r="F155" s="50">
        <v>2</v>
      </c>
      <c r="G155" s="50" t="str">
        <f t="array" ref="G155">IFERROR(INDEX(Table2[1st Year],MATCH(1,(Table1[[#This Row],[Employer]]=Table2[EIW Name])*(Table1[[#This Row],[City, State]]=Table2[Offices Matched]),0)),"")</f>
        <v>1st Year: $180K</v>
      </c>
      <c r="H155" s="50">
        <f>_xlfn.IFNA(INDEX(saCAGR[CAGR],MATCH(Table1[[#This Row],[Employer]],saCAGR[EIW Name],0)),"")</f>
        <v>1.0287914175139352</v>
      </c>
      <c r="I155" s="50">
        <f>IFERROR(Table1[[#This Row],[SA CAGR]]*Table1[[#This Row],[Number of Summer 2016 2L SAs]],"")</f>
        <v>2.0575828350278704</v>
      </c>
      <c r="J155" s="50">
        <v>21</v>
      </c>
      <c r="K155" s="51">
        <f>IFERROR(Table1[[#This Row],[Number of Summer 2016 NYU 2L SAs]]/Table1[[#This Row],[Interview Slots]],0)</f>
        <v>0.13907284768211919</v>
      </c>
      <c r="L155" s="51">
        <f>Table1[[#This Row],[Number of Summer 2016 2L SAs]]/Table1[[#This Row],[Interview Slots]]</f>
        <v>1.3245033112582781E-2</v>
      </c>
      <c r="M155" s="51">
        <f>IFERROR(Table1[[#This Row],[Number of Summer 2016 NYU 2L SAs]]/Table1[[#This Row],[Number of Summer 2016 2L SAs]],0)</f>
        <v>10.5</v>
      </c>
      <c r="N155" s="50" t="str">
        <f>IFERROR(RIGHT(Table1[[#This Row],[1st year]],LEN(Table1[[#This Row],[1st year]])-FIND(":",Table1[[#This Row],[1st year]])-1),"")</f>
        <v>$180K</v>
      </c>
      <c r="O155" s="50" t="str">
        <f t="array" ref="O155">IFERROR(INDEX(Table2[Nth year],MATCH(1,(Table1[[#This Row],[Employer]]=Table2[EIW Name])*(Table1[[#This Row],[City, State]]=Table2[Offices Matched]),0)),"")</f>
        <v>7th Year: $300K</v>
      </c>
      <c r="P155" s="50" t="str">
        <f>IFERROR(RIGHT(Table1[[#This Row],[Nth year]],LEN(Table1[[#This Row],[Nth year]])-FIND(":",Table1[[#This Row],[Nth year]])-1),"")</f>
        <v>$300K</v>
      </c>
      <c r="Q155" s="50" t="str">
        <f t="array" ref="Q155">IFERROR(INDEX(Table2[Am Law 200 PPP Rank ’16],MATCH(1,(Table1[[#This Row],[Employer]]=Table2[EIW Name])*(Table1[[#This Row],[City, State]]=Table2[Offices Matched]),0)),"")</f>
        <v>61: $1.49M</v>
      </c>
      <c r="R155" s="50" t="str">
        <f>IFERROR(LEFT(Table1[[#This Row],[Am Law 200 PPP Rank ’16]],FIND(":",Table1[[#This Row],[Am Law 200 PPP Rank ’16]])-1),"")</f>
        <v>61</v>
      </c>
      <c r="S155" s="50">
        <f>IFERROR(INDEX(VaultRank[Rank],MATCH(Table1[[#This Row],[Employer]],VaultRank[EIW Name],0)),"")</f>
        <v>69</v>
      </c>
      <c r="T155" s="50" t="str">
        <f t="array" ref="T155">IFERROR(INDEX(Table2[Summers Matched],MATCH(1,(Table1[[#This Row],[Employer]]=Table2[EIW Name])*(Table1[[#This Row],[City, State]]=Table2[Offices Matched]),0)),"")</f>
        <v>Yes</v>
      </c>
      <c r="U155" s="52" t="str">
        <f t="shared" si="2"/>
        <v/>
      </c>
      <c r="V155" s="60"/>
      <c r="W155" s="114">
        <v>42594</v>
      </c>
      <c r="X155"/>
    </row>
    <row r="156" spans="1:24" ht="14.1" customHeight="1">
      <c r="A156" s="45" t="s">
        <v>258</v>
      </c>
      <c r="B156" s="45" t="s">
        <v>308</v>
      </c>
      <c r="C156" s="45" t="s">
        <v>309</v>
      </c>
      <c r="D156" s="45" t="str">
        <f>Table1[[#This Row],[City]]&amp;", "&amp;Table1[[#This Row],[State]]</f>
        <v>Atlanta, GA</v>
      </c>
      <c r="E156" s="49">
        <v>85</v>
      </c>
      <c r="F156" s="50">
        <v>2</v>
      </c>
      <c r="G156" s="50" t="str">
        <f t="array" ref="G156">IFERROR(INDEX(Table2[1st Year],MATCH(1,(Table1[[#This Row],[Employer]]=Table2[EIW Name])*(Table1[[#This Row],[City, State]]=Table2[Offices Matched]),0)),"")</f>
        <v>1st Year: $180K</v>
      </c>
      <c r="H156" s="50">
        <f>_xlfn.IFNA(INDEX(saCAGR[CAGR],MATCH(Table1[[#This Row],[Employer]],saCAGR[EIW Name],0)),"")</f>
        <v>1.0287914175139352</v>
      </c>
      <c r="I156" s="50">
        <f>IFERROR(Table1[[#This Row],[SA CAGR]]*Table1[[#This Row],[Number of Summer 2016 2L SAs]],"")</f>
        <v>2.0575828350278704</v>
      </c>
      <c r="J156" s="50">
        <v>5</v>
      </c>
      <c r="K156" s="51">
        <f>IFERROR(Table1[[#This Row],[Number of Summer 2016 NYU 2L SAs]]/Table1[[#This Row],[Interview Slots]],0)</f>
        <v>5.8823529411764705E-2</v>
      </c>
      <c r="L156" s="51">
        <f>Table1[[#This Row],[Number of Summer 2016 2L SAs]]/Table1[[#This Row],[Interview Slots]]</f>
        <v>2.3529411764705882E-2</v>
      </c>
      <c r="M156" s="51">
        <f>IFERROR(Table1[[#This Row],[Number of Summer 2016 NYU 2L SAs]]/Table1[[#This Row],[Number of Summer 2016 2L SAs]],0)</f>
        <v>2.5</v>
      </c>
      <c r="N156" s="50" t="str">
        <f>IFERROR(RIGHT(Table1[[#This Row],[1st year]],LEN(Table1[[#This Row],[1st year]])-FIND(":",Table1[[#This Row],[1st year]])-1),"")</f>
        <v>$180K</v>
      </c>
      <c r="O156" s="50" t="str">
        <f t="array" ref="O156">IFERROR(INDEX(Table2[Nth year],MATCH(1,(Table1[[#This Row],[Employer]]=Table2[EIW Name])*(Table1[[#This Row],[City, State]]=Table2[Offices Matched]),0)),"")</f>
        <v>7th Year: $300K</v>
      </c>
      <c r="P156" s="50" t="str">
        <f>IFERROR(RIGHT(Table1[[#This Row],[Nth year]],LEN(Table1[[#This Row],[Nth year]])-FIND(":",Table1[[#This Row],[Nth year]])-1),"")</f>
        <v>$300K</v>
      </c>
      <c r="Q156" s="50" t="str">
        <f t="array" ref="Q156">IFERROR(INDEX(Table2[Am Law 200 PPP Rank ’16],MATCH(1,(Table1[[#This Row],[Employer]]=Table2[EIW Name])*(Table1[[#This Row],[City, State]]=Table2[Offices Matched]),0)),"")</f>
        <v>61: $1.49M</v>
      </c>
      <c r="R156" s="50" t="str">
        <f>IFERROR(LEFT(Table1[[#This Row],[Am Law 200 PPP Rank ’16]],FIND(":",Table1[[#This Row],[Am Law 200 PPP Rank ’16]])-1),"")</f>
        <v>61</v>
      </c>
      <c r="S156" s="50">
        <f>IFERROR(INDEX(VaultRank[Rank],MATCH(Table1[[#This Row],[Employer]],VaultRank[EIW Name],0)),"")</f>
        <v>69</v>
      </c>
      <c r="T156" s="50" t="str">
        <f t="array" ref="T156">IFERROR(INDEX(Table2[Summers Matched],MATCH(1,(Table1[[#This Row],[Employer]]=Table2[EIW Name])*(Table1[[#This Row],[City, State]]=Table2[Offices Matched]),0)),"")</f>
        <v>Yes</v>
      </c>
      <c r="U156" s="52" t="str">
        <f t="shared" si="2"/>
        <v/>
      </c>
      <c r="V156" s="60"/>
      <c r="W156" s="114">
        <v>42593</v>
      </c>
      <c r="X156"/>
    </row>
    <row r="157" spans="1:24" ht="14.1" customHeight="1">
      <c r="A157" s="45" t="s">
        <v>258</v>
      </c>
      <c r="B157" s="45" t="s">
        <v>367</v>
      </c>
      <c r="C157" s="45" t="s">
        <v>368</v>
      </c>
      <c r="D157" s="45" t="str">
        <f>Table1[[#This Row],[City]]&amp;", "&amp;Table1[[#This Row],[State]]</f>
        <v>Boston, MA</v>
      </c>
      <c r="E157" s="49">
        <v>172</v>
      </c>
      <c r="F157" s="50">
        <v>4</v>
      </c>
      <c r="G157" s="50" t="str">
        <f t="array" ref="G157">IFERROR(INDEX(Table2[1st Year],MATCH(1,(Table1[[#This Row],[Employer]]=Table2[EIW Name])*(Table1[[#This Row],[City, State]]=Table2[Offices Matched]),0)),"")</f>
        <v>1st Year: $180K</v>
      </c>
      <c r="H157" s="50">
        <f>_xlfn.IFNA(INDEX(saCAGR[CAGR],MATCH(Table1[[#This Row],[Employer]],saCAGR[EIW Name],0)),"")</f>
        <v>1.0287914175139352</v>
      </c>
      <c r="I157" s="50">
        <f>IFERROR(Table1[[#This Row],[SA CAGR]]*Table1[[#This Row],[Number of Summer 2016 2L SAs]],"")</f>
        <v>4.1151656700557409</v>
      </c>
      <c r="J157" s="50">
        <v>25</v>
      </c>
      <c r="K157" s="51">
        <f>IFERROR(Table1[[#This Row],[Number of Summer 2016 NYU 2L SAs]]/Table1[[#This Row],[Interview Slots]],0)</f>
        <v>0.14534883720930233</v>
      </c>
      <c r="L157" s="51">
        <f>Table1[[#This Row],[Number of Summer 2016 2L SAs]]/Table1[[#This Row],[Interview Slots]]</f>
        <v>2.3255813953488372E-2</v>
      </c>
      <c r="M157" s="51">
        <f>IFERROR(Table1[[#This Row],[Number of Summer 2016 NYU 2L SAs]]/Table1[[#This Row],[Number of Summer 2016 2L SAs]],0)</f>
        <v>6.25</v>
      </c>
      <c r="N157" s="50" t="str">
        <f>IFERROR(RIGHT(Table1[[#This Row],[1st year]],LEN(Table1[[#This Row],[1st year]])-FIND(":",Table1[[#This Row],[1st year]])-1),"")</f>
        <v>$180K</v>
      </c>
      <c r="O157" s="50" t="str">
        <f t="array" ref="O157">IFERROR(INDEX(Table2[Nth year],MATCH(1,(Table1[[#This Row],[Employer]]=Table2[EIW Name])*(Table1[[#This Row],[City, State]]=Table2[Offices Matched]),0)),"")</f>
        <v>7th Year: $300K</v>
      </c>
      <c r="P157" s="50" t="str">
        <f>IFERROR(RIGHT(Table1[[#This Row],[Nth year]],LEN(Table1[[#This Row],[Nth year]])-FIND(":",Table1[[#This Row],[Nth year]])-1),"")</f>
        <v>$300K</v>
      </c>
      <c r="Q157" s="50" t="str">
        <f t="array" ref="Q157">IFERROR(INDEX(Table2[Am Law 200 PPP Rank ’16],MATCH(1,(Table1[[#This Row],[Employer]]=Table2[EIW Name])*(Table1[[#This Row],[City, State]]=Table2[Offices Matched]),0)),"")</f>
        <v>61: $1.49M</v>
      </c>
      <c r="R157" s="50" t="str">
        <f>IFERROR(LEFT(Table1[[#This Row],[Am Law 200 PPP Rank ’16]],FIND(":",Table1[[#This Row],[Am Law 200 PPP Rank ’16]])-1),"")</f>
        <v>61</v>
      </c>
      <c r="S157" s="50">
        <f>IFERROR(INDEX(VaultRank[Rank],MATCH(Table1[[#This Row],[Employer]],VaultRank[EIW Name],0)),"")</f>
        <v>69</v>
      </c>
      <c r="T157" s="50" t="str">
        <f t="array" ref="T157">IFERROR(INDEX(Table2[Summers Matched],MATCH(1,(Table1[[#This Row],[Employer]]=Table2[EIW Name])*(Table1[[#This Row],[City, State]]=Table2[Offices Matched]),0)),"")</f>
        <v>Yes</v>
      </c>
      <c r="U157" s="52" t="str">
        <f t="shared" si="2"/>
        <v/>
      </c>
      <c r="V157" s="60"/>
      <c r="W157" s="114">
        <v>42594</v>
      </c>
      <c r="X157"/>
    </row>
    <row r="158" spans="1:24" ht="14.1" customHeight="1">
      <c r="A158" s="45" t="s">
        <v>258</v>
      </c>
      <c r="B158" s="45" t="s">
        <v>403</v>
      </c>
      <c r="C158" s="45" t="s">
        <v>404</v>
      </c>
      <c r="D158" s="45" t="str">
        <f>Table1[[#This Row],[City]]&amp;", "&amp;Table1[[#This Row],[State]]</f>
        <v>Twin Cities, MN</v>
      </c>
      <c r="E158" s="49">
        <v>119</v>
      </c>
      <c r="F158" s="50">
        <v>2</v>
      </c>
      <c r="G158" s="50" t="str">
        <f t="array" ref="G158">IFERROR(INDEX(Table2[1st Year],MATCH(1,(Table1[[#This Row],[Employer]]=Table2[EIW Name])*(Table1[[#This Row],[City, State]]=Table2[Offices Matched]),0)),"")</f>
        <v/>
      </c>
      <c r="H158" s="50">
        <f>_xlfn.IFNA(INDEX(saCAGR[CAGR],MATCH(Table1[[#This Row],[Employer]],saCAGR[EIW Name],0)),"")</f>
        <v>1.0287914175139352</v>
      </c>
      <c r="I158" s="50">
        <f>IFERROR(Table1[[#This Row],[SA CAGR]]*Table1[[#This Row],[Number of Summer 2016 2L SAs]],"")</f>
        <v>2.0575828350278704</v>
      </c>
      <c r="J158" s="50">
        <v>14</v>
      </c>
      <c r="K158" s="51">
        <f>IFERROR(Table1[[#This Row],[Number of Summer 2016 NYU 2L SAs]]/Table1[[#This Row],[Interview Slots]],0)</f>
        <v>0.11764705882352941</v>
      </c>
      <c r="L158" s="51">
        <f>Table1[[#This Row],[Number of Summer 2016 2L SAs]]/Table1[[#This Row],[Interview Slots]]</f>
        <v>1.680672268907563E-2</v>
      </c>
      <c r="M158" s="51">
        <f>IFERROR(Table1[[#This Row],[Number of Summer 2016 NYU 2L SAs]]/Table1[[#This Row],[Number of Summer 2016 2L SAs]],0)</f>
        <v>7</v>
      </c>
      <c r="N158" s="50" t="str">
        <f>IFERROR(RIGHT(Table1[[#This Row],[1st year]],LEN(Table1[[#This Row],[1st year]])-FIND(":",Table1[[#This Row],[1st year]])-1),"")</f>
        <v/>
      </c>
      <c r="O158" s="50" t="str">
        <f t="array" ref="O158">IFERROR(INDEX(Table2[Nth year],MATCH(1,(Table1[[#This Row],[Employer]]=Table2[EIW Name])*(Table1[[#This Row],[City, State]]=Table2[Offices Matched]),0)),"")</f>
        <v/>
      </c>
      <c r="P158" s="50" t="str">
        <f>IFERROR(RIGHT(Table1[[#This Row],[Nth year]],LEN(Table1[[#This Row],[Nth year]])-FIND(":",Table1[[#This Row],[Nth year]])-1),"")</f>
        <v/>
      </c>
      <c r="Q158" s="50" t="str">
        <f t="array" ref="Q158">IFERROR(INDEX(Table2[Am Law 200 PPP Rank ’16],MATCH(1,(Table1[[#This Row],[Employer]]=Table2[EIW Name])*(Table1[[#This Row],[City, State]]=Table2[Offices Matched]),0)),"")</f>
        <v/>
      </c>
      <c r="R158" s="50" t="str">
        <f>IFERROR(LEFT(Table1[[#This Row],[Am Law 200 PPP Rank ’16]],FIND(":",Table1[[#This Row],[Am Law 200 PPP Rank ’16]])-1),"")</f>
        <v/>
      </c>
      <c r="S158" s="50">
        <f>IFERROR(INDEX(VaultRank[Rank],MATCH(Table1[[#This Row],[Employer]],VaultRank[EIW Name],0)),"")</f>
        <v>69</v>
      </c>
      <c r="T158" s="50" t="str">
        <f t="array" ref="T158">IFERROR(INDEX(Table2[Summers Matched],MATCH(1,(Table1[[#This Row],[Employer]]=Table2[EIW Name])*(Table1[[#This Row],[City, State]]=Table2[Offices Matched]),0)),"")</f>
        <v/>
      </c>
      <c r="U158" s="52" t="str">
        <f t="shared" si="2"/>
        <v/>
      </c>
      <c r="V158" s="60"/>
      <c r="W158" s="114">
        <v>42592</v>
      </c>
      <c r="X158"/>
    </row>
    <row r="159" spans="1:24" ht="14.1" customHeight="1">
      <c r="A159" s="45" t="s">
        <v>258</v>
      </c>
      <c r="B159" s="45" t="s">
        <v>338</v>
      </c>
      <c r="C159" s="45" t="s">
        <v>314</v>
      </c>
      <c r="D159" s="45" t="str">
        <f>Table1[[#This Row],[City]]&amp;", "&amp;Table1[[#This Row],[State]]</f>
        <v>Austin, TX</v>
      </c>
      <c r="E159" s="49">
        <v>62</v>
      </c>
      <c r="F159" s="50">
        <v>2</v>
      </c>
      <c r="G159" s="50" t="str">
        <f t="array" ref="G159">IFERROR(INDEX(Table2[1st Year],MATCH(1,(Table1[[#This Row],[Employer]]=Table2[EIW Name])*(Table1[[#This Row],[City, State]]=Table2[Offices Matched]),0)),"")</f>
        <v>1st Year: $180K</v>
      </c>
      <c r="H159" s="50">
        <f>_xlfn.IFNA(INDEX(saCAGR[CAGR],MATCH(Table1[[#This Row],[Employer]],saCAGR[EIW Name],0)),"")</f>
        <v>1.0287914175139352</v>
      </c>
      <c r="I159" s="50">
        <f>IFERROR(Table1[[#This Row],[SA CAGR]]*Table1[[#This Row],[Number of Summer 2016 2L SAs]],"")</f>
        <v>2.0575828350278704</v>
      </c>
      <c r="J159" s="50">
        <v>21</v>
      </c>
      <c r="K159" s="51">
        <f>IFERROR(Table1[[#This Row],[Number of Summer 2016 NYU 2L SAs]]/Table1[[#This Row],[Interview Slots]],0)</f>
        <v>0.33870967741935482</v>
      </c>
      <c r="L159" s="51">
        <f>Table1[[#This Row],[Number of Summer 2016 2L SAs]]/Table1[[#This Row],[Interview Slots]]</f>
        <v>3.2258064516129031E-2</v>
      </c>
      <c r="M159" s="51">
        <f>IFERROR(Table1[[#This Row],[Number of Summer 2016 NYU 2L SAs]]/Table1[[#This Row],[Number of Summer 2016 2L SAs]],0)</f>
        <v>10.5</v>
      </c>
      <c r="N159" s="50" t="str">
        <f>IFERROR(RIGHT(Table1[[#This Row],[1st year]],LEN(Table1[[#This Row],[1st year]])-FIND(":",Table1[[#This Row],[1st year]])-1),"")</f>
        <v>$180K</v>
      </c>
      <c r="O159" s="50" t="str">
        <f t="array" ref="O159">IFERROR(INDEX(Table2[Nth year],MATCH(1,(Table1[[#This Row],[Employer]]=Table2[EIW Name])*(Table1[[#This Row],[City, State]]=Table2[Offices Matched]),0)),"")</f>
        <v>7th Year: $300K</v>
      </c>
      <c r="P159" s="50" t="str">
        <f>IFERROR(RIGHT(Table1[[#This Row],[Nth year]],LEN(Table1[[#This Row],[Nth year]])-FIND(":",Table1[[#This Row],[Nth year]])-1),"")</f>
        <v>$300K</v>
      </c>
      <c r="Q159" s="50" t="str">
        <f t="array" ref="Q159">IFERROR(INDEX(Table2[Am Law 200 PPP Rank ’16],MATCH(1,(Table1[[#This Row],[Employer]]=Table2[EIW Name])*(Table1[[#This Row],[City, State]]=Table2[Offices Matched]),0)),"")</f>
        <v>61: $1.49M</v>
      </c>
      <c r="R159" s="50" t="str">
        <f>IFERROR(LEFT(Table1[[#This Row],[Am Law 200 PPP Rank ’16]],FIND(":",Table1[[#This Row],[Am Law 200 PPP Rank ’16]])-1),"")</f>
        <v>61</v>
      </c>
      <c r="S159" s="50">
        <f>IFERROR(INDEX(VaultRank[Rank],MATCH(Table1[[#This Row],[Employer]],VaultRank[EIW Name],0)),"")</f>
        <v>69</v>
      </c>
      <c r="T159" s="50" t="str">
        <f t="array" ref="T159">IFERROR(INDEX(Table2[Summers Matched],MATCH(1,(Table1[[#This Row],[Employer]]=Table2[EIW Name])*(Table1[[#This Row],[City, State]]=Table2[Offices Matched]),0)),"")</f>
        <v>Yes</v>
      </c>
      <c r="U159" s="52" t="str">
        <f t="shared" si="2"/>
        <v/>
      </c>
      <c r="V159" s="60"/>
      <c r="W159" s="114">
        <v>42595</v>
      </c>
      <c r="X159"/>
    </row>
    <row r="160" spans="1:24" ht="14.1" customHeight="1">
      <c r="A160" s="45" t="s">
        <v>258</v>
      </c>
      <c r="B160" s="45" t="s">
        <v>313</v>
      </c>
      <c r="C160" s="45" t="s">
        <v>314</v>
      </c>
      <c r="D160" s="45" t="str">
        <f>Table1[[#This Row],[City]]&amp;", "&amp;Table1[[#This Row],[State]]</f>
        <v>Dallas, TX</v>
      </c>
      <c r="E160" s="49">
        <v>156</v>
      </c>
      <c r="F160" s="50">
        <v>5</v>
      </c>
      <c r="G160" s="50" t="str">
        <f t="array" ref="G160">IFERROR(INDEX(Table2[1st Year],MATCH(1,(Table1[[#This Row],[Employer]]=Table2[EIW Name])*(Table1[[#This Row],[City, State]]=Table2[Offices Matched]),0)),"")</f>
        <v>1st Year: $180K</v>
      </c>
      <c r="H160" s="50">
        <f>_xlfn.IFNA(INDEX(saCAGR[CAGR],MATCH(Table1[[#This Row],[Employer]],saCAGR[EIW Name],0)),"")</f>
        <v>1.0287914175139352</v>
      </c>
      <c r="I160" s="50">
        <f>IFERROR(Table1[[#This Row],[SA CAGR]]*Table1[[#This Row],[Number of Summer 2016 2L SAs]],"")</f>
        <v>5.1439570875696763</v>
      </c>
      <c r="J160" s="50">
        <v>6</v>
      </c>
      <c r="K160" s="51">
        <f>IFERROR(Table1[[#This Row],[Number of Summer 2016 NYU 2L SAs]]/Table1[[#This Row],[Interview Slots]],0)</f>
        <v>3.8461538461538464E-2</v>
      </c>
      <c r="L160" s="51">
        <f>Table1[[#This Row],[Number of Summer 2016 2L SAs]]/Table1[[#This Row],[Interview Slots]]</f>
        <v>3.2051282051282048E-2</v>
      </c>
      <c r="M160" s="51">
        <f>IFERROR(Table1[[#This Row],[Number of Summer 2016 NYU 2L SAs]]/Table1[[#This Row],[Number of Summer 2016 2L SAs]],0)</f>
        <v>1.2</v>
      </c>
      <c r="N160" s="50" t="str">
        <f>IFERROR(RIGHT(Table1[[#This Row],[1st year]],LEN(Table1[[#This Row],[1st year]])-FIND(":",Table1[[#This Row],[1st year]])-1),"")</f>
        <v>$180K</v>
      </c>
      <c r="O160" s="50" t="str">
        <f t="array" ref="O160">IFERROR(INDEX(Table2[Nth year],MATCH(1,(Table1[[#This Row],[Employer]]=Table2[EIW Name])*(Table1[[#This Row],[City, State]]=Table2[Offices Matched]),0)),"")</f>
        <v>7th Year: $300K</v>
      </c>
      <c r="P160" s="50" t="str">
        <f>IFERROR(RIGHT(Table1[[#This Row],[Nth year]],LEN(Table1[[#This Row],[Nth year]])-FIND(":",Table1[[#This Row],[Nth year]])-1),"")</f>
        <v>$300K</v>
      </c>
      <c r="Q160" s="50" t="str">
        <f t="array" ref="Q160">IFERROR(INDEX(Table2[Am Law 200 PPP Rank ’16],MATCH(1,(Table1[[#This Row],[Employer]]=Table2[EIW Name])*(Table1[[#This Row],[City, State]]=Table2[Offices Matched]),0)),"")</f>
        <v>61: $1.49M</v>
      </c>
      <c r="R160" s="50" t="str">
        <f>IFERROR(LEFT(Table1[[#This Row],[Am Law 200 PPP Rank ’16]],FIND(":",Table1[[#This Row],[Am Law 200 PPP Rank ’16]])-1),"")</f>
        <v>61</v>
      </c>
      <c r="S160" s="50">
        <f>IFERROR(INDEX(VaultRank[Rank],MATCH(Table1[[#This Row],[Employer]],VaultRank[EIW Name],0)),"")</f>
        <v>69</v>
      </c>
      <c r="T160" s="50" t="str">
        <f t="array" ref="T160">IFERROR(INDEX(Table2[Summers Matched],MATCH(1,(Table1[[#This Row],[Employer]]=Table2[EIW Name])*(Table1[[#This Row],[City, State]]=Table2[Offices Matched]),0)),"")</f>
        <v>Yes</v>
      </c>
      <c r="U160" s="52">
        <f t="shared" si="2"/>
        <v>3.4</v>
      </c>
      <c r="V160" s="60"/>
      <c r="W160" s="114">
        <v>42594</v>
      </c>
      <c r="X160"/>
    </row>
    <row r="161" spans="1:24" ht="14.1" customHeight="1">
      <c r="A161" s="45" t="s">
        <v>258</v>
      </c>
      <c r="B161" s="45" t="s">
        <v>331</v>
      </c>
      <c r="C161" s="45" t="s">
        <v>314</v>
      </c>
      <c r="D161" s="45" t="str">
        <f>Table1[[#This Row],[City]]&amp;", "&amp;Table1[[#This Row],[State]]</f>
        <v>Houston, TX</v>
      </c>
      <c r="E161" s="49">
        <v>57</v>
      </c>
      <c r="F161" s="50">
        <v>2</v>
      </c>
      <c r="G161" s="50" t="str">
        <f t="array" ref="G161">IFERROR(INDEX(Table2[1st Year],MATCH(1,(Table1[[#This Row],[Employer]]=Table2[EIW Name])*(Table1[[#This Row],[City, State]]=Table2[Offices Matched]),0)),"")</f>
        <v>1st Year: $180K</v>
      </c>
      <c r="H161" s="50">
        <f>_xlfn.IFNA(INDEX(saCAGR[CAGR],MATCH(Table1[[#This Row],[Employer]],saCAGR[EIW Name],0)),"")</f>
        <v>1.0287914175139352</v>
      </c>
      <c r="I161" s="50">
        <f>IFERROR(Table1[[#This Row],[SA CAGR]]*Table1[[#This Row],[Number of Summer 2016 2L SAs]],"")</f>
        <v>2.0575828350278704</v>
      </c>
      <c r="J161" s="50">
        <v>7</v>
      </c>
      <c r="K161" s="51">
        <f>IFERROR(Table1[[#This Row],[Number of Summer 2016 NYU 2L SAs]]/Table1[[#This Row],[Interview Slots]],0)</f>
        <v>0.12280701754385964</v>
      </c>
      <c r="L161" s="51">
        <f>Table1[[#This Row],[Number of Summer 2016 2L SAs]]/Table1[[#This Row],[Interview Slots]]</f>
        <v>3.5087719298245612E-2</v>
      </c>
      <c r="M161" s="51">
        <f>IFERROR(Table1[[#This Row],[Number of Summer 2016 NYU 2L SAs]]/Table1[[#This Row],[Number of Summer 2016 2L SAs]],0)</f>
        <v>3.5</v>
      </c>
      <c r="N161" s="50" t="str">
        <f>IFERROR(RIGHT(Table1[[#This Row],[1st year]],LEN(Table1[[#This Row],[1st year]])-FIND(":",Table1[[#This Row],[1st year]])-1),"")</f>
        <v>$180K</v>
      </c>
      <c r="O161" s="50" t="str">
        <f t="array" ref="O161">IFERROR(INDEX(Table2[Nth year],MATCH(1,(Table1[[#This Row],[Employer]]=Table2[EIW Name])*(Table1[[#This Row],[City, State]]=Table2[Offices Matched]),0)),"")</f>
        <v>7th Year: $300K</v>
      </c>
      <c r="P161" s="50" t="str">
        <f>IFERROR(RIGHT(Table1[[#This Row],[Nth year]],LEN(Table1[[#This Row],[Nth year]])-FIND(":",Table1[[#This Row],[Nth year]])-1),"")</f>
        <v>$300K</v>
      </c>
      <c r="Q161" s="50" t="str">
        <f t="array" ref="Q161">IFERROR(INDEX(Table2[Am Law 200 PPP Rank ’16],MATCH(1,(Table1[[#This Row],[Employer]]=Table2[EIW Name])*(Table1[[#This Row],[City, State]]=Table2[Offices Matched]),0)),"")</f>
        <v>61: $1.49M</v>
      </c>
      <c r="R161" s="50" t="str">
        <f>IFERROR(LEFT(Table1[[#This Row],[Am Law 200 PPP Rank ’16]],FIND(":",Table1[[#This Row],[Am Law 200 PPP Rank ’16]])-1),"")</f>
        <v>61</v>
      </c>
      <c r="S161" s="50">
        <f>IFERROR(INDEX(VaultRank[Rank],MATCH(Table1[[#This Row],[Employer]],VaultRank[EIW Name],0)),"")</f>
        <v>69</v>
      </c>
      <c r="T161" s="50" t="str">
        <f t="array" ref="T161">IFERROR(INDEX(Table2[Summers Matched],MATCH(1,(Table1[[#This Row],[Employer]]=Table2[EIW Name])*(Table1[[#This Row],[City, State]]=Table2[Offices Matched]),0)),"")</f>
        <v>Yes</v>
      </c>
      <c r="U161" s="52">
        <f t="shared" si="2"/>
        <v>3.6</v>
      </c>
      <c r="V161" s="60"/>
      <c r="W161" s="114">
        <v>42595</v>
      </c>
      <c r="X161"/>
    </row>
    <row r="162" spans="1:24" ht="14.1" customHeight="1">
      <c r="A162" s="45" t="s">
        <v>286</v>
      </c>
      <c r="B162" s="45" t="s">
        <v>364</v>
      </c>
      <c r="C162" s="45" t="s">
        <v>362</v>
      </c>
      <c r="D162" s="45" t="str">
        <f>Table1[[#This Row],[City]]&amp;", "&amp;Table1[[#This Row],[State]]</f>
        <v>New York, NY</v>
      </c>
      <c r="E162" s="49">
        <v>103</v>
      </c>
      <c r="F162" s="50">
        <v>15</v>
      </c>
      <c r="G162" s="50" t="str">
        <f t="array" ref="G162">IFERROR(INDEX(Table2[1st Year],MATCH(1,(Table1[[#This Row],[Employer]]=Table2[EIW Name])*(Table1[[#This Row],[City, State]]=Table2[Offices Matched]),0)),"")</f>
        <v>1st Year: $180K</v>
      </c>
      <c r="H162" s="51">
        <f>_xlfn.IFNA(INDEX(saCAGR[CAGR],MATCH(Table1[[#This Row],[Employer]],saCAGR[EIW Name],0)),"")</f>
        <v>0.99589779177402582</v>
      </c>
      <c r="I162" s="50">
        <f>IFERROR(Table1[[#This Row],[SA CAGR]]*Table1[[#This Row],[Number of Summer 2016 2L SAs]],"")</f>
        <v>14.938466876610388</v>
      </c>
      <c r="J162" s="50">
        <v>25</v>
      </c>
      <c r="K162" s="51">
        <f>IFERROR(Table1[[#This Row],[Number of Summer 2016 NYU 2L SAs]]/Table1[[#This Row],[Interview Slots]],0)</f>
        <v>0.24271844660194175</v>
      </c>
      <c r="L162" s="51">
        <f>Table1[[#This Row],[Number of Summer 2016 2L SAs]]/Table1[[#This Row],[Interview Slots]]</f>
        <v>0.14563106796116504</v>
      </c>
      <c r="M162" s="51">
        <f>IFERROR(Table1[[#This Row],[Number of Summer 2016 NYU 2L SAs]]/Table1[[#This Row],[Number of Summer 2016 2L SAs]],0)</f>
        <v>1.6666666666666667</v>
      </c>
      <c r="N162" s="50" t="str">
        <f>IFERROR(RIGHT(Table1[[#This Row],[1st year]],LEN(Table1[[#This Row],[1st year]])-FIND(":",Table1[[#This Row],[1st year]])-1),"")</f>
        <v>$180K</v>
      </c>
      <c r="O162" s="50" t="str">
        <f t="array" ref="O162">IFERROR(INDEX(Table2[Nth year],MATCH(1,(Table1[[#This Row],[Employer]]=Table2[EIW Name])*(Table1[[#This Row],[City, State]]=Table2[Offices Matched]),0)),"")</f>
        <v>8th Year: $315K</v>
      </c>
      <c r="P162" s="50" t="str">
        <f>IFERROR(RIGHT(Table1[[#This Row],[Nth year]],LEN(Table1[[#This Row],[Nth year]])-FIND(":",Table1[[#This Row],[Nth year]])-1),"")</f>
        <v>$315K</v>
      </c>
      <c r="Q162" s="50" t="str">
        <f t="array" ref="Q162">IFERROR(INDEX(Table2[Am Law 200 PPP Rank ’16],MATCH(1,(Table1[[#This Row],[Employer]]=Table2[EIW Name])*(Table1[[#This Row],[City, State]]=Table2[Offices Matched]),0)),"")</f>
        <v>N/A</v>
      </c>
      <c r="R162" s="50" t="str">
        <f>IFERROR(LEFT(Table1[[#This Row],[Am Law 200 PPP Rank ’16]],FIND(":",Table1[[#This Row],[Am Law 200 PPP Rank ’16]])-1),"")</f>
        <v/>
      </c>
      <c r="S162" s="50">
        <f>IFERROR(INDEX(VaultRank[Rank],MATCH(Table1[[#This Row],[Employer]],VaultRank[EIW Name],0)),"")</f>
        <v>33</v>
      </c>
      <c r="T162" s="50" t="str">
        <f t="array" ref="T162">IFERROR(INDEX(Table2[Summers Matched],MATCH(1,(Table1[[#This Row],[Employer]]=Table2[EIW Name])*(Table1[[#This Row],[City, State]]=Table2[Offices Matched]),0)),"")</f>
        <v>Yes</v>
      </c>
      <c r="U162" s="52" t="str">
        <f t="shared" si="2"/>
        <v/>
      </c>
      <c r="V162" s="60"/>
      <c r="W162" s="114">
        <v>42594</v>
      </c>
      <c r="X162"/>
    </row>
    <row r="163" spans="1:24" ht="14.1" customHeight="1">
      <c r="A163" s="45" t="s">
        <v>405</v>
      </c>
      <c r="B163" s="45" t="s">
        <v>406</v>
      </c>
      <c r="C163" s="45" t="s">
        <v>300</v>
      </c>
      <c r="D163" s="45" t="str">
        <f>Table1[[#This Row],[City]]&amp;", "&amp;Table1[[#This Row],[State]]</f>
        <v>Costa Mesa, CA</v>
      </c>
      <c r="E163" s="49">
        <v>169</v>
      </c>
      <c r="F163" s="50">
        <v>0</v>
      </c>
      <c r="G163" s="50" t="str">
        <f t="array" ref="G163">IFERROR(INDEX(Table2[1st Year],MATCH(1,(Table1[[#This Row],[Employer]]=Table2[EIW Name])*(Table1[[#This Row],[City, State]]=Table2[Offices Matched]),0)),"")</f>
        <v/>
      </c>
      <c r="H163" s="50">
        <f>_xlfn.IFNA(INDEX(saCAGR[CAGR],MATCH(Table1[[#This Row],[Employer]],saCAGR[EIW Name],0)),"")</f>
        <v>0.97068529427179606</v>
      </c>
      <c r="I163" s="50">
        <f>IFERROR(Table1[[#This Row],[SA CAGR]]*Table1[[#This Row],[Number of Summer 2016 2L SAs]],"")</f>
        <v>0</v>
      </c>
      <c r="J163" s="50">
        <v>23</v>
      </c>
      <c r="K163" s="51">
        <f>IFERROR(Table1[[#This Row],[Number of Summer 2016 NYU 2L SAs]]/Table1[[#This Row],[Interview Slots]],0)</f>
        <v>0.13609467455621302</v>
      </c>
      <c r="L163" s="51">
        <f>Table1[[#This Row],[Number of Summer 2016 2L SAs]]/Table1[[#This Row],[Interview Slots]]</f>
        <v>0</v>
      </c>
      <c r="M163" s="51">
        <f>IFERROR(Table1[[#This Row],[Number of Summer 2016 NYU 2L SAs]]/Table1[[#This Row],[Number of Summer 2016 2L SAs]],0)</f>
        <v>0</v>
      </c>
      <c r="N163" s="50" t="str">
        <f>IFERROR(RIGHT(Table1[[#This Row],[1st year]],LEN(Table1[[#This Row],[1st year]])-FIND(":",Table1[[#This Row],[1st year]])-1),"")</f>
        <v/>
      </c>
      <c r="O163" s="50" t="str">
        <f t="array" ref="O163">IFERROR(INDEX(Table2[Nth year],MATCH(1,(Table1[[#This Row],[Employer]]=Table2[EIW Name])*(Table1[[#This Row],[City, State]]=Table2[Offices Matched]),0)),"")</f>
        <v/>
      </c>
      <c r="P163" s="50" t="str">
        <f>IFERROR(RIGHT(Table1[[#This Row],[Nth year]],LEN(Table1[[#This Row],[Nth year]])-FIND(":",Table1[[#This Row],[Nth year]])-1),"")</f>
        <v/>
      </c>
      <c r="Q163" s="50" t="str">
        <f t="array" ref="Q163">IFERROR(INDEX(Table2[Am Law 200 PPP Rank ’16],MATCH(1,(Table1[[#This Row],[Employer]]=Table2[EIW Name])*(Table1[[#This Row],[City, State]]=Table2[Offices Matched]),0)),"")</f>
        <v/>
      </c>
      <c r="R163" s="50" t="str">
        <f>IFERROR(LEFT(Table1[[#This Row],[Am Law 200 PPP Rank ’16]],FIND(":",Table1[[#This Row],[Am Law 200 PPP Rank ’16]])-1),"")</f>
        <v/>
      </c>
      <c r="S163" s="50" t="str">
        <f>IFERROR(INDEX(VaultRank[Rank],MATCH(Table1[[#This Row],[Employer]],VaultRank[EIW Name],0)),"")</f>
        <v/>
      </c>
      <c r="T163" s="50" t="str">
        <f t="array" ref="T163">IFERROR(INDEX(Table2[Summers Matched],MATCH(1,(Table1[[#This Row],[Employer]]=Table2[EIW Name])*(Table1[[#This Row],[City, State]]=Table2[Offices Matched]),0)),"")</f>
        <v/>
      </c>
      <c r="U163" s="52" t="str">
        <f t="shared" si="2"/>
        <v/>
      </c>
      <c r="V163" s="60"/>
      <c r="W163" s="114">
        <v>42594</v>
      </c>
      <c r="X163"/>
    </row>
    <row r="164" spans="1:24" ht="14.1" customHeight="1">
      <c r="A164" s="45" t="s">
        <v>405</v>
      </c>
      <c r="B164" s="45" t="s">
        <v>301</v>
      </c>
      <c r="C164" s="45" t="s">
        <v>302</v>
      </c>
      <c r="D164" s="45" t="str">
        <f>Table1[[#This Row],[City]]&amp;", "&amp;Table1[[#This Row],[State]]</f>
        <v>Washington, DC</v>
      </c>
      <c r="E164" s="49">
        <v>52</v>
      </c>
      <c r="F164" s="50">
        <v>2</v>
      </c>
      <c r="G164" s="50" t="str">
        <f t="array" ref="G164">IFERROR(INDEX(Table2[1st Year],MATCH(1,(Table1[[#This Row],[Employer]]=Table2[EIW Name])*(Table1[[#This Row],[City, State]]=Table2[Offices Matched]),0)),"")</f>
        <v/>
      </c>
      <c r="H164" s="50">
        <f>_xlfn.IFNA(INDEX(saCAGR[CAGR],MATCH(Table1[[#This Row],[Employer]],saCAGR[EIW Name],0)),"")</f>
        <v>0.97068529427179606</v>
      </c>
      <c r="I164" s="50">
        <f>IFERROR(Table1[[#This Row],[SA CAGR]]*Table1[[#This Row],[Number of Summer 2016 2L SAs]],"")</f>
        <v>1.9413705885435921</v>
      </c>
      <c r="J164" s="50">
        <v>5</v>
      </c>
      <c r="K164" s="51">
        <f>IFERROR(Table1[[#This Row],[Number of Summer 2016 NYU 2L SAs]]/Table1[[#This Row],[Interview Slots]],0)</f>
        <v>9.6153846153846159E-2</v>
      </c>
      <c r="L164" s="51">
        <f>Table1[[#This Row],[Number of Summer 2016 2L SAs]]/Table1[[#This Row],[Interview Slots]]</f>
        <v>3.8461538461538464E-2</v>
      </c>
      <c r="M164" s="51">
        <f>IFERROR(Table1[[#This Row],[Number of Summer 2016 NYU 2L SAs]]/Table1[[#This Row],[Number of Summer 2016 2L SAs]],0)</f>
        <v>2.5</v>
      </c>
      <c r="N164" s="50" t="str">
        <f>IFERROR(RIGHT(Table1[[#This Row],[1st year]],LEN(Table1[[#This Row],[1st year]])-FIND(":",Table1[[#This Row],[1st year]])-1),"")</f>
        <v/>
      </c>
      <c r="O164" s="50" t="str">
        <f t="array" ref="O164">IFERROR(INDEX(Table2[Nth year],MATCH(1,(Table1[[#This Row],[Employer]]=Table2[EIW Name])*(Table1[[#This Row],[City, State]]=Table2[Offices Matched]),0)),"")</f>
        <v/>
      </c>
      <c r="P164" s="50" t="str">
        <f>IFERROR(RIGHT(Table1[[#This Row],[Nth year]],LEN(Table1[[#This Row],[Nth year]])-FIND(":",Table1[[#This Row],[Nth year]])-1),"")</f>
        <v/>
      </c>
      <c r="Q164" s="50" t="str">
        <f t="array" ref="Q164">IFERROR(INDEX(Table2[Am Law 200 PPP Rank ’16],MATCH(1,(Table1[[#This Row],[Employer]]=Table2[EIW Name])*(Table1[[#This Row],[City, State]]=Table2[Offices Matched]),0)),"")</f>
        <v/>
      </c>
      <c r="R164" s="50" t="str">
        <f>IFERROR(LEFT(Table1[[#This Row],[Am Law 200 PPP Rank ’16]],FIND(":",Table1[[#This Row],[Am Law 200 PPP Rank ’16]])-1),"")</f>
        <v/>
      </c>
      <c r="S164" s="50" t="str">
        <f>IFERROR(INDEX(VaultRank[Rank],MATCH(Table1[[#This Row],[Employer]],VaultRank[EIW Name],0)),"")</f>
        <v/>
      </c>
      <c r="T164" s="50" t="str">
        <f t="array" ref="T164">IFERROR(INDEX(Table2[Summers Matched],MATCH(1,(Table1[[#This Row],[Employer]]=Table2[EIW Name])*(Table1[[#This Row],[City, State]]=Table2[Offices Matched]),0)),"")</f>
        <v/>
      </c>
      <c r="U164" s="52" t="str">
        <f t="shared" si="2"/>
        <v/>
      </c>
      <c r="V164" s="60"/>
      <c r="W164" s="114">
        <v>42592</v>
      </c>
      <c r="X164"/>
    </row>
    <row r="165" spans="1:24" ht="14.1" customHeight="1">
      <c r="A165" s="45" t="s">
        <v>195</v>
      </c>
      <c r="B165" s="45" t="s">
        <v>303</v>
      </c>
      <c r="C165" s="45" t="s">
        <v>304</v>
      </c>
      <c r="D165" s="45" t="str">
        <f>Table1[[#This Row],[City]]&amp;", "&amp;Table1[[#This Row],[State]]</f>
        <v>Chicago, IL</v>
      </c>
      <c r="E165" s="49">
        <v>198</v>
      </c>
      <c r="F165" s="50">
        <v>23</v>
      </c>
      <c r="G165" s="50" t="str">
        <f t="array" ref="G165">IFERROR(INDEX(Table2[1st Year],MATCH(1,(Table1[[#This Row],[Employer]]=Table2[EIW Name])*(Table1[[#This Row],[City, State]]=Table2[Offices Matched]),0)),"")</f>
        <v>1st Year: $180K</v>
      </c>
      <c r="H165" s="51">
        <f>_xlfn.IFNA(INDEX(saCAGR[CAGR],MATCH(Table1[[#This Row],[Employer]],saCAGR[EIW Name],0)),"")</f>
        <v>1.0184377282271837</v>
      </c>
      <c r="I165" s="50">
        <f>IFERROR(Table1[[#This Row],[SA CAGR]]*Table1[[#This Row],[Number of Summer 2016 2L SAs]],"")</f>
        <v>23.424067749225227</v>
      </c>
      <c r="J165" s="50">
        <v>10</v>
      </c>
      <c r="K165" s="51">
        <f>IFERROR(Table1[[#This Row],[Number of Summer 2016 NYU 2L SAs]]/Table1[[#This Row],[Interview Slots]],0)</f>
        <v>5.0505050505050504E-2</v>
      </c>
      <c r="L165" s="51">
        <f>Table1[[#This Row],[Number of Summer 2016 2L SAs]]/Table1[[#This Row],[Interview Slots]]</f>
        <v>0.11616161616161616</v>
      </c>
      <c r="M165" s="51">
        <f>IFERROR(Table1[[#This Row],[Number of Summer 2016 NYU 2L SAs]]/Table1[[#This Row],[Number of Summer 2016 2L SAs]],0)</f>
        <v>0.43478260869565216</v>
      </c>
      <c r="N165" s="50" t="str">
        <f>IFERROR(RIGHT(Table1[[#This Row],[1st year]],LEN(Table1[[#This Row],[1st year]])-FIND(":",Table1[[#This Row],[1st year]])-1),"")</f>
        <v>$180K</v>
      </c>
      <c r="O165" s="50" t="str">
        <f t="array" ref="O165">IFERROR(INDEX(Table2[Nth year],MATCH(1,(Table1[[#This Row],[Employer]]=Table2[EIW Name])*(Table1[[#This Row],[City, State]]=Table2[Offices Matched]),0)),"")</f>
        <v>8th Year: $315K</v>
      </c>
      <c r="P165" s="50" t="str">
        <f>IFERROR(RIGHT(Table1[[#This Row],[Nth year]],LEN(Table1[[#This Row],[Nth year]])-FIND(":",Table1[[#This Row],[Nth year]])-1),"")</f>
        <v>$315K</v>
      </c>
      <c r="Q165" s="50" t="str">
        <f t="array" ref="Q165">IFERROR(INDEX(Table2[Am Law 200 PPP Rank ’16],MATCH(1,(Table1[[#This Row],[Employer]]=Table2[EIW Name])*(Table1[[#This Row],[City, State]]=Table2[Offices Matched]),0)),"")</f>
        <v>55: $1.56M</v>
      </c>
      <c r="R165" s="50" t="str">
        <f>IFERROR(LEFT(Table1[[#This Row],[Am Law 200 PPP Rank ’16]],FIND(":",Table1[[#This Row],[Am Law 200 PPP Rank ’16]])-1),"")</f>
        <v>55</v>
      </c>
      <c r="S165" s="50">
        <f>IFERROR(INDEX(VaultRank[Rank],MATCH(Table1[[#This Row],[Employer]],VaultRank[EIW Name],0)),"")</f>
        <v>34</v>
      </c>
      <c r="T165" s="50" t="str">
        <f t="array" ref="T165">IFERROR(INDEX(Table2[Summers Matched],MATCH(1,(Table1[[#This Row],[Employer]]=Table2[EIW Name])*(Table1[[#This Row],[City, State]]=Table2[Offices Matched]),0)),"")</f>
        <v>Yes</v>
      </c>
      <c r="U165" s="52" t="str">
        <f t="shared" si="2"/>
        <v/>
      </c>
      <c r="V165" s="60"/>
      <c r="W165" s="114">
        <v>42595</v>
      </c>
      <c r="X165"/>
    </row>
    <row r="166" spans="1:24" ht="14.1" customHeight="1">
      <c r="A166" s="45" t="s">
        <v>315</v>
      </c>
      <c r="B166" s="45" t="s">
        <v>299</v>
      </c>
      <c r="C166" s="45" t="s">
        <v>300</v>
      </c>
      <c r="D166" s="45" t="str">
        <f>Table1[[#This Row],[City]]&amp;", "&amp;Table1[[#This Row],[State]]</f>
        <v>Los Angeles, CA</v>
      </c>
      <c r="E166" s="49">
        <v>91</v>
      </c>
      <c r="F166" s="50">
        <v>4</v>
      </c>
      <c r="G166" s="50" t="str">
        <f t="array" ref="G166">IFERROR(INDEX(Table2[1st Year],MATCH(1,(Table1[[#This Row],[Employer]]=Table2[EIW Name])*(Table1[[#This Row],[City, State]]=Table2[Offices Matched]),0)),"")</f>
        <v/>
      </c>
      <c r="H166" s="50">
        <f>_xlfn.IFNA(INDEX(saCAGR[CAGR],MATCH(Table1[[#This Row],[Employer]],saCAGR[EIW Name],0)),"")</f>
        <v>1.0064964507741889</v>
      </c>
      <c r="I166" s="50">
        <f>IFERROR(Table1[[#This Row],[SA CAGR]]*Table1[[#This Row],[Number of Summer 2016 2L SAs]],"")</f>
        <v>4.0259858030967557</v>
      </c>
      <c r="J166" s="50">
        <v>5</v>
      </c>
      <c r="K166" s="51">
        <f>IFERROR(Table1[[#This Row],[Number of Summer 2016 NYU 2L SAs]]/Table1[[#This Row],[Interview Slots]],0)</f>
        <v>5.4945054945054944E-2</v>
      </c>
      <c r="L166" s="51">
        <f>Table1[[#This Row],[Number of Summer 2016 2L SAs]]/Table1[[#This Row],[Interview Slots]]</f>
        <v>4.3956043956043959E-2</v>
      </c>
      <c r="M166" s="51">
        <f>IFERROR(Table1[[#This Row],[Number of Summer 2016 NYU 2L SAs]]/Table1[[#This Row],[Number of Summer 2016 2L SAs]],0)</f>
        <v>1.25</v>
      </c>
      <c r="N166" s="50" t="str">
        <f>IFERROR(RIGHT(Table1[[#This Row],[1st year]],LEN(Table1[[#This Row],[1st year]])-FIND(":",Table1[[#This Row],[1st year]])-1),"")</f>
        <v/>
      </c>
      <c r="O166" s="50" t="str">
        <f t="array" ref="O166">IFERROR(INDEX(Table2[Nth year],MATCH(1,(Table1[[#This Row],[Employer]]=Table2[EIW Name])*(Table1[[#This Row],[City, State]]=Table2[Offices Matched]),0)),"")</f>
        <v/>
      </c>
      <c r="P166" s="50" t="str">
        <f>IFERROR(RIGHT(Table1[[#This Row],[Nth year]],LEN(Table1[[#This Row],[Nth year]])-FIND(":",Table1[[#This Row],[Nth year]])-1),"")</f>
        <v/>
      </c>
      <c r="Q166" s="50" t="str">
        <f t="array" ref="Q166">IFERROR(INDEX(Table2[Am Law 200 PPP Rank ’16],MATCH(1,(Table1[[#This Row],[Employer]]=Table2[EIW Name])*(Table1[[#This Row],[City, State]]=Table2[Offices Matched]),0)),"")</f>
        <v/>
      </c>
      <c r="R166" s="50" t="str">
        <f>IFERROR(LEFT(Table1[[#This Row],[Am Law 200 PPP Rank ’16]],FIND(":",Table1[[#This Row],[Am Law 200 PPP Rank ’16]])-1),"")</f>
        <v/>
      </c>
      <c r="S166" s="50">
        <f>IFERROR(INDEX(VaultRank[Rank],MATCH(Table1[[#This Row],[Employer]],VaultRank[EIW Name],0)),"")</f>
        <v>72</v>
      </c>
      <c r="T166" s="50" t="str">
        <f t="array" ref="T166">IFERROR(INDEX(Table2[Summers Matched],MATCH(1,(Table1[[#This Row],[Employer]]=Table2[EIW Name])*(Table1[[#This Row],[City, State]]=Table2[Offices Matched]),0)),"")</f>
        <v/>
      </c>
      <c r="U166" s="52" t="str">
        <f t="shared" si="2"/>
        <v/>
      </c>
      <c r="V166" s="60"/>
      <c r="W166" s="114">
        <v>42593</v>
      </c>
      <c r="X166"/>
    </row>
    <row r="167" spans="1:24" ht="14.1" customHeight="1">
      <c r="A167" s="45" t="s">
        <v>315</v>
      </c>
      <c r="B167" s="45" t="s">
        <v>375</v>
      </c>
      <c r="C167" s="45" t="s">
        <v>300</v>
      </c>
      <c r="D167" s="45" t="str">
        <f>Table1[[#This Row],[City]]&amp;", "&amp;Table1[[#This Row],[State]]</f>
        <v>San Diego, CA</v>
      </c>
      <c r="E167" s="49">
        <v>94</v>
      </c>
      <c r="F167" s="50">
        <v>3</v>
      </c>
      <c r="G167" s="50" t="str">
        <f t="array" ref="G167">IFERROR(INDEX(Table2[1st Year],MATCH(1,(Table1[[#This Row],[Employer]]=Table2[EIW Name])*(Table1[[#This Row],[City, State]]=Table2[Offices Matched]),0)),"")</f>
        <v/>
      </c>
      <c r="H167" s="50">
        <f>_xlfn.IFNA(INDEX(saCAGR[CAGR],MATCH(Table1[[#This Row],[Employer]],saCAGR[EIW Name],0)),"")</f>
        <v>1.0064964507741889</v>
      </c>
      <c r="I167" s="50">
        <f>IFERROR(Table1[[#This Row],[SA CAGR]]*Table1[[#This Row],[Number of Summer 2016 2L SAs]],"")</f>
        <v>3.0194893523225668</v>
      </c>
      <c r="J167" s="50">
        <v>9</v>
      </c>
      <c r="K167" s="51">
        <f>IFERROR(Table1[[#This Row],[Number of Summer 2016 NYU 2L SAs]]/Table1[[#This Row],[Interview Slots]],0)</f>
        <v>9.5744680851063829E-2</v>
      </c>
      <c r="L167" s="51">
        <f>Table1[[#This Row],[Number of Summer 2016 2L SAs]]/Table1[[#This Row],[Interview Slots]]</f>
        <v>3.1914893617021274E-2</v>
      </c>
      <c r="M167" s="51">
        <f>IFERROR(Table1[[#This Row],[Number of Summer 2016 NYU 2L SAs]]/Table1[[#This Row],[Number of Summer 2016 2L SAs]],0)</f>
        <v>3</v>
      </c>
      <c r="N167" s="50" t="str">
        <f>IFERROR(RIGHT(Table1[[#This Row],[1st year]],LEN(Table1[[#This Row],[1st year]])-FIND(":",Table1[[#This Row],[1st year]])-1),"")</f>
        <v/>
      </c>
      <c r="O167" s="50" t="str">
        <f t="array" ref="O167">IFERROR(INDEX(Table2[Nth year],MATCH(1,(Table1[[#This Row],[Employer]]=Table2[EIW Name])*(Table1[[#This Row],[City, State]]=Table2[Offices Matched]),0)),"")</f>
        <v/>
      </c>
      <c r="P167" s="50" t="str">
        <f>IFERROR(RIGHT(Table1[[#This Row],[Nth year]],LEN(Table1[[#This Row],[Nth year]])-FIND(":",Table1[[#This Row],[Nth year]])-1),"")</f>
        <v/>
      </c>
      <c r="Q167" s="50" t="str">
        <f t="array" ref="Q167">IFERROR(INDEX(Table2[Am Law 200 PPP Rank ’16],MATCH(1,(Table1[[#This Row],[Employer]]=Table2[EIW Name])*(Table1[[#This Row],[City, State]]=Table2[Offices Matched]),0)),"")</f>
        <v/>
      </c>
      <c r="R167" s="50" t="str">
        <f>IFERROR(LEFT(Table1[[#This Row],[Am Law 200 PPP Rank ’16]],FIND(":",Table1[[#This Row],[Am Law 200 PPP Rank ’16]])-1),"")</f>
        <v/>
      </c>
      <c r="S167" s="50">
        <f>IFERROR(INDEX(VaultRank[Rank],MATCH(Table1[[#This Row],[Employer]],VaultRank[EIW Name],0)),"")</f>
        <v>72</v>
      </c>
      <c r="T167" s="50" t="str">
        <f t="array" ref="T167">IFERROR(INDEX(Table2[Summers Matched],MATCH(1,(Table1[[#This Row],[Employer]]=Table2[EIW Name])*(Table1[[#This Row],[City, State]]=Table2[Offices Matched]),0)),"")</f>
        <v/>
      </c>
      <c r="U167" s="52" t="str">
        <f t="shared" si="2"/>
        <v/>
      </c>
      <c r="V167" s="60"/>
      <c r="W167" s="114">
        <v>42595</v>
      </c>
      <c r="X167"/>
    </row>
    <row r="168" spans="1:24" ht="14.1" customHeight="1">
      <c r="A168" s="45" t="s">
        <v>315</v>
      </c>
      <c r="B168" s="45" t="s">
        <v>316</v>
      </c>
      <c r="C168" s="45" t="s">
        <v>300</v>
      </c>
      <c r="D168" s="45" t="str">
        <f>Table1[[#This Row],[City]]&amp;", "&amp;Table1[[#This Row],[State]]</f>
        <v>San Francisco, CA</v>
      </c>
      <c r="E168" s="49">
        <v>27</v>
      </c>
      <c r="F168" s="50">
        <v>1</v>
      </c>
      <c r="G168" s="50" t="str">
        <f t="array" ref="G168">IFERROR(INDEX(Table2[1st Year],MATCH(1,(Table1[[#This Row],[Employer]]=Table2[EIW Name])*(Table1[[#This Row],[City, State]]=Table2[Offices Matched]),0)),"")</f>
        <v/>
      </c>
      <c r="H168" s="50">
        <f>_xlfn.IFNA(INDEX(saCAGR[CAGR],MATCH(Table1[[#This Row],[Employer]],saCAGR[EIW Name],0)),"")</f>
        <v>1.0064964507741889</v>
      </c>
      <c r="I168" s="50">
        <f>IFERROR(Table1[[#This Row],[SA CAGR]]*Table1[[#This Row],[Number of Summer 2016 2L SAs]],"")</f>
        <v>1.0064964507741889</v>
      </c>
      <c r="J168" s="50">
        <v>22</v>
      </c>
      <c r="K168" s="51">
        <f>IFERROR(Table1[[#This Row],[Number of Summer 2016 NYU 2L SAs]]/Table1[[#This Row],[Interview Slots]],0)</f>
        <v>0.81481481481481477</v>
      </c>
      <c r="L168" s="51">
        <f>Table1[[#This Row],[Number of Summer 2016 2L SAs]]/Table1[[#This Row],[Interview Slots]]</f>
        <v>3.7037037037037035E-2</v>
      </c>
      <c r="M168" s="51">
        <f>IFERROR(Table1[[#This Row],[Number of Summer 2016 NYU 2L SAs]]/Table1[[#This Row],[Number of Summer 2016 2L SAs]],0)</f>
        <v>22</v>
      </c>
      <c r="N168" s="50" t="str">
        <f>IFERROR(RIGHT(Table1[[#This Row],[1st year]],LEN(Table1[[#This Row],[1st year]])-FIND(":",Table1[[#This Row],[1st year]])-1),"")</f>
        <v/>
      </c>
      <c r="O168" s="50" t="str">
        <f t="array" ref="O168">IFERROR(INDEX(Table2[Nth year],MATCH(1,(Table1[[#This Row],[Employer]]=Table2[EIW Name])*(Table1[[#This Row],[City, State]]=Table2[Offices Matched]),0)),"")</f>
        <v/>
      </c>
      <c r="P168" s="50" t="str">
        <f>IFERROR(RIGHT(Table1[[#This Row],[Nth year]],LEN(Table1[[#This Row],[Nth year]])-FIND(":",Table1[[#This Row],[Nth year]])-1),"")</f>
        <v/>
      </c>
      <c r="Q168" s="50" t="str">
        <f t="array" ref="Q168">IFERROR(INDEX(Table2[Am Law 200 PPP Rank ’16],MATCH(1,(Table1[[#This Row],[Employer]]=Table2[EIW Name])*(Table1[[#This Row],[City, State]]=Table2[Offices Matched]),0)),"")</f>
        <v/>
      </c>
      <c r="R168" s="50" t="str">
        <f>IFERROR(LEFT(Table1[[#This Row],[Am Law 200 PPP Rank ’16]],FIND(":",Table1[[#This Row],[Am Law 200 PPP Rank ’16]])-1),"")</f>
        <v/>
      </c>
      <c r="S168" s="50">
        <f>IFERROR(INDEX(VaultRank[Rank],MATCH(Table1[[#This Row],[Employer]],VaultRank[EIW Name],0)),"")</f>
        <v>72</v>
      </c>
      <c r="T168" s="50" t="str">
        <f t="array" ref="T168">IFERROR(INDEX(Table2[Summers Matched],MATCH(1,(Table1[[#This Row],[Employer]]=Table2[EIW Name])*(Table1[[#This Row],[City, State]]=Table2[Offices Matched]),0)),"")</f>
        <v/>
      </c>
      <c r="U168" s="52" t="str">
        <f t="shared" si="2"/>
        <v/>
      </c>
      <c r="V168" s="60"/>
      <c r="W168" s="114">
        <v>42594</v>
      </c>
      <c r="X168"/>
    </row>
    <row r="169" spans="1:24" ht="14.1" customHeight="1">
      <c r="A169" s="45" t="s">
        <v>315</v>
      </c>
      <c r="B169" s="45" t="s">
        <v>307</v>
      </c>
      <c r="C169" s="45" t="s">
        <v>300</v>
      </c>
      <c r="D169" s="45" t="str">
        <f>Table1[[#This Row],[City]]&amp;", "&amp;Table1[[#This Row],[State]]</f>
        <v>Silicon Valley, CA</v>
      </c>
      <c r="E169" s="49">
        <v>168</v>
      </c>
      <c r="F169" s="50">
        <v>0</v>
      </c>
      <c r="G169" s="50" t="str">
        <f t="array" ref="G169">IFERROR(INDEX(Table2[1st Year],MATCH(1,(Table1[[#This Row],[Employer]]=Table2[EIW Name])*(Table1[[#This Row],[City, State]]=Table2[Offices Matched]),0)),"")</f>
        <v/>
      </c>
      <c r="H169" s="50">
        <f>_xlfn.IFNA(INDEX(saCAGR[CAGR],MATCH(Table1[[#This Row],[Employer]],saCAGR[EIW Name],0)),"")</f>
        <v>1.0064964507741889</v>
      </c>
      <c r="I169" s="50">
        <f>IFERROR(Table1[[#This Row],[SA CAGR]]*Table1[[#This Row],[Number of Summer 2016 2L SAs]],"")</f>
        <v>0</v>
      </c>
      <c r="J169" s="50">
        <v>16</v>
      </c>
      <c r="K169" s="51">
        <f>IFERROR(Table1[[#This Row],[Number of Summer 2016 NYU 2L SAs]]/Table1[[#This Row],[Interview Slots]],0)</f>
        <v>9.5238095238095233E-2</v>
      </c>
      <c r="L169" s="51">
        <f>Table1[[#This Row],[Number of Summer 2016 2L SAs]]/Table1[[#This Row],[Interview Slots]]</f>
        <v>0</v>
      </c>
      <c r="M169" s="51">
        <f>IFERROR(Table1[[#This Row],[Number of Summer 2016 NYU 2L SAs]]/Table1[[#This Row],[Number of Summer 2016 2L SAs]],0)</f>
        <v>0</v>
      </c>
      <c r="N169" s="50" t="str">
        <f>IFERROR(RIGHT(Table1[[#This Row],[1st year]],LEN(Table1[[#This Row],[1st year]])-FIND(":",Table1[[#This Row],[1st year]])-1),"")</f>
        <v/>
      </c>
      <c r="O169" s="50" t="str">
        <f t="array" ref="O169">IFERROR(INDEX(Table2[Nth year],MATCH(1,(Table1[[#This Row],[Employer]]=Table2[EIW Name])*(Table1[[#This Row],[City, State]]=Table2[Offices Matched]),0)),"")</f>
        <v/>
      </c>
      <c r="P169" s="50" t="str">
        <f>IFERROR(RIGHT(Table1[[#This Row],[Nth year]],LEN(Table1[[#This Row],[Nth year]])-FIND(":",Table1[[#This Row],[Nth year]])-1),"")</f>
        <v/>
      </c>
      <c r="Q169" s="50" t="str">
        <f t="array" ref="Q169">IFERROR(INDEX(Table2[Am Law 200 PPP Rank ’16],MATCH(1,(Table1[[#This Row],[Employer]]=Table2[EIW Name])*(Table1[[#This Row],[City, State]]=Table2[Offices Matched]),0)),"")</f>
        <v/>
      </c>
      <c r="R169" s="50" t="str">
        <f>IFERROR(LEFT(Table1[[#This Row],[Am Law 200 PPP Rank ’16]],FIND(":",Table1[[#This Row],[Am Law 200 PPP Rank ’16]])-1),"")</f>
        <v/>
      </c>
      <c r="S169" s="50">
        <f>IFERROR(INDEX(VaultRank[Rank],MATCH(Table1[[#This Row],[Employer]],VaultRank[EIW Name],0)),"")</f>
        <v>72</v>
      </c>
      <c r="T169" s="50" t="str">
        <f t="array" ref="T169">IFERROR(INDEX(Table2[Summers Matched],MATCH(1,(Table1[[#This Row],[Employer]]=Table2[EIW Name])*(Table1[[#This Row],[City, State]]=Table2[Offices Matched]),0)),"")</f>
        <v/>
      </c>
      <c r="U169" s="52" t="str">
        <f t="shared" si="2"/>
        <v/>
      </c>
      <c r="V169" s="60"/>
      <c r="W169" s="114">
        <v>42594</v>
      </c>
      <c r="X169"/>
    </row>
    <row r="170" spans="1:24" ht="14.1" customHeight="1">
      <c r="A170" s="45" t="s">
        <v>315</v>
      </c>
      <c r="B170" s="45" t="s">
        <v>301</v>
      </c>
      <c r="C170" s="45" t="s">
        <v>302</v>
      </c>
      <c r="D170" s="45" t="str">
        <f>Table1[[#This Row],[City]]&amp;", "&amp;Table1[[#This Row],[State]]</f>
        <v>Washington, DC</v>
      </c>
      <c r="E170" s="49">
        <v>181</v>
      </c>
      <c r="F170" s="50">
        <v>6</v>
      </c>
      <c r="G170" s="50" t="str">
        <f t="array" ref="G170">IFERROR(INDEX(Table2[1st Year],MATCH(1,(Table1[[#This Row],[Employer]]=Table2[EIW Name])*(Table1[[#This Row],[City, State]]=Table2[Offices Matched]),0)),"")</f>
        <v/>
      </c>
      <c r="H170" s="50">
        <f>_xlfn.IFNA(INDEX(saCAGR[CAGR],MATCH(Table1[[#This Row],[Employer]],saCAGR[EIW Name],0)),"")</f>
        <v>1.0064964507741889</v>
      </c>
      <c r="I170" s="50">
        <f>IFERROR(Table1[[#This Row],[SA CAGR]]*Table1[[#This Row],[Number of Summer 2016 2L SAs]],"")</f>
        <v>6.0389787046451335</v>
      </c>
      <c r="J170" s="50">
        <v>10</v>
      </c>
      <c r="K170" s="51">
        <f>IFERROR(Table1[[#This Row],[Number of Summer 2016 NYU 2L SAs]]/Table1[[#This Row],[Interview Slots]],0)</f>
        <v>5.5248618784530384E-2</v>
      </c>
      <c r="L170" s="51">
        <f>Table1[[#This Row],[Number of Summer 2016 2L SAs]]/Table1[[#This Row],[Interview Slots]]</f>
        <v>3.3149171270718231E-2</v>
      </c>
      <c r="M170" s="51">
        <f>IFERROR(Table1[[#This Row],[Number of Summer 2016 NYU 2L SAs]]/Table1[[#This Row],[Number of Summer 2016 2L SAs]],0)</f>
        <v>1.6666666666666667</v>
      </c>
      <c r="N170" s="50" t="str">
        <f>IFERROR(RIGHT(Table1[[#This Row],[1st year]],LEN(Table1[[#This Row],[1st year]])-FIND(":",Table1[[#This Row],[1st year]])-1),"")</f>
        <v/>
      </c>
      <c r="O170" s="50" t="str">
        <f t="array" ref="O170">IFERROR(INDEX(Table2[Nth year],MATCH(1,(Table1[[#This Row],[Employer]]=Table2[EIW Name])*(Table1[[#This Row],[City, State]]=Table2[Offices Matched]),0)),"")</f>
        <v/>
      </c>
      <c r="P170" s="50" t="str">
        <f>IFERROR(RIGHT(Table1[[#This Row],[Nth year]],LEN(Table1[[#This Row],[Nth year]])-FIND(":",Table1[[#This Row],[Nth year]])-1),"")</f>
        <v/>
      </c>
      <c r="Q170" s="50" t="str">
        <f t="array" ref="Q170">IFERROR(INDEX(Table2[Am Law 200 PPP Rank ’16],MATCH(1,(Table1[[#This Row],[Employer]]=Table2[EIW Name])*(Table1[[#This Row],[City, State]]=Table2[Offices Matched]),0)),"")</f>
        <v/>
      </c>
      <c r="R170" s="50" t="str">
        <f>IFERROR(LEFT(Table1[[#This Row],[Am Law 200 PPP Rank ’16]],FIND(":",Table1[[#This Row],[Am Law 200 PPP Rank ’16]])-1),"")</f>
        <v/>
      </c>
      <c r="S170" s="50">
        <f>IFERROR(INDEX(VaultRank[Rank],MATCH(Table1[[#This Row],[Employer]],VaultRank[EIW Name],0)),"")</f>
        <v>72</v>
      </c>
      <c r="T170" s="50" t="str">
        <f t="array" ref="T170">IFERROR(INDEX(Table2[Summers Matched],MATCH(1,(Table1[[#This Row],[Employer]]=Table2[EIW Name])*(Table1[[#This Row],[City, State]]=Table2[Offices Matched]),0)),"")</f>
        <v/>
      </c>
      <c r="U170" s="52" t="str">
        <f t="shared" si="2"/>
        <v/>
      </c>
      <c r="V170" s="60"/>
      <c r="W170" s="114">
        <v>42595</v>
      </c>
      <c r="X170"/>
    </row>
    <row r="171" spans="1:24" ht="14.1" customHeight="1">
      <c r="A171" s="45" t="s">
        <v>315</v>
      </c>
      <c r="B171" s="45" t="s">
        <v>408</v>
      </c>
      <c r="C171" s="45" t="s">
        <v>324</v>
      </c>
      <c r="D171" s="45" t="str">
        <f>Table1[[#This Row],[City]]&amp;", "&amp;Table1[[#This Row],[State]]</f>
        <v>Jacksonville, FL</v>
      </c>
      <c r="E171" s="49">
        <v>186</v>
      </c>
      <c r="F171" s="50">
        <v>3</v>
      </c>
      <c r="G171" s="50" t="str">
        <f t="array" ref="G171">IFERROR(INDEX(Table2[1st Year],MATCH(1,(Table1[[#This Row],[Employer]]=Table2[EIW Name])*(Table1[[#This Row],[City, State]]=Table2[Offices Matched]),0)),"")</f>
        <v/>
      </c>
      <c r="H171" s="50">
        <f>_xlfn.IFNA(INDEX(saCAGR[CAGR],MATCH(Table1[[#This Row],[Employer]],saCAGR[EIW Name],0)),"")</f>
        <v>1.0064964507741889</v>
      </c>
      <c r="I171" s="50">
        <f>IFERROR(Table1[[#This Row],[SA CAGR]]*Table1[[#This Row],[Number of Summer 2016 2L SAs]],"")</f>
        <v>3.0194893523225668</v>
      </c>
      <c r="J171" s="50">
        <v>13</v>
      </c>
      <c r="K171" s="51">
        <f>IFERROR(Table1[[#This Row],[Number of Summer 2016 NYU 2L SAs]]/Table1[[#This Row],[Interview Slots]],0)</f>
        <v>6.9892473118279563E-2</v>
      </c>
      <c r="L171" s="51">
        <f>Table1[[#This Row],[Number of Summer 2016 2L SAs]]/Table1[[#This Row],[Interview Slots]]</f>
        <v>1.6129032258064516E-2</v>
      </c>
      <c r="M171" s="51">
        <f>IFERROR(Table1[[#This Row],[Number of Summer 2016 NYU 2L SAs]]/Table1[[#This Row],[Number of Summer 2016 2L SAs]],0)</f>
        <v>4.333333333333333</v>
      </c>
      <c r="N171" s="50" t="str">
        <f>IFERROR(RIGHT(Table1[[#This Row],[1st year]],LEN(Table1[[#This Row],[1st year]])-FIND(":",Table1[[#This Row],[1st year]])-1),"")</f>
        <v/>
      </c>
      <c r="O171" s="50" t="str">
        <f t="array" ref="O171">IFERROR(INDEX(Table2[Nth year],MATCH(1,(Table1[[#This Row],[Employer]]=Table2[EIW Name])*(Table1[[#This Row],[City, State]]=Table2[Offices Matched]),0)),"")</f>
        <v/>
      </c>
      <c r="P171" s="50" t="str">
        <f>IFERROR(RIGHT(Table1[[#This Row],[Nth year]],LEN(Table1[[#This Row],[Nth year]])-FIND(":",Table1[[#This Row],[Nth year]])-1),"")</f>
        <v/>
      </c>
      <c r="Q171" s="50" t="str">
        <f t="array" ref="Q171">IFERROR(INDEX(Table2[Am Law 200 PPP Rank ’16],MATCH(1,(Table1[[#This Row],[Employer]]=Table2[EIW Name])*(Table1[[#This Row],[City, State]]=Table2[Offices Matched]),0)),"")</f>
        <v/>
      </c>
      <c r="R171" s="50" t="str">
        <f>IFERROR(LEFT(Table1[[#This Row],[Am Law 200 PPP Rank ’16]],FIND(":",Table1[[#This Row],[Am Law 200 PPP Rank ’16]])-1),"")</f>
        <v/>
      </c>
      <c r="S171" s="50">
        <f>IFERROR(INDEX(VaultRank[Rank],MATCH(Table1[[#This Row],[Employer]],VaultRank[EIW Name],0)),"")</f>
        <v>72</v>
      </c>
      <c r="T171" s="50" t="str">
        <f t="array" ref="T171">IFERROR(INDEX(Table2[Summers Matched],MATCH(1,(Table1[[#This Row],[Employer]]=Table2[EIW Name])*(Table1[[#This Row],[City, State]]=Table2[Offices Matched]),0)),"")</f>
        <v/>
      </c>
      <c r="U171" s="52" t="str">
        <f t="shared" si="2"/>
        <v/>
      </c>
      <c r="V171" s="60"/>
      <c r="W171" s="114">
        <v>42592</v>
      </c>
      <c r="X171"/>
    </row>
    <row r="172" spans="1:24" ht="14.1" customHeight="1">
      <c r="A172" s="45" t="s">
        <v>315</v>
      </c>
      <c r="B172" s="45" t="s">
        <v>337</v>
      </c>
      <c r="C172" s="45" t="s">
        <v>324</v>
      </c>
      <c r="D172" s="45" t="str">
        <f>Table1[[#This Row],[City]]&amp;", "&amp;Table1[[#This Row],[State]]</f>
        <v>Miami, FL</v>
      </c>
      <c r="E172" s="49">
        <v>151</v>
      </c>
      <c r="F172" s="50">
        <v>1</v>
      </c>
      <c r="G172" s="50" t="str">
        <f t="array" ref="G172">IFERROR(INDEX(Table2[1st Year],MATCH(1,(Table1[[#This Row],[Employer]]=Table2[EIW Name])*(Table1[[#This Row],[City, State]]=Table2[Offices Matched]),0)),"")</f>
        <v/>
      </c>
      <c r="H172" s="50">
        <f>_xlfn.IFNA(INDEX(saCAGR[CAGR],MATCH(Table1[[#This Row],[Employer]],saCAGR[EIW Name],0)),"")</f>
        <v>1.0064964507741889</v>
      </c>
      <c r="I172" s="50">
        <f>IFERROR(Table1[[#This Row],[SA CAGR]]*Table1[[#This Row],[Number of Summer 2016 2L SAs]],"")</f>
        <v>1.0064964507741889</v>
      </c>
      <c r="J172" s="50">
        <v>25</v>
      </c>
      <c r="K172" s="51">
        <f>IFERROR(Table1[[#This Row],[Number of Summer 2016 NYU 2L SAs]]/Table1[[#This Row],[Interview Slots]],0)</f>
        <v>0.16556291390728478</v>
      </c>
      <c r="L172" s="51">
        <f>Table1[[#This Row],[Number of Summer 2016 2L SAs]]/Table1[[#This Row],[Interview Slots]]</f>
        <v>6.6225165562913907E-3</v>
      </c>
      <c r="M172" s="51">
        <f>IFERROR(Table1[[#This Row],[Number of Summer 2016 NYU 2L SAs]]/Table1[[#This Row],[Number of Summer 2016 2L SAs]],0)</f>
        <v>25</v>
      </c>
      <c r="N172" s="50" t="str">
        <f>IFERROR(RIGHT(Table1[[#This Row],[1st year]],LEN(Table1[[#This Row],[1st year]])-FIND(":",Table1[[#This Row],[1st year]])-1),"")</f>
        <v/>
      </c>
      <c r="O172" s="50" t="str">
        <f t="array" ref="O172">IFERROR(INDEX(Table2[Nth year],MATCH(1,(Table1[[#This Row],[Employer]]=Table2[EIW Name])*(Table1[[#This Row],[City, State]]=Table2[Offices Matched]),0)),"")</f>
        <v/>
      </c>
      <c r="P172" s="50" t="str">
        <f>IFERROR(RIGHT(Table1[[#This Row],[Nth year]],LEN(Table1[[#This Row],[Nth year]])-FIND(":",Table1[[#This Row],[Nth year]])-1),"")</f>
        <v/>
      </c>
      <c r="Q172" s="50" t="str">
        <f t="array" ref="Q172">IFERROR(INDEX(Table2[Am Law 200 PPP Rank ’16],MATCH(1,(Table1[[#This Row],[Employer]]=Table2[EIW Name])*(Table1[[#This Row],[City, State]]=Table2[Offices Matched]),0)),"")</f>
        <v/>
      </c>
      <c r="R172" s="50" t="str">
        <f>IFERROR(LEFT(Table1[[#This Row],[Am Law 200 PPP Rank ’16]],FIND(":",Table1[[#This Row],[Am Law 200 PPP Rank ’16]])-1),"")</f>
        <v/>
      </c>
      <c r="S172" s="50">
        <f>IFERROR(INDEX(VaultRank[Rank],MATCH(Table1[[#This Row],[Employer]],VaultRank[EIW Name],0)),"")</f>
        <v>72</v>
      </c>
      <c r="T172" s="50" t="str">
        <f t="array" ref="T172">IFERROR(INDEX(Table2[Summers Matched],MATCH(1,(Table1[[#This Row],[Employer]]=Table2[EIW Name])*(Table1[[#This Row],[City, State]]=Table2[Offices Matched]),0)),"")</f>
        <v/>
      </c>
      <c r="U172" s="52" t="str">
        <f t="shared" si="2"/>
        <v/>
      </c>
      <c r="V172" s="60"/>
      <c r="W172" s="114">
        <v>42595</v>
      </c>
      <c r="X172"/>
    </row>
    <row r="173" spans="1:24" ht="14.1" customHeight="1">
      <c r="A173" s="45" t="s">
        <v>315</v>
      </c>
      <c r="B173" s="45" t="s">
        <v>323</v>
      </c>
      <c r="C173" s="45" t="s">
        <v>324</v>
      </c>
      <c r="D173" s="45" t="str">
        <f>Table1[[#This Row],[City]]&amp;", "&amp;Table1[[#This Row],[State]]</f>
        <v>Orlando, FL</v>
      </c>
      <c r="E173" s="49">
        <v>143</v>
      </c>
      <c r="F173" s="50">
        <v>3</v>
      </c>
      <c r="G173" s="50" t="str">
        <f t="array" ref="G173">IFERROR(INDEX(Table2[1st Year],MATCH(1,(Table1[[#This Row],[Employer]]=Table2[EIW Name])*(Table1[[#This Row],[City, State]]=Table2[Offices Matched]),0)),"")</f>
        <v/>
      </c>
      <c r="H173" s="50">
        <f>_xlfn.IFNA(INDEX(saCAGR[CAGR],MATCH(Table1[[#This Row],[Employer]],saCAGR[EIW Name],0)),"")</f>
        <v>1.0064964507741889</v>
      </c>
      <c r="I173" s="50">
        <f>IFERROR(Table1[[#This Row],[SA CAGR]]*Table1[[#This Row],[Number of Summer 2016 2L SAs]],"")</f>
        <v>3.0194893523225668</v>
      </c>
      <c r="J173" s="50">
        <v>17</v>
      </c>
      <c r="K173" s="51">
        <f>IFERROR(Table1[[#This Row],[Number of Summer 2016 NYU 2L SAs]]/Table1[[#This Row],[Interview Slots]],0)</f>
        <v>0.11888111888111888</v>
      </c>
      <c r="L173" s="51">
        <f>Table1[[#This Row],[Number of Summer 2016 2L SAs]]/Table1[[#This Row],[Interview Slots]]</f>
        <v>2.097902097902098E-2</v>
      </c>
      <c r="M173" s="51">
        <f>IFERROR(Table1[[#This Row],[Number of Summer 2016 NYU 2L SAs]]/Table1[[#This Row],[Number of Summer 2016 2L SAs]],0)</f>
        <v>5.666666666666667</v>
      </c>
      <c r="N173" s="50" t="str">
        <f>IFERROR(RIGHT(Table1[[#This Row],[1st year]],LEN(Table1[[#This Row],[1st year]])-FIND(":",Table1[[#This Row],[1st year]])-1),"")</f>
        <v/>
      </c>
      <c r="O173" s="50" t="str">
        <f t="array" ref="O173">IFERROR(INDEX(Table2[Nth year],MATCH(1,(Table1[[#This Row],[Employer]]=Table2[EIW Name])*(Table1[[#This Row],[City, State]]=Table2[Offices Matched]),0)),"")</f>
        <v/>
      </c>
      <c r="P173" s="50" t="str">
        <f>IFERROR(RIGHT(Table1[[#This Row],[Nth year]],LEN(Table1[[#This Row],[Nth year]])-FIND(":",Table1[[#This Row],[Nth year]])-1),"")</f>
        <v/>
      </c>
      <c r="Q173" s="50" t="str">
        <f t="array" ref="Q173">IFERROR(INDEX(Table2[Am Law 200 PPP Rank ’16],MATCH(1,(Table1[[#This Row],[Employer]]=Table2[EIW Name])*(Table1[[#This Row],[City, State]]=Table2[Offices Matched]),0)),"")</f>
        <v/>
      </c>
      <c r="R173" s="50" t="str">
        <f>IFERROR(LEFT(Table1[[#This Row],[Am Law 200 PPP Rank ’16]],FIND(":",Table1[[#This Row],[Am Law 200 PPP Rank ’16]])-1),"")</f>
        <v/>
      </c>
      <c r="S173" s="50">
        <f>IFERROR(INDEX(VaultRank[Rank],MATCH(Table1[[#This Row],[Employer]],VaultRank[EIW Name],0)),"")</f>
        <v>72</v>
      </c>
      <c r="T173" s="50" t="str">
        <f t="array" ref="T173">IFERROR(INDEX(Table2[Summers Matched],MATCH(1,(Table1[[#This Row],[Employer]]=Table2[EIW Name])*(Table1[[#This Row],[City, State]]=Table2[Offices Matched]),0)),"")</f>
        <v/>
      </c>
      <c r="U173" s="52" t="str">
        <f t="shared" si="2"/>
        <v/>
      </c>
      <c r="V173" s="60"/>
      <c r="W173" s="114">
        <v>42595</v>
      </c>
      <c r="X173"/>
    </row>
    <row r="174" spans="1:24" ht="14.1" customHeight="1">
      <c r="A174" s="45" t="s">
        <v>315</v>
      </c>
      <c r="B174" s="45" t="s">
        <v>409</v>
      </c>
      <c r="C174" s="45" t="s">
        <v>324</v>
      </c>
      <c r="D174" s="45" t="str">
        <f>Table1[[#This Row],[City]]&amp;", "&amp;Table1[[#This Row],[State]]</f>
        <v>Tallahassee, FL</v>
      </c>
      <c r="E174" s="49">
        <v>93</v>
      </c>
      <c r="F174" s="50">
        <v>1</v>
      </c>
      <c r="G174" s="50" t="str">
        <f t="array" ref="G174">IFERROR(INDEX(Table2[1st Year],MATCH(1,(Table1[[#This Row],[Employer]]=Table2[EIW Name])*(Table1[[#This Row],[City, State]]=Table2[Offices Matched]),0)),"")</f>
        <v/>
      </c>
      <c r="H174" s="50">
        <f>_xlfn.IFNA(INDEX(saCAGR[CAGR],MATCH(Table1[[#This Row],[Employer]],saCAGR[EIW Name],0)),"")</f>
        <v>1.0064964507741889</v>
      </c>
      <c r="I174" s="50">
        <f>IFERROR(Table1[[#This Row],[SA CAGR]]*Table1[[#This Row],[Number of Summer 2016 2L SAs]],"")</f>
        <v>1.0064964507741889</v>
      </c>
      <c r="J174" s="50">
        <v>6</v>
      </c>
      <c r="K174" s="51">
        <f>IFERROR(Table1[[#This Row],[Number of Summer 2016 NYU 2L SAs]]/Table1[[#This Row],[Interview Slots]],0)</f>
        <v>6.4516129032258063E-2</v>
      </c>
      <c r="L174" s="51">
        <f>Table1[[#This Row],[Number of Summer 2016 2L SAs]]/Table1[[#This Row],[Interview Slots]]</f>
        <v>1.0752688172043012E-2</v>
      </c>
      <c r="M174" s="51">
        <f>IFERROR(Table1[[#This Row],[Number of Summer 2016 NYU 2L SAs]]/Table1[[#This Row],[Number of Summer 2016 2L SAs]],0)</f>
        <v>6</v>
      </c>
      <c r="N174" s="50" t="str">
        <f>IFERROR(RIGHT(Table1[[#This Row],[1st year]],LEN(Table1[[#This Row],[1st year]])-FIND(":",Table1[[#This Row],[1st year]])-1),"")</f>
        <v/>
      </c>
      <c r="O174" s="50" t="str">
        <f t="array" ref="O174">IFERROR(INDEX(Table2[Nth year],MATCH(1,(Table1[[#This Row],[Employer]]=Table2[EIW Name])*(Table1[[#This Row],[City, State]]=Table2[Offices Matched]),0)),"")</f>
        <v/>
      </c>
      <c r="P174" s="50" t="str">
        <f>IFERROR(RIGHT(Table1[[#This Row],[Nth year]],LEN(Table1[[#This Row],[Nth year]])-FIND(":",Table1[[#This Row],[Nth year]])-1),"")</f>
        <v/>
      </c>
      <c r="Q174" s="50" t="str">
        <f t="array" ref="Q174">IFERROR(INDEX(Table2[Am Law 200 PPP Rank ’16],MATCH(1,(Table1[[#This Row],[Employer]]=Table2[EIW Name])*(Table1[[#This Row],[City, State]]=Table2[Offices Matched]),0)),"")</f>
        <v/>
      </c>
      <c r="R174" s="50" t="str">
        <f>IFERROR(LEFT(Table1[[#This Row],[Am Law 200 PPP Rank ’16]],FIND(":",Table1[[#This Row],[Am Law 200 PPP Rank ’16]])-1),"")</f>
        <v/>
      </c>
      <c r="S174" s="50">
        <f>IFERROR(INDEX(VaultRank[Rank],MATCH(Table1[[#This Row],[Employer]],VaultRank[EIW Name],0)),"")</f>
        <v>72</v>
      </c>
      <c r="T174" s="50" t="str">
        <f t="array" ref="T174">IFERROR(INDEX(Table2[Summers Matched],MATCH(1,(Table1[[#This Row],[Employer]]=Table2[EIW Name])*(Table1[[#This Row],[City, State]]=Table2[Offices Matched]),0)),"")</f>
        <v/>
      </c>
      <c r="U174" s="52" t="str">
        <f t="shared" si="2"/>
        <v/>
      </c>
      <c r="V174" s="60"/>
      <c r="W174" s="114">
        <v>42593</v>
      </c>
      <c r="X174"/>
    </row>
    <row r="175" spans="1:24" ht="14.1" customHeight="1">
      <c r="A175" s="45" t="s">
        <v>315</v>
      </c>
      <c r="B175" s="45" t="s">
        <v>410</v>
      </c>
      <c r="C175" s="45" t="s">
        <v>324</v>
      </c>
      <c r="D175" s="45" t="str">
        <f>Table1[[#This Row],[City]]&amp;", "&amp;Table1[[#This Row],[State]]</f>
        <v>Tampa, FL</v>
      </c>
      <c r="E175" s="49">
        <v>50</v>
      </c>
      <c r="F175" s="50">
        <v>3</v>
      </c>
      <c r="G175" s="50" t="str">
        <f t="array" ref="G175">IFERROR(INDEX(Table2[1st Year],MATCH(1,(Table1[[#This Row],[Employer]]=Table2[EIW Name])*(Table1[[#This Row],[City, State]]=Table2[Offices Matched]),0)),"")</f>
        <v/>
      </c>
      <c r="H175" s="50">
        <f>_xlfn.IFNA(INDEX(saCAGR[CAGR],MATCH(Table1[[#This Row],[Employer]],saCAGR[EIW Name],0)),"")</f>
        <v>1.0064964507741889</v>
      </c>
      <c r="I175" s="50">
        <f>IFERROR(Table1[[#This Row],[SA CAGR]]*Table1[[#This Row],[Number of Summer 2016 2L SAs]],"")</f>
        <v>3.0194893523225668</v>
      </c>
      <c r="J175" s="50">
        <v>12</v>
      </c>
      <c r="K175" s="51">
        <f>IFERROR(Table1[[#This Row],[Number of Summer 2016 NYU 2L SAs]]/Table1[[#This Row],[Interview Slots]],0)</f>
        <v>0.24</v>
      </c>
      <c r="L175" s="51">
        <f>Table1[[#This Row],[Number of Summer 2016 2L SAs]]/Table1[[#This Row],[Interview Slots]]</f>
        <v>0.06</v>
      </c>
      <c r="M175" s="51">
        <f>IFERROR(Table1[[#This Row],[Number of Summer 2016 NYU 2L SAs]]/Table1[[#This Row],[Number of Summer 2016 2L SAs]],0)</f>
        <v>4</v>
      </c>
      <c r="N175" s="50" t="str">
        <f>IFERROR(RIGHT(Table1[[#This Row],[1st year]],LEN(Table1[[#This Row],[1st year]])-FIND(":",Table1[[#This Row],[1st year]])-1),"")</f>
        <v/>
      </c>
      <c r="O175" s="50" t="str">
        <f t="array" ref="O175">IFERROR(INDEX(Table2[Nth year],MATCH(1,(Table1[[#This Row],[Employer]]=Table2[EIW Name])*(Table1[[#This Row],[City, State]]=Table2[Offices Matched]),0)),"")</f>
        <v/>
      </c>
      <c r="P175" s="50" t="str">
        <f>IFERROR(RIGHT(Table1[[#This Row],[Nth year]],LEN(Table1[[#This Row],[Nth year]])-FIND(":",Table1[[#This Row],[Nth year]])-1),"")</f>
        <v/>
      </c>
      <c r="Q175" s="50" t="str">
        <f t="array" ref="Q175">IFERROR(INDEX(Table2[Am Law 200 PPP Rank ’16],MATCH(1,(Table1[[#This Row],[Employer]]=Table2[EIW Name])*(Table1[[#This Row],[City, State]]=Table2[Offices Matched]),0)),"")</f>
        <v/>
      </c>
      <c r="R175" s="50" t="str">
        <f>IFERROR(LEFT(Table1[[#This Row],[Am Law 200 PPP Rank ’16]],FIND(":",Table1[[#This Row],[Am Law 200 PPP Rank ’16]])-1),"")</f>
        <v/>
      </c>
      <c r="S175" s="50">
        <f>IFERROR(INDEX(VaultRank[Rank],MATCH(Table1[[#This Row],[Employer]],VaultRank[EIW Name],0)),"")</f>
        <v>72</v>
      </c>
      <c r="T175" s="50" t="str">
        <f t="array" ref="T175">IFERROR(INDEX(Table2[Summers Matched],MATCH(1,(Table1[[#This Row],[Employer]]=Table2[EIW Name])*(Table1[[#This Row],[City, State]]=Table2[Offices Matched]),0)),"")</f>
        <v/>
      </c>
      <c r="U175" s="52" t="str">
        <f t="shared" si="2"/>
        <v/>
      </c>
      <c r="V175" s="60"/>
      <c r="W175" s="114">
        <v>42594</v>
      </c>
      <c r="X175"/>
    </row>
    <row r="176" spans="1:24" ht="14.1" customHeight="1">
      <c r="A176" s="45" t="s">
        <v>315</v>
      </c>
      <c r="B176" s="45" t="s">
        <v>367</v>
      </c>
      <c r="C176" s="45" t="s">
        <v>368</v>
      </c>
      <c r="D176" s="45" t="str">
        <f>Table1[[#This Row],[City]]&amp;", "&amp;Table1[[#This Row],[State]]</f>
        <v>Boston, MA</v>
      </c>
      <c r="E176" s="49">
        <v>168</v>
      </c>
      <c r="F176" s="50">
        <v>4</v>
      </c>
      <c r="G176" s="50" t="str">
        <f t="array" ref="G176">IFERROR(INDEX(Table2[1st Year],MATCH(1,(Table1[[#This Row],[Employer]]=Table2[EIW Name])*(Table1[[#This Row],[City, State]]=Table2[Offices Matched]),0)),"")</f>
        <v/>
      </c>
      <c r="H176" s="50">
        <f>_xlfn.IFNA(INDEX(saCAGR[CAGR],MATCH(Table1[[#This Row],[Employer]],saCAGR[EIW Name],0)),"")</f>
        <v>1.0064964507741889</v>
      </c>
      <c r="I176" s="50">
        <f>IFERROR(Table1[[#This Row],[SA CAGR]]*Table1[[#This Row],[Number of Summer 2016 2L SAs]],"")</f>
        <v>4.0259858030967557</v>
      </c>
      <c r="J176" s="50">
        <v>11</v>
      </c>
      <c r="K176" s="51">
        <f>IFERROR(Table1[[#This Row],[Number of Summer 2016 NYU 2L SAs]]/Table1[[#This Row],[Interview Slots]],0)</f>
        <v>6.5476190476190479E-2</v>
      </c>
      <c r="L176" s="51">
        <f>Table1[[#This Row],[Number of Summer 2016 2L SAs]]/Table1[[#This Row],[Interview Slots]]</f>
        <v>2.3809523809523808E-2</v>
      </c>
      <c r="M176" s="51">
        <f>IFERROR(Table1[[#This Row],[Number of Summer 2016 NYU 2L SAs]]/Table1[[#This Row],[Number of Summer 2016 2L SAs]],0)</f>
        <v>2.75</v>
      </c>
      <c r="N176" s="50" t="str">
        <f>IFERROR(RIGHT(Table1[[#This Row],[1st year]],LEN(Table1[[#This Row],[1st year]])-FIND(":",Table1[[#This Row],[1st year]])-1),"")</f>
        <v/>
      </c>
      <c r="O176" s="50" t="str">
        <f t="array" ref="O176">IFERROR(INDEX(Table2[Nth year],MATCH(1,(Table1[[#This Row],[Employer]]=Table2[EIW Name])*(Table1[[#This Row],[City, State]]=Table2[Offices Matched]),0)),"")</f>
        <v/>
      </c>
      <c r="P176" s="50" t="str">
        <f>IFERROR(RIGHT(Table1[[#This Row],[Nth year]],LEN(Table1[[#This Row],[Nth year]])-FIND(":",Table1[[#This Row],[Nth year]])-1),"")</f>
        <v/>
      </c>
      <c r="Q176" s="50" t="str">
        <f t="array" ref="Q176">IFERROR(INDEX(Table2[Am Law 200 PPP Rank ’16],MATCH(1,(Table1[[#This Row],[Employer]]=Table2[EIW Name])*(Table1[[#This Row],[City, State]]=Table2[Offices Matched]),0)),"")</f>
        <v/>
      </c>
      <c r="R176" s="50" t="str">
        <f>IFERROR(LEFT(Table1[[#This Row],[Am Law 200 PPP Rank ’16]],FIND(":",Table1[[#This Row],[Am Law 200 PPP Rank ’16]])-1),"")</f>
        <v/>
      </c>
      <c r="S176" s="50">
        <f>IFERROR(INDEX(VaultRank[Rank],MATCH(Table1[[#This Row],[Employer]],VaultRank[EIW Name],0)),"")</f>
        <v>72</v>
      </c>
      <c r="T176" s="50" t="str">
        <f t="array" ref="T176">IFERROR(INDEX(Table2[Summers Matched],MATCH(1,(Table1[[#This Row],[Employer]]=Table2[EIW Name])*(Table1[[#This Row],[City, State]]=Table2[Offices Matched]),0)),"")</f>
        <v/>
      </c>
      <c r="U176" s="52">
        <f t="shared" si="2"/>
        <v>3.4</v>
      </c>
      <c r="V176" s="60"/>
      <c r="W176" s="114">
        <v>42592</v>
      </c>
      <c r="X176"/>
    </row>
    <row r="177" spans="1:24" ht="14.1" customHeight="1">
      <c r="A177" s="45" t="s">
        <v>315</v>
      </c>
      <c r="B177" s="45" t="s">
        <v>411</v>
      </c>
      <c r="C177" s="45" t="s">
        <v>412</v>
      </c>
      <c r="D177" s="45" t="str">
        <f>Table1[[#This Row],[City]]&amp;", "&amp;Table1[[#This Row],[State]]</f>
        <v>Detroit, MI</v>
      </c>
      <c r="E177" s="49">
        <v>168</v>
      </c>
      <c r="F177" s="50">
        <v>3</v>
      </c>
      <c r="G177" s="50" t="str">
        <f t="array" ref="G177">IFERROR(INDEX(Table2[1st Year],MATCH(1,(Table1[[#This Row],[Employer]]=Table2[EIW Name])*(Table1[[#This Row],[City, State]]=Table2[Offices Matched]),0)),"")</f>
        <v/>
      </c>
      <c r="H177" s="50">
        <f>_xlfn.IFNA(INDEX(saCAGR[CAGR],MATCH(Table1[[#This Row],[Employer]],saCAGR[EIW Name],0)),"")</f>
        <v>1.0064964507741889</v>
      </c>
      <c r="I177" s="50">
        <f>IFERROR(Table1[[#This Row],[SA CAGR]]*Table1[[#This Row],[Number of Summer 2016 2L SAs]],"")</f>
        <v>3.0194893523225668</v>
      </c>
      <c r="J177" s="50">
        <v>9</v>
      </c>
      <c r="K177" s="51">
        <f>IFERROR(Table1[[#This Row],[Number of Summer 2016 NYU 2L SAs]]/Table1[[#This Row],[Interview Slots]],0)</f>
        <v>5.3571428571428568E-2</v>
      </c>
      <c r="L177" s="51">
        <f>Table1[[#This Row],[Number of Summer 2016 2L SAs]]/Table1[[#This Row],[Interview Slots]]</f>
        <v>1.7857142857142856E-2</v>
      </c>
      <c r="M177" s="51">
        <f>IFERROR(Table1[[#This Row],[Number of Summer 2016 NYU 2L SAs]]/Table1[[#This Row],[Number of Summer 2016 2L SAs]],0)</f>
        <v>3</v>
      </c>
      <c r="N177" s="50" t="str">
        <f>IFERROR(RIGHT(Table1[[#This Row],[1st year]],LEN(Table1[[#This Row],[1st year]])-FIND(":",Table1[[#This Row],[1st year]])-1),"")</f>
        <v/>
      </c>
      <c r="O177" s="50" t="str">
        <f t="array" ref="O177">IFERROR(INDEX(Table2[Nth year],MATCH(1,(Table1[[#This Row],[Employer]]=Table2[EIW Name])*(Table1[[#This Row],[City, State]]=Table2[Offices Matched]),0)),"")</f>
        <v/>
      </c>
      <c r="P177" s="50" t="str">
        <f>IFERROR(RIGHT(Table1[[#This Row],[Nth year]],LEN(Table1[[#This Row],[Nth year]])-FIND(":",Table1[[#This Row],[Nth year]])-1),"")</f>
        <v/>
      </c>
      <c r="Q177" s="50" t="str">
        <f t="array" ref="Q177">IFERROR(INDEX(Table2[Am Law 200 PPP Rank ’16],MATCH(1,(Table1[[#This Row],[Employer]]=Table2[EIW Name])*(Table1[[#This Row],[City, State]]=Table2[Offices Matched]),0)),"")</f>
        <v/>
      </c>
      <c r="R177" s="50" t="str">
        <f>IFERROR(LEFT(Table1[[#This Row],[Am Law 200 PPP Rank ’16]],FIND(":",Table1[[#This Row],[Am Law 200 PPP Rank ’16]])-1),"")</f>
        <v/>
      </c>
      <c r="S177" s="50">
        <f>IFERROR(INDEX(VaultRank[Rank],MATCH(Table1[[#This Row],[Employer]],VaultRank[EIW Name],0)),"")</f>
        <v>72</v>
      </c>
      <c r="T177" s="50" t="str">
        <f t="array" ref="T177">IFERROR(INDEX(Table2[Summers Matched],MATCH(1,(Table1[[#This Row],[Employer]]=Table2[EIW Name])*(Table1[[#This Row],[City, State]]=Table2[Offices Matched]),0)),"")</f>
        <v/>
      </c>
      <c r="U177" s="52" t="str">
        <f t="shared" si="2"/>
        <v/>
      </c>
      <c r="V177" s="60"/>
      <c r="W177" s="114">
        <v>42592</v>
      </c>
      <c r="X177"/>
    </row>
    <row r="178" spans="1:24" ht="14.1" customHeight="1">
      <c r="A178" s="45" t="s">
        <v>315</v>
      </c>
      <c r="B178" s="45" t="s">
        <v>413</v>
      </c>
      <c r="C178" s="45" t="s">
        <v>414</v>
      </c>
      <c r="D178" s="45" t="str">
        <f>Table1[[#This Row],[City]]&amp;", "&amp;Table1[[#This Row],[State]]</f>
        <v>Madison, WI</v>
      </c>
      <c r="E178" s="49">
        <v>74</v>
      </c>
      <c r="F178" s="50">
        <v>1</v>
      </c>
      <c r="G178" s="50" t="str">
        <f t="array" ref="G178">IFERROR(INDEX(Table2[1st Year],MATCH(1,(Table1[[#This Row],[Employer]]=Table2[EIW Name])*(Table1[[#This Row],[City, State]]=Table2[Offices Matched]),0)),"")</f>
        <v/>
      </c>
      <c r="H178" s="50">
        <f>_xlfn.IFNA(INDEX(saCAGR[CAGR],MATCH(Table1[[#This Row],[Employer]],saCAGR[EIW Name],0)),"")</f>
        <v>1.0064964507741889</v>
      </c>
      <c r="I178" s="50">
        <f>IFERROR(Table1[[#This Row],[SA CAGR]]*Table1[[#This Row],[Number of Summer 2016 2L SAs]],"")</f>
        <v>1.0064964507741889</v>
      </c>
      <c r="J178" s="50">
        <v>15</v>
      </c>
      <c r="K178" s="51">
        <f>IFERROR(Table1[[#This Row],[Number of Summer 2016 NYU 2L SAs]]/Table1[[#This Row],[Interview Slots]],0)</f>
        <v>0.20270270270270271</v>
      </c>
      <c r="L178" s="51">
        <f>Table1[[#This Row],[Number of Summer 2016 2L SAs]]/Table1[[#This Row],[Interview Slots]]</f>
        <v>1.3513513513513514E-2</v>
      </c>
      <c r="M178" s="51">
        <f>IFERROR(Table1[[#This Row],[Number of Summer 2016 NYU 2L SAs]]/Table1[[#This Row],[Number of Summer 2016 2L SAs]],0)</f>
        <v>15</v>
      </c>
      <c r="N178" s="50" t="str">
        <f>IFERROR(RIGHT(Table1[[#This Row],[1st year]],LEN(Table1[[#This Row],[1st year]])-FIND(":",Table1[[#This Row],[1st year]])-1),"")</f>
        <v/>
      </c>
      <c r="O178" s="50" t="str">
        <f t="array" ref="O178">IFERROR(INDEX(Table2[Nth year],MATCH(1,(Table1[[#This Row],[Employer]]=Table2[EIW Name])*(Table1[[#This Row],[City, State]]=Table2[Offices Matched]),0)),"")</f>
        <v/>
      </c>
      <c r="P178" s="50" t="str">
        <f>IFERROR(RIGHT(Table1[[#This Row],[Nth year]],LEN(Table1[[#This Row],[Nth year]])-FIND(":",Table1[[#This Row],[Nth year]])-1),"")</f>
        <v/>
      </c>
      <c r="Q178" s="50" t="str">
        <f t="array" ref="Q178">IFERROR(INDEX(Table2[Am Law 200 PPP Rank ’16],MATCH(1,(Table1[[#This Row],[Employer]]=Table2[EIW Name])*(Table1[[#This Row],[City, State]]=Table2[Offices Matched]),0)),"")</f>
        <v/>
      </c>
      <c r="R178" s="50" t="str">
        <f>IFERROR(LEFT(Table1[[#This Row],[Am Law 200 PPP Rank ’16]],FIND(":",Table1[[#This Row],[Am Law 200 PPP Rank ’16]])-1),"")</f>
        <v/>
      </c>
      <c r="S178" s="50">
        <f>IFERROR(INDEX(VaultRank[Rank],MATCH(Table1[[#This Row],[Employer]],VaultRank[EIW Name],0)),"")</f>
        <v>72</v>
      </c>
      <c r="T178" s="50" t="str">
        <f t="array" ref="T178">IFERROR(INDEX(Table2[Summers Matched],MATCH(1,(Table1[[#This Row],[Employer]]=Table2[EIW Name])*(Table1[[#This Row],[City, State]]=Table2[Offices Matched]),0)),"")</f>
        <v/>
      </c>
      <c r="U178" s="52" t="str">
        <f t="shared" si="2"/>
        <v/>
      </c>
      <c r="V178" s="60"/>
      <c r="W178" s="114">
        <v>42593</v>
      </c>
      <c r="X178"/>
    </row>
    <row r="179" spans="1:24" ht="14.1" customHeight="1">
      <c r="A179" s="45" t="s">
        <v>315</v>
      </c>
      <c r="B179" s="45" t="s">
        <v>415</v>
      </c>
      <c r="C179" s="45" t="s">
        <v>414</v>
      </c>
      <c r="D179" s="45" t="str">
        <f>Table1[[#This Row],[City]]&amp;", "&amp;Table1[[#This Row],[State]]</f>
        <v>Milwaukee, WI</v>
      </c>
      <c r="E179" s="49">
        <v>186</v>
      </c>
      <c r="F179" s="50">
        <v>13</v>
      </c>
      <c r="G179" s="50" t="str">
        <f t="array" ref="G179">IFERROR(INDEX(Table2[1st Year],MATCH(1,(Table1[[#This Row],[Employer]]=Table2[EIW Name])*(Table1[[#This Row],[City, State]]=Table2[Offices Matched]),0)),"")</f>
        <v/>
      </c>
      <c r="H179" s="50">
        <f>_xlfn.IFNA(INDEX(saCAGR[CAGR],MATCH(Table1[[#This Row],[Employer]],saCAGR[EIW Name],0)),"")</f>
        <v>1.0064964507741889</v>
      </c>
      <c r="I179" s="50">
        <f>IFERROR(Table1[[#This Row],[SA CAGR]]*Table1[[#This Row],[Number of Summer 2016 2L SAs]],"")</f>
        <v>13.084453860064457</v>
      </c>
      <c r="J179" s="50">
        <v>6</v>
      </c>
      <c r="K179" s="51">
        <f>IFERROR(Table1[[#This Row],[Number of Summer 2016 NYU 2L SAs]]/Table1[[#This Row],[Interview Slots]],0)</f>
        <v>3.2258064516129031E-2</v>
      </c>
      <c r="L179" s="51">
        <f>Table1[[#This Row],[Number of Summer 2016 2L SAs]]/Table1[[#This Row],[Interview Slots]]</f>
        <v>6.9892473118279563E-2</v>
      </c>
      <c r="M179" s="51">
        <f>IFERROR(Table1[[#This Row],[Number of Summer 2016 NYU 2L SAs]]/Table1[[#This Row],[Number of Summer 2016 2L SAs]],0)</f>
        <v>0.46153846153846156</v>
      </c>
      <c r="N179" s="50" t="str">
        <f>IFERROR(RIGHT(Table1[[#This Row],[1st year]],LEN(Table1[[#This Row],[1st year]])-FIND(":",Table1[[#This Row],[1st year]])-1),"")</f>
        <v/>
      </c>
      <c r="O179" s="50" t="str">
        <f t="array" ref="O179">IFERROR(INDEX(Table2[Nth year],MATCH(1,(Table1[[#This Row],[Employer]]=Table2[EIW Name])*(Table1[[#This Row],[City, State]]=Table2[Offices Matched]),0)),"")</f>
        <v/>
      </c>
      <c r="P179" s="50" t="str">
        <f>IFERROR(RIGHT(Table1[[#This Row],[Nth year]],LEN(Table1[[#This Row],[Nth year]])-FIND(":",Table1[[#This Row],[Nth year]])-1),"")</f>
        <v/>
      </c>
      <c r="Q179" s="50" t="str">
        <f t="array" ref="Q179">IFERROR(INDEX(Table2[Am Law 200 PPP Rank ’16],MATCH(1,(Table1[[#This Row],[Employer]]=Table2[EIW Name])*(Table1[[#This Row],[City, State]]=Table2[Offices Matched]),0)),"")</f>
        <v/>
      </c>
      <c r="R179" s="50" t="str">
        <f>IFERROR(LEFT(Table1[[#This Row],[Am Law 200 PPP Rank ’16]],FIND(":",Table1[[#This Row],[Am Law 200 PPP Rank ’16]])-1),"")</f>
        <v/>
      </c>
      <c r="S179" s="50">
        <f>IFERROR(INDEX(VaultRank[Rank],MATCH(Table1[[#This Row],[Employer]],VaultRank[EIW Name],0)),"")</f>
        <v>72</v>
      </c>
      <c r="T179" s="50" t="str">
        <f t="array" ref="T179">IFERROR(INDEX(Table2[Summers Matched],MATCH(1,(Table1[[#This Row],[Employer]]=Table2[EIW Name])*(Table1[[#This Row],[City, State]]=Table2[Offices Matched]),0)),"")</f>
        <v/>
      </c>
      <c r="U179" s="52" t="str">
        <f t="shared" si="2"/>
        <v/>
      </c>
      <c r="V179" s="60"/>
      <c r="W179" s="114">
        <v>42594</v>
      </c>
      <c r="X179"/>
    </row>
    <row r="180" spans="1:24" ht="14.1" customHeight="1">
      <c r="A180" s="45" t="s">
        <v>67</v>
      </c>
      <c r="B180" s="45" t="s">
        <v>364</v>
      </c>
      <c r="C180" s="45" t="s">
        <v>362</v>
      </c>
      <c r="D180" s="45" t="str">
        <f>Table1[[#This Row],[City]]&amp;", "&amp;Table1[[#This Row],[State]]</f>
        <v>New York, NY</v>
      </c>
      <c r="E180" s="49">
        <v>136</v>
      </c>
      <c r="F180" s="50">
        <v>9</v>
      </c>
      <c r="G180" s="50" t="str">
        <f t="array" ref="G180">IFERROR(INDEX(Table2[1st Year],MATCH(1,(Table1[[#This Row],[Employer]]=Table2[EIW Name])*(Table1[[#This Row],[City, State]]=Table2[Offices Matched]),0)),"")</f>
        <v>1st Year: $180K</v>
      </c>
      <c r="H180" s="51">
        <f>_xlfn.IFNA(INDEX(saCAGR[CAGR],MATCH(Table1[[#This Row],[Employer]],saCAGR[EIW Name],0)),"")</f>
        <v>1.0297375095774446</v>
      </c>
      <c r="I180" s="50">
        <f>IFERROR(Table1[[#This Row],[SA CAGR]]*Table1[[#This Row],[Number of Summer 2016 2L SAs]],"")</f>
        <v>9.2676375861970008</v>
      </c>
      <c r="J180" s="50">
        <v>11</v>
      </c>
      <c r="K180" s="51">
        <f>IFERROR(Table1[[#This Row],[Number of Summer 2016 NYU 2L SAs]]/Table1[[#This Row],[Interview Slots]],0)</f>
        <v>8.0882352941176475E-2</v>
      </c>
      <c r="L180" s="51">
        <f>Table1[[#This Row],[Number of Summer 2016 2L SAs]]/Table1[[#This Row],[Interview Slots]]</f>
        <v>6.6176470588235295E-2</v>
      </c>
      <c r="M180" s="51">
        <f>IFERROR(Table1[[#This Row],[Number of Summer 2016 NYU 2L SAs]]/Table1[[#This Row],[Number of Summer 2016 2L SAs]],0)</f>
        <v>1.2222222222222223</v>
      </c>
      <c r="N180" s="50" t="str">
        <f>IFERROR(RIGHT(Table1[[#This Row],[1st year]],LEN(Table1[[#This Row],[1st year]])-FIND(":",Table1[[#This Row],[1st year]])-1),"")</f>
        <v>$180K</v>
      </c>
      <c r="O180" s="50" t="str">
        <f t="array" ref="O180">IFERROR(INDEX(Table2[Nth year],MATCH(1,(Table1[[#This Row],[Employer]]=Table2[EIW Name])*(Table1[[#This Row],[City, State]]=Table2[Offices Matched]),0)),"")</f>
        <v>9th Year: $325K</v>
      </c>
      <c r="P180" s="50" t="str">
        <f>IFERROR(RIGHT(Table1[[#This Row],[Nth year]],LEN(Table1[[#This Row],[Nth year]])-FIND(":",Table1[[#This Row],[Nth year]])-1),"")</f>
        <v>$325K</v>
      </c>
      <c r="Q180" s="50" t="str">
        <f t="array" ref="Q180">IFERROR(INDEX(Table2[Am Law 200 PPP Rank ’16],MATCH(1,(Table1[[#This Row],[Employer]]=Table2[EIW Name])*(Table1[[#This Row],[City, State]]=Table2[Offices Matched]),0)),"")</f>
        <v>36: $1.89M</v>
      </c>
      <c r="R180" s="50" t="str">
        <f>IFERROR(LEFT(Table1[[#This Row],[Am Law 200 PPP Rank ’16]],FIND(":",Table1[[#This Row],[Am Law 200 PPP Rank ’16]])-1),"")</f>
        <v>36</v>
      </c>
      <c r="S180" s="50">
        <f>IFERROR(INDEX(VaultRank[Rank],MATCH(Table1[[#This Row],[Employer]],VaultRank[EIW Name],0)),"")</f>
        <v>35</v>
      </c>
      <c r="T180" s="50" t="str">
        <f t="array" ref="T180">IFERROR(INDEX(Table2[Summers Matched],MATCH(1,(Table1[[#This Row],[Employer]]=Table2[EIW Name])*(Table1[[#This Row],[City, State]]=Table2[Offices Matched]),0)),"")</f>
        <v>Yes</v>
      </c>
      <c r="U180" s="52" t="str">
        <f t="shared" si="2"/>
        <v/>
      </c>
      <c r="V180" s="60"/>
      <c r="W180" s="114">
        <v>42592</v>
      </c>
      <c r="X180"/>
    </row>
    <row r="181" spans="1:24" ht="14.1" customHeight="1">
      <c r="A181" s="45" t="s">
        <v>126</v>
      </c>
      <c r="B181" s="45" t="s">
        <v>364</v>
      </c>
      <c r="C181" s="45" t="s">
        <v>362</v>
      </c>
      <c r="D181" s="45" t="str">
        <f>Table1[[#This Row],[City]]&amp;", "&amp;Table1[[#This Row],[State]]</f>
        <v>New York, NY</v>
      </c>
      <c r="E181" s="49">
        <v>33</v>
      </c>
      <c r="F181" s="50">
        <v>67</v>
      </c>
      <c r="G181" s="50" t="str">
        <f t="array" ref="G181">IFERROR(INDEX(Table2[1st Year],MATCH(1,(Table1[[#This Row],[Employer]]=Table2[EIW Name])*(Table1[[#This Row],[City, State]]=Table2[Offices Matched]),0)),"")</f>
        <v>1st Year: $180K</v>
      </c>
      <c r="H181" s="51">
        <f>_xlfn.IFNA(INDEX(saCAGR[CAGR],MATCH(Table1[[#This Row],[Employer]],saCAGR[EIW Name],0)),"")</f>
        <v>1.0305910575076485</v>
      </c>
      <c r="I181" s="50">
        <f>IFERROR(Table1[[#This Row],[SA CAGR]]*Table1[[#This Row],[Number of Summer 2016 2L SAs]],"")</f>
        <v>69.04960085301245</v>
      </c>
      <c r="J181" s="50">
        <v>21</v>
      </c>
      <c r="K181" s="51">
        <f>IFERROR(Table1[[#This Row],[Number of Summer 2016 NYU 2L SAs]]/Table1[[#This Row],[Interview Slots]],0)</f>
        <v>0.63636363636363635</v>
      </c>
      <c r="L181" s="51">
        <f>Table1[[#This Row],[Number of Summer 2016 2L SAs]]/Table1[[#This Row],[Interview Slots]]</f>
        <v>2.0303030303030303</v>
      </c>
      <c r="M181" s="51">
        <f>IFERROR(Table1[[#This Row],[Number of Summer 2016 NYU 2L SAs]]/Table1[[#This Row],[Number of Summer 2016 2L SAs]],0)</f>
        <v>0.31343283582089554</v>
      </c>
      <c r="N181" s="50" t="str">
        <f>IFERROR(RIGHT(Table1[[#This Row],[1st year]],LEN(Table1[[#This Row],[1st year]])-FIND(":",Table1[[#This Row],[1st year]])-1),"")</f>
        <v>$180K</v>
      </c>
      <c r="O181" s="50" t="str">
        <f t="array" ref="O181">IFERROR(INDEX(Table2[Nth year],MATCH(1,(Table1[[#This Row],[Employer]]=Table2[EIW Name])*(Table1[[#This Row],[City, State]]=Table2[Offices Matched]),0)),"")</f>
        <v>9th Year+: $325K</v>
      </c>
      <c r="P181" s="50" t="str">
        <f>IFERROR(RIGHT(Table1[[#This Row],[Nth year]],LEN(Table1[[#This Row],[Nth year]])-FIND(":",Table1[[#This Row],[Nth year]])-1),"")</f>
        <v>$325K</v>
      </c>
      <c r="Q181" s="50" t="str">
        <f t="array" ref="Q181">IFERROR(INDEX(Table2[Am Law 200 PPP Rank ’16],MATCH(1,(Table1[[#This Row],[Employer]]=Table2[EIW Name])*(Table1[[#This Row],[City, State]]=Table2[Offices Matched]),0)),"")</f>
        <v>41: $1.84M</v>
      </c>
      <c r="R181" s="50" t="str">
        <f>IFERROR(LEFT(Table1[[#This Row],[Am Law 200 PPP Rank ’16]],FIND(":",Table1[[#This Row],[Am Law 200 PPP Rank ’16]])-1),"")</f>
        <v>41</v>
      </c>
      <c r="S181" s="50">
        <f>IFERROR(INDEX(VaultRank[Rank],MATCH(Table1[[#This Row],[Employer]],VaultRank[EIW Name],0)),"")</f>
        <v>36</v>
      </c>
      <c r="T181" s="50" t="str">
        <f t="array" ref="T181">IFERROR(INDEX(Table2[Summers Matched],MATCH(1,(Table1[[#This Row],[Employer]]=Table2[EIW Name])*(Table1[[#This Row],[City, State]]=Table2[Offices Matched]),0)),"")</f>
        <v>Yes</v>
      </c>
      <c r="U181" s="52" t="str">
        <f t="shared" si="2"/>
        <v/>
      </c>
      <c r="V181" s="60"/>
      <c r="W181" s="114">
        <v>42595</v>
      </c>
      <c r="X181"/>
    </row>
    <row r="182" spans="1:24" ht="14.1" customHeight="1">
      <c r="A182" s="45" t="s">
        <v>416</v>
      </c>
      <c r="B182" s="45" t="s">
        <v>301</v>
      </c>
      <c r="C182" s="45" t="s">
        <v>302</v>
      </c>
      <c r="D182" s="45" t="str">
        <f>Table1[[#This Row],[City]]&amp;", "&amp;Table1[[#This Row],[State]]</f>
        <v>Washington, DC</v>
      </c>
      <c r="E182" s="49">
        <v>194</v>
      </c>
      <c r="F182" s="50">
        <v>4</v>
      </c>
      <c r="G182" s="50" t="str">
        <f t="array" ref="G182">IFERROR(INDEX(Table2[1st Year],MATCH(1,(Table1[[#This Row],[Employer]]=Table2[EIW Name])*(Table1[[#This Row],[City, State]]=Table2[Offices Matched]),0)),"")</f>
        <v/>
      </c>
      <c r="H182" s="50" t="str">
        <f>_xlfn.IFNA(INDEX(saCAGR[CAGR],MATCH(Table1[[#This Row],[Employer]],saCAGR[EIW Name],0)),"")</f>
        <v/>
      </c>
      <c r="I182" s="50" t="str">
        <f>IFERROR(Table1[[#This Row],[SA CAGR]]*Table1[[#This Row],[Number of Summer 2016 2L SAs]],"")</f>
        <v/>
      </c>
      <c r="J182" s="50">
        <v>3</v>
      </c>
      <c r="K182" s="51">
        <f>IFERROR(Table1[[#This Row],[Number of Summer 2016 NYU 2L SAs]]/Table1[[#This Row],[Interview Slots]],0)</f>
        <v>1.5463917525773196E-2</v>
      </c>
      <c r="L182" s="51">
        <f>Table1[[#This Row],[Number of Summer 2016 2L SAs]]/Table1[[#This Row],[Interview Slots]]</f>
        <v>2.0618556701030927E-2</v>
      </c>
      <c r="M182" s="51">
        <f>IFERROR(Table1[[#This Row],[Number of Summer 2016 NYU 2L SAs]]/Table1[[#This Row],[Number of Summer 2016 2L SAs]],0)</f>
        <v>0.75</v>
      </c>
      <c r="N182" s="50" t="str">
        <f>IFERROR(RIGHT(Table1[[#This Row],[1st year]],LEN(Table1[[#This Row],[1st year]])-FIND(":",Table1[[#This Row],[1st year]])-1),"")</f>
        <v/>
      </c>
      <c r="O182" s="50" t="str">
        <f t="array" ref="O182">IFERROR(INDEX(Table2[Nth year],MATCH(1,(Table1[[#This Row],[Employer]]=Table2[EIW Name])*(Table1[[#This Row],[City, State]]=Table2[Offices Matched]),0)),"")</f>
        <v/>
      </c>
      <c r="P182" s="50" t="str">
        <f>IFERROR(RIGHT(Table1[[#This Row],[Nth year]],LEN(Table1[[#This Row],[Nth year]])-FIND(":",Table1[[#This Row],[Nth year]])-1),"")</f>
        <v/>
      </c>
      <c r="Q182" s="50" t="str">
        <f t="array" ref="Q182">IFERROR(INDEX(Table2[Am Law 200 PPP Rank ’16],MATCH(1,(Table1[[#This Row],[Employer]]=Table2[EIW Name])*(Table1[[#This Row],[City, State]]=Table2[Offices Matched]),0)),"")</f>
        <v/>
      </c>
      <c r="R182" s="50" t="str">
        <f>IFERROR(LEFT(Table1[[#This Row],[Am Law 200 PPP Rank ’16]],FIND(":",Table1[[#This Row],[Am Law 200 PPP Rank ’16]])-1),"")</f>
        <v/>
      </c>
      <c r="S182" s="50" t="str">
        <f>IFERROR(INDEX(VaultRank[Rank],MATCH(Table1[[#This Row],[Employer]],VaultRank[EIW Name],0)),"")</f>
        <v/>
      </c>
      <c r="T182" s="50" t="str">
        <f t="array" ref="T182">IFERROR(INDEX(Table2[Summers Matched],MATCH(1,(Table1[[#This Row],[Employer]]=Table2[EIW Name])*(Table1[[#This Row],[City, State]]=Table2[Offices Matched]),0)),"")</f>
        <v/>
      </c>
      <c r="U182" s="52" t="str">
        <f t="shared" si="2"/>
        <v/>
      </c>
      <c r="V182" s="60"/>
      <c r="W182" s="114">
        <v>42593</v>
      </c>
      <c r="X182"/>
    </row>
    <row r="183" spans="1:24" ht="14.1" customHeight="1">
      <c r="A183" s="45" t="s">
        <v>416</v>
      </c>
      <c r="B183" s="45" t="s">
        <v>367</v>
      </c>
      <c r="C183" s="45" t="s">
        <v>368</v>
      </c>
      <c r="D183" s="45" t="str">
        <f>Table1[[#This Row],[City]]&amp;", "&amp;Table1[[#This Row],[State]]</f>
        <v>Boston, MA</v>
      </c>
      <c r="E183" s="49">
        <v>143</v>
      </c>
      <c r="F183" s="50">
        <v>11</v>
      </c>
      <c r="G183" s="50" t="str">
        <f t="array" ref="G183">IFERROR(INDEX(Table2[1st Year],MATCH(1,(Table1[[#This Row],[Employer]]=Table2[EIW Name])*(Table1[[#This Row],[City, State]]=Table2[Offices Matched]),0)),"")</f>
        <v/>
      </c>
      <c r="H183" s="50" t="str">
        <f>_xlfn.IFNA(INDEX(saCAGR[CAGR],MATCH(Table1[[#This Row],[Employer]],saCAGR[EIW Name],0)),"")</f>
        <v/>
      </c>
      <c r="I183" s="50" t="str">
        <f>IFERROR(Table1[[#This Row],[SA CAGR]]*Table1[[#This Row],[Number of Summer 2016 2L SAs]],"")</f>
        <v/>
      </c>
      <c r="J183" s="50">
        <v>13</v>
      </c>
      <c r="K183" s="51">
        <f>IFERROR(Table1[[#This Row],[Number of Summer 2016 NYU 2L SAs]]/Table1[[#This Row],[Interview Slots]],0)</f>
        <v>9.0909090909090912E-2</v>
      </c>
      <c r="L183" s="51">
        <f>Table1[[#This Row],[Number of Summer 2016 2L SAs]]/Table1[[#This Row],[Interview Slots]]</f>
        <v>7.6923076923076927E-2</v>
      </c>
      <c r="M183" s="51">
        <f>IFERROR(Table1[[#This Row],[Number of Summer 2016 NYU 2L SAs]]/Table1[[#This Row],[Number of Summer 2016 2L SAs]],0)</f>
        <v>1.1818181818181819</v>
      </c>
      <c r="N183" s="50" t="str">
        <f>IFERROR(RIGHT(Table1[[#This Row],[1st year]],LEN(Table1[[#This Row],[1st year]])-FIND(":",Table1[[#This Row],[1st year]])-1),"")</f>
        <v/>
      </c>
      <c r="O183" s="50" t="str">
        <f t="array" ref="O183">IFERROR(INDEX(Table2[Nth year],MATCH(1,(Table1[[#This Row],[Employer]]=Table2[EIW Name])*(Table1[[#This Row],[City, State]]=Table2[Offices Matched]),0)),"")</f>
        <v/>
      </c>
      <c r="P183" s="50" t="str">
        <f>IFERROR(RIGHT(Table1[[#This Row],[Nth year]],LEN(Table1[[#This Row],[Nth year]])-FIND(":",Table1[[#This Row],[Nth year]])-1),"")</f>
        <v/>
      </c>
      <c r="Q183" s="50" t="str">
        <f t="array" ref="Q183">IFERROR(INDEX(Table2[Am Law 200 PPP Rank ’16],MATCH(1,(Table1[[#This Row],[Employer]]=Table2[EIW Name])*(Table1[[#This Row],[City, State]]=Table2[Offices Matched]),0)),"")</f>
        <v/>
      </c>
      <c r="R183" s="50" t="str">
        <f>IFERROR(LEFT(Table1[[#This Row],[Am Law 200 PPP Rank ’16]],FIND(":",Table1[[#This Row],[Am Law 200 PPP Rank ’16]])-1),"")</f>
        <v/>
      </c>
      <c r="S183" s="50" t="str">
        <f>IFERROR(INDEX(VaultRank[Rank],MATCH(Table1[[#This Row],[Employer]],VaultRank[EIW Name],0)),"")</f>
        <v/>
      </c>
      <c r="T183" s="50" t="str">
        <f t="array" ref="T183">IFERROR(INDEX(Table2[Summers Matched],MATCH(1,(Table1[[#This Row],[Employer]]=Table2[EIW Name])*(Table1[[#This Row],[City, State]]=Table2[Offices Matched]),0)),"")</f>
        <v/>
      </c>
      <c r="U183" s="52" t="str">
        <f t="shared" si="2"/>
        <v/>
      </c>
      <c r="V183" s="60"/>
      <c r="W183" s="114">
        <v>42594</v>
      </c>
      <c r="X183"/>
    </row>
    <row r="184" spans="1:24" ht="14.1" customHeight="1">
      <c r="A184" s="45" t="s">
        <v>370</v>
      </c>
      <c r="B184" s="45" t="s">
        <v>364</v>
      </c>
      <c r="C184" s="45" t="s">
        <v>362</v>
      </c>
      <c r="D184" s="45" t="str">
        <f>Table1[[#This Row],[City]]&amp;", "&amp;Table1[[#This Row],[State]]</f>
        <v>New York, NY</v>
      </c>
      <c r="E184" s="49">
        <v>169</v>
      </c>
      <c r="F184" s="50">
        <v>29</v>
      </c>
      <c r="G184" s="50" t="str">
        <f t="array" ref="G184">IFERROR(INDEX(Table2[1st Year],MATCH(1,(Table1[[#This Row],[Employer]]=Table2[EIW Name])*(Table1[[#This Row],[City, State]]=Table2[Offices Matched]),0)),"")</f>
        <v>1st Year: $180K</v>
      </c>
      <c r="H184" s="51">
        <f>_xlfn.IFNA(INDEX(saCAGR[CAGR],MATCH(Table1[[#This Row],[Employer]],saCAGR[EIW Name],0)),"")</f>
        <v>1.0132126165547759</v>
      </c>
      <c r="I184" s="50">
        <f>IFERROR(Table1[[#This Row],[SA CAGR]]*Table1[[#This Row],[Number of Summer 2016 2L SAs]],"")</f>
        <v>29.383165880088502</v>
      </c>
      <c r="J184" s="50">
        <v>18</v>
      </c>
      <c r="K184" s="51">
        <f>IFERROR(Table1[[#This Row],[Number of Summer 2016 NYU 2L SAs]]/Table1[[#This Row],[Interview Slots]],0)</f>
        <v>0.10650887573964497</v>
      </c>
      <c r="L184" s="51">
        <f>Table1[[#This Row],[Number of Summer 2016 2L SAs]]/Table1[[#This Row],[Interview Slots]]</f>
        <v>0.17159763313609466</v>
      </c>
      <c r="M184" s="51">
        <f>IFERROR(Table1[[#This Row],[Number of Summer 2016 NYU 2L SAs]]/Table1[[#This Row],[Number of Summer 2016 2L SAs]],0)</f>
        <v>0.62068965517241381</v>
      </c>
      <c r="N184" s="50" t="str">
        <f>IFERROR(RIGHT(Table1[[#This Row],[1st year]],LEN(Table1[[#This Row],[1st year]])-FIND(":",Table1[[#This Row],[1st year]])-1),"")</f>
        <v>$180K</v>
      </c>
      <c r="O184" s="50" t="str">
        <f t="array" ref="O184">IFERROR(INDEX(Table2[Nth year],MATCH(1,(Table1[[#This Row],[Employer]]=Table2[EIW Name])*(Table1[[#This Row],[City, State]]=Table2[Offices Matched]),0)),"")</f>
        <v>9th Year: $325K</v>
      </c>
      <c r="P184" s="50" t="str">
        <f>IFERROR(RIGHT(Table1[[#This Row],[Nth year]],LEN(Table1[[#This Row],[Nth year]])-FIND(":",Table1[[#This Row],[Nth year]])-1),"")</f>
        <v>$325K</v>
      </c>
      <c r="Q184" s="50" t="str">
        <f t="array" ref="Q184">IFERROR(INDEX(Table2[Am Law 200 PPP Rank ’16],MATCH(1,(Table1[[#This Row],[Employer]]=Table2[EIW Name])*(Table1[[#This Row],[City, State]]=Table2[Offices Matched]),0)),"")</f>
        <v>29: $2.06M</v>
      </c>
      <c r="R184" s="50" t="str">
        <f>IFERROR(LEFT(Table1[[#This Row],[Am Law 200 PPP Rank ’16]],FIND(":",Table1[[#This Row],[Am Law 200 PPP Rank ’16]])-1),"")</f>
        <v>29</v>
      </c>
      <c r="S184" s="50">
        <f>IFERROR(INDEX(VaultRank[Rank],MATCH(Table1[[#This Row],[Employer]],VaultRank[EIW Name],0)),"")</f>
        <v>37</v>
      </c>
      <c r="T184" s="50" t="str">
        <f t="array" ref="T184">IFERROR(INDEX(Table2[Summers Matched],MATCH(1,(Table1[[#This Row],[Employer]]=Table2[EIW Name])*(Table1[[#This Row],[City, State]]=Table2[Offices Matched]),0)),"")</f>
        <v>Yes</v>
      </c>
      <c r="U184" s="52">
        <f t="shared" si="2"/>
        <v>3.6</v>
      </c>
      <c r="V184" s="60"/>
      <c r="W184" s="114">
        <v>42593</v>
      </c>
      <c r="X184"/>
    </row>
    <row r="185" spans="1:24" ht="14.1" customHeight="1">
      <c r="A185" s="61" t="s">
        <v>417</v>
      </c>
      <c r="B185" s="61" t="s">
        <v>306</v>
      </c>
      <c r="C185" s="42" t="s">
        <v>743</v>
      </c>
      <c r="D185" s="42" t="str">
        <f>Table1[[#This Row],[City]]&amp;", "&amp;Table1[[#This Row],[State]]</f>
        <v>London, UK-
International</v>
      </c>
      <c r="E185" s="60">
        <v>55</v>
      </c>
      <c r="F185" s="49" t="s">
        <v>418</v>
      </c>
      <c r="G185" s="64" t="str">
        <f t="array" ref="G185">IFERROR(INDEX(Table2[1st Year],MATCH(1,(Table1[[#This Row],[Employer]]=Table2[EIW Name])*(Table1[[#This Row],[City, State]]=Table2[Offices Matched]),0)),"")</f>
        <v/>
      </c>
      <c r="H185" s="64">
        <f>_xlfn.IFNA(INDEX(saCAGR[CAGR],MATCH(Table1[[#This Row],[Employer]],saCAGR[EIW Name],0)),"")</f>
        <v>1.010388824948556</v>
      </c>
      <c r="I185" s="64" t="str">
        <f>IFERROR(Table1[[#This Row],[SA CAGR]]*Table1[[#This Row],[Number of Summer 2016 2L SAs]],"")</f>
        <v/>
      </c>
      <c r="J185" s="64">
        <v>7</v>
      </c>
      <c r="K185" s="65">
        <f>IFERROR(Table1[[#This Row],[Number of Summer 2016 NYU 2L SAs]]/Table1[[#This Row],[Interview Slots]],0)</f>
        <v>0.12727272727272726</v>
      </c>
      <c r="L185" s="65" t="e">
        <f>Table1[[#This Row],[Number of Summer 2016 2L SAs]]/Table1[[#This Row],[Interview Slots]]</f>
        <v>#VALUE!</v>
      </c>
      <c r="M185" s="65">
        <f>IFERROR(Table1[[#This Row],[Number of Summer 2016 NYU 2L SAs]]/Table1[[#This Row],[Number of Summer 2016 2L SAs]],0)</f>
        <v>0</v>
      </c>
      <c r="N185" s="64" t="str">
        <f>IFERROR(RIGHT(Table1[[#This Row],[1st year]],LEN(Table1[[#This Row],[1st year]])-FIND(":",Table1[[#This Row],[1st year]])-1),"")</f>
        <v/>
      </c>
      <c r="O185" s="64" t="str">
        <f t="array" ref="O185">IFERROR(INDEX(Table2[Nth year],MATCH(1,(Table1[[#This Row],[Employer]]=Table2[EIW Name])*(Table1[[#This Row],[City, State]]=Table2[Offices Matched]),0)),"")</f>
        <v/>
      </c>
      <c r="P185" s="64" t="str">
        <f>IFERROR(RIGHT(Table1[[#This Row],[Nth year]],LEN(Table1[[#This Row],[Nth year]])-FIND(":",Table1[[#This Row],[Nth year]])-1),"")</f>
        <v/>
      </c>
      <c r="Q185" s="64" t="str">
        <f t="array" ref="Q185">IFERROR(INDEX(Table2[Am Law 200 PPP Rank ’16],MATCH(1,(Table1[[#This Row],[Employer]]=Table2[EIW Name])*(Table1[[#This Row],[City, State]]=Table2[Offices Matched]),0)),"")</f>
        <v/>
      </c>
      <c r="R185" s="64" t="str">
        <f>IFERROR(LEFT(Table1[[#This Row],[Am Law 200 PPP Rank ’16]],FIND(":",Table1[[#This Row],[Am Law 200 PPP Rank ’16]])-1),"")</f>
        <v/>
      </c>
      <c r="S185" s="64">
        <f>IFERROR(INDEX(VaultRank[Rank],MATCH(Table1[[#This Row],[Employer]],VaultRank[EIW Name],0)),"")</f>
        <v>48</v>
      </c>
      <c r="T185" s="64" t="str">
        <f t="array" ref="T185">IFERROR(INDEX(Table2[Summers Matched],MATCH(1,(Table1[[#This Row],[Employer]]=Table2[EIW Name])*(Table1[[#This Row],[City, State]]=Table2[Offices Matched]),0)),"")</f>
        <v/>
      </c>
      <c r="U185" s="66" t="str">
        <f t="shared" si="2"/>
        <v/>
      </c>
      <c r="V185" s="49" t="s">
        <v>419</v>
      </c>
      <c r="W185" s="114">
        <v>42595</v>
      </c>
      <c r="X185"/>
    </row>
    <row r="186" spans="1:24" ht="14.1" customHeight="1">
      <c r="A186" s="45" t="s">
        <v>417</v>
      </c>
      <c r="B186" s="45" t="s">
        <v>301</v>
      </c>
      <c r="C186" s="45" t="s">
        <v>302</v>
      </c>
      <c r="D186" s="45" t="str">
        <f>Table1[[#This Row],[City]]&amp;", "&amp;Table1[[#This Row],[State]]</f>
        <v>Washington, DC</v>
      </c>
      <c r="E186" s="49">
        <v>151</v>
      </c>
      <c r="F186" s="50">
        <v>2</v>
      </c>
      <c r="G186" s="50" t="str">
        <f t="array" ref="G186">IFERROR(INDEX(Table2[1st Year],MATCH(1,(Table1[[#This Row],[Employer]]=Table2[EIW Name])*(Table1[[#This Row],[City, State]]=Table2[Offices Matched]),0)),"")</f>
        <v/>
      </c>
      <c r="H186" s="50">
        <f>_xlfn.IFNA(INDEX(saCAGR[CAGR],MATCH(Table1[[#This Row],[Employer]],saCAGR[EIW Name],0)),"")</f>
        <v>1.010388824948556</v>
      </c>
      <c r="I186" s="50">
        <f>IFERROR(Table1[[#This Row],[SA CAGR]]*Table1[[#This Row],[Number of Summer 2016 2L SAs]],"")</f>
        <v>2.0207776498971119</v>
      </c>
      <c r="J186" s="50">
        <v>4</v>
      </c>
      <c r="K186" s="51">
        <f>IFERROR(Table1[[#This Row],[Number of Summer 2016 NYU 2L SAs]]/Table1[[#This Row],[Interview Slots]],0)</f>
        <v>2.6490066225165563E-2</v>
      </c>
      <c r="L186" s="51">
        <f>Table1[[#This Row],[Number of Summer 2016 2L SAs]]/Table1[[#This Row],[Interview Slots]]</f>
        <v>1.3245033112582781E-2</v>
      </c>
      <c r="M186" s="51">
        <f>IFERROR(Table1[[#This Row],[Number of Summer 2016 NYU 2L SAs]]/Table1[[#This Row],[Number of Summer 2016 2L SAs]],0)</f>
        <v>2</v>
      </c>
      <c r="N186" s="50" t="str">
        <f>IFERROR(RIGHT(Table1[[#This Row],[1st year]],LEN(Table1[[#This Row],[1st year]])-FIND(":",Table1[[#This Row],[1st year]])-1),"")</f>
        <v/>
      </c>
      <c r="O186" s="50" t="str">
        <f t="array" ref="O186">IFERROR(INDEX(Table2[Nth year],MATCH(1,(Table1[[#This Row],[Employer]]=Table2[EIW Name])*(Table1[[#This Row],[City, State]]=Table2[Offices Matched]),0)),"")</f>
        <v/>
      </c>
      <c r="P186" s="50" t="str">
        <f>IFERROR(RIGHT(Table1[[#This Row],[Nth year]],LEN(Table1[[#This Row],[Nth year]])-FIND(":",Table1[[#This Row],[Nth year]])-1),"")</f>
        <v/>
      </c>
      <c r="Q186" s="50" t="str">
        <f t="array" ref="Q186">IFERROR(INDEX(Table2[Am Law 200 PPP Rank ’16],MATCH(1,(Table1[[#This Row],[Employer]]=Table2[EIW Name])*(Table1[[#This Row],[City, State]]=Table2[Offices Matched]),0)),"")</f>
        <v/>
      </c>
      <c r="R186" s="50" t="str">
        <f>IFERROR(LEFT(Table1[[#This Row],[Am Law 200 PPP Rank ’16]],FIND(":",Table1[[#This Row],[Am Law 200 PPP Rank ’16]])-1),"")</f>
        <v/>
      </c>
      <c r="S186" s="50">
        <f>IFERROR(INDEX(VaultRank[Rank],MATCH(Table1[[#This Row],[Employer]],VaultRank[EIW Name],0)),"")</f>
        <v>48</v>
      </c>
      <c r="T186" s="50" t="str">
        <f t="array" ref="T186">IFERROR(INDEX(Table2[Summers Matched],MATCH(1,(Table1[[#This Row],[Employer]]=Table2[EIW Name])*(Table1[[#This Row],[City, State]]=Table2[Offices Matched]),0)),"")</f>
        <v/>
      </c>
      <c r="U186" s="52" t="str">
        <f t="shared" si="2"/>
        <v/>
      </c>
      <c r="V186" s="60"/>
      <c r="W186" s="114">
        <v>42592</v>
      </c>
      <c r="X186"/>
    </row>
    <row r="187" spans="1:24" ht="14.1" customHeight="1">
      <c r="A187" s="45" t="s">
        <v>417</v>
      </c>
      <c r="B187" s="45"/>
      <c r="C187" s="45"/>
      <c r="D187" s="46" t="s">
        <v>610</v>
      </c>
      <c r="E187" s="62">
        <v>53</v>
      </c>
      <c r="F187" s="50"/>
      <c r="G187" s="50" t="str">
        <f t="array" ref="G187">IFERROR(INDEX(Table2[1st Year],MATCH(1,(Table1[[#This Row],[Employer]]=Table2[EIW Name])*(Table1[[#This Row],[City, State]]=Table2[Offices Matched]),0)),"")</f>
        <v/>
      </c>
      <c r="H187" s="50">
        <f>_xlfn.IFNA(INDEX(saCAGR[CAGR],MATCH(Table1[[#This Row],[Employer]],saCAGR[EIW Name],0)),"")</f>
        <v>1.010388824948556</v>
      </c>
      <c r="I187" s="50">
        <f>IFERROR(Table1[[#This Row],[SA CAGR]]*Table1[[#This Row],[Number of Summer 2016 2L SAs]],"")</f>
        <v>0</v>
      </c>
      <c r="J187" s="50">
        <v>17</v>
      </c>
      <c r="K187" s="51">
        <f>IFERROR(Table1[[#This Row],[Number of Summer 2016 NYU 2L SAs]]/Table1[[#This Row],[Interview Slots]],0)</f>
        <v>0.32075471698113206</v>
      </c>
      <c r="L187" s="51">
        <f>Table1[[#This Row],[Number of Summer 2016 2L SAs]]/Table1[[#This Row],[Interview Slots]]</f>
        <v>0</v>
      </c>
      <c r="M187" s="51">
        <f>IFERROR(Table1[[#This Row],[Number of Summer 2016 NYU 2L SAs]]/Table1[[#This Row],[Number of Summer 2016 2L SAs]],0)</f>
        <v>0</v>
      </c>
      <c r="N187" s="50" t="str">
        <f>IFERROR(RIGHT(Table1[[#This Row],[1st year]],LEN(Table1[[#This Row],[1st year]])-FIND(":",Table1[[#This Row],[1st year]])-1),"")</f>
        <v/>
      </c>
      <c r="O187" s="50" t="str">
        <f t="array" ref="O187">IFERROR(INDEX(Table2[Nth year],MATCH(1,(Table1[[#This Row],[Employer]]=Table2[EIW Name])*(Table1[[#This Row],[City, State]]=Table2[Offices Matched]),0)),"")</f>
        <v/>
      </c>
      <c r="P187" s="50" t="str">
        <f>IFERROR(RIGHT(Table1[[#This Row],[Nth year]],LEN(Table1[[#This Row],[Nth year]])-FIND(":",Table1[[#This Row],[Nth year]])-1),"")</f>
        <v/>
      </c>
      <c r="Q187" s="50" t="str">
        <f t="array" ref="Q187">IFERROR(INDEX(Table2[Am Law 200 PPP Rank ’16],MATCH(1,(Table1[[#This Row],[Employer]]=Table2[EIW Name])*(Table1[[#This Row],[City, State]]=Table2[Offices Matched]),0)),"")</f>
        <v/>
      </c>
      <c r="R187" s="50" t="str">
        <f>IFERROR(LEFT(Table1[[#This Row],[Am Law 200 PPP Rank ’16]],FIND(":",Table1[[#This Row],[Am Law 200 PPP Rank ’16]])-1),"")</f>
        <v/>
      </c>
      <c r="S187" s="50">
        <f>IFERROR(INDEX(VaultRank[Rank],MATCH(Table1[[#This Row],[Employer]],VaultRank[EIW Name],0)),"")</f>
        <v>48</v>
      </c>
      <c r="T187" s="50" t="str">
        <f t="array" ref="T187">IFERROR(INDEX(Table2[Summers Matched],MATCH(1,(Table1[[#This Row],[Employer]]=Table2[EIW Name])*(Table1[[#This Row],[City, State]]=Table2[Offices Matched]),0)),"")</f>
        <v/>
      </c>
      <c r="U187" s="52" t="str">
        <f t="shared" si="2"/>
        <v/>
      </c>
      <c r="V187" s="60"/>
      <c r="W187" s="114">
        <v>42592</v>
      </c>
      <c r="X187"/>
    </row>
    <row r="188" spans="1:24" ht="14.1" customHeight="1">
      <c r="A188" s="45" t="s">
        <v>420</v>
      </c>
      <c r="B188" s="45" t="s">
        <v>301</v>
      </c>
      <c r="C188" s="45" t="s">
        <v>302</v>
      </c>
      <c r="D188" s="45" t="str">
        <f>Table1[[#This Row],[City]]&amp;", "&amp;Table1[[#This Row],[State]]</f>
        <v>Washington, DC</v>
      </c>
      <c r="E188" s="49">
        <v>46</v>
      </c>
      <c r="F188" s="50">
        <v>11</v>
      </c>
      <c r="G188" s="50" t="str">
        <f t="array" ref="G188">IFERROR(INDEX(Table2[1st Year],MATCH(1,(Table1[[#This Row],[Employer]]=Table2[EIW Name])*(Table1[[#This Row],[City, State]]=Table2[Offices Matched]),0)),"")</f>
        <v/>
      </c>
      <c r="H188" s="50">
        <f>_xlfn.IFNA(INDEX(saCAGR[CAGR],MATCH(Table1[[#This Row],[Employer]],saCAGR[EIW Name],0)),"")</f>
        <v>1.0147370230534885</v>
      </c>
      <c r="I188" s="50">
        <f>IFERROR(Table1[[#This Row],[SA CAGR]]*Table1[[#This Row],[Number of Summer 2016 2L SAs]],"")</f>
        <v>11.162107253588372</v>
      </c>
      <c r="J188" s="50">
        <v>5</v>
      </c>
      <c r="K188" s="51">
        <f>IFERROR(Table1[[#This Row],[Number of Summer 2016 NYU 2L SAs]]/Table1[[#This Row],[Interview Slots]],0)</f>
        <v>0.10869565217391304</v>
      </c>
      <c r="L188" s="51">
        <f>Table1[[#This Row],[Number of Summer 2016 2L SAs]]/Table1[[#This Row],[Interview Slots]]</f>
        <v>0.2391304347826087</v>
      </c>
      <c r="M188" s="51">
        <f>IFERROR(Table1[[#This Row],[Number of Summer 2016 NYU 2L SAs]]/Table1[[#This Row],[Number of Summer 2016 2L SAs]],0)</f>
        <v>0.45454545454545453</v>
      </c>
      <c r="N188" s="50" t="str">
        <f>IFERROR(RIGHT(Table1[[#This Row],[1st year]],LEN(Table1[[#This Row],[1st year]])-FIND(":",Table1[[#This Row],[1st year]])-1),"")</f>
        <v/>
      </c>
      <c r="O188" s="50" t="str">
        <f t="array" ref="O188">IFERROR(INDEX(Table2[Nth year],MATCH(1,(Table1[[#This Row],[Employer]]=Table2[EIW Name])*(Table1[[#This Row],[City, State]]=Table2[Offices Matched]),0)),"")</f>
        <v/>
      </c>
      <c r="P188" s="50" t="str">
        <f>IFERROR(RIGHT(Table1[[#This Row],[Nth year]],LEN(Table1[[#This Row],[Nth year]])-FIND(":",Table1[[#This Row],[Nth year]])-1),"")</f>
        <v/>
      </c>
      <c r="Q188" s="50" t="str">
        <f t="array" ref="Q188">IFERROR(INDEX(Table2[Am Law 200 PPP Rank ’16],MATCH(1,(Table1[[#This Row],[Employer]]=Table2[EIW Name])*(Table1[[#This Row],[City, State]]=Table2[Offices Matched]),0)),"")</f>
        <v/>
      </c>
      <c r="R188" s="50" t="str">
        <f>IFERROR(LEFT(Table1[[#This Row],[Am Law 200 PPP Rank ’16]],FIND(":",Table1[[#This Row],[Am Law 200 PPP Rank ’16]])-1),"")</f>
        <v/>
      </c>
      <c r="S188" s="50">
        <f>IFERROR(INDEX(VaultRank[Rank],MATCH(Table1[[#This Row],[Employer]],VaultRank[EIW Name],0)),"")</f>
        <v>45</v>
      </c>
      <c r="T188" s="50" t="str">
        <f t="array" ref="T188">IFERROR(INDEX(Table2[Summers Matched],MATCH(1,(Table1[[#This Row],[Employer]]=Table2[EIW Name])*(Table1[[#This Row],[City, State]]=Table2[Offices Matched]),0)),"")</f>
        <v/>
      </c>
      <c r="U188" s="52" t="str">
        <f t="shared" si="2"/>
        <v/>
      </c>
      <c r="V188" s="60"/>
      <c r="W188" s="114">
        <v>42592</v>
      </c>
      <c r="X188"/>
    </row>
    <row r="189" spans="1:24" ht="14.1" customHeight="1">
      <c r="A189" s="45" t="s">
        <v>269</v>
      </c>
      <c r="B189" s="45" t="s">
        <v>364</v>
      </c>
      <c r="C189" s="45" t="s">
        <v>362</v>
      </c>
      <c r="D189" s="45" t="str">
        <f>Table1[[#This Row],[City]]&amp;", "&amp;Table1[[#This Row],[State]]</f>
        <v>New York, NY</v>
      </c>
      <c r="E189" s="49">
        <v>141</v>
      </c>
      <c r="F189" s="50">
        <v>5</v>
      </c>
      <c r="G189" s="50" t="str">
        <f t="array" ref="G189">IFERROR(INDEX(Table2[1st Year],MATCH(1,(Table1[[#This Row],[Employer]]=Table2[EIW Name])*(Table1[[#This Row],[City, State]]=Table2[Offices Matched]),0)),"")</f>
        <v>1st Year: $180K</v>
      </c>
      <c r="H189" s="50">
        <f>_xlfn.IFNA(INDEX(saCAGR[CAGR],MATCH(Table1[[#This Row],[Employer]],saCAGR[EIW Name],0)),"")</f>
        <v>1.0258607522989689</v>
      </c>
      <c r="I189" s="50">
        <f>IFERROR(Table1[[#This Row],[SA CAGR]]*Table1[[#This Row],[Number of Summer 2016 2L SAs]],"")</f>
        <v>5.1293037614948442</v>
      </c>
      <c r="J189" s="50">
        <v>22</v>
      </c>
      <c r="K189" s="51">
        <f>IFERROR(Table1[[#This Row],[Number of Summer 2016 NYU 2L SAs]]/Table1[[#This Row],[Interview Slots]],0)</f>
        <v>0.15602836879432624</v>
      </c>
      <c r="L189" s="51">
        <f>Table1[[#This Row],[Number of Summer 2016 2L SAs]]/Table1[[#This Row],[Interview Slots]]</f>
        <v>3.5460992907801421E-2</v>
      </c>
      <c r="M189" s="51">
        <f>IFERROR(Table1[[#This Row],[Number of Summer 2016 NYU 2L SAs]]/Table1[[#This Row],[Number of Summer 2016 2L SAs]],0)</f>
        <v>4.4000000000000004</v>
      </c>
      <c r="N189" s="50" t="str">
        <f>IFERROR(RIGHT(Table1[[#This Row],[1st year]],LEN(Table1[[#This Row],[1st year]])-FIND(":",Table1[[#This Row],[1st year]])-1),"")</f>
        <v>$180K</v>
      </c>
      <c r="O189" s="50" t="str">
        <f t="array" ref="O189">IFERROR(INDEX(Table2[Nth year],MATCH(1,(Table1[[#This Row],[Employer]]=Table2[EIW Name])*(Table1[[#This Row],[City, State]]=Table2[Offices Matched]),0)),"")</f>
        <v>Others: TBD</v>
      </c>
      <c r="P189" s="50" t="str">
        <f>IFERROR(RIGHT(Table1[[#This Row],[Nth year]],LEN(Table1[[#This Row],[Nth year]])-FIND(":",Table1[[#This Row],[Nth year]])-1),"")</f>
        <v>TBD</v>
      </c>
      <c r="Q189" s="50" t="str">
        <f t="array" ref="Q189">IFERROR(INDEX(Table2[Am Law 200 PPP Rank ’16],MATCH(1,(Table1[[#This Row],[Employer]]=Table2[EIW Name])*(Table1[[#This Row],[City, State]]=Table2[Offices Matched]),0)),"")</f>
        <v>118: $870K</v>
      </c>
      <c r="R189" s="50" t="str">
        <f>IFERROR(LEFT(Table1[[#This Row],[Am Law 200 PPP Rank ’16]],FIND(":",Table1[[#This Row],[Am Law 200 PPP Rank ’16]])-1),"")</f>
        <v>118</v>
      </c>
      <c r="S189" s="50">
        <f>IFERROR(INDEX(VaultRank[Rank],MATCH(Table1[[#This Row],[Employer]],VaultRank[EIW Name],0)),"")</f>
        <v>39</v>
      </c>
      <c r="T189" s="50" t="str">
        <f t="array" ref="T189">IFERROR(INDEX(Table2[Summers Matched],MATCH(1,(Table1[[#This Row],[Employer]]=Table2[EIW Name])*(Table1[[#This Row],[City, State]]=Table2[Offices Matched]),0)),"")</f>
        <v>TBD</v>
      </c>
      <c r="U189" s="52" t="str">
        <f t="shared" si="2"/>
        <v/>
      </c>
      <c r="V189" s="60"/>
      <c r="W189" s="114">
        <v>42593</v>
      </c>
      <c r="X189"/>
    </row>
    <row r="190" spans="1:24" ht="14.1" customHeight="1">
      <c r="A190" s="45" t="s">
        <v>197</v>
      </c>
      <c r="B190" s="45" t="s">
        <v>364</v>
      </c>
      <c r="C190" s="45" t="s">
        <v>362</v>
      </c>
      <c r="D190" s="45" t="str">
        <f>Table1[[#This Row],[City]]&amp;", "&amp;Table1[[#This Row],[State]]</f>
        <v>New York, NY</v>
      </c>
      <c r="E190" s="49">
        <v>124</v>
      </c>
      <c r="F190" s="50">
        <v>7</v>
      </c>
      <c r="G190" s="50" t="str">
        <f t="array" ref="G190">IFERROR(INDEX(Table2[1st Year],MATCH(1,(Table1[[#This Row],[Employer]]=Table2[EIW Name])*(Table1[[#This Row],[City, State]]=Table2[Offices Matched]),0)),"")</f>
        <v>1st Year: $180K</v>
      </c>
      <c r="H190" s="50">
        <f>_xlfn.IFNA(INDEX(saCAGR[CAGR],MATCH(Table1[[#This Row],[Employer]],saCAGR[EIW Name],0)),"")</f>
        <v>1.0196669232008464</v>
      </c>
      <c r="I190" s="50">
        <f>IFERROR(Table1[[#This Row],[SA CAGR]]*Table1[[#This Row],[Number of Summer 2016 2L SAs]],"")</f>
        <v>7.1376684624059248</v>
      </c>
      <c r="J190" s="50">
        <v>1</v>
      </c>
      <c r="K190" s="51">
        <f>IFERROR(Table1[[#This Row],[Number of Summer 2016 NYU 2L SAs]]/Table1[[#This Row],[Interview Slots]],0)</f>
        <v>8.0645161290322578E-3</v>
      </c>
      <c r="L190" s="51">
        <f>Table1[[#This Row],[Number of Summer 2016 2L SAs]]/Table1[[#This Row],[Interview Slots]]</f>
        <v>5.6451612903225805E-2</v>
      </c>
      <c r="M190" s="51">
        <f>IFERROR(Table1[[#This Row],[Number of Summer 2016 NYU 2L SAs]]/Table1[[#This Row],[Number of Summer 2016 2L SAs]],0)</f>
        <v>0.14285714285714285</v>
      </c>
      <c r="N190" s="50" t="str">
        <f>IFERROR(RIGHT(Table1[[#This Row],[1st year]],LEN(Table1[[#This Row],[1st year]])-FIND(":",Table1[[#This Row],[1st year]])-1),"")</f>
        <v>$180K</v>
      </c>
      <c r="O190" s="50" t="str">
        <f t="array" ref="O190">IFERROR(INDEX(Table2[Nth year],MATCH(1,(Table1[[#This Row],[Employer]]=Table2[EIW Name])*(Table1[[#This Row],[City, State]]=Table2[Offices Matched]),0)),"")</f>
        <v>9th Year: $325K</v>
      </c>
      <c r="P190" s="50" t="str">
        <f>IFERROR(RIGHT(Table1[[#This Row],[Nth year]],LEN(Table1[[#This Row],[Nth year]])-FIND(":",Table1[[#This Row],[Nth year]])-1),"")</f>
        <v>$325K</v>
      </c>
      <c r="Q190" s="50" t="str">
        <f t="array" ref="Q190">IFERROR(INDEX(Table2[Am Law 200 PPP Rank ’16],MATCH(1,(Table1[[#This Row],[Employer]]=Table2[EIW Name])*(Table1[[#This Row],[City, State]]=Table2[Offices Matched]),0)),"")</f>
        <v>54: $1.57M</v>
      </c>
      <c r="R190" s="50" t="str">
        <f>IFERROR(LEFT(Table1[[#This Row],[Am Law 200 PPP Rank ’16]],FIND(":",Table1[[#This Row],[Am Law 200 PPP Rank ’16]])-1),"")</f>
        <v>54</v>
      </c>
      <c r="S190" s="50">
        <f>IFERROR(INDEX(VaultRank[Rank],MATCH(Table1[[#This Row],[Employer]],VaultRank[EIW Name],0)),"")</f>
        <v>41</v>
      </c>
      <c r="T190" s="50" t="str">
        <f t="array" ref="T190">IFERROR(INDEX(Table2[Summers Matched],MATCH(1,(Table1[[#This Row],[Employer]]=Table2[EIW Name])*(Table1[[#This Row],[City, State]]=Table2[Offices Matched]),0)),"")</f>
        <v>TBD</v>
      </c>
      <c r="U190" s="52" t="str">
        <f t="shared" si="2"/>
        <v/>
      </c>
      <c r="V190" s="60"/>
      <c r="W190" s="114">
        <v>42593</v>
      </c>
      <c r="X190"/>
    </row>
    <row r="191" spans="1:24" ht="14.1" customHeight="1">
      <c r="A191" s="45" t="s">
        <v>463</v>
      </c>
      <c r="B191" s="45" t="s">
        <v>364</v>
      </c>
      <c r="C191" s="45" t="s">
        <v>362</v>
      </c>
      <c r="D191" s="45" t="str">
        <f>Table1[[#This Row],[City]]&amp;", "&amp;Table1[[#This Row],[State]]</f>
        <v>New York, NY</v>
      </c>
      <c r="E191" s="49">
        <v>43</v>
      </c>
      <c r="F191" s="50">
        <v>53</v>
      </c>
      <c r="G191" s="50" t="str">
        <f t="array" ref="G191">IFERROR(INDEX(Table2[1st Year],MATCH(1,(Table1[[#This Row],[Employer]]=Table2[EIW Name])*(Table1[[#This Row],[City, State]]=Table2[Offices Matched]),0)),"")</f>
        <v>1st Year: $180K</v>
      </c>
      <c r="H191" s="51">
        <f>_xlfn.IFNA(INDEX(saCAGR[CAGR],MATCH(Table1[[#This Row],[Employer]],saCAGR[EIW Name],0)),"")</f>
        <v>1.0361973906775503</v>
      </c>
      <c r="I191" s="50">
        <f>IFERROR(Table1[[#This Row],[SA CAGR]]*Table1[[#This Row],[Number of Summer 2016 2L SAs]],"")</f>
        <v>54.918461705910168</v>
      </c>
      <c r="J191" s="50">
        <v>0</v>
      </c>
      <c r="K191" s="51">
        <f>IFERROR(Table1[[#This Row],[Number of Summer 2016 NYU 2L SAs]]/Table1[[#This Row],[Interview Slots]],0)</f>
        <v>0</v>
      </c>
      <c r="L191" s="51">
        <f>Table1[[#This Row],[Number of Summer 2016 2L SAs]]/Table1[[#This Row],[Interview Slots]]</f>
        <v>1.2325581395348837</v>
      </c>
      <c r="M191" s="51">
        <f>IFERROR(Table1[[#This Row],[Number of Summer 2016 NYU 2L SAs]]/Table1[[#This Row],[Number of Summer 2016 2L SAs]],0)</f>
        <v>0</v>
      </c>
      <c r="N191" s="50" t="str">
        <f>IFERROR(RIGHT(Table1[[#This Row],[1st year]],LEN(Table1[[#This Row],[1st year]])-FIND(":",Table1[[#This Row],[1st year]])-1),"")</f>
        <v>$180K</v>
      </c>
      <c r="O191" s="50" t="str">
        <f t="array" ref="O191">IFERROR(INDEX(Table2[Nth year],MATCH(1,(Table1[[#This Row],[Employer]]=Table2[EIW Name])*(Table1[[#This Row],[City, State]]=Table2[Offices Matched]),0)),"")</f>
        <v>8th Year: $315K</v>
      </c>
      <c r="P191" s="50" t="str">
        <f>IFERROR(RIGHT(Table1[[#This Row],[Nth year]],LEN(Table1[[#This Row],[Nth year]])-FIND(":",Table1[[#This Row],[Nth year]])-1),"")</f>
        <v>$315K</v>
      </c>
      <c r="Q191" s="50" t="str">
        <f t="array" ref="Q191">IFERROR(INDEX(Table2[Am Law 200 PPP Rank ’16],MATCH(1,(Table1[[#This Row],[Employer]]=Table2[EIW Name])*(Table1[[#This Row],[City, State]]=Table2[Offices Matched]),0)),"")</f>
        <v>16: $2.77M</v>
      </c>
      <c r="R191" s="50" t="str">
        <f>IFERROR(LEFT(Table1[[#This Row],[Am Law 200 PPP Rank ’16]],FIND(":",Table1[[#This Row],[Am Law 200 PPP Rank ’16]])-1),"")</f>
        <v>16</v>
      </c>
      <c r="S191" s="50" t="str">
        <f>IFERROR(INDEX(VaultRank[Rank],MATCH(Table1[[#This Row],[Employer]],VaultRank[EIW Name],0)),"")</f>
        <v/>
      </c>
      <c r="T191" s="50" t="str">
        <f t="array" ref="T191">IFERROR(INDEX(Table2[Summers Matched],MATCH(1,(Table1[[#This Row],[Employer]]=Table2[EIW Name])*(Table1[[#This Row],[City, State]]=Table2[Offices Matched]),0)),"")</f>
        <v>Yes</v>
      </c>
      <c r="U191" s="52" t="str">
        <f t="shared" si="2"/>
        <v/>
      </c>
      <c r="V191" s="60"/>
      <c r="W191" s="114">
        <v>42592</v>
      </c>
      <c r="X191"/>
    </row>
    <row r="192" spans="1:24" ht="14.1" customHeight="1">
      <c r="A192" s="45" t="s">
        <v>423</v>
      </c>
      <c r="B192" s="45" t="s">
        <v>299</v>
      </c>
      <c r="C192" s="45" t="s">
        <v>300</v>
      </c>
      <c r="D192" s="45" t="str">
        <f>Table1[[#This Row],[City]]&amp;", "&amp;Table1[[#This Row],[State]]</f>
        <v>Los Angeles, CA</v>
      </c>
      <c r="E192" s="49">
        <v>57</v>
      </c>
      <c r="F192" s="50">
        <v>22</v>
      </c>
      <c r="G192" s="50" t="str">
        <f t="array" ref="G192">IFERROR(INDEX(Table2[1st Year],MATCH(1,(Table1[[#This Row],[Employer]]=Table2[EIW Name])*(Table1[[#This Row],[City, State]]=Table2[Offices Matched]),0)),"")</f>
        <v>1st Year: $180K</v>
      </c>
      <c r="H192" s="50">
        <f>_xlfn.IFNA(INDEX(saCAGR[CAGR],MATCH(Table1[[#This Row],[Employer]],saCAGR[EIW Name],0)),"")</f>
        <v>1.0040021502748546</v>
      </c>
      <c r="I192" s="50">
        <f>IFERROR(Table1[[#This Row],[SA CAGR]]*Table1[[#This Row],[Number of Summer 2016 2L SAs]],"")</f>
        <v>22.088047306046803</v>
      </c>
      <c r="J192" s="50">
        <v>19</v>
      </c>
      <c r="K192" s="51">
        <f>IFERROR(Table1[[#This Row],[Number of Summer 2016 NYU 2L SAs]]/Table1[[#This Row],[Interview Slots]],0)</f>
        <v>0.33333333333333331</v>
      </c>
      <c r="L192" s="51">
        <f>Table1[[#This Row],[Number of Summer 2016 2L SAs]]/Table1[[#This Row],[Interview Slots]]</f>
        <v>0.38596491228070173</v>
      </c>
      <c r="M192" s="51">
        <f>IFERROR(Table1[[#This Row],[Number of Summer 2016 NYU 2L SAs]]/Table1[[#This Row],[Number of Summer 2016 2L SAs]],0)</f>
        <v>0.86363636363636365</v>
      </c>
      <c r="N192" s="50" t="str">
        <f>IFERROR(RIGHT(Table1[[#This Row],[1st year]],LEN(Table1[[#This Row],[1st year]])-FIND(":",Table1[[#This Row],[1st year]])-1),"")</f>
        <v>$180K</v>
      </c>
      <c r="O192" s="50" t="str">
        <f t="array" ref="O192">IFERROR(INDEX(Table2[Nth year],MATCH(1,(Table1[[#This Row],[Employer]]=Table2[EIW Name])*(Table1[[#This Row],[City, State]]=Table2[Offices Matched]),0)),"")</f>
        <v>8th Year: $315K</v>
      </c>
      <c r="P192" s="50" t="str">
        <f>IFERROR(RIGHT(Table1[[#This Row],[Nth year]],LEN(Table1[[#This Row],[Nth year]])-FIND(":",Table1[[#This Row],[Nth year]])-1),"")</f>
        <v>$315K</v>
      </c>
      <c r="Q192" s="50" t="str">
        <f t="array" ref="Q192">IFERROR(INDEX(Table2[Am Law 200 PPP Rank ’16],MATCH(1,(Table1[[#This Row],[Employer]]=Table2[EIW Name])*(Table1[[#This Row],[City, State]]=Table2[Offices Matched]),0)),"")</f>
        <v>11: $3.19M</v>
      </c>
      <c r="R192" s="50" t="str">
        <f>IFERROR(LEFT(Table1[[#This Row],[Am Law 200 PPP Rank ’16]],FIND(":",Table1[[#This Row],[Am Law 200 PPP Rank ’16]])-1),"")</f>
        <v>11</v>
      </c>
      <c r="S192" s="50">
        <f>IFERROR(INDEX(VaultRank[Rank],MATCH(Table1[[#This Row],[Employer]],VaultRank[EIW Name],0)),"")</f>
        <v>10</v>
      </c>
      <c r="T192" s="50" t="str">
        <f t="array" ref="T192">IFERROR(INDEX(Table2[Summers Matched],MATCH(1,(Table1[[#This Row],[Employer]]=Table2[EIW Name])*(Table1[[#This Row],[City, State]]=Table2[Offices Matched]),0)),"")</f>
        <v>Yes</v>
      </c>
      <c r="U192" s="52">
        <f t="shared" si="2"/>
        <v>3.4</v>
      </c>
      <c r="V192" s="60"/>
      <c r="W192" s="114">
        <v>42595</v>
      </c>
      <c r="X192"/>
    </row>
    <row r="193" spans="1:24" ht="14.1" customHeight="1">
      <c r="A193" s="45" t="s">
        <v>423</v>
      </c>
      <c r="B193" s="45" t="s">
        <v>387</v>
      </c>
      <c r="C193" s="45" t="s">
        <v>300</v>
      </c>
      <c r="D193" s="45" t="str">
        <f>Table1[[#This Row],[City]]&amp;", "&amp;Table1[[#This Row],[State]]</f>
        <v>Orange County, CA</v>
      </c>
      <c r="E193" s="49">
        <v>74</v>
      </c>
      <c r="F193" s="50">
        <v>11</v>
      </c>
      <c r="G193" s="50" t="str">
        <f t="array" ref="G193">IFERROR(INDEX(Table2[1st Year],MATCH(1,(Table1[[#This Row],[Employer]]=Table2[EIW Name])*(Table1[[#This Row],[City, State]]=Table2[Offices Matched]),0)),"")</f>
        <v>1st Year: $180K</v>
      </c>
      <c r="H193" s="50">
        <f>_xlfn.IFNA(INDEX(saCAGR[CAGR],MATCH(Table1[[#This Row],[Employer]],saCAGR[EIW Name],0)),"")</f>
        <v>1.0040021502748546</v>
      </c>
      <c r="I193" s="50">
        <f>IFERROR(Table1[[#This Row],[SA CAGR]]*Table1[[#This Row],[Number of Summer 2016 2L SAs]],"")</f>
        <v>11.044023653023402</v>
      </c>
      <c r="J193" s="50">
        <v>14</v>
      </c>
      <c r="K193" s="51">
        <f>IFERROR(Table1[[#This Row],[Number of Summer 2016 NYU 2L SAs]]/Table1[[#This Row],[Interview Slots]],0)</f>
        <v>0.1891891891891892</v>
      </c>
      <c r="L193" s="51">
        <f>Table1[[#This Row],[Number of Summer 2016 2L SAs]]/Table1[[#This Row],[Interview Slots]]</f>
        <v>0.14864864864864866</v>
      </c>
      <c r="M193" s="51">
        <f>IFERROR(Table1[[#This Row],[Number of Summer 2016 NYU 2L SAs]]/Table1[[#This Row],[Number of Summer 2016 2L SAs]],0)</f>
        <v>1.2727272727272727</v>
      </c>
      <c r="N193" s="50" t="str">
        <f>IFERROR(RIGHT(Table1[[#This Row],[1st year]],LEN(Table1[[#This Row],[1st year]])-FIND(":",Table1[[#This Row],[1st year]])-1),"")</f>
        <v>$180K</v>
      </c>
      <c r="O193" s="50" t="str">
        <f t="array" ref="O193">IFERROR(INDEX(Table2[Nth year],MATCH(1,(Table1[[#This Row],[Employer]]=Table2[EIW Name])*(Table1[[#This Row],[City, State]]=Table2[Offices Matched]),0)),"")</f>
        <v>8th Year: $315K</v>
      </c>
      <c r="P193" s="50" t="str">
        <f>IFERROR(RIGHT(Table1[[#This Row],[Nth year]],LEN(Table1[[#This Row],[Nth year]])-FIND(":",Table1[[#This Row],[Nth year]])-1),"")</f>
        <v>$315K</v>
      </c>
      <c r="Q193" s="50" t="str">
        <f t="array" ref="Q193">IFERROR(INDEX(Table2[Am Law 200 PPP Rank ’16],MATCH(1,(Table1[[#This Row],[Employer]]=Table2[EIW Name])*(Table1[[#This Row],[City, State]]=Table2[Offices Matched]),0)),"")</f>
        <v>11: $3.19M</v>
      </c>
      <c r="R193" s="50" t="str">
        <f>IFERROR(LEFT(Table1[[#This Row],[Am Law 200 PPP Rank ’16]],FIND(":",Table1[[#This Row],[Am Law 200 PPP Rank ’16]])-1),"")</f>
        <v>11</v>
      </c>
      <c r="S193" s="50">
        <f>IFERROR(INDEX(VaultRank[Rank],MATCH(Table1[[#This Row],[Employer]],VaultRank[EIW Name],0)),"")</f>
        <v>10</v>
      </c>
      <c r="T193" s="50" t="str">
        <f t="array" ref="T193">IFERROR(INDEX(Table2[Summers Matched],MATCH(1,(Table1[[#This Row],[Employer]]=Table2[EIW Name])*(Table1[[#This Row],[City, State]]=Table2[Offices Matched]),0)),"")</f>
        <v>Yes</v>
      </c>
      <c r="U193" s="52" t="str">
        <f t="shared" si="2"/>
        <v/>
      </c>
      <c r="V193" s="60"/>
      <c r="W193" s="114">
        <v>42592</v>
      </c>
      <c r="X193"/>
    </row>
    <row r="194" spans="1:24" ht="14.1" customHeight="1">
      <c r="A194" s="45" t="s">
        <v>423</v>
      </c>
      <c r="B194" s="45" t="s">
        <v>334</v>
      </c>
      <c r="C194" s="45" t="s">
        <v>300</v>
      </c>
      <c r="D194" s="45" t="str">
        <f>Table1[[#This Row],[City]]&amp;", "&amp;Table1[[#This Row],[State]]</f>
        <v>Palo Alto, CA</v>
      </c>
      <c r="E194" s="49">
        <v>11</v>
      </c>
      <c r="F194" s="50">
        <v>2</v>
      </c>
      <c r="G194" s="50" t="str">
        <f t="array" ref="G194">IFERROR(INDEX(Table2[1st Year],MATCH(1,(Table1[[#This Row],[Employer]]=Table2[EIW Name])*(Table1[[#This Row],[City, State]]=Table2[Offices Matched]),0)),"")</f>
        <v>1st Year: $180K</v>
      </c>
      <c r="H194" s="50">
        <f>_xlfn.IFNA(INDEX(saCAGR[CAGR],MATCH(Table1[[#This Row],[Employer]],saCAGR[EIW Name],0)),"")</f>
        <v>1.0040021502748546</v>
      </c>
      <c r="I194" s="50">
        <f>IFERROR(Table1[[#This Row],[SA CAGR]]*Table1[[#This Row],[Number of Summer 2016 2L SAs]],"")</f>
        <v>2.0080043005497092</v>
      </c>
      <c r="J194" s="50">
        <v>23</v>
      </c>
      <c r="K194" s="51">
        <f>IFERROR(Table1[[#This Row],[Number of Summer 2016 NYU 2L SAs]]/Table1[[#This Row],[Interview Slots]],0)</f>
        <v>2.0909090909090908</v>
      </c>
      <c r="L194" s="51">
        <f>Table1[[#This Row],[Number of Summer 2016 2L SAs]]/Table1[[#This Row],[Interview Slots]]</f>
        <v>0.18181818181818182</v>
      </c>
      <c r="M194" s="51">
        <f>IFERROR(Table1[[#This Row],[Number of Summer 2016 NYU 2L SAs]]/Table1[[#This Row],[Number of Summer 2016 2L SAs]],0)</f>
        <v>11.5</v>
      </c>
      <c r="N194" s="50" t="str">
        <f>IFERROR(RIGHT(Table1[[#This Row],[1st year]],LEN(Table1[[#This Row],[1st year]])-FIND(":",Table1[[#This Row],[1st year]])-1),"")</f>
        <v>$180K</v>
      </c>
      <c r="O194" s="50" t="str">
        <f t="array" ref="O194">IFERROR(INDEX(Table2[Nth year],MATCH(1,(Table1[[#This Row],[Employer]]=Table2[EIW Name])*(Table1[[#This Row],[City, State]]=Table2[Offices Matched]),0)),"")</f>
        <v>8th Year: $315K</v>
      </c>
      <c r="P194" s="50" t="str">
        <f>IFERROR(RIGHT(Table1[[#This Row],[Nth year]],LEN(Table1[[#This Row],[Nth year]])-FIND(":",Table1[[#This Row],[Nth year]])-1),"")</f>
        <v>$315K</v>
      </c>
      <c r="Q194" s="50" t="str">
        <f t="array" ref="Q194">IFERROR(INDEX(Table2[Am Law 200 PPP Rank ’16],MATCH(1,(Table1[[#This Row],[Employer]]=Table2[EIW Name])*(Table1[[#This Row],[City, State]]=Table2[Offices Matched]),0)),"")</f>
        <v>11: $3.19M</v>
      </c>
      <c r="R194" s="50" t="str">
        <f>IFERROR(LEFT(Table1[[#This Row],[Am Law 200 PPP Rank ’16]],FIND(":",Table1[[#This Row],[Am Law 200 PPP Rank ’16]])-1),"")</f>
        <v>11</v>
      </c>
      <c r="S194" s="50">
        <f>IFERROR(INDEX(VaultRank[Rank],MATCH(Table1[[#This Row],[Employer]],VaultRank[EIW Name],0)),"")</f>
        <v>10</v>
      </c>
      <c r="T194" s="50" t="str">
        <f t="array" ref="T194">IFERROR(INDEX(Table2[Summers Matched],MATCH(1,(Table1[[#This Row],[Employer]]=Table2[EIW Name])*(Table1[[#This Row],[City, State]]=Table2[Offices Matched]),0)),"")</f>
        <v>Yes</v>
      </c>
      <c r="U194" s="52" t="str">
        <f t="shared" ref="U194:U257" si="3">IF(MOD(ROW(),23)=0,3.6,IF(MOD(ROW(),16)=0,3.4,""))</f>
        <v/>
      </c>
      <c r="V194" s="60"/>
      <c r="W194" s="114">
        <v>42595</v>
      </c>
      <c r="X194"/>
    </row>
    <row r="195" spans="1:24" ht="14.1" customHeight="1">
      <c r="A195" s="45" t="s">
        <v>423</v>
      </c>
      <c r="B195" s="45" t="s">
        <v>316</v>
      </c>
      <c r="C195" s="45" t="s">
        <v>300</v>
      </c>
      <c r="D195" s="45" t="str">
        <f>Table1[[#This Row],[City]]&amp;", "&amp;Table1[[#This Row],[State]]</f>
        <v>San Francisco, CA</v>
      </c>
      <c r="E195" s="49">
        <v>145</v>
      </c>
      <c r="F195" s="50">
        <v>7</v>
      </c>
      <c r="G195" s="50" t="str">
        <f t="array" ref="G195">IFERROR(INDEX(Table2[1st Year],MATCH(1,(Table1[[#This Row],[Employer]]=Table2[EIW Name])*(Table1[[#This Row],[City, State]]=Table2[Offices Matched]),0)),"")</f>
        <v>1st Year: $180K</v>
      </c>
      <c r="H195" s="50">
        <f>_xlfn.IFNA(INDEX(saCAGR[CAGR],MATCH(Table1[[#This Row],[Employer]],saCAGR[EIW Name],0)),"")</f>
        <v>1.0040021502748546</v>
      </c>
      <c r="I195" s="50">
        <f>IFERROR(Table1[[#This Row],[SA CAGR]]*Table1[[#This Row],[Number of Summer 2016 2L SAs]],"")</f>
        <v>7.0280150519239823</v>
      </c>
      <c r="J195" s="50">
        <v>3</v>
      </c>
      <c r="K195" s="51">
        <f>IFERROR(Table1[[#This Row],[Number of Summer 2016 NYU 2L SAs]]/Table1[[#This Row],[Interview Slots]],0)</f>
        <v>2.0689655172413793E-2</v>
      </c>
      <c r="L195" s="51">
        <f>Table1[[#This Row],[Number of Summer 2016 2L SAs]]/Table1[[#This Row],[Interview Slots]]</f>
        <v>4.8275862068965517E-2</v>
      </c>
      <c r="M195" s="51">
        <f>IFERROR(Table1[[#This Row],[Number of Summer 2016 NYU 2L SAs]]/Table1[[#This Row],[Number of Summer 2016 2L SAs]],0)</f>
        <v>0.42857142857142855</v>
      </c>
      <c r="N195" s="50" t="str">
        <f>IFERROR(RIGHT(Table1[[#This Row],[1st year]],LEN(Table1[[#This Row],[1st year]])-FIND(":",Table1[[#This Row],[1st year]])-1),"")</f>
        <v>$180K</v>
      </c>
      <c r="O195" s="50" t="str">
        <f t="array" ref="O195">IFERROR(INDEX(Table2[Nth year],MATCH(1,(Table1[[#This Row],[Employer]]=Table2[EIW Name])*(Table1[[#This Row],[City, State]]=Table2[Offices Matched]),0)),"")</f>
        <v>8th Year: $315K</v>
      </c>
      <c r="P195" s="50" t="str">
        <f>IFERROR(RIGHT(Table1[[#This Row],[Nth year]],LEN(Table1[[#This Row],[Nth year]])-FIND(":",Table1[[#This Row],[Nth year]])-1),"")</f>
        <v>$315K</v>
      </c>
      <c r="Q195" s="50" t="str">
        <f t="array" ref="Q195">IFERROR(INDEX(Table2[Am Law 200 PPP Rank ’16],MATCH(1,(Table1[[#This Row],[Employer]]=Table2[EIW Name])*(Table1[[#This Row],[City, State]]=Table2[Offices Matched]),0)),"")</f>
        <v>11: $3.19M</v>
      </c>
      <c r="R195" s="50" t="str">
        <f>IFERROR(LEFT(Table1[[#This Row],[Am Law 200 PPP Rank ’16]],FIND(":",Table1[[#This Row],[Am Law 200 PPP Rank ’16]])-1),"")</f>
        <v>11</v>
      </c>
      <c r="S195" s="50">
        <f>IFERROR(INDEX(VaultRank[Rank],MATCH(Table1[[#This Row],[Employer]],VaultRank[EIW Name],0)),"")</f>
        <v>10</v>
      </c>
      <c r="T195" s="50" t="str">
        <f t="array" ref="T195">IFERROR(INDEX(Table2[Summers Matched],MATCH(1,(Table1[[#This Row],[Employer]]=Table2[EIW Name])*(Table1[[#This Row],[City, State]]=Table2[Offices Matched]),0)),"")</f>
        <v>Yes</v>
      </c>
      <c r="U195" s="52" t="str">
        <f t="shared" si="3"/>
        <v/>
      </c>
      <c r="V195" s="60"/>
      <c r="W195" s="114">
        <v>42595</v>
      </c>
      <c r="X195"/>
    </row>
    <row r="196" spans="1:24" ht="14.1" customHeight="1">
      <c r="A196" s="45" t="s">
        <v>423</v>
      </c>
      <c r="B196" s="45" t="s">
        <v>342</v>
      </c>
      <c r="C196" s="45" t="s">
        <v>343</v>
      </c>
      <c r="D196" s="45" t="str">
        <f>Table1[[#This Row],[City]]&amp;", "&amp;Table1[[#This Row],[State]]</f>
        <v>Denver, CO</v>
      </c>
      <c r="E196" s="49">
        <v>49</v>
      </c>
      <c r="F196" s="50">
        <v>3</v>
      </c>
      <c r="G196" s="50" t="str">
        <f t="array" ref="G196">IFERROR(INDEX(Table2[1st Year],MATCH(1,(Table1[[#This Row],[Employer]]=Table2[EIW Name])*(Table1[[#This Row],[City, State]]=Table2[Offices Matched]),0)),"")</f>
        <v>1st Year: $180K</v>
      </c>
      <c r="H196" s="50">
        <f>_xlfn.IFNA(INDEX(saCAGR[CAGR],MATCH(Table1[[#This Row],[Employer]],saCAGR[EIW Name],0)),"")</f>
        <v>1.0040021502748546</v>
      </c>
      <c r="I196" s="50">
        <f>IFERROR(Table1[[#This Row],[SA CAGR]]*Table1[[#This Row],[Number of Summer 2016 2L SAs]],"")</f>
        <v>3.0120064508245639</v>
      </c>
      <c r="J196" s="50">
        <v>16</v>
      </c>
      <c r="K196" s="51">
        <f>IFERROR(Table1[[#This Row],[Number of Summer 2016 NYU 2L SAs]]/Table1[[#This Row],[Interview Slots]],0)</f>
        <v>0.32653061224489793</v>
      </c>
      <c r="L196" s="51">
        <f>Table1[[#This Row],[Number of Summer 2016 2L SAs]]/Table1[[#This Row],[Interview Slots]]</f>
        <v>6.1224489795918366E-2</v>
      </c>
      <c r="M196" s="51">
        <f>IFERROR(Table1[[#This Row],[Number of Summer 2016 NYU 2L SAs]]/Table1[[#This Row],[Number of Summer 2016 2L SAs]],0)</f>
        <v>5.333333333333333</v>
      </c>
      <c r="N196" s="50" t="str">
        <f>IFERROR(RIGHT(Table1[[#This Row],[1st year]],LEN(Table1[[#This Row],[1st year]])-FIND(":",Table1[[#This Row],[1st year]])-1),"")</f>
        <v>$180K</v>
      </c>
      <c r="O196" s="50" t="str">
        <f t="array" ref="O196">IFERROR(INDEX(Table2[Nth year],MATCH(1,(Table1[[#This Row],[Employer]]=Table2[EIW Name])*(Table1[[#This Row],[City, State]]=Table2[Offices Matched]),0)),"")</f>
        <v>8th Year: $315K</v>
      </c>
      <c r="P196" s="50" t="str">
        <f>IFERROR(RIGHT(Table1[[#This Row],[Nth year]],LEN(Table1[[#This Row],[Nth year]])-FIND(":",Table1[[#This Row],[Nth year]])-1),"")</f>
        <v>$315K</v>
      </c>
      <c r="Q196" s="50" t="str">
        <f t="array" ref="Q196">IFERROR(INDEX(Table2[Am Law 200 PPP Rank ’16],MATCH(1,(Table1[[#This Row],[Employer]]=Table2[EIW Name])*(Table1[[#This Row],[City, State]]=Table2[Offices Matched]),0)),"")</f>
        <v>11: $3.19M</v>
      </c>
      <c r="R196" s="50" t="str">
        <f>IFERROR(LEFT(Table1[[#This Row],[Am Law 200 PPP Rank ’16]],FIND(":",Table1[[#This Row],[Am Law 200 PPP Rank ’16]])-1),"")</f>
        <v>11</v>
      </c>
      <c r="S196" s="50">
        <f>IFERROR(INDEX(VaultRank[Rank],MATCH(Table1[[#This Row],[Employer]],VaultRank[EIW Name],0)),"")</f>
        <v>10</v>
      </c>
      <c r="T196" s="50" t="str">
        <f t="array" ref="T196">IFERROR(INDEX(Table2[Summers Matched],MATCH(1,(Table1[[#This Row],[Employer]]=Table2[EIW Name])*(Table1[[#This Row],[City, State]]=Table2[Offices Matched]),0)),"")</f>
        <v>Yes</v>
      </c>
      <c r="U196" s="52" t="str">
        <f t="shared" si="3"/>
        <v/>
      </c>
      <c r="V196" s="60"/>
      <c r="W196" s="114">
        <v>42592</v>
      </c>
      <c r="X196"/>
    </row>
    <row r="197" spans="1:24" ht="14.1" customHeight="1">
      <c r="A197" s="45" t="s">
        <v>423</v>
      </c>
      <c r="B197" s="45" t="s">
        <v>301</v>
      </c>
      <c r="C197" s="45" t="s">
        <v>302</v>
      </c>
      <c r="D197" s="45" t="str">
        <f>Table1[[#This Row],[City]]&amp;", "&amp;Table1[[#This Row],[State]]</f>
        <v>Washington, DC</v>
      </c>
      <c r="E197" s="49">
        <v>181</v>
      </c>
      <c r="F197" s="50">
        <v>30</v>
      </c>
      <c r="G197" s="50" t="str">
        <f t="array" ref="G197">IFERROR(INDEX(Table2[1st Year],MATCH(1,(Table1[[#This Row],[Employer]]=Table2[EIW Name])*(Table1[[#This Row],[City, State]]=Table2[Offices Matched]),0)),"")</f>
        <v/>
      </c>
      <c r="H197" s="50">
        <f>_xlfn.IFNA(INDEX(saCAGR[CAGR],MATCH(Table1[[#This Row],[Employer]],saCAGR[EIW Name],0)),"")</f>
        <v>1.0040021502748546</v>
      </c>
      <c r="I197" s="50">
        <f>IFERROR(Table1[[#This Row],[SA CAGR]]*Table1[[#This Row],[Number of Summer 2016 2L SAs]],"")</f>
        <v>30.12006450824564</v>
      </c>
      <c r="J197" s="50">
        <v>25</v>
      </c>
      <c r="K197" s="51">
        <f>IFERROR(Table1[[#This Row],[Number of Summer 2016 NYU 2L SAs]]/Table1[[#This Row],[Interview Slots]],0)</f>
        <v>0.13812154696132597</v>
      </c>
      <c r="L197" s="51">
        <f>Table1[[#This Row],[Number of Summer 2016 2L SAs]]/Table1[[#This Row],[Interview Slots]]</f>
        <v>0.16574585635359115</v>
      </c>
      <c r="M197" s="51">
        <f>IFERROR(Table1[[#This Row],[Number of Summer 2016 NYU 2L SAs]]/Table1[[#This Row],[Number of Summer 2016 2L SAs]],0)</f>
        <v>0.83333333333333337</v>
      </c>
      <c r="N197" s="50" t="str">
        <f>IFERROR(RIGHT(Table1[[#This Row],[1st year]],LEN(Table1[[#This Row],[1st year]])-FIND(":",Table1[[#This Row],[1st year]])-1),"")</f>
        <v/>
      </c>
      <c r="O197" s="50" t="str">
        <f t="array" ref="O197">IFERROR(INDEX(Table2[Nth year],MATCH(1,(Table1[[#This Row],[Employer]]=Table2[EIW Name])*(Table1[[#This Row],[City, State]]=Table2[Offices Matched]),0)),"")</f>
        <v/>
      </c>
      <c r="P197" s="50" t="str">
        <f>IFERROR(RIGHT(Table1[[#This Row],[Nth year]],LEN(Table1[[#This Row],[Nth year]])-FIND(":",Table1[[#This Row],[Nth year]])-1),"")</f>
        <v/>
      </c>
      <c r="Q197" s="50" t="str">
        <f t="array" ref="Q197">IFERROR(INDEX(Table2[Am Law 200 PPP Rank ’16],MATCH(1,(Table1[[#This Row],[Employer]]=Table2[EIW Name])*(Table1[[#This Row],[City, State]]=Table2[Offices Matched]),0)),"")</f>
        <v/>
      </c>
      <c r="R197" s="50" t="str">
        <f>IFERROR(LEFT(Table1[[#This Row],[Am Law 200 PPP Rank ’16]],FIND(":",Table1[[#This Row],[Am Law 200 PPP Rank ’16]])-1),"")</f>
        <v/>
      </c>
      <c r="S197" s="50">
        <f>IFERROR(INDEX(VaultRank[Rank],MATCH(Table1[[#This Row],[Employer]],VaultRank[EIW Name],0)),"")</f>
        <v>10</v>
      </c>
      <c r="T197" s="50" t="str">
        <f t="array" ref="T197">IFERROR(INDEX(Table2[Summers Matched],MATCH(1,(Table1[[#This Row],[Employer]]=Table2[EIW Name])*(Table1[[#This Row],[City, State]]=Table2[Offices Matched]),0)),"")</f>
        <v/>
      </c>
      <c r="U197" s="52" t="str">
        <f t="shared" si="3"/>
        <v/>
      </c>
      <c r="V197" s="60"/>
      <c r="W197" s="114">
        <v>42593</v>
      </c>
      <c r="X197"/>
    </row>
    <row r="198" spans="1:24" ht="14.1" customHeight="1">
      <c r="A198" s="45" t="s">
        <v>423</v>
      </c>
      <c r="B198" s="45" t="s">
        <v>313</v>
      </c>
      <c r="C198" s="45" t="s">
        <v>314</v>
      </c>
      <c r="D198" s="45" t="str">
        <f>Table1[[#This Row],[City]]&amp;", "&amp;Table1[[#This Row],[State]]</f>
        <v>Dallas, TX</v>
      </c>
      <c r="E198" s="49">
        <v>76</v>
      </c>
      <c r="F198" s="50">
        <v>6</v>
      </c>
      <c r="G198" s="50" t="str">
        <f t="array" ref="G198">IFERROR(INDEX(Table2[1st Year],MATCH(1,(Table1[[#This Row],[Employer]]=Table2[EIW Name])*(Table1[[#This Row],[City, State]]=Table2[Offices Matched]),0)),"")</f>
        <v>1st Year: $180K</v>
      </c>
      <c r="H198" s="50">
        <f>_xlfn.IFNA(INDEX(saCAGR[CAGR],MATCH(Table1[[#This Row],[Employer]],saCAGR[EIW Name],0)),"")</f>
        <v>1.0040021502748546</v>
      </c>
      <c r="I198" s="50">
        <f>IFERROR(Table1[[#This Row],[SA CAGR]]*Table1[[#This Row],[Number of Summer 2016 2L SAs]],"")</f>
        <v>6.0240129016491277</v>
      </c>
      <c r="J198" s="50">
        <v>0</v>
      </c>
      <c r="K198" s="51">
        <f>IFERROR(Table1[[#This Row],[Number of Summer 2016 NYU 2L SAs]]/Table1[[#This Row],[Interview Slots]],0)</f>
        <v>0</v>
      </c>
      <c r="L198" s="51">
        <f>Table1[[#This Row],[Number of Summer 2016 2L SAs]]/Table1[[#This Row],[Interview Slots]]</f>
        <v>7.8947368421052627E-2</v>
      </c>
      <c r="M198" s="51">
        <f>IFERROR(Table1[[#This Row],[Number of Summer 2016 NYU 2L SAs]]/Table1[[#This Row],[Number of Summer 2016 2L SAs]],0)</f>
        <v>0</v>
      </c>
      <c r="N198" s="50" t="str">
        <f>IFERROR(RIGHT(Table1[[#This Row],[1st year]],LEN(Table1[[#This Row],[1st year]])-FIND(":",Table1[[#This Row],[1st year]])-1),"")</f>
        <v>$180K</v>
      </c>
      <c r="O198" s="50" t="str">
        <f t="array" ref="O198">IFERROR(INDEX(Table2[Nth year],MATCH(1,(Table1[[#This Row],[Employer]]=Table2[EIW Name])*(Table1[[#This Row],[City, State]]=Table2[Offices Matched]),0)),"")</f>
        <v>8th Year: $315K</v>
      </c>
      <c r="P198" s="50" t="str">
        <f>IFERROR(RIGHT(Table1[[#This Row],[Nth year]],LEN(Table1[[#This Row],[Nth year]])-FIND(":",Table1[[#This Row],[Nth year]])-1),"")</f>
        <v>$315K</v>
      </c>
      <c r="Q198" s="50" t="str">
        <f t="array" ref="Q198">IFERROR(INDEX(Table2[Am Law 200 PPP Rank ’16],MATCH(1,(Table1[[#This Row],[Employer]]=Table2[EIW Name])*(Table1[[#This Row],[City, State]]=Table2[Offices Matched]),0)),"")</f>
        <v>11: $3.19M</v>
      </c>
      <c r="R198" s="50" t="str">
        <f>IFERROR(LEFT(Table1[[#This Row],[Am Law 200 PPP Rank ’16]],FIND(":",Table1[[#This Row],[Am Law 200 PPP Rank ’16]])-1),"")</f>
        <v>11</v>
      </c>
      <c r="S198" s="50">
        <f>IFERROR(INDEX(VaultRank[Rank],MATCH(Table1[[#This Row],[Employer]],VaultRank[EIW Name],0)),"")</f>
        <v>10</v>
      </c>
      <c r="T198" s="50" t="str">
        <f t="array" ref="T198">IFERROR(INDEX(Table2[Summers Matched],MATCH(1,(Table1[[#This Row],[Employer]]=Table2[EIW Name])*(Table1[[#This Row],[City, State]]=Table2[Offices Matched]),0)),"")</f>
        <v>Yes</v>
      </c>
      <c r="U198" s="52" t="str">
        <f t="shared" si="3"/>
        <v/>
      </c>
      <c r="V198" s="60"/>
      <c r="W198" s="114">
        <v>42593</v>
      </c>
      <c r="X198"/>
    </row>
    <row r="199" spans="1:24" ht="14.1" customHeight="1">
      <c r="A199" s="45" t="s">
        <v>487</v>
      </c>
      <c r="B199" s="45" t="s">
        <v>364</v>
      </c>
      <c r="C199" s="45" t="s">
        <v>362</v>
      </c>
      <c r="D199" s="45" t="str">
        <f>Table1[[#This Row],[City]]&amp;", "&amp;Table1[[#This Row],[State]]</f>
        <v>New York, NY</v>
      </c>
      <c r="E199" s="49">
        <v>40</v>
      </c>
      <c r="F199" s="50">
        <v>13</v>
      </c>
      <c r="G199" s="50" t="str">
        <f t="array" ref="G199">IFERROR(INDEX(Table2[1st Year],MATCH(1,(Table1[[#This Row],[Employer]]=Table2[EIW Name])*(Table1[[#This Row],[City, State]]=Table2[Offices Matched]),0)),"")</f>
        <v/>
      </c>
      <c r="H199" s="51">
        <f>_xlfn.IFNA(INDEX(saCAGR[CAGR],MATCH(Table1[[#This Row],[Employer]],saCAGR[EIW Name],0)),"")</f>
        <v>1.0171997259548329</v>
      </c>
      <c r="I199" s="50">
        <f>IFERROR(Table1[[#This Row],[SA CAGR]]*Table1[[#This Row],[Number of Summer 2016 2L SAs]],"")</f>
        <v>13.223596437412827</v>
      </c>
      <c r="J199" s="50">
        <v>5</v>
      </c>
      <c r="K199" s="51">
        <f>IFERROR(Table1[[#This Row],[Number of Summer 2016 NYU 2L SAs]]/Table1[[#This Row],[Interview Slots]],0)</f>
        <v>0.125</v>
      </c>
      <c r="L199" s="51">
        <f>Table1[[#This Row],[Number of Summer 2016 2L SAs]]/Table1[[#This Row],[Interview Slots]]</f>
        <v>0.32500000000000001</v>
      </c>
      <c r="M199" s="51">
        <f>IFERROR(Table1[[#This Row],[Number of Summer 2016 NYU 2L SAs]]/Table1[[#This Row],[Number of Summer 2016 2L SAs]],0)</f>
        <v>0.38461538461538464</v>
      </c>
      <c r="N199" s="50" t="str">
        <f>IFERROR(RIGHT(Table1[[#This Row],[1st year]],LEN(Table1[[#This Row],[1st year]])-FIND(":",Table1[[#This Row],[1st year]])-1),"")</f>
        <v/>
      </c>
      <c r="O199" s="50" t="str">
        <f t="array" ref="O199">IFERROR(INDEX(Table2[Nth year],MATCH(1,(Table1[[#This Row],[Employer]]=Table2[EIW Name])*(Table1[[#This Row],[City, State]]=Table2[Offices Matched]),0)),"")</f>
        <v/>
      </c>
      <c r="P199" s="50" t="str">
        <f>IFERROR(RIGHT(Table1[[#This Row],[Nth year]],LEN(Table1[[#This Row],[Nth year]])-FIND(":",Table1[[#This Row],[Nth year]])-1),"")</f>
        <v/>
      </c>
      <c r="Q199" s="50" t="str">
        <f t="array" ref="Q199">IFERROR(INDEX(Table2[Am Law 200 PPP Rank ’16],MATCH(1,(Table1[[#This Row],[Employer]]=Table2[EIW Name])*(Table1[[#This Row],[City, State]]=Table2[Offices Matched]),0)),"")</f>
        <v/>
      </c>
      <c r="R199" s="50" t="str">
        <f>IFERROR(LEFT(Table1[[#This Row],[Am Law 200 PPP Rank ’16]],FIND(":",Table1[[#This Row],[Am Law 200 PPP Rank ’16]])-1),"")</f>
        <v/>
      </c>
      <c r="S199" s="50">
        <f>IFERROR(INDEX(VaultRank[Rank],MATCH(Table1[[#This Row],[Employer]],VaultRank[EIW Name],0)),"")</f>
        <v>43</v>
      </c>
      <c r="T199" s="50" t="str">
        <f t="array" ref="T199">IFERROR(INDEX(Table2[Summers Matched],MATCH(1,(Table1[[#This Row],[Employer]]=Table2[EIW Name])*(Table1[[#This Row],[City, State]]=Table2[Offices Matched]),0)),"")</f>
        <v/>
      </c>
      <c r="U199" s="52" t="str">
        <f t="shared" si="3"/>
        <v/>
      </c>
      <c r="V199" s="60"/>
      <c r="W199" s="114">
        <v>42594</v>
      </c>
      <c r="X199"/>
    </row>
    <row r="200" spans="1:24" ht="14.1" customHeight="1">
      <c r="A200" s="45" t="s">
        <v>199</v>
      </c>
      <c r="B200" s="45" t="s">
        <v>316</v>
      </c>
      <c r="C200" s="45" t="s">
        <v>300</v>
      </c>
      <c r="D200" s="45" t="str">
        <f>Table1[[#This Row],[City]]&amp;", "&amp;Table1[[#This Row],[State]]</f>
        <v>San Francisco, CA</v>
      </c>
      <c r="E200" s="49">
        <v>34</v>
      </c>
      <c r="F200" s="50">
        <v>3</v>
      </c>
      <c r="G200" s="50" t="str">
        <f t="array" ref="G200">IFERROR(INDEX(Table2[1st Year],MATCH(1,(Table1[[#This Row],[Employer]]=Table2[EIW Name])*(Table1[[#This Row],[City, State]]=Table2[Offices Matched]),0)),"")</f>
        <v>1st Year: $180K</v>
      </c>
      <c r="H200" s="50">
        <f>_xlfn.IFNA(INDEX(saCAGR[CAGR],MATCH(Table1[[#This Row],[Employer]],saCAGR[EIW Name],0)),"")</f>
        <v>1.0104712619797067</v>
      </c>
      <c r="I200" s="50">
        <f>IFERROR(Table1[[#This Row],[SA CAGR]]*Table1[[#This Row],[Number of Summer 2016 2L SAs]],"")</f>
        <v>3.0314137859391201</v>
      </c>
      <c r="J200" s="50">
        <v>24</v>
      </c>
      <c r="K200" s="51">
        <f>IFERROR(Table1[[#This Row],[Number of Summer 2016 NYU 2L SAs]]/Table1[[#This Row],[Interview Slots]],0)</f>
        <v>0.70588235294117652</v>
      </c>
      <c r="L200" s="51">
        <f>Table1[[#This Row],[Number of Summer 2016 2L SAs]]/Table1[[#This Row],[Interview Slots]]</f>
        <v>8.8235294117647065E-2</v>
      </c>
      <c r="M200" s="51">
        <f>IFERROR(Table1[[#This Row],[Number of Summer 2016 NYU 2L SAs]]/Table1[[#This Row],[Number of Summer 2016 2L SAs]],0)</f>
        <v>8</v>
      </c>
      <c r="N200" s="50" t="str">
        <f>IFERROR(RIGHT(Table1[[#This Row],[1st year]],LEN(Table1[[#This Row],[1st year]])-FIND(":",Table1[[#This Row],[1st year]])-1),"")</f>
        <v>$180K</v>
      </c>
      <c r="O200" s="50" t="str">
        <f t="array" ref="O200">IFERROR(INDEX(Table2[Nth year],MATCH(1,(Table1[[#This Row],[Employer]]=Table2[EIW Name])*(Table1[[#This Row],[City, State]]=Table2[Offices Matched]),0)),"")</f>
        <v>7th Year: $300K</v>
      </c>
      <c r="P200" s="50" t="str">
        <f>IFERROR(RIGHT(Table1[[#This Row],[Nth year]],LEN(Table1[[#This Row],[Nth year]])-FIND(":",Table1[[#This Row],[Nth year]])-1),"")</f>
        <v>$300K</v>
      </c>
      <c r="Q200" s="50" t="str">
        <f t="array" ref="Q200">IFERROR(INDEX(Table2[Am Law 200 PPP Rank ’16],MATCH(1,(Table1[[#This Row],[Employer]]=Table2[EIW Name])*(Table1[[#This Row],[City, State]]=Table2[Offices Matched]),0)),"")</f>
        <v>32: $1.99M</v>
      </c>
      <c r="R200" s="50" t="str">
        <f>IFERROR(LEFT(Table1[[#This Row],[Am Law 200 PPP Rank ’16]],FIND(":",Table1[[#This Row],[Am Law 200 PPP Rank ’16]])-1),"")</f>
        <v>32</v>
      </c>
      <c r="S200" s="50">
        <f>IFERROR(INDEX(VaultRank[Rank],MATCH(Table1[[#This Row],[Employer]],VaultRank[EIW Name],0)),"")</f>
        <v>32</v>
      </c>
      <c r="T200" s="50" t="str">
        <f t="array" ref="T200">IFERROR(INDEX(Table2[Summers Matched],MATCH(1,(Table1[[#This Row],[Employer]]=Table2[EIW Name])*(Table1[[#This Row],[City, State]]=Table2[Offices Matched]),0)),"")</f>
        <v>Yes</v>
      </c>
      <c r="U200" s="52" t="str">
        <f t="shared" si="3"/>
        <v/>
      </c>
      <c r="V200" s="60"/>
      <c r="W200" s="114">
        <v>42595</v>
      </c>
      <c r="X200"/>
    </row>
    <row r="201" spans="1:24" ht="14.1" customHeight="1">
      <c r="A201" s="45" t="s">
        <v>199</v>
      </c>
      <c r="B201" s="45" t="s">
        <v>307</v>
      </c>
      <c r="C201" s="45" t="s">
        <v>300</v>
      </c>
      <c r="D201" s="45" t="str">
        <f>Table1[[#This Row],[City]]&amp;", "&amp;Table1[[#This Row],[State]]</f>
        <v>Silicon Valley, CA</v>
      </c>
      <c r="E201" s="49">
        <v>98</v>
      </c>
      <c r="F201" s="50">
        <v>5</v>
      </c>
      <c r="G201" s="50" t="str">
        <f t="array" ref="G201">IFERROR(INDEX(Table2[1st Year],MATCH(1,(Table1[[#This Row],[Employer]]=Table2[EIW Name])*(Table1[[#This Row],[City, State]]=Table2[Offices Matched]),0)),"")</f>
        <v/>
      </c>
      <c r="H201" s="50">
        <f>_xlfn.IFNA(INDEX(saCAGR[CAGR],MATCH(Table1[[#This Row],[Employer]],saCAGR[EIW Name],0)),"")</f>
        <v>1.0104712619797067</v>
      </c>
      <c r="I201" s="50">
        <f>IFERROR(Table1[[#This Row],[SA CAGR]]*Table1[[#This Row],[Number of Summer 2016 2L SAs]],"")</f>
        <v>5.0523563098985331</v>
      </c>
      <c r="J201" s="50">
        <v>21</v>
      </c>
      <c r="K201" s="51">
        <f>IFERROR(Table1[[#This Row],[Number of Summer 2016 NYU 2L SAs]]/Table1[[#This Row],[Interview Slots]],0)</f>
        <v>0.21428571428571427</v>
      </c>
      <c r="L201" s="51">
        <f>Table1[[#This Row],[Number of Summer 2016 2L SAs]]/Table1[[#This Row],[Interview Slots]]</f>
        <v>5.1020408163265307E-2</v>
      </c>
      <c r="M201" s="51">
        <f>IFERROR(Table1[[#This Row],[Number of Summer 2016 NYU 2L SAs]]/Table1[[#This Row],[Number of Summer 2016 2L SAs]],0)</f>
        <v>4.2</v>
      </c>
      <c r="N201" s="50" t="str">
        <f>IFERROR(RIGHT(Table1[[#This Row],[1st year]],LEN(Table1[[#This Row],[1st year]])-FIND(":",Table1[[#This Row],[1st year]])-1),"")</f>
        <v/>
      </c>
      <c r="O201" s="50" t="str">
        <f t="array" ref="O201">IFERROR(INDEX(Table2[Nth year],MATCH(1,(Table1[[#This Row],[Employer]]=Table2[EIW Name])*(Table1[[#This Row],[City, State]]=Table2[Offices Matched]),0)),"")</f>
        <v/>
      </c>
      <c r="P201" s="50" t="str">
        <f>IFERROR(RIGHT(Table1[[#This Row],[Nth year]],LEN(Table1[[#This Row],[Nth year]])-FIND(":",Table1[[#This Row],[Nth year]])-1),"")</f>
        <v/>
      </c>
      <c r="Q201" s="50" t="str">
        <f t="array" ref="Q201">IFERROR(INDEX(Table2[Am Law 200 PPP Rank ’16],MATCH(1,(Table1[[#This Row],[Employer]]=Table2[EIW Name])*(Table1[[#This Row],[City, State]]=Table2[Offices Matched]),0)),"")</f>
        <v/>
      </c>
      <c r="R201" s="50" t="str">
        <f>IFERROR(LEFT(Table1[[#This Row],[Am Law 200 PPP Rank ’16]],FIND(":",Table1[[#This Row],[Am Law 200 PPP Rank ’16]])-1),"")</f>
        <v/>
      </c>
      <c r="S201" s="50">
        <f>IFERROR(INDEX(VaultRank[Rank],MATCH(Table1[[#This Row],[Employer]],VaultRank[EIW Name],0)),"")</f>
        <v>32</v>
      </c>
      <c r="T201" s="50" t="str">
        <f t="array" ref="T201">IFERROR(INDEX(Table2[Summers Matched],MATCH(1,(Table1[[#This Row],[Employer]]=Table2[EIW Name])*(Table1[[#This Row],[City, State]]=Table2[Offices Matched]),0)),"")</f>
        <v/>
      </c>
      <c r="U201" s="52" t="str">
        <f t="shared" si="3"/>
        <v/>
      </c>
      <c r="V201" s="60"/>
      <c r="W201" s="114">
        <v>42593</v>
      </c>
      <c r="X201"/>
    </row>
    <row r="202" spans="1:24" ht="14.1" customHeight="1">
      <c r="A202" s="45" t="s">
        <v>199</v>
      </c>
      <c r="B202" s="45" t="s">
        <v>301</v>
      </c>
      <c r="C202" s="45" t="s">
        <v>302</v>
      </c>
      <c r="D202" s="45" t="str">
        <f>Table1[[#This Row],[City]]&amp;", "&amp;Table1[[#This Row],[State]]</f>
        <v>Washington, DC</v>
      </c>
      <c r="E202" s="49">
        <v>175</v>
      </c>
      <c r="F202" s="50">
        <v>4</v>
      </c>
      <c r="G202" s="50" t="str">
        <f t="array" ref="G202">IFERROR(INDEX(Table2[1st Year],MATCH(1,(Table1[[#This Row],[Employer]]=Table2[EIW Name])*(Table1[[#This Row],[City, State]]=Table2[Offices Matched]),0)),"")</f>
        <v/>
      </c>
      <c r="H202" s="50">
        <f>_xlfn.IFNA(INDEX(saCAGR[CAGR],MATCH(Table1[[#This Row],[Employer]],saCAGR[EIW Name],0)),"")</f>
        <v>1.0104712619797067</v>
      </c>
      <c r="I202" s="50">
        <f>IFERROR(Table1[[#This Row],[SA CAGR]]*Table1[[#This Row],[Number of Summer 2016 2L SAs]],"")</f>
        <v>4.0418850479188269</v>
      </c>
      <c r="J202" s="50">
        <v>12</v>
      </c>
      <c r="K202" s="51">
        <f>IFERROR(Table1[[#This Row],[Number of Summer 2016 NYU 2L SAs]]/Table1[[#This Row],[Interview Slots]],0)</f>
        <v>6.8571428571428575E-2</v>
      </c>
      <c r="L202" s="51">
        <f>Table1[[#This Row],[Number of Summer 2016 2L SAs]]/Table1[[#This Row],[Interview Slots]]</f>
        <v>2.2857142857142857E-2</v>
      </c>
      <c r="M202" s="51">
        <f>IFERROR(Table1[[#This Row],[Number of Summer 2016 NYU 2L SAs]]/Table1[[#This Row],[Number of Summer 2016 2L SAs]],0)</f>
        <v>3</v>
      </c>
      <c r="N202" s="50" t="str">
        <f>IFERROR(RIGHT(Table1[[#This Row],[1st year]],LEN(Table1[[#This Row],[1st year]])-FIND(":",Table1[[#This Row],[1st year]])-1),"")</f>
        <v/>
      </c>
      <c r="O202" s="50" t="str">
        <f t="array" ref="O202">IFERROR(INDEX(Table2[Nth year],MATCH(1,(Table1[[#This Row],[Employer]]=Table2[EIW Name])*(Table1[[#This Row],[City, State]]=Table2[Offices Matched]),0)),"")</f>
        <v/>
      </c>
      <c r="P202" s="50" t="str">
        <f>IFERROR(RIGHT(Table1[[#This Row],[Nth year]],LEN(Table1[[#This Row],[Nth year]])-FIND(":",Table1[[#This Row],[Nth year]])-1),"")</f>
        <v/>
      </c>
      <c r="Q202" s="50" t="str">
        <f t="array" ref="Q202">IFERROR(INDEX(Table2[Am Law 200 PPP Rank ’16],MATCH(1,(Table1[[#This Row],[Employer]]=Table2[EIW Name])*(Table1[[#This Row],[City, State]]=Table2[Offices Matched]),0)),"")</f>
        <v/>
      </c>
      <c r="R202" s="50" t="str">
        <f>IFERROR(LEFT(Table1[[#This Row],[Am Law 200 PPP Rank ’16]],FIND(":",Table1[[#This Row],[Am Law 200 PPP Rank ’16]])-1),"")</f>
        <v/>
      </c>
      <c r="S202" s="50">
        <f>IFERROR(INDEX(VaultRank[Rank],MATCH(Table1[[#This Row],[Employer]],VaultRank[EIW Name],0)),"")</f>
        <v>32</v>
      </c>
      <c r="T202" s="50" t="str">
        <f t="array" ref="T202">IFERROR(INDEX(Table2[Summers Matched],MATCH(1,(Table1[[#This Row],[Employer]]=Table2[EIW Name])*(Table1[[#This Row],[City, State]]=Table2[Offices Matched]),0)),"")</f>
        <v/>
      </c>
      <c r="U202" s="52" t="str">
        <f t="shared" si="3"/>
        <v/>
      </c>
      <c r="V202" s="60"/>
      <c r="W202" s="114">
        <v>42595</v>
      </c>
      <c r="X202"/>
    </row>
    <row r="203" spans="1:24" ht="14.1" customHeight="1">
      <c r="A203" s="45" t="s">
        <v>199</v>
      </c>
      <c r="B203" s="45" t="s">
        <v>367</v>
      </c>
      <c r="C203" s="45" t="s">
        <v>368</v>
      </c>
      <c r="D203" s="45" t="str">
        <f>Table1[[#This Row],[City]]&amp;", "&amp;Table1[[#This Row],[State]]</f>
        <v>Boston, MA</v>
      </c>
      <c r="E203" s="49">
        <v>176</v>
      </c>
      <c r="F203" s="50">
        <v>26</v>
      </c>
      <c r="G203" s="50" t="str">
        <f t="array" ref="G203">IFERROR(INDEX(Table2[1st Year],MATCH(1,(Table1[[#This Row],[Employer]]=Table2[EIW Name])*(Table1[[#This Row],[City, State]]=Table2[Offices Matched]),0)),"")</f>
        <v>1st Year: $180K</v>
      </c>
      <c r="H203" s="50">
        <f>_xlfn.IFNA(INDEX(saCAGR[CAGR],MATCH(Table1[[#This Row],[Employer]],saCAGR[EIW Name],0)),"")</f>
        <v>1.0104712619797067</v>
      </c>
      <c r="I203" s="50">
        <f>IFERROR(Table1[[#This Row],[SA CAGR]]*Table1[[#This Row],[Number of Summer 2016 2L SAs]],"")</f>
        <v>26.272252811472374</v>
      </c>
      <c r="J203" s="50">
        <v>25</v>
      </c>
      <c r="K203" s="51">
        <f>IFERROR(Table1[[#This Row],[Number of Summer 2016 NYU 2L SAs]]/Table1[[#This Row],[Interview Slots]],0)</f>
        <v>0.14204545454545456</v>
      </c>
      <c r="L203" s="51">
        <f>Table1[[#This Row],[Number of Summer 2016 2L SAs]]/Table1[[#This Row],[Interview Slots]]</f>
        <v>0.14772727272727273</v>
      </c>
      <c r="M203" s="51">
        <f>IFERROR(Table1[[#This Row],[Number of Summer 2016 NYU 2L SAs]]/Table1[[#This Row],[Number of Summer 2016 2L SAs]],0)</f>
        <v>0.96153846153846156</v>
      </c>
      <c r="N203" s="50" t="str">
        <f>IFERROR(RIGHT(Table1[[#This Row],[1st year]],LEN(Table1[[#This Row],[1st year]])-FIND(":",Table1[[#This Row],[1st year]])-1),"")</f>
        <v>$180K</v>
      </c>
      <c r="O203" s="50" t="str">
        <f t="array" ref="O203">IFERROR(INDEX(Table2[Nth year],MATCH(1,(Table1[[#This Row],[Employer]]=Table2[EIW Name])*(Table1[[#This Row],[City, State]]=Table2[Offices Matched]),0)),"")</f>
        <v>7th Year: $300K</v>
      </c>
      <c r="P203" s="50" t="str">
        <f>IFERROR(RIGHT(Table1[[#This Row],[Nth year]],LEN(Table1[[#This Row],[Nth year]])-FIND(":",Table1[[#This Row],[Nth year]])-1),"")</f>
        <v>$300K</v>
      </c>
      <c r="Q203" s="50" t="str">
        <f t="array" ref="Q203">IFERROR(INDEX(Table2[Am Law 200 PPP Rank ’16],MATCH(1,(Table1[[#This Row],[Employer]]=Table2[EIW Name])*(Table1[[#This Row],[City, State]]=Table2[Offices Matched]),0)),"")</f>
        <v>32: $1.99M</v>
      </c>
      <c r="R203" s="50" t="str">
        <f>IFERROR(LEFT(Table1[[#This Row],[Am Law 200 PPP Rank ’16]],FIND(":",Table1[[#This Row],[Am Law 200 PPP Rank ’16]])-1),"")</f>
        <v>32</v>
      </c>
      <c r="S203" s="50">
        <f>IFERROR(INDEX(VaultRank[Rank],MATCH(Table1[[#This Row],[Employer]],VaultRank[EIW Name],0)),"")</f>
        <v>32</v>
      </c>
      <c r="T203" s="50" t="str">
        <f t="array" ref="T203">IFERROR(INDEX(Table2[Summers Matched],MATCH(1,(Table1[[#This Row],[Employer]]=Table2[EIW Name])*(Table1[[#This Row],[City, State]]=Table2[Offices Matched]),0)),"")</f>
        <v>Yes</v>
      </c>
      <c r="U203" s="52" t="str">
        <f t="shared" si="3"/>
        <v/>
      </c>
      <c r="V203" s="60"/>
      <c r="W203" s="114">
        <v>42592</v>
      </c>
      <c r="X203"/>
    </row>
    <row r="204" spans="1:24" ht="14.1" customHeight="1">
      <c r="A204" s="45" t="s">
        <v>424</v>
      </c>
      <c r="B204" s="45" t="s">
        <v>367</v>
      </c>
      <c r="C204" s="45" t="s">
        <v>368</v>
      </c>
      <c r="D204" s="45" t="str">
        <f>Table1[[#This Row],[City]]&amp;", "&amp;Table1[[#This Row],[State]]</f>
        <v>Boston, MA</v>
      </c>
      <c r="E204" s="49">
        <v>188</v>
      </c>
      <c r="F204" s="50">
        <v>6</v>
      </c>
      <c r="G204" s="50" t="str">
        <f t="array" ref="G204">IFERROR(INDEX(Table2[1st Year],MATCH(1,(Table1[[#This Row],[Employer]]=Table2[EIW Name])*(Table1[[#This Row],[City, State]]=Table2[Offices Matched]),0)),"")</f>
        <v/>
      </c>
      <c r="H204" s="50" t="str">
        <f>_xlfn.IFNA(INDEX(saCAGR[CAGR],MATCH(Table1[[#This Row],[Employer]],saCAGR[EIW Name],0)),"")</f>
        <v/>
      </c>
      <c r="I204" s="50" t="str">
        <f>IFERROR(Table1[[#This Row],[SA CAGR]]*Table1[[#This Row],[Number of Summer 2016 2L SAs]],"")</f>
        <v/>
      </c>
      <c r="J204" s="50">
        <v>0</v>
      </c>
      <c r="K204" s="51">
        <f>IFERROR(Table1[[#This Row],[Number of Summer 2016 NYU 2L SAs]]/Table1[[#This Row],[Interview Slots]],0)</f>
        <v>0</v>
      </c>
      <c r="L204" s="51">
        <f>Table1[[#This Row],[Number of Summer 2016 2L SAs]]/Table1[[#This Row],[Interview Slots]]</f>
        <v>3.1914893617021274E-2</v>
      </c>
      <c r="M204" s="51">
        <f>IFERROR(Table1[[#This Row],[Number of Summer 2016 NYU 2L SAs]]/Table1[[#This Row],[Number of Summer 2016 2L SAs]],0)</f>
        <v>0</v>
      </c>
      <c r="N204" s="50" t="str">
        <f>IFERROR(RIGHT(Table1[[#This Row],[1st year]],LEN(Table1[[#This Row],[1st year]])-FIND(":",Table1[[#This Row],[1st year]])-1),"")</f>
        <v/>
      </c>
      <c r="O204" s="50" t="str">
        <f t="array" ref="O204">IFERROR(INDEX(Table2[Nth year],MATCH(1,(Table1[[#This Row],[Employer]]=Table2[EIW Name])*(Table1[[#This Row],[City, State]]=Table2[Offices Matched]),0)),"")</f>
        <v/>
      </c>
      <c r="P204" s="50" t="str">
        <f>IFERROR(RIGHT(Table1[[#This Row],[Nth year]],LEN(Table1[[#This Row],[Nth year]])-FIND(":",Table1[[#This Row],[Nth year]])-1),"")</f>
        <v/>
      </c>
      <c r="Q204" s="50" t="str">
        <f t="array" ref="Q204">IFERROR(INDEX(Table2[Am Law 200 PPP Rank ’16],MATCH(1,(Table1[[#This Row],[Employer]]=Table2[EIW Name])*(Table1[[#This Row],[City, State]]=Table2[Offices Matched]),0)),"")</f>
        <v/>
      </c>
      <c r="R204" s="50" t="str">
        <f>IFERROR(LEFT(Table1[[#This Row],[Am Law 200 PPP Rank ’16]],FIND(":",Table1[[#This Row],[Am Law 200 PPP Rank ’16]])-1),"")</f>
        <v/>
      </c>
      <c r="S204" s="50" t="str">
        <f>IFERROR(INDEX(VaultRank[Rank],MATCH(Table1[[#This Row],[Employer]],VaultRank[EIW Name],0)),"")</f>
        <v/>
      </c>
      <c r="T204" s="50" t="str">
        <f t="array" ref="T204">IFERROR(INDEX(Table2[Summers Matched],MATCH(1,(Table1[[#This Row],[Employer]]=Table2[EIW Name])*(Table1[[#This Row],[City, State]]=Table2[Offices Matched]),0)),"")</f>
        <v/>
      </c>
      <c r="U204" s="52" t="str">
        <f t="shared" si="3"/>
        <v/>
      </c>
      <c r="V204" s="60"/>
      <c r="W204" s="114">
        <v>42592</v>
      </c>
      <c r="X204"/>
    </row>
    <row r="205" spans="1:24" ht="14.1" customHeight="1">
      <c r="A205" s="45" t="s">
        <v>128</v>
      </c>
      <c r="B205" s="45" t="s">
        <v>364</v>
      </c>
      <c r="C205" s="45" t="s">
        <v>362</v>
      </c>
      <c r="D205" s="45" t="str">
        <f>Table1[[#This Row],[City]]&amp;", "&amp;Table1[[#This Row],[State]]</f>
        <v>New York, NY</v>
      </c>
      <c r="E205" s="49">
        <v>119</v>
      </c>
      <c r="F205" s="50">
        <v>9</v>
      </c>
      <c r="G205" s="50" t="str">
        <f t="array" ref="G205">IFERROR(INDEX(Table2[1st Year],MATCH(1,(Table1[[#This Row],[Employer]]=Table2[EIW Name])*(Table1[[#This Row],[City, State]]=Table2[Offices Matched]),0)),"")</f>
        <v/>
      </c>
      <c r="H205" s="51">
        <f>_xlfn.IFNA(INDEX(saCAGR[CAGR],MATCH(Table1[[#This Row],[Employer]],saCAGR[EIW Name],0)),"")</f>
        <v>1.0141413683723162</v>
      </c>
      <c r="I205" s="50">
        <f>IFERROR(Table1[[#This Row],[SA CAGR]]*Table1[[#This Row],[Number of Summer 2016 2L SAs]],"")</f>
        <v>9.1272723153508455</v>
      </c>
      <c r="J205" s="50">
        <v>2</v>
      </c>
      <c r="K205" s="51">
        <f>IFERROR(Table1[[#This Row],[Number of Summer 2016 NYU 2L SAs]]/Table1[[#This Row],[Interview Slots]],0)</f>
        <v>1.680672268907563E-2</v>
      </c>
      <c r="L205" s="51">
        <f>Table1[[#This Row],[Number of Summer 2016 2L SAs]]/Table1[[#This Row],[Interview Slots]]</f>
        <v>7.5630252100840331E-2</v>
      </c>
      <c r="M205" s="51">
        <f>IFERROR(Table1[[#This Row],[Number of Summer 2016 NYU 2L SAs]]/Table1[[#This Row],[Number of Summer 2016 2L SAs]],0)</f>
        <v>0.22222222222222221</v>
      </c>
      <c r="N205" s="50" t="str">
        <f>IFERROR(RIGHT(Table1[[#This Row],[1st year]],LEN(Table1[[#This Row],[1st year]])-FIND(":",Table1[[#This Row],[1st year]])-1),"")</f>
        <v/>
      </c>
      <c r="O205" s="50" t="str">
        <f t="array" ref="O205">IFERROR(INDEX(Table2[Nth year],MATCH(1,(Table1[[#This Row],[Employer]]=Table2[EIW Name])*(Table1[[#This Row],[City, State]]=Table2[Offices Matched]),0)),"")</f>
        <v>Level 4: $305K</v>
      </c>
      <c r="P205" s="50" t="str">
        <f>IFERROR(RIGHT(Table1[[#This Row],[Nth year]],LEN(Table1[[#This Row],[Nth year]])-FIND(":",Table1[[#This Row],[Nth year]])-1),"")</f>
        <v>$305K</v>
      </c>
      <c r="Q205" s="50" t="str">
        <f t="array" ref="Q205">IFERROR(INDEX(Table2[Am Law 200 PPP Rank ’16],MATCH(1,(Table1[[#This Row],[Employer]]=Table2[EIW Name])*(Table1[[#This Row],[City, State]]=Table2[Offices Matched]),0)),"")</f>
        <v>44: $1.81M</v>
      </c>
      <c r="R205" s="50" t="str">
        <f>IFERROR(LEFT(Table1[[#This Row],[Am Law 200 PPP Rank ’16]],FIND(":",Table1[[#This Row],[Am Law 200 PPP Rank ’16]])-1),"")</f>
        <v>44</v>
      </c>
      <c r="S205" s="50">
        <f>IFERROR(INDEX(VaultRank[Rank],MATCH(Table1[[#This Row],[Employer]],VaultRank[EIW Name],0)),"")</f>
        <v>44</v>
      </c>
      <c r="T205" s="50" t="str">
        <f t="array" ref="T205">IFERROR(INDEX(Table2[Summers Matched],MATCH(1,(Table1[[#This Row],[Employer]]=Table2[EIW Name])*(Table1[[#This Row],[City, State]]=Table2[Offices Matched]),0)),"")</f>
        <v>Yes</v>
      </c>
      <c r="U205" s="52" t="str">
        <f t="shared" si="3"/>
        <v/>
      </c>
      <c r="V205" s="60"/>
      <c r="W205" s="114">
        <v>42595</v>
      </c>
      <c r="X205"/>
    </row>
    <row r="206" spans="1:24" ht="14.1" customHeight="1">
      <c r="A206" s="45" t="s">
        <v>272</v>
      </c>
      <c r="B206" s="45" t="s">
        <v>299</v>
      </c>
      <c r="C206" s="45" t="s">
        <v>300</v>
      </c>
      <c r="D206" s="45" t="str">
        <f>Table1[[#This Row],[City]]&amp;", "&amp;Table1[[#This Row],[State]]</f>
        <v>Los Angeles, CA</v>
      </c>
      <c r="E206" s="49">
        <v>63</v>
      </c>
      <c r="F206" s="50">
        <v>5</v>
      </c>
      <c r="G206" s="50" t="str">
        <f t="array" ref="G206">IFERROR(INDEX(Table2[1st Year],MATCH(1,(Table1[[#This Row],[Employer]]=Table2[EIW Name])*(Table1[[#This Row],[City, State]]=Table2[Offices Matched]),0)),"")</f>
        <v/>
      </c>
      <c r="H206" s="50">
        <f>_xlfn.IFNA(INDEX(saCAGR[CAGR],MATCH(Table1[[#This Row],[Employer]],saCAGR[EIW Name],0)),"")</f>
        <v>1.0180960664634566</v>
      </c>
      <c r="I206" s="50">
        <f>IFERROR(Table1[[#This Row],[SA CAGR]]*Table1[[#This Row],[Number of Summer 2016 2L SAs]],"")</f>
        <v>5.0904803323172834</v>
      </c>
      <c r="J206" s="50">
        <v>0</v>
      </c>
      <c r="K206" s="51">
        <f>IFERROR(Table1[[#This Row],[Number of Summer 2016 NYU 2L SAs]]/Table1[[#This Row],[Interview Slots]],0)</f>
        <v>0</v>
      </c>
      <c r="L206" s="51">
        <f>Table1[[#This Row],[Number of Summer 2016 2L SAs]]/Table1[[#This Row],[Interview Slots]]</f>
        <v>7.9365079365079361E-2</v>
      </c>
      <c r="M206" s="51">
        <f>IFERROR(Table1[[#This Row],[Number of Summer 2016 NYU 2L SAs]]/Table1[[#This Row],[Number of Summer 2016 2L SAs]],0)</f>
        <v>0</v>
      </c>
      <c r="N206" s="50" t="str">
        <f>IFERROR(RIGHT(Table1[[#This Row],[1st year]],LEN(Table1[[#This Row],[1st year]])-FIND(":",Table1[[#This Row],[1st year]])-1),"")</f>
        <v/>
      </c>
      <c r="O206" s="50" t="str">
        <f t="array" ref="O206">IFERROR(INDEX(Table2[Nth year],MATCH(1,(Table1[[#This Row],[Employer]]=Table2[EIW Name])*(Table1[[#This Row],[City, State]]=Table2[Offices Matched]),0)),"")</f>
        <v/>
      </c>
      <c r="P206" s="50" t="str">
        <f>IFERROR(RIGHT(Table1[[#This Row],[Nth year]],LEN(Table1[[#This Row],[Nth year]])-FIND(":",Table1[[#This Row],[Nth year]])-1),"")</f>
        <v/>
      </c>
      <c r="Q206" s="50" t="str">
        <f t="array" ref="Q206">IFERROR(INDEX(Table2[Am Law 200 PPP Rank ’16],MATCH(1,(Table1[[#This Row],[Employer]]=Table2[EIW Name])*(Table1[[#This Row],[City, State]]=Table2[Offices Matched]),0)),"")</f>
        <v/>
      </c>
      <c r="R206" s="50" t="str">
        <f>IFERROR(LEFT(Table1[[#This Row],[Am Law 200 PPP Rank ’16]],FIND(":",Table1[[#This Row],[Am Law 200 PPP Rank ’16]])-1),"")</f>
        <v/>
      </c>
      <c r="S206" s="50">
        <f>IFERROR(INDEX(VaultRank[Rank],MATCH(Table1[[#This Row],[Employer]],VaultRank[EIW Name],0)),"")</f>
        <v>52</v>
      </c>
      <c r="T206" s="50" t="str">
        <f t="array" ref="T206">IFERROR(INDEX(Table2[Summers Matched],MATCH(1,(Table1[[#This Row],[Employer]]=Table2[EIW Name])*(Table1[[#This Row],[City, State]]=Table2[Offices Matched]),0)),"")</f>
        <v/>
      </c>
      <c r="U206" s="52" t="str">
        <f t="shared" si="3"/>
        <v/>
      </c>
      <c r="V206" s="60"/>
      <c r="W206" s="114">
        <v>42592</v>
      </c>
      <c r="X206"/>
    </row>
    <row r="207" spans="1:24" ht="14.1" customHeight="1">
      <c r="A207" s="45" t="s">
        <v>272</v>
      </c>
      <c r="B207" s="45" t="s">
        <v>316</v>
      </c>
      <c r="C207" s="45" t="s">
        <v>300</v>
      </c>
      <c r="D207" s="45" t="str">
        <f>Table1[[#This Row],[City]]&amp;", "&amp;Table1[[#This Row],[State]]</f>
        <v>San Francisco, CA</v>
      </c>
      <c r="E207" s="49">
        <v>55</v>
      </c>
      <c r="F207" s="50">
        <v>0</v>
      </c>
      <c r="G207" s="50" t="str">
        <f t="array" ref="G207">IFERROR(INDEX(Table2[1st Year],MATCH(1,(Table1[[#This Row],[Employer]]=Table2[EIW Name])*(Table1[[#This Row],[City, State]]=Table2[Offices Matched]),0)),"")</f>
        <v/>
      </c>
      <c r="H207" s="50">
        <f>_xlfn.IFNA(INDEX(saCAGR[CAGR],MATCH(Table1[[#This Row],[Employer]],saCAGR[EIW Name],0)),"")</f>
        <v>1.0180960664634566</v>
      </c>
      <c r="I207" s="50">
        <f>IFERROR(Table1[[#This Row],[SA CAGR]]*Table1[[#This Row],[Number of Summer 2016 2L SAs]],"")</f>
        <v>0</v>
      </c>
      <c r="J207" s="50">
        <v>15</v>
      </c>
      <c r="K207" s="51">
        <f>IFERROR(Table1[[#This Row],[Number of Summer 2016 NYU 2L SAs]]/Table1[[#This Row],[Interview Slots]],0)</f>
        <v>0.27272727272727271</v>
      </c>
      <c r="L207" s="51">
        <f>Table1[[#This Row],[Number of Summer 2016 2L SAs]]/Table1[[#This Row],[Interview Slots]]</f>
        <v>0</v>
      </c>
      <c r="M207" s="51">
        <f>IFERROR(Table1[[#This Row],[Number of Summer 2016 NYU 2L SAs]]/Table1[[#This Row],[Number of Summer 2016 2L SAs]],0)</f>
        <v>0</v>
      </c>
      <c r="N207" s="50" t="str">
        <f>IFERROR(RIGHT(Table1[[#This Row],[1st year]],LEN(Table1[[#This Row],[1st year]])-FIND(":",Table1[[#This Row],[1st year]])-1),"")</f>
        <v/>
      </c>
      <c r="O207" s="50" t="str">
        <f t="array" ref="O207">IFERROR(INDEX(Table2[Nth year],MATCH(1,(Table1[[#This Row],[Employer]]=Table2[EIW Name])*(Table1[[#This Row],[City, State]]=Table2[Offices Matched]),0)),"")</f>
        <v/>
      </c>
      <c r="P207" s="50" t="str">
        <f>IFERROR(RIGHT(Table1[[#This Row],[Nth year]],LEN(Table1[[#This Row],[Nth year]])-FIND(":",Table1[[#This Row],[Nth year]])-1),"")</f>
        <v/>
      </c>
      <c r="Q207" s="50" t="str">
        <f t="array" ref="Q207">IFERROR(INDEX(Table2[Am Law 200 PPP Rank ’16],MATCH(1,(Table1[[#This Row],[Employer]]=Table2[EIW Name])*(Table1[[#This Row],[City, State]]=Table2[Offices Matched]),0)),"")</f>
        <v/>
      </c>
      <c r="R207" s="50" t="str">
        <f>IFERROR(LEFT(Table1[[#This Row],[Am Law 200 PPP Rank ’16]],FIND(":",Table1[[#This Row],[Am Law 200 PPP Rank ’16]])-1),"")</f>
        <v/>
      </c>
      <c r="S207" s="50">
        <f>IFERROR(INDEX(VaultRank[Rank],MATCH(Table1[[#This Row],[Employer]],VaultRank[EIW Name],0)),"")</f>
        <v>52</v>
      </c>
      <c r="T207" s="50" t="str">
        <f t="array" ref="T207">IFERROR(INDEX(Table2[Summers Matched],MATCH(1,(Table1[[#This Row],[Employer]]=Table2[EIW Name])*(Table1[[#This Row],[City, State]]=Table2[Offices Matched]),0)),"")</f>
        <v/>
      </c>
      <c r="U207" s="52">
        <f t="shared" si="3"/>
        <v>3.6</v>
      </c>
      <c r="V207" s="60"/>
      <c r="W207" s="114">
        <v>42594</v>
      </c>
      <c r="X207"/>
    </row>
    <row r="208" spans="1:24" ht="14.1" customHeight="1">
      <c r="A208" s="45" t="s">
        <v>272</v>
      </c>
      <c r="B208" s="45" t="s">
        <v>337</v>
      </c>
      <c r="C208" s="45" t="s">
        <v>324</v>
      </c>
      <c r="D208" s="45" t="str">
        <f>Table1[[#This Row],[City]]&amp;", "&amp;Table1[[#This Row],[State]]</f>
        <v>Miami, FL</v>
      </c>
      <c r="E208" s="49">
        <v>107</v>
      </c>
      <c r="F208" s="50">
        <v>8</v>
      </c>
      <c r="G208" s="50" t="str">
        <f t="array" ref="G208">IFERROR(INDEX(Table2[1st Year],MATCH(1,(Table1[[#This Row],[Employer]]=Table2[EIW Name])*(Table1[[#This Row],[City, State]]=Table2[Offices Matched]),0)),"")</f>
        <v/>
      </c>
      <c r="H208" s="50">
        <f>_xlfn.IFNA(INDEX(saCAGR[CAGR],MATCH(Table1[[#This Row],[Employer]],saCAGR[EIW Name],0)),"")</f>
        <v>1.0180960664634566</v>
      </c>
      <c r="I208" s="50">
        <f>IFERROR(Table1[[#This Row],[SA CAGR]]*Table1[[#This Row],[Number of Summer 2016 2L SAs]],"")</f>
        <v>8.144768531707653</v>
      </c>
      <c r="J208" s="50">
        <v>6</v>
      </c>
      <c r="K208" s="51">
        <f>IFERROR(Table1[[#This Row],[Number of Summer 2016 NYU 2L SAs]]/Table1[[#This Row],[Interview Slots]],0)</f>
        <v>5.6074766355140186E-2</v>
      </c>
      <c r="L208" s="51">
        <f>Table1[[#This Row],[Number of Summer 2016 2L SAs]]/Table1[[#This Row],[Interview Slots]]</f>
        <v>7.476635514018691E-2</v>
      </c>
      <c r="M208" s="51">
        <f>IFERROR(Table1[[#This Row],[Number of Summer 2016 NYU 2L SAs]]/Table1[[#This Row],[Number of Summer 2016 2L SAs]],0)</f>
        <v>0.75</v>
      </c>
      <c r="N208" s="50" t="str">
        <f>IFERROR(RIGHT(Table1[[#This Row],[1st year]],LEN(Table1[[#This Row],[1st year]])-FIND(":",Table1[[#This Row],[1st year]])-1),"")</f>
        <v/>
      </c>
      <c r="O208" s="50" t="str">
        <f t="array" ref="O208">IFERROR(INDEX(Table2[Nth year],MATCH(1,(Table1[[#This Row],[Employer]]=Table2[EIW Name])*(Table1[[#This Row],[City, State]]=Table2[Offices Matched]),0)),"")</f>
        <v/>
      </c>
      <c r="P208" s="50" t="str">
        <f>IFERROR(RIGHT(Table1[[#This Row],[Nth year]],LEN(Table1[[#This Row],[Nth year]])-FIND(":",Table1[[#This Row],[Nth year]])-1),"")</f>
        <v/>
      </c>
      <c r="Q208" s="50" t="str">
        <f t="array" ref="Q208">IFERROR(INDEX(Table2[Am Law 200 PPP Rank ’16],MATCH(1,(Table1[[#This Row],[Employer]]=Table2[EIW Name])*(Table1[[#This Row],[City, State]]=Table2[Offices Matched]),0)),"")</f>
        <v/>
      </c>
      <c r="R208" s="50" t="str">
        <f>IFERROR(LEFT(Table1[[#This Row],[Am Law 200 PPP Rank ’16]],FIND(":",Table1[[#This Row],[Am Law 200 PPP Rank ’16]])-1),"")</f>
        <v/>
      </c>
      <c r="S208" s="50">
        <f>IFERROR(INDEX(VaultRank[Rank],MATCH(Table1[[#This Row],[Employer]],VaultRank[EIW Name],0)),"")</f>
        <v>52</v>
      </c>
      <c r="T208" s="50" t="str">
        <f t="array" ref="T208">IFERROR(INDEX(Table2[Summers Matched],MATCH(1,(Table1[[#This Row],[Employer]]=Table2[EIW Name])*(Table1[[#This Row],[City, State]]=Table2[Offices Matched]),0)),"")</f>
        <v/>
      </c>
      <c r="U208" s="52">
        <f t="shared" si="3"/>
        <v>3.4</v>
      </c>
      <c r="V208" s="60"/>
      <c r="W208" s="114">
        <v>42592</v>
      </c>
      <c r="X208"/>
    </row>
    <row r="209" spans="1:24" ht="14.1" customHeight="1">
      <c r="A209" s="45" t="s">
        <v>272</v>
      </c>
      <c r="B209" s="45" t="s">
        <v>308</v>
      </c>
      <c r="C209" s="45" t="s">
        <v>309</v>
      </c>
      <c r="D209" s="45" t="str">
        <f>Table1[[#This Row],[City]]&amp;", "&amp;Table1[[#This Row],[State]]</f>
        <v>Atlanta, GA</v>
      </c>
      <c r="E209" s="49">
        <v>166</v>
      </c>
      <c r="F209" s="50">
        <v>4</v>
      </c>
      <c r="G209" s="50" t="str">
        <f t="array" ref="G209">IFERROR(INDEX(Table2[1st Year],MATCH(1,(Table1[[#This Row],[Employer]]=Table2[EIW Name])*(Table1[[#This Row],[City, State]]=Table2[Offices Matched]),0)),"")</f>
        <v/>
      </c>
      <c r="H209" s="50">
        <f>_xlfn.IFNA(INDEX(saCAGR[CAGR],MATCH(Table1[[#This Row],[Employer]],saCAGR[EIW Name],0)),"")</f>
        <v>1.0180960664634566</v>
      </c>
      <c r="I209" s="50">
        <f>IFERROR(Table1[[#This Row],[SA CAGR]]*Table1[[#This Row],[Number of Summer 2016 2L SAs]],"")</f>
        <v>4.0723842658538265</v>
      </c>
      <c r="J209" s="50">
        <v>2</v>
      </c>
      <c r="K209" s="51">
        <f>IFERROR(Table1[[#This Row],[Number of Summer 2016 NYU 2L SAs]]/Table1[[#This Row],[Interview Slots]],0)</f>
        <v>1.2048192771084338E-2</v>
      </c>
      <c r="L209" s="51">
        <f>Table1[[#This Row],[Number of Summer 2016 2L SAs]]/Table1[[#This Row],[Interview Slots]]</f>
        <v>2.4096385542168676E-2</v>
      </c>
      <c r="M209" s="51">
        <f>IFERROR(Table1[[#This Row],[Number of Summer 2016 NYU 2L SAs]]/Table1[[#This Row],[Number of Summer 2016 2L SAs]],0)</f>
        <v>0.5</v>
      </c>
      <c r="N209" s="50" t="str">
        <f>IFERROR(RIGHT(Table1[[#This Row],[1st year]],LEN(Table1[[#This Row],[1st year]])-FIND(":",Table1[[#This Row],[1st year]])-1),"")</f>
        <v/>
      </c>
      <c r="O209" s="50" t="str">
        <f t="array" ref="O209">IFERROR(INDEX(Table2[Nth year],MATCH(1,(Table1[[#This Row],[Employer]]=Table2[EIW Name])*(Table1[[#This Row],[City, State]]=Table2[Offices Matched]),0)),"")</f>
        <v/>
      </c>
      <c r="P209" s="50" t="str">
        <f>IFERROR(RIGHT(Table1[[#This Row],[Nth year]],LEN(Table1[[#This Row],[Nth year]])-FIND(":",Table1[[#This Row],[Nth year]])-1),"")</f>
        <v/>
      </c>
      <c r="Q209" s="50" t="str">
        <f t="array" ref="Q209">IFERROR(INDEX(Table2[Am Law 200 PPP Rank ’16],MATCH(1,(Table1[[#This Row],[Employer]]=Table2[EIW Name])*(Table1[[#This Row],[City, State]]=Table2[Offices Matched]),0)),"")</f>
        <v/>
      </c>
      <c r="R209" s="50" t="str">
        <f>IFERROR(LEFT(Table1[[#This Row],[Am Law 200 PPP Rank ’16]],FIND(":",Table1[[#This Row],[Am Law 200 PPP Rank ’16]])-1),"")</f>
        <v/>
      </c>
      <c r="S209" s="50">
        <f>IFERROR(INDEX(VaultRank[Rank],MATCH(Table1[[#This Row],[Employer]],VaultRank[EIW Name],0)),"")</f>
        <v>52</v>
      </c>
      <c r="T209" s="50" t="str">
        <f t="array" ref="T209">IFERROR(INDEX(Table2[Summers Matched],MATCH(1,(Table1[[#This Row],[Employer]]=Table2[EIW Name])*(Table1[[#This Row],[City, State]]=Table2[Offices Matched]),0)),"")</f>
        <v/>
      </c>
      <c r="U209" s="52" t="str">
        <f t="shared" si="3"/>
        <v/>
      </c>
      <c r="V209" s="60"/>
      <c r="W209" s="114">
        <v>42593</v>
      </c>
      <c r="X209"/>
    </row>
    <row r="210" spans="1:24" ht="14.1" customHeight="1">
      <c r="A210" s="45" t="s">
        <v>272</v>
      </c>
      <c r="B210" s="45" t="s">
        <v>338</v>
      </c>
      <c r="C210" s="45" t="s">
        <v>314</v>
      </c>
      <c r="D210" s="45" t="str">
        <f>Table1[[#This Row],[City]]&amp;", "&amp;Table1[[#This Row],[State]]</f>
        <v>Austin, TX</v>
      </c>
      <c r="E210" s="49">
        <v>97</v>
      </c>
      <c r="F210" s="50">
        <v>0</v>
      </c>
      <c r="G210" s="50" t="str">
        <f t="array" ref="G210">IFERROR(INDEX(Table2[1st Year],MATCH(1,(Table1[[#This Row],[Employer]]=Table2[EIW Name])*(Table1[[#This Row],[City, State]]=Table2[Offices Matched]),0)),"")</f>
        <v/>
      </c>
      <c r="H210" s="50">
        <f>_xlfn.IFNA(INDEX(saCAGR[CAGR],MATCH(Table1[[#This Row],[Employer]],saCAGR[EIW Name],0)),"")</f>
        <v>1.0180960664634566</v>
      </c>
      <c r="I210" s="50">
        <f>IFERROR(Table1[[#This Row],[SA CAGR]]*Table1[[#This Row],[Number of Summer 2016 2L SAs]],"")</f>
        <v>0</v>
      </c>
      <c r="J210" s="50">
        <v>25</v>
      </c>
      <c r="K210" s="51">
        <f>IFERROR(Table1[[#This Row],[Number of Summer 2016 NYU 2L SAs]]/Table1[[#This Row],[Interview Slots]],0)</f>
        <v>0.25773195876288657</v>
      </c>
      <c r="L210" s="51">
        <f>Table1[[#This Row],[Number of Summer 2016 2L SAs]]/Table1[[#This Row],[Interview Slots]]</f>
        <v>0</v>
      </c>
      <c r="M210" s="51">
        <f>IFERROR(Table1[[#This Row],[Number of Summer 2016 NYU 2L SAs]]/Table1[[#This Row],[Number of Summer 2016 2L SAs]],0)</f>
        <v>0</v>
      </c>
      <c r="N210" s="50" t="str">
        <f>IFERROR(RIGHT(Table1[[#This Row],[1st year]],LEN(Table1[[#This Row],[1st year]])-FIND(":",Table1[[#This Row],[1st year]])-1),"")</f>
        <v/>
      </c>
      <c r="O210" s="50" t="str">
        <f t="array" ref="O210">IFERROR(INDEX(Table2[Nth year],MATCH(1,(Table1[[#This Row],[Employer]]=Table2[EIW Name])*(Table1[[#This Row],[City, State]]=Table2[Offices Matched]),0)),"")</f>
        <v/>
      </c>
      <c r="P210" s="50" t="str">
        <f>IFERROR(RIGHT(Table1[[#This Row],[Nth year]],LEN(Table1[[#This Row],[Nth year]])-FIND(":",Table1[[#This Row],[Nth year]])-1),"")</f>
        <v/>
      </c>
      <c r="Q210" s="50" t="str">
        <f t="array" ref="Q210">IFERROR(INDEX(Table2[Am Law 200 PPP Rank ’16],MATCH(1,(Table1[[#This Row],[Employer]]=Table2[EIW Name])*(Table1[[#This Row],[City, State]]=Table2[Offices Matched]),0)),"")</f>
        <v/>
      </c>
      <c r="R210" s="50" t="str">
        <f>IFERROR(LEFT(Table1[[#This Row],[Am Law 200 PPP Rank ’16]],FIND(":",Table1[[#This Row],[Am Law 200 PPP Rank ’16]])-1),"")</f>
        <v/>
      </c>
      <c r="S210" s="50">
        <f>IFERROR(INDEX(VaultRank[Rank],MATCH(Table1[[#This Row],[Employer]],VaultRank[EIW Name],0)),"")</f>
        <v>52</v>
      </c>
      <c r="T210" s="50" t="str">
        <f t="array" ref="T210">IFERROR(INDEX(Table2[Summers Matched],MATCH(1,(Table1[[#This Row],[Employer]]=Table2[EIW Name])*(Table1[[#This Row],[City, State]]=Table2[Offices Matched]),0)),"")</f>
        <v/>
      </c>
      <c r="U210" s="52" t="str">
        <f t="shared" si="3"/>
        <v/>
      </c>
      <c r="V210" s="60"/>
      <c r="W210" s="114">
        <v>42595</v>
      </c>
      <c r="X210"/>
    </row>
    <row r="211" spans="1:24" ht="14.1" customHeight="1">
      <c r="A211" s="45" t="s">
        <v>420</v>
      </c>
      <c r="B211" s="45" t="s">
        <v>364</v>
      </c>
      <c r="C211" s="45" t="s">
        <v>362</v>
      </c>
      <c r="D211" s="45" t="str">
        <f>Table1[[#This Row],[City]]&amp;", "&amp;Table1[[#This Row],[State]]</f>
        <v>New York, NY</v>
      </c>
      <c r="E211" s="49">
        <v>2</v>
      </c>
      <c r="F211" s="50">
        <v>58</v>
      </c>
      <c r="G211" s="50" t="str">
        <f t="array" ref="G211">IFERROR(INDEX(Table2[1st Year],MATCH(1,(Table1[[#This Row],[Employer]]=Table2[EIW Name])*(Table1[[#This Row],[City, State]]=Table2[Offices Matched]),0)),"")</f>
        <v>1st Year: $180K</v>
      </c>
      <c r="H211" s="51">
        <f>_xlfn.IFNA(INDEX(saCAGR[CAGR],MATCH(Table1[[#This Row],[Employer]],saCAGR[EIW Name],0)),"")</f>
        <v>1.0147370230534885</v>
      </c>
      <c r="I211" s="50">
        <f>IFERROR(Table1[[#This Row],[SA CAGR]]*Table1[[#This Row],[Number of Summer 2016 2L SAs]],"")</f>
        <v>58.854747337102332</v>
      </c>
      <c r="J211" s="50">
        <v>24</v>
      </c>
      <c r="K211" s="51">
        <f>IFERROR(Table1[[#This Row],[Number of Summer 2016 NYU 2L SAs]]/Table1[[#This Row],[Interview Slots]],0)</f>
        <v>12</v>
      </c>
      <c r="L211" s="51">
        <f>Table1[[#This Row],[Number of Summer 2016 2L SAs]]/Table1[[#This Row],[Interview Slots]]</f>
        <v>29</v>
      </c>
      <c r="M211" s="51">
        <f>IFERROR(Table1[[#This Row],[Number of Summer 2016 NYU 2L SAs]]/Table1[[#This Row],[Number of Summer 2016 2L SAs]],0)</f>
        <v>0.41379310344827586</v>
      </c>
      <c r="N211" s="50" t="str">
        <f>IFERROR(RIGHT(Table1[[#This Row],[1st year]],LEN(Table1[[#This Row],[1st year]])-FIND(":",Table1[[#This Row],[1st year]])-1),"")</f>
        <v>$180K</v>
      </c>
      <c r="O211" s="50" t="str">
        <f t="array" ref="O211">IFERROR(INDEX(Table2[Nth year],MATCH(1,(Table1[[#This Row],[Employer]]=Table2[EIW Name])*(Table1[[#This Row],[City, State]]=Table2[Offices Matched]),0)),"")</f>
        <v>8th Year: $315K</v>
      </c>
      <c r="P211" s="50" t="str">
        <f>IFERROR(RIGHT(Table1[[#This Row],[Nth year]],LEN(Table1[[#This Row],[Nth year]])-FIND(":",Table1[[#This Row],[Nth year]])-1),"")</f>
        <v>$315K</v>
      </c>
      <c r="Q211" s="50" t="str">
        <f t="array" ref="Q211">IFERROR(INDEX(Table2[Am Law 200 PPP Rank ’16],MATCH(1,(Table1[[#This Row],[Employer]]=Table2[EIW Name])*(Table1[[#This Row],[City, State]]=Table2[Offices Matched]),0)),"")</f>
        <v>26: $2.21M</v>
      </c>
      <c r="R211" s="50" t="str">
        <f>IFERROR(LEFT(Table1[[#This Row],[Am Law 200 PPP Rank ’16]],FIND(":",Table1[[#This Row],[Am Law 200 PPP Rank ’16]])-1),"")</f>
        <v>26</v>
      </c>
      <c r="S211" s="50">
        <f>IFERROR(INDEX(VaultRank[Rank],MATCH(Table1[[#This Row],[Employer]],VaultRank[EIW Name],0)),"")</f>
        <v>45</v>
      </c>
      <c r="T211" s="50" t="str">
        <f t="array" ref="T211">IFERROR(INDEX(Table2[Summers Matched],MATCH(1,(Table1[[#This Row],[Employer]]=Table2[EIW Name])*(Table1[[#This Row],[City, State]]=Table2[Offices Matched]),0)),"")</f>
        <v>Yes</v>
      </c>
      <c r="U211" s="52" t="str">
        <f t="shared" si="3"/>
        <v/>
      </c>
      <c r="V211" s="60"/>
      <c r="W211" s="114">
        <v>42593</v>
      </c>
      <c r="X211"/>
    </row>
    <row r="212" spans="1:24" ht="14.1" customHeight="1">
      <c r="A212" s="45" t="s">
        <v>425</v>
      </c>
      <c r="B212" s="61" t="s">
        <v>426</v>
      </c>
      <c r="C212" s="61" t="s">
        <v>300</v>
      </c>
      <c r="D212" s="61" t="str">
        <f>Table1[[#This Row],[City]]&amp;", "&amp;Table1[[#This Row],[State]]</f>
        <v>Redwood City, CA</v>
      </c>
      <c r="E212" s="63">
        <v>179</v>
      </c>
      <c r="F212" s="50">
        <v>10</v>
      </c>
      <c r="G212" s="50" t="str">
        <f t="array" ref="G212">IFERROR(INDEX(Table2[1st Year],MATCH(1,(Table1[[#This Row],[Employer]]=Table2[EIW Name])*(Table1[[#This Row],[City, State]]=Table2[Offices Matched]),0)),"")</f>
        <v>1st Year: $180K</v>
      </c>
      <c r="H212" s="50" t="str">
        <f>_xlfn.IFNA(INDEX(saCAGR[CAGR],MATCH(Table1[[#This Row],[Employer]],saCAGR[EIW Name],0)),"")</f>
        <v/>
      </c>
      <c r="I212" s="50" t="str">
        <f>IFERROR(Table1[[#This Row],[SA CAGR]]*Table1[[#This Row],[Number of Summer 2016 2L SAs]],"")</f>
        <v/>
      </c>
      <c r="J212" s="50">
        <v>9</v>
      </c>
      <c r="K212" s="51">
        <f>IFERROR(Table1[[#This Row],[Number of Summer 2016 NYU 2L SAs]]/Table1[[#This Row],[Interview Slots]],0)</f>
        <v>5.027932960893855E-2</v>
      </c>
      <c r="L212" s="51">
        <f>Table1[[#This Row],[Number of Summer 2016 2L SAs]]/Table1[[#This Row],[Interview Slots]]</f>
        <v>5.5865921787709494E-2</v>
      </c>
      <c r="M212" s="51">
        <f>IFERROR(Table1[[#This Row],[Number of Summer 2016 NYU 2L SAs]]/Table1[[#This Row],[Number of Summer 2016 2L SAs]],0)</f>
        <v>0.9</v>
      </c>
      <c r="N212" s="50" t="str">
        <f>IFERROR(RIGHT(Table1[[#This Row],[1st year]],LEN(Table1[[#This Row],[1st year]])-FIND(":",Table1[[#This Row],[1st year]])-1),"")</f>
        <v>$180K</v>
      </c>
      <c r="O212" s="50" t="str">
        <f t="array" ref="O212">IFERROR(INDEX(Table2[Nth year],MATCH(1,(Table1[[#This Row],[Employer]]=Table2[EIW Name])*(Table1[[#This Row],[City, State]]=Table2[Offices Matched]),0)),"")</f>
        <v>8th Year: $315K</v>
      </c>
      <c r="P212" s="50" t="str">
        <f>IFERROR(RIGHT(Table1[[#This Row],[Nth year]],LEN(Table1[[#This Row],[Nth year]])-FIND(":",Table1[[#This Row],[Nth year]])-1),"")</f>
        <v>$315K</v>
      </c>
      <c r="Q212" s="50" t="str">
        <f t="array" ref="Q212">IFERROR(INDEX(Table2[Am Law 200 PPP Rank ’16],MATCH(1,(Table1[[#This Row],[Employer]]=Table2[EIW Name])*(Table1[[#This Row],[City, State]]=Table2[Offices Matched]),0)),"")</f>
        <v>N/A</v>
      </c>
      <c r="R212" s="50" t="str">
        <f>IFERROR(LEFT(Table1[[#This Row],[Am Law 200 PPP Rank ’16]],FIND(":",Table1[[#This Row],[Am Law 200 PPP Rank ’16]])-1),"")</f>
        <v/>
      </c>
      <c r="S212" s="50" t="str">
        <f>IFERROR(INDEX(VaultRank[Rank],MATCH(Table1[[#This Row],[Employer]],VaultRank[EIW Name],0)),"")</f>
        <v/>
      </c>
      <c r="T212" s="50" t="str">
        <f t="array" ref="T212">IFERROR(INDEX(Table2[Summers Matched],MATCH(1,(Table1[[#This Row],[Employer]]=Table2[EIW Name])*(Table1[[#This Row],[City, State]]=Table2[Offices Matched]),0)),"")</f>
        <v>Yes</v>
      </c>
      <c r="U212" s="52" t="str">
        <f t="shared" si="3"/>
        <v/>
      </c>
      <c r="V212" s="60"/>
      <c r="W212" s="114">
        <v>42593</v>
      </c>
      <c r="X212"/>
    </row>
    <row r="213" spans="1:24" ht="14.1" customHeight="1">
      <c r="A213" s="45" t="s">
        <v>425</v>
      </c>
      <c r="B213" s="61" t="s">
        <v>367</v>
      </c>
      <c r="C213" s="61" t="s">
        <v>368</v>
      </c>
      <c r="D213" s="61" t="str">
        <f>Table1[[#This Row],[City]]&amp;", "&amp;Table1[[#This Row],[State]]</f>
        <v>Boston, MA</v>
      </c>
      <c r="E213" s="63">
        <v>132</v>
      </c>
      <c r="F213" s="50">
        <v>4</v>
      </c>
      <c r="G213" s="50" t="str">
        <f t="array" ref="G213">IFERROR(INDEX(Table2[1st Year],MATCH(1,(Table1[[#This Row],[Employer]]=Table2[EIW Name])*(Table1[[#This Row],[City, State]]=Table2[Offices Matched]),0)),"")</f>
        <v>1st Year: $180K</v>
      </c>
      <c r="H213" s="50" t="str">
        <f>_xlfn.IFNA(INDEX(saCAGR[CAGR],MATCH(Table1[[#This Row],[Employer]],saCAGR[EIW Name],0)),"")</f>
        <v/>
      </c>
      <c r="I213" s="50" t="str">
        <f>IFERROR(Table1[[#This Row],[SA CAGR]]*Table1[[#This Row],[Number of Summer 2016 2L SAs]],"")</f>
        <v/>
      </c>
      <c r="J213" s="50">
        <v>14</v>
      </c>
      <c r="K213" s="51">
        <f>IFERROR(Table1[[#This Row],[Number of Summer 2016 NYU 2L SAs]]/Table1[[#This Row],[Interview Slots]],0)</f>
        <v>0.10606060606060606</v>
      </c>
      <c r="L213" s="51">
        <f>Table1[[#This Row],[Number of Summer 2016 2L SAs]]/Table1[[#This Row],[Interview Slots]]</f>
        <v>3.0303030303030304E-2</v>
      </c>
      <c r="M213" s="51">
        <f>IFERROR(Table1[[#This Row],[Number of Summer 2016 NYU 2L SAs]]/Table1[[#This Row],[Number of Summer 2016 2L SAs]],0)</f>
        <v>3.5</v>
      </c>
      <c r="N213" s="50" t="str">
        <f>IFERROR(RIGHT(Table1[[#This Row],[1st year]],LEN(Table1[[#This Row],[1st year]])-FIND(":",Table1[[#This Row],[1st year]])-1),"")</f>
        <v>$180K</v>
      </c>
      <c r="O213" s="50" t="str">
        <f t="array" ref="O213">IFERROR(INDEX(Table2[Nth year],MATCH(1,(Table1[[#This Row],[Employer]]=Table2[EIW Name])*(Table1[[#This Row],[City, State]]=Table2[Offices Matched]),0)),"")</f>
        <v>8th Year: $315K</v>
      </c>
      <c r="P213" s="50" t="str">
        <f>IFERROR(RIGHT(Table1[[#This Row],[Nth year]],LEN(Table1[[#This Row],[Nth year]])-FIND(":",Table1[[#This Row],[Nth year]])-1),"")</f>
        <v>$315K</v>
      </c>
      <c r="Q213" s="50" t="str">
        <f t="array" ref="Q213">IFERROR(INDEX(Table2[Am Law 200 PPP Rank ’16],MATCH(1,(Table1[[#This Row],[Employer]]=Table2[EIW Name])*(Table1[[#This Row],[City, State]]=Table2[Offices Matched]),0)),"")</f>
        <v>N/A</v>
      </c>
      <c r="R213" s="50" t="str">
        <f>IFERROR(LEFT(Table1[[#This Row],[Am Law 200 PPP Rank ’16]],FIND(":",Table1[[#This Row],[Am Law 200 PPP Rank ’16]])-1),"")</f>
        <v/>
      </c>
      <c r="S213" s="50" t="str">
        <f>IFERROR(INDEX(VaultRank[Rank],MATCH(Table1[[#This Row],[Employer]],VaultRank[EIW Name],0)),"")</f>
        <v/>
      </c>
      <c r="T213" s="50" t="str">
        <f t="array" ref="T213">IFERROR(INDEX(Table2[Summers Matched],MATCH(1,(Table1[[#This Row],[Employer]]=Table2[EIW Name])*(Table1[[#This Row],[City, State]]=Table2[Offices Matched]),0)),"")</f>
        <v>Yes</v>
      </c>
      <c r="U213" s="52" t="str">
        <f t="shared" si="3"/>
        <v/>
      </c>
      <c r="V213" s="60"/>
      <c r="W213" s="114">
        <v>42595</v>
      </c>
      <c r="X213"/>
    </row>
    <row r="214" spans="1:24" ht="14.1" customHeight="1">
      <c r="A214" s="45" t="s">
        <v>472</v>
      </c>
      <c r="B214" s="45" t="s">
        <v>364</v>
      </c>
      <c r="C214" s="45" t="s">
        <v>362</v>
      </c>
      <c r="D214" s="45" t="str">
        <f>Table1[[#This Row],[City]]&amp;", "&amp;Table1[[#This Row],[State]]</f>
        <v>New York, NY</v>
      </c>
      <c r="E214" s="49">
        <v>185</v>
      </c>
      <c r="F214" s="50">
        <v>14</v>
      </c>
      <c r="G214" s="50" t="str">
        <f t="array" ref="G214">IFERROR(INDEX(Table2[1st Year],MATCH(1,(Table1[[#This Row],[Employer]]=Table2[EIW Name])*(Table1[[#This Row],[City, State]]=Table2[Offices Matched]),0)),"")</f>
        <v>1st Year: $180K</v>
      </c>
      <c r="H214" s="51">
        <f>_xlfn.IFNA(INDEX(saCAGR[CAGR],MATCH(Table1[[#This Row],[Employer]],saCAGR[EIW Name],0)),"")</f>
        <v>0.99974196327548681</v>
      </c>
      <c r="I214" s="50">
        <f>IFERROR(Table1[[#This Row],[SA CAGR]]*Table1[[#This Row],[Number of Summer 2016 2L SAs]],"")</f>
        <v>13.996387485856815</v>
      </c>
      <c r="J214" s="50">
        <v>0</v>
      </c>
      <c r="K214" s="51">
        <f>IFERROR(Table1[[#This Row],[Number of Summer 2016 NYU 2L SAs]]/Table1[[#This Row],[Interview Slots]],0)</f>
        <v>0</v>
      </c>
      <c r="L214" s="51">
        <f>Table1[[#This Row],[Number of Summer 2016 2L SAs]]/Table1[[#This Row],[Interview Slots]]</f>
        <v>7.567567567567568E-2</v>
      </c>
      <c r="M214" s="51">
        <f>IFERROR(Table1[[#This Row],[Number of Summer 2016 NYU 2L SAs]]/Table1[[#This Row],[Number of Summer 2016 2L SAs]],0)</f>
        <v>0</v>
      </c>
      <c r="N214" s="50" t="str">
        <f>IFERROR(RIGHT(Table1[[#This Row],[1st year]],LEN(Table1[[#This Row],[1st year]])-FIND(":",Table1[[#This Row],[1st year]])-1),"")</f>
        <v>$180K</v>
      </c>
      <c r="O214" s="50" t="str">
        <f t="array" ref="O214">IFERROR(INDEX(Table2[Nth year],MATCH(1,(Table1[[#This Row],[Employer]]=Table2[EIW Name])*(Table1[[#This Row],[City, State]]=Table2[Offices Matched]),0)),"")</f>
        <v>7th Year: $300K</v>
      </c>
      <c r="P214" s="50" t="str">
        <f>IFERROR(RIGHT(Table1[[#This Row],[Nth year]],LEN(Table1[[#This Row],[Nth year]])-FIND(":",Table1[[#This Row],[Nth year]])-1),"")</f>
        <v>$300K</v>
      </c>
      <c r="Q214" s="50" t="str">
        <f t="array" ref="Q214">IFERROR(INDEX(Table2[Am Law 200 PPP Rank ’16],MATCH(1,(Table1[[#This Row],[Employer]]=Table2[EIW Name])*(Table1[[#This Row],[City, State]]=Table2[Offices Matched]),0)),"")</f>
        <v>59: $1.53M</v>
      </c>
      <c r="R214" s="50" t="str">
        <f>IFERROR(LEFT(Table1[[#This Row],[Am Law 200 PPP Rank ’16]],FIND(":",Table1[[#This Row],[Am Law 200 PPP Rank ’16]])-1),"")</f>
        <v>59</v>
      </c>
      <c r="S214" s="50">
        <f>IFERROR(INDEX(VaultRank[Rank],MATCH(Table1[[#This Row],[Employer]],VaultRank[EIW Name],0)),"")</f>
        <v>46</v>
      </c>
      <c r="T214" s="50" t="str">
        <f t="array" ref="T214">IFERROR(INDEX(Table2[Summers Matched],MATCH(1,(Table1[[#This Row],[Employer]]=Table2[EIW Name])*(Table1[[#This Row],[City, State]]=Table2[Offices Matched]),0)),"")</f>
        <v>TBD</v>
      </c>
      <c r="U214" s="52" t="str">
        <f t="shared" si="3"/>
        <v/>
      </c>
      <c r="V214" s="60"/>
      <c r="W214" s="114">
        <v>42592</v>
      </c>
      <c r="X214"/>
    </row>
    <row r="215" spans="1:24" ht="14.1" customHeight="1">
      <c r="A215" s="61" t="s">
        <v>427</v>
      </c>
      <c r="B215" s="61" t="s">
        <v>306</v>
      </c>
      <c r="C215" s="45" t="s">
        <v>609</v>
      </c>
      <c r="D215" s="42" t="str">
        <f>Table1[[#This Row],[City]]&amp;", "&amp;Table1[[#This Row],[State]]</f>
        <v>London, UK</v>
      </c>
      <c r="E215" s="60">
        <v>125</v>
      </c>
      <c r="F215" s="50">
        <v>2</v>
      </c>
      <c r="G215" s="50" t="str">
        <f t="array" ref="G215">IFERROR(INDEX(Table2[1st Year],MATCH(1,(Table1[[#This Row],[Employer]]=Table2[EIW Name])*(Table1[[#This Row],[City, State]]=Table2[Offices Matched]),0)),"")</f>
        <v/>
      </c>
      <c r="H215" s="50" t="str">
        <f>_xlfn.IFNA(INDEX(saCAGR[CAGR],MATCH(Table1[[#This Row],[Employer]],saCAGR[EIW Name],0)),"")</f>
        <v/>
      </c>
      <c r="I215" s="50" t="str">
        <f>IFERROR(Table1[[#This Row],[SA CAGR]]*Table1[[#This Row],[Number of Summer 2016 2L SAs]],"")</f>
        <v/>
      </c>
      <c r="J215" s="50">
        <v>1</v>
      </c>
      <c r="K215" s="51">
        <f>IFERROR(Table1[[#This Row],[Number of Summer 2016 NYU 2L SAs]]/Table1[[#This Row],[Interview Slots]],0)</f>
        <v>8.0000000000000002E-3</v>
      </c>
      <c r="L215" s="51">
        <f>Table1[[#This Row],[Number of Summer 2016 2L SAs]]/Table1[[#This Row],[Interview Slots]]</f>
        <v>1.6E-2</v>
      </c>
      <c r="M215" s="51">
        <f>IFERROR(Table1[[#This Row],[Number of Summer 2016 NYU 2L SAs]]/Table1[[#This Row],[Number of Summer 2016 2L SAs]],0)</f>
        <v>0.5</v>
      </c>
      <c r="N215" s="50" t="str">
        <f>IFERROR(RIGHT(Table1[[#This Row],[1st year]],LEN(Table1[[#This Row],[1st year]])-FIND(":",Table1[[#This Row],[1st year]])-1),"")</f>
        <v/>
      </c>
      <c r="O215" s="50" t="str">
        <f t="array" ref="O215">IFERROR(INDEX(Table2[Nth year],MATCH(1,(Table1[[#This Row],[Employer]]=Table2[EIW Name])*(Table1[[#This Row],[City, State]]=Table2[Offices Matched]),0)),"")</f>
        <v/>
      </c>
      <c r="P215" s="50" t="str">
        <f>IFERROR(RIGHT(Table1[[#This Row],[Nth year]],LEN(Table1[[#This Row],[Nth year]])-FIND(":",Table1[[#This Row],[Nth year]])-1),"")</f>
        <v/>
      </c>
      <c r="Q215" s="50" t="str">
        <f t="array" ref="Q215">IFERROR(INDEX(Table2[Am Law 200 PPP Rank ’16],MATCH(1,(Table1[[#This Row],[Employer]]=Table2[EIW Name])*(Table1[[#This Row],[City, State]]=Table2[Offices Matched]),0)),"")</f>
        <v/>
      </c>
      <c r="R215" s="50" t="str">
        <f>IFERROR(LEFT(Table1[[#This Row],[Am Law 200 PPP Rank ’16]],FIND(":",Table1[[#This Row],[Am Law 200 PPP Rank ’16]])-1),"")</f>
        <v/>
      </c>
      <c r="S215" s="50" t="str">
        <f>IFERROR(INDEX(VaultRank[Rank],MATCH(Table1[[#This Row],[Employer]],VaultRank[EIW Name],0)),"")</f>
        <v/>
      </c>
      <c r="T215" s="50" t="str">
        <f t="array" ref="T215">IFERROR(INDEX(Table2[Summers Matched],MATCH(1,(Table1[[#This Row],[Employer]]=Table2[EIW Name])*(Table1[[#This Row],[City, State]]=Table2[Offices Matched]),0)),"")</f>
        <v/>
      </c>
      <c r="U215" s="52" t="str">
        <f t="shared" si="3"/>
        <v/>
      </c>
      <c r="V215" s="60"/>
      <c r="W215" s="114">
        <v>42592</v>
      </c>
      <c r="X215"/>
    </row>
    <row r="216" spans="1:24" ht="14.1" customHeight="1">
      <c r="A216" s="45" t="s">
        <v>527</v>
      </c>
      <c r="B216" s="45" t="s">
        <v>364</v>
      </c>
      <c r="C216" s="45" t="s">
        <v>362</v>
      </c>
      <c r="D216" s="45" t="str">
        <f>Table1[[#This Row],[City]]&amp;", "&amp;Table1[[#This Row],[State]]</f>
        <v>New York, NY</v>
      </c>
      <c r="E216" s="49">
        <v>105</v>
      </c>
      <c r="F216" s="50">
        <v>2</v>
      </c>
      <c r="G216" s="50" t="str">
        <f t="array" ref="G216">IFERROR(INDEX(Table2[1st Year],MATCH(1,(Table1[[#This Row],[Employer]]=Table2[EIW Name])*(Table1[[#This Row],[City, State]]=Table2[Offices Matched]),0)),"")</f>
        <v>1st Year: $180K</v>
      </c>
      <c r="H216" s="50" t="str">
        <f>_xlfn.IFNA(INDEX(saCAGR[CAGR],MATCH(Table1[[#This Row],[Employer]],saCAGR[EIW Name],0)),"")</f>
        <v/>
      </c>
      <c r="I216" s="50" t="str">
        <f>IFERROR(Table1[[#This Row],[SA CAGR]]*Table1[[#This Row],[Number of Summer 2016 2L SAs]],"")</f>
        <v/>
      </c>
      <c r="J216" s="50">
        <v>11</v>
      </c>
      <c r="K216" s="51">
        <f>IFERROR(Table1[[#This Row],[Number of Summer 2016 NYU 2L SAs]]/Table1[[#This Row],[Interview Slots]],0)</f>
        <v>0.10476190476190476</v>
      </c>
      <c r="L216" s="51">
        <f>Table1[[#This Row],[Number of Summer 2016 2L SAs]]/Table1[[#This Row],[Interview Slots]]</f>
        <v>1.9047619047619049E-2</v>
      </c>
      <c r="M216" s="51">
        <f>IFERROR(Table1[[#This Row],[Number of Summer 2016 NYU 2L SAs]]/Table1[[#This Row],[Number of Summer 2016 2L SAs]],0)</f>
        <v>5.5</v>
      </c>
      <c r="N216" s="50" t="str">
        <f>IFERROR(RIGHT(Table1[[#This Row],[1st year]],LEN(Table1[[#This Row],[1st year]])-FIND(":",Table1[[#This Row],[1st year]])-1),"")</f>
        <v>$180K</v>
      </c>
      <c r="O216" s="50" t="str">
        <f t="array" ref="O216">IFERROR(INDEX(Table2[Nth year],MATCH(1,(Table1[[#This Row],[Employer]]=Table2[EIW Name])*(Table1[[#This Row],[City, State]]=Table2[Offices Matched]),0)),"")</f>
        <v>9th Year+: $325K</v>
      </c>
      <c r="P216" s="50" t="str">
        <f>IFERROR(RIGHT(Table1[[#This Row],[Nth year]],LEN(Table1[[#This Row],[Nth year]])-FIND(":",Table1[[#This Row],[Nth year]])-1),"")</f>
        <v>$325K</v>
      </c>
      <c r="Q216" s="50" t="str">
        <f t="array" ref="Q216">IFERROR(INDEX(Table2[Am Law 200 PPP Rank ’16],MATCH(1,(Table1[[#This Row],[Employer]]=Table2[EIW Name])*(Table1[[#This Row],[City, State]]=Table2[Offices Matched]),0)),"")</f>
        <v>25: $2.22M</v>
      </c>
      <c r="R216" s="50" t="str">
        <f>IFERROR(LEFT(Table1[[#This Row],[Am Law 200 PPP Rank ’16]],FIND(":",Table1[[#This Row],[Am Law 200 PPP Rank ’16]])-1),"")</f>
        <v>25</v>
      </c>
      <c r="S216" s="50">
        <f>IFERROR(INDEX(VaultRank[Rank],MATCH(Table1[[#This Row],[Employer]],VaultRank[EIW Name],0)),"")</f>
        <v>47</v>
      </c>
      <c r="T216" s="50" t="str">
        <f t="array" ref="T216">IFERROR(INDEX(Table2[Summers Matched],MATCH(1,(Table1[[#This Row],[Employer]]=Table2[EIW Name])*(Table1[[#This Row],[City, State]]=Table2[Offices Matched]),0)),"")</f>
        <v>Yes</v>
      </c>
      <c r="U216" s="52" t="str">
        <f t="shared" si="3"/>
        <v/>
      </c>
      <c r="V216" s="60"/>
      <c r="W216" s="114">
        <v>42592</v>
      </c>
      <c r="X216"/>
    </row>
    <row r="217" spans="1:24" ht="14.1" customHeight="1">
      <c r="A217" s="45" t="s">
        <v>428</v>
      </c>
      <c r="B217" s="45" t="s">
        <v>301</v>
      </c>
      <c r="C217" s="45" t="s">
        <v>302</v>
      </c>
      <c r="D217" s="45" t="str">
        <f>Table1[[#This Row],[City]]&amp;", "&amp;Table1[[#This Row],[State]]</f>
        <v>Washington, DC</v>
      </c>
      <c r="E217" s="49">
        <v>189</v>
      </c>
      <c r="F217" s="50">
        <v>37</v>
      </c>
      <c r="G217" s="50" t="str">
        <f t="array" ref="G217">IFERROR(INDEX(Table2[1st Year],MATCH(1,(Table1[[#This Row],[Employer]]=Table2[EIW Name])*(Table1[[#This Row],[City, State]]=Table2[Offices Matched]),0)),"")</f>
        <v/>
      </c>
      <c r="H217" s="50">
        <f>_xlfn.IFNA(INDEX(saCAGR[CAGR],MATCH(Table1[[#This Row],[Employer]],saCAGR[EIW Name],0)),"")</f>
        <v>1.0155936581071436</v>
      </c>
      <c r="I217" s="50">
        <f>IFERROR(Table1[[#This Row],[SA CAGR]]*Table1[[#This Row],[Number of Summer 2016 2L SAs]],"")</f>
        <v>37.576965349964311</v>
      </c>
      <c r="J217" s="50">
        <v>2</v>
      </c>
      <c r="K217" s="51">
        <f>IFERROR(Table1[[#This Row],[Number of Summer 2016 NYU 2L SAs]]/Table1[[#This Row],[Interview Slots]],0)</f>
        <v>1.0582010582010581E-2</v>
      </c>
      <c r="L217" s="51">
        <f>Table1[[#This Row],[Number of Summer 2016 2L SAs]]/Table1[[#This Row],[Interview Slots]]</f>
        <v>0.19576719576719576</v>
      </c>
      <c r="M217" s="51">
        <f>IFERROR(Table1[[#This Row],[Number of Summer 2016 NYU 2L SAs]]/Table1[[#This Row],[Number of Summer 2016 2L SAs]],0)</f>
        <v>5.4054054054054057E-2</v>
      </c>
      <c r="N217" s="50" t="str">
        <f>IFERROR(RIGHT(Table1[[#This Row],[1st year]],LEN(Table1[[#This Row],[1st year]])-FIND(":",Table1[[#This Row],[1st year]])-1),"")</f>
        <v/>
      </c>
      <c r="O217" s="50" t="str">
        <f t="array" ref="O217">IFERROR(INDEX(Table2[Nth year],MATCH(1,(Table1[[#This Row],[Employer]]=Table2[EIW Name])*(Table1[[#This Row],[City, State]]=Table2[Offices Matched]),0)),"")</f>
        <v/>
      </c>
      <c r="P217" s="50" t="str">
        <f>IFERROR(RIGHT(Table1[[#This Row],[Nth year]],LEN(Table1[[#This Row],[Nth year]])-FIND(":",Table1[[#This Row],[Nth year]])-1),"")</f>
        <v/>
      </c>
      <c r="Q217" s="50" t="str">
        <f t="array" ref="Q217">IFERROR(INDEX(Table2[Am Law 200 PPP Rank ’16],MATCH(1,(Table1[[#This Row],[Employer]]=Table2[EIW Name])*(Table1[[#This Row],[City, State]]=Table2[Offices Matched]),0)),"")</f>
        <v/>
      </c>
      <c r="R217" s="50" t="str">
        <f>IFERROR(LEFT(Table1[[#This Row],[Am Law 200 PPP Rank ’16]],FIND(":",Table1[[#This Row],[Am Law 200 PPP Rank ’16]])-1),"")</f>
        <v/>
      </c>
      <c r="S217" s="50">
        <f>IFERROR(INDEX(VaultRank[Rank],MATCH(Table1[[#This Row],[Employer]],VaultRank[EIW Name],0)),"")</f>
        <v>31</v>
      </c>
      <c r="T217" s="50" t="str">
        <f t="array" ref="T217">IFERROR(INDEX(Table2[Summers Matched],MATCH(1,(Table1[[#This Row],[Employer]]=Table2[EIW Name])*(Table1[[#This Row],[City, State]]=Table2[Offices Matched]),0)),"")</f>
        <v/>
      </c>
      <c r="U217" s="52" t="str">
        <f t="shared" si="3"/>
        <v/>
      </c>
      <c r="V217" s="60"/>
      <c r="W217" s="114">
        <v>42593</v>
      </c>
      <c r="X217"/>
    </row>
    <row r="218" spans="1:24" ht="14.1" customHeight="1">
      <c r="A218" s="45" t="s">
        <v>255</v>
      </c>
      <c r="B218" s="45" t="s">
        <v>364</v>
      </c>
      <c r="C218" s="45" t="s">
        <v>362</v>
      </c>
      <c r="D218" s="45" t="str">
        <f>Table1[[#This Row],[City]]&amp;", "&amp;Table1[[#This Row],[State]]</f>
        <v>New York, NY</v>
      </c>
      <c r="E218" s="49">
        <v>70</v>
      </c>
      <c r="F218" s="50">
        <v>6</v>
      </c>
      <c r="G218" s="50" t="str">
        <f t="array" ref="G218">IFERROR(INDEX(Table2[1st Year],MATCH(1,(Table1[[#This Row],[Employer]]=Table2[EIW Name])*(Table1[[#This Row],[City, State]]=Table2[Offices Matched]),0)),"")</f>
        <v>1st Year: $180K</v>
      </c>
      <c r="H218" s="51">
        <f>_xlfn.IFNA(INDEX(saCAGR[CAGR],MATCH(Table1[[#This Row],[Employer]],saCAGR[EIW Name],0)),"")</f>
        <v>1.0265177803595402</v>
      </c>
      <c r="I218" s="50">
        <f>IFERROR(Table1[[#This Row],[SA CAGR]]*Table1[[#This Row],[Number of Summer 2016 2L SAs]],"")</f>
        <v>6.1591066821572413</v>
      </c>
      <c r="J218" s="50">
        <v>0</v>
      </c>
      <c r="K218" s="51">
        <f>IFERROR(Table1[[#This Row],[Number of Summer 2016 NYU 2L SAs]]/Table1[[#This Row],[Interview Slots]],0)</f>
        <v>0</v>
      </c>
      <c r="L218" s="51">
        <f>Table1[[#This Row],[Number of Summer 2016 2L SAs]]/Table1[[#This Row],[Interview Slots]]</f>
        <v>8.5714285714285715E-2</v>
      </c>
      <c r="M218" s="51">
        <f>IFERROR(Table1[[#This Row],[Number of Summer 2016 NYU 2L SAs]]/Table1[[#This Row],[Number of Summer 2016 2L SAs]],0)</f>
        <v>0</v>
      </c>
      <c r="N218" s="50" t="str">
        <f>IFERROR(RIGHT(Table1[[#This Row],[1st year]],LEN(Table1[[#This Row],[1st year]])-FIND(":",Table1[[#This Row],[1st year]])-1),"")</f>
        <v>$180K</v>
      </c>
      <c r="O218" s="50" t="str">
        <f t="array" ref="O218">IFERROR(INDEX(Table2[Nth year],MATCH(1,(Table1[[#This Row],[Employer]]=Table2[EIW Name])*(Table1[[#This Row],[City, State]]=Table2[Offices Matched]),0)),"")</f>
        <v>8th Year: $315K</v>
      </c>
      <c r="P218" s="50" t="str">
        <f>IFERROR(RIGHT(Table1[[#This Row],[Nth year]],LEN(Table1[[#This Row],[Nth year]])-FIND(":",Table1[[#This Row],[Nth year]])-1),"")</f>
        <v>$315K</v>
      </c>
      <c r="Q218" s="50" t="str">
        <f t="array" ref="Q218">IFERROR(INDEX(Table2[Am Law 200 PPP Rank ’16],MATCH(1,(Table1[[#This Row],[Employer]]=Table2[EIW Name])*(Table1[[#This Row],[City, State]]=Table2[Offices Matched]),0)),"")</f>
        <v>21: $2.52M</v>
      </c>
      <c r="R218" s="50" t="str">
        <f>IFERROR(LEFT(Table1[[#This Row],[Am Law 200 PPP Rank ’16]],FIND(":",Table1[[#This Row],[Am Law 200 PPP Rank ’16]])-1),"")</f>
        <v>21</v>
      </c>
      <c r="S218" s="50">
        <f>IFERROR(INDEX(VaultRank[Rank],MATCH(Table1[[#This Row],[Employer]],VaultRank[EIW Name],0)),"")</f>
        <v>49</v>
      </c>
      <c r="T218" s="50" t="str">
        <f t="array" ref="T218">IFERROR(INDEX(Table2[Summers Matched],MATCH(1,(Table1[[#This Row],[Employer]]=Table2[EIW Name])*(Table1[[#This Row],[City, State]]=Table2[Offices Matched]),0)),"")</f>
        <v>Yes</v>
      </c>
      <c r="U218" s="52" t="str">
        <f t="shared" si="3"/>
        <v/>
      </c>
      <c r="V218" s="60"/>
      <c r="W218" s="114">
        <v>42593</v>
      </c>
      <c r="X218"/>
    </row>
    <row r="219" spans="1:24" ht="14.1" customHeight="1">
      <c r="A219" s="45" t="s">
        <v>383</v>
      </c>
      <c r="B219" s="45" t="s">
        <v>364</v>
      </c>
      <c r="C219" s="45" t="s">
        <v>362</v>
      </c>
      <c r="D219" s="45" t="str">
        <f>Table1[[#This Row],[City]]&amp;", "&amp;Table1[[#This Row],[State]]</f>
        <v>New York, NY</v>
      </c>
      <c r="E219" s="49">
        <v>61</v>
      </c>
      <c r="F219" s="50">
        <v>38</v>
      </c>
      <c r="G219" s="50" t="str">
        <f t="array" ref="G219">IFERROR(INDEX(Table2[1st Year],MATCH(1,(Table1[[#This Row],[Employer]]=Table2[EIW Name])*(Table1[[#This Row],[City, State]]=Table2[Offices Matched]),0)),"")</f>
        <v>1st Year: $180K</v>
      </c>
      <c r="H219" s="51">
        <f>_xlfn.IFNA(INDEX(saCAGR[CAGR],MATCH(Table1[[#This Row],[Employer]],saCAGR[EIW Name],0)),"")</f>
        <v>1.0257674879170935</v>
      </c>
      <c r="I219" s="50">
        <f>IFERROR(Table1[[#This Row],[SA CAGR]]*Table1[[#This Row],[Number of Summer 2016 2L SAs]],"")</f>
        <v>38.979164540849553</v>
      </c>
      <c r="J219" s="50">
        <v>9</v>
      </c>
      <c r="K219" s="51">
        <f>IFERROR(Table1[[#This Row],[Number of Summer 2016 NYU 2L SAs]]/Table1[[#This Row],[Interview Slots]],0)</f>
        <v>0.14754098360655737</v>
      </c>
      <c r="L219" s="51">
        <f>Table1[[#This Row],[Number of Summer 2016 2L SAs]]/Table1[[#This Row],[Interview Slots]]</f>
        <v>0.62295081967213117</v>
      </c>
      <c r="M219" s="51">
        <f>IFERROR(Table1[[#This Row],[Number of Summer 2016 NYU 2L SAs]]/Table1[[#This Row],[Number of Summer 2016 2L SAs]],0)</f>
        <v>0.23684210526315788</v>
      </c>
      <c r="N219" s="50" t="str">
        <f>IFERROR(RIGHT(Table1[[#This Row],[1st year]],LEN(Table1[[#This Row],[1st year]])-FIND(":",Table1[[#This Row],[1st year]])-1),"")</f>
        <v>$180K</v>
      </c>
      <c r="O219" s="50" t="str">
        <f t="array" ref="O219">IFERROR(INDEX(Table2[Nth year],MATCH(1,(Table1[[#This Row],[Employer]]=Table2[EIW Name])*(Table1[[#This Row],[City, State]]=Table2[Offices Matched]),0)),"")</f>
        <v>8th Year: $315K</v>
      </c>
      <c r="P219" s="50" t="str">
        <f>IFERROR(RIGHT(Table1[[#This Row],[Nth year]],LEN(Table1[[#This Row],[Nth year]])-FIND(":",Table1[[#This Row],[Nth year]])-1),"")</f>
        <v>$315K</v>
      </c>
      <c r="Q219" s="50" t="str">
        <f t="array" ref="Q219">IFERROR(INDEX(Table2[Am Law 200 PPP Rank ’16],MATCH(1,(Table1[[#This Row],[Employer]]=Table2[EIW Name])*(Table1[[#This Row],[City, State]]=Table2[Offices Matched]),0)),"")</f>
        <v>8: $3.36M</v>
      </c>
      <c r="R219" s="50" t="str">
        <f>IFERROR(LEFT(Table1[[#This Row],[Am Law 200 PPP Rank ’16]],FIND(":",Table1[[#This Row],[Am Law 200 PPP Rank ’16]])-1),"")</f>
        <v>8</v>
      </c>
      <c r="S219" s="50">
        <f>IFERROR(INDEX(VaultRank[Rank],MATCH(Table1[[#This Row],[Employer]],VaultRank[EIW Name],0)),"")</f>
        <v>50</v>
      </c>
      <c r="T219" s="50" t="str">
        <f t="array" ref="T219">IFERROR(INDEX(Table2[Summers Matched],MATCH(1,(Table1[[#This Row],[Employer]]=Table2[EIW Name])*(Table1[[#This Row],[City, State]]=Table2[Offices Matched]),0)),"")</f>
        <v>Yes</v>
      </c>
      <c r="U219" s="52" t="str">
        <f t="shared" si="3"/>
        <v/>
      </c>
      <c r="V219" s="60"/>
      <c r="W219" s="114">
        <v>42592</v>
      </c>
      <c r="X219"/>
    </row>
    <row r="220" spans="1:24" ht="14.1" customHeight="1">
      <c r="A220" s="45" t="s">
        <v>317</v>
      </c>
      <c r="B220" s="45" t="s">
        <v>299</v>
      </c>
      <c r="C220" s="45" t="s">
        <v>300</v>
      </c>
      <c r="D220" s="45" t="str">
        <f>Table1[[#This Row],[City]]&amp;", "&amp;Table1[[#This Row],[State]]</f>
        <v>Los Angeles, CA</v>
      </c>
      <c r="E220" s="49">
        <v>35</v>
      </c>
      <c r="F220" s="50">
        <v>1</v>
      </c>
      <c r="G220" s="50" t="str">
        <f t="array" ref="G220">IFERROR(INDEX(Table2[1st Year],MATCH(1,(Table1[[#This Row],[Employer]]=Table2[EIW Name])*(Table1[[#This Row],[City, State]]=Table2[Offices Matched]),0)),"")</f>
        <v/>
      </c>
      <c r="H220" s="50">
        <f>_xlfn.IFNA(INDEX(saCAGR[CAGR],MATCH(Table1[[#This Row],[Employer]],saCAGR[EIW Name],0)),"")</f>
        <v>1.0162651532323876</v>
      </c>
      <c r="I220" s="50">
        <f>IFERROR(Table1[[#This Row],[SA CAGR]]*Table1[[#This Row],[Number of Summer 2016 2L SAs]],"")</f>
        <v>1.0162651532323876</v>
      </c>
      <c r="J220" s="50">
        <v>15</v>
      </c>
      <c r="K220" s="51">
        <f>IFERROR(Table1[[#This Row],[Number of Summer 2016 NYU 2L SAs]]/Table1[[#This Row],[Interview Slots]],0)</f>
        <v>0.42857142857142855</v>
      </c>
      <c r="L220" s="51">
        <f>Table1[[#This Row],[Number of Summer 2016 2L SAs]]/Table1[[#This Row],[Interview Slots]]</f>
        <v>2.8571428571428571E-2</v>
      </c>
      <c r="M220" s="51">
        <f>IFERROR(Table1[[#This Row],[Number of Summer 2016 NYU 2L SAs]]/Table1[[#This Row],[Number of Summer 2016 2L SAs]],0)</f>
        <v>15</v>
      </c>
      <c r="N220" s="50" t="str">
        <f>IFERROR(RIGHT(Table1[[#This Row],[1st year]],LEN(Table1[[#This Row],[1st year]])-FIND(":",Table1[[#This Row],[1st year]])-1),"")</f>
        <v/>
      </c>
      <c r="O220" s="50" t="str">
        <f t="array" ref="O220">IFERROR(INDEX(Table2[Nth year],MATCH(1,(Table1[[#This Row],[Employer]]=Table2[EIW Name])*(Table1[[#This Row],[City, State]]=Table2[Offices Matched]),0)),"")</f>
        <v/>
      </c>
      <c r="P220" s="50" t="str">
        <f>IFERROR(RIGHT(Table1[[#This Row],[Nth year]],LEN(Table1[[#This Row],[Nth year]])-FIND(":",Table1[[#This Row],[Nth year]])-1),"")</f>
        <v/>
      </c>
      <c r="Q220" s="50" t="str">
        <f t="array" ref="Q220">IFERROR(INDEX(Table2[Am Law 200 PPP Rank ’16],MATCH(1,(Table1[[#This Row],[Employer]]=Table2[EIW Name])*(Table1[[#This Row],[City, State]]=Table2[Offices Matched]),0)),"")</f>
        <v/>
      </c>
      <c r="R220" s="50" t="str">
        <f>IFERROR(LEFT(Table1[[#This Row],[Am Law 200 PPP Rank ’16]],FIND(":",Table1[[#This Row],[Am Law 200 PPP Rank ’16]])-1),"")</f>
        <v/>
      </c>
      <c r="S220" s="50">
        <f>IFERROR(INDEX(VaultRank[Rank],MATCH(Table1[[#This Row],[Employer]],VaultRank[EIW Name],0)),"")</f>
        <v>64</v>
      </c>
      <c r="T220" s="50" t="str">
        <f t="array" ref="T220">IFERROR(INDEX(Table2[Summers Matched],MATCH(1,(Table1[[#This Row],[Employer]]=Table2[EIW Name])*(Table1[[#This Row],[City, State]]=Table2[Offices Matched]),0)),"")</f>
        <v/>
      </c>
      <c r="U220" s="52" t="str">
        <f t="shared" si="3"/>
        <v/>
      </c>
      <c r="V220" s="60"/>
      <c r="W220" s="114">
        <v>42595</v>
      </c>
      <c r="X220"/>
    </row>
    <row r="221" spans="1:24" ht="14.1" customHeight="1">
      <c r="A221" s="45" t="s">
        <v>317</v>
      </c>
      <c r="B221" s="45" t="s">
        <v>316</v>
      </c>
      <c r="C221" s="45" t="s">
        <v>300</v>
      </c>
      <c r="D221" s="45" t="str">
        <f>Table1[[#This Row],[City]]&amp;", "&amp;Table1[[#This Row],[State]]</f>
        <v>San Francisco, CA</v>
      </c>
      <c r="E221" s="49">
        <v>22</v>
      </c>
      <c r="F221" s="50">
        <v>1</v>
      </c>
      <c r="G221" s="50" t="str">
        <f t="array" ref="G221">IFERROR(INDEX(Table2[1st Year],MATCH(1,(Table1[[#This Row],[Employer]]=Table2[EIW Name])*(Table1[[#This Row],[City, State]]=Table2[Offices Matched]),0)),"")</f>
        <v/>
      </c>
      <c r="H221" s="50">
        <f>_xlfn.IFNA(INDEX(saCAGR[CAGR],MATCH(Table1[[#This Row],[Employer]],saCAGR[EIW Name],0)),"")</f>
        <v>1.0162651532323876</v>
      </c>
      <c r="I221" s="50">
        <f>IFERROR(Table1[[#This Row],[SA CAGR]]*Table1[[#This Row],[Number of Summer 2016 2L SAs]],"")</f>
        <v>1.0162651532323876</v>
      </c>
      <c r="J221" s="50">
        <v>5</v>
      </c>
      <c r="K221" s="51">
        <f>IFERROR(Table1[[#This Row],[Number of Summer 2016 NYU 2L SAs]]/Table1[[#This Row],[Interview Slots]],0)</f>
        <v>0.22727272727272727</v>
      </c>
      <c r="L221" s="51">
        <f>Table1[[#This Row],[Number of Summer 2016 2L SAs]]/Table1[[#This Row],[Interview Slots]]</f>
        <v>4.5454545454545456E-2</v>
      </c>
      <c r="M221" s="51">
        <f>IFERROR(Table1[[#This Row],[Number of Summer 2016 NYU 2L SAs]]/Table1[[#This Row],[Number of Summer 2016 2L SAs]],0)</f>
        <v>5</v>
      </c>
      <c r="N221" s="50" t="str">
        <f>IFERROR(RIGHT(Table1[[#This Row],[1st year]],LEN(Table1[[#This Row],[1st year]])-FIND(":",Table1[[#This Row],[1st year]])-1),"")</f>
        <v/>
      </c>
      <c r="O221" s="50" t="str">
        <f t="array" ref="O221">IFERROR(INDEX(Table2[Nth year],MATCH(1,(Table1[[#This Row],[Employer]]=Table2[EIW Name])*(Table1[[#This Row],[City, State]]=Table2[Offices Matched]),0)),"")</f>
        <v/>
      </c>
      <c r="P221" s="50" t="str">
        <f>IFERROR(RIGHT(Table1[[#This Row],[Nth year]],LEN(Table1[[#This Row],[Nth year]])-FIND(":",Table1[[#This Row],[Nth year]])-1),"")</f>
        <v/>
      </c>
      <c r="Q221" s="50" t="str">
        <f t="array" ref="Q221">IFERROR(INDEX(Table2[Am Law 200 PPP Rank ’16],MATCH(1,(Table1[[#This Row],[Employer]]=Table2[EIW Name])*(Table1[[#This Row],[City, State]]=Table2[Offices Matched]),0)),"")</f>
        <v/>
      </c>
      <c r="R221" s="50" t="str">
        <f>IFERROR(LEFT(Table1[[#This Row],[Am Law 200 PPP Rank ’16]],FIND(":",Table1[[#This Row],[Am Law 200 PPP Rank ’16]])-1),"")</f>
        <v/>
      </c>
      <c r="S221" s="50">
        <f>IFERROR(INDEX(VaultRank[Rank],MATCH(Table1[[#This Row],[Employer]],VaultRank[EIW Name],0)),"")</f>
        <v>64</v>
      </c>
      <c r="T221" s="50" t="str">
        <f t="array" ref="T221">IFERROR(INDEX(Table2[Summers Matched],MATCH(1,(Table1[[#This Row],[Employer]]=Table2[EIW Name])*(Table1[[#This Row],[City, State]]=Table2[Offices Matched]),0)),"")</f>
        <v/>
      </c>
      <c r="U221" s="52" t="str">
        <f t="shared" si="3"/>
        <v/>
      </c>
      <c r="V221" s="60"/>
      <c r="W221" s="114">
        <v>42594</v>
      </c>
      <c r="X221"/>
    </row>
    <row r="222" spans="1:24" ht="14.1" customHeight="1">
      <c r="A222" s="45" t="s">
        <v>317</v>
      </c>
      <c r="B222" s="45" t="s">
        <v>301</v>
      </c>
      <c r="C222" s="45" t="s">
        <v>302</v>
      </c>
      <c r="D222" s="45" t="str">
        <f>Table1[[#This Row],[City]]&amp;", "&amp;Table1[[#This Row],[State]]</f>
        <v>Washington, DC</v>
      </c>
      <c r="E222" s="49">
        <v>11</v>
      </c>
      <c r="F222" s="50">
        <v>4</v>
      </c>
      <c r="G222" s="50" t="str">
        <f t="array" ref="G222">IFERROR(INDEX(Table2[1st Year],MATCH(1,(Table1[[#This Row],[Employer]]=Table2[EIW Name])*(Table1[[#This Row],[City, State]]=Table2[Offices Matched]),0)),"")</f>
        <v/>
      </c>
      <c r="H222" s="50">
        <f>_xlfn.IFNA(INDEX(saCAGR[CAGR],MATCH(Table1[[#This Row],[Employer]],saCAGR[EIW Name],0)),"")</f>
        <v>1.0162651532323876</v>
      </c>
      <c r="I222" s="50">
        <f>IFERROR(Table1[[#This Row],[SA CAGR]]*Table1[[#This Row],[Number of Summer 2016 2L SAs]],"")</f>
        <v>4.0650606129295506</v>
      </c>
      <c r="J222" s="50">
        <v>19</v>
      </c>
      <c r="K222" s="51">
        <f>IFERROR(Table1[[#This Row],[Number of Summer 2016 NYU 2L SAs]]/Table1[[#This Row],[Interview Slots]],0)</f>
        <v>1.7272727272727273</v>
      </c>
      <c r="L222" s="51">
        <f>Table1[[#This Row],[Number of Summer 2016 2L SAs]]/Table1[[#This Row],[Interview Slots]]</f>
        <v>0.36363636363636365</v>
      </c>
      <c r="M222" s="51">
        <f>IFERROR(Table1[[#This Row],[Number of Summer 2016 NYU 2L SAs]]/Table1[[#This Row],[Number of Summer 2016 2L SAs]],0)</f>
        <v>4.75</v>
      </c>
      <c r="N222" s="50" t="str">
        <f>IFERROR(RIGHT(Table1[[#This Row],[1st year]],LEN(Table1[[#This Row],[1st year]])-FIND(":",Table1[[#This Row],[1st year]])-1),"")</f>
        <v/>
      </c>
      <c r="O222" s="50" t="str">
        <f t="array" ref="O222">IFERROR(INDEX(Table2[Nth year],MATCH(1,(Table1[[#This Row],[Employer]]=Table2[EIW Name])*(Table1[[#This Row],[City, State]]=Table2[Offices Matched]),0)),"")</f>
        <v/>
      </c>
      <c r="P222" s="50" t="str">
        <f>IFERROR(RIGHT(Table1[[#This Row],[Nth year]],LEN(Table1[[#This Row],[Nth year]])-FIND(":",Table1[[#This Row],[Nth year]])-1),"")</f>
        <v/>
      </c>
      <c r="Q222" s="50" t="str">
        <f t="array" ref="Q222">IFERROR(INDEX(Table2[Am Law 200 PPP Rank ’16],MATCH(1,(Table1[[#This Row],[Employer]]=Table2[EIW Name])*(Table1[[#This Row],[City, State]]=Table2[Offices Matched]),0)),"")</f>
        <v/>
      </c>
      <c r="R222" s="50" t="str">
        <f>IFERROR(LEFT(Table1[[#This Row],[Am Law 200 PPP Rank ’16]],FIND(":",Table1[[#This Row],[Am Law 200 PPP Rank ’16]])-1),"")</f>
        <v/>
      </c>
      <c r="S222" s="50">
        <f>IFERROR(INDEX(VaultRank[Rank],MATCH(Table1[[#This Row],[Employer]],VaultRank[EIW Name],0)),"")</f>
        <v>64</v>
      </c>
      <c r="T222" s="50" t="str">
        <f t="array" ref="T222">IFERROR(INDEX(Table2[Summers Matched],MATCH(1,(Table1[[#This Row],[Employer]]=Table2[EIW Name])*(Table1[[#This Row],[City, State]]=Table2[Offices Matched]),0)),"")</f>
        <v/>
      </c>
      <c r="U222" s="52" t="str">
        <f t="shared" si="3"/>
        <v/>
      </c>
      <c r="V222" s="60"/>
      <c r="W222" s="114">
        <v>42593</v>
      </c>
      <c r="X222"/>
    </row>
    <row r="223" spans="1:24" ht="14.1" customHeight="1">
      <c r="A223" s="45" t="s">
        <v>317</v>
      </c>
      <c r="B223" s="45" t="s">
        <v>355</v>
      </c>
      <c r="C223" s="45" t="s">
        <v>324</v>
      </c>
      <c r="D223" s="45" t="str">
        <f>Table1[[#This Row],[City]]&amp;", "&amp;Table1[[#This Row],[State]]</f>
        <v>Ft. Lauderdale, FL</v>
      </c>
      <c r="E223" s="49">
        <v>172</v>
      </c>
      <c r="F223" s="50">
        <v>2</v>
      </c>
      <c r="G223" s="50" t="str">
        <f t="array" ref="G223">IFERROR(INDEX(Table2[1st Year],MATCH(1,(Table1[[#This Row],[Employer]]=Table2[EIW Name])*(Table1[[#This Row],[City, State]]=Table2[Offices Matched]),0)),"")</f>
        <v/>
      </c>
      <c r="H223" s="50">
        <f>_xlfn.IFNA(INDEX(saCAGR[CAGR],MATCH(Table1[[#This Row],[Employer]],saCAGR[EIW Name],0)),"")</f>
        <v>1.0162651532323876</v>
      </c>
      <c r="I223" s="50">
        <f>IFERROR(Table1[[#This Row],[SA CAGR]]*Table1[[#This Row],[Number of Summer 2016 2L SAs]],"")</f>
        <v>2.0325303064647753</v>
      </c>
      <c r="J223" s="50">
        <v>12</v>
      </c>
      <c r="K223" s="51">
        <f>IFERROR(Table1[[#This Row],[Number of Summer 2016 NYU 2L SAs]]/Table1[[#This Row],[Interview Slots]],0)</f>
        <v>6.9767441860465115E-2</v>
      </c>
      <c r="L223" s="51">
        <f>Table1[[#This Row],[Number of Summer 2016 2L SAs]]/Table1[[#This Row],[Interview Slots]]</f>
        <v>1.1627906976744186E-2</v>
      </c>
      <c r="M223" s="51">
        <f>IFERROR(Table1[[#This Row],[Number of Summer 2016 NYU 2L SAs]]/Table1[[#This Row],[Number of Summer 2016 2L SAs]],0)</f>
        <v>6</v>
      </c>
      <c r="N223" s="50" t="str">
        <f>IFERROR(RIGHT(Table1[[#This Row],[1st year]],LEN(Table1[[#This Row],[1st year]])-FIND(":",Table1[[#This Row],[1st year]])-1),"")</f>
        <v/>
      </c>
      <c r="O223" s="50" t="str">
        <f t="array" ref="O223">IFERROR(INDEX(Table2[Nth year],MATCH(1,(Table1[[#This Row],[Employer]]=Table2[EIW Name])*(Table1[[#This Row],[City, State]]=Table2[Offices Matched]),0)),"")</f>
        <v/>
      </c>
      <c r="P223" s="50" t="str">
        <f>IFERROR(RIGHT(Table1[[#This Row],[Nth year]],LEN(Table1[[#This Row],[Nth year]])-FIND(":",Table1[[#This Row],[Nth year]])-1),"")</f>
        <v/>
      </c>
      <c r="Q223" s="50" t="str">
        <f t="array" ref="Q223">IFERROR(INDEX(Table2[Am Law 200 PPP Rank ’16],MATCH(1,(Table1[[#This Row],[Employer]]=Table2[EIW Name])*(Table1[[#This Row],[City, State]]=Table2[Offices Matched]),0)),"")</f>
        <v/>
      </c>
      <c r="R223" s="50" t="str">
        <f>IFERROR(LEFT(Table1[[#This Row],[Am Law 200 PPP Rank ’16]],FIND(":",Table1[[#This Row],[Am Law 200 PPP Rank ’16]])-1),"")</f>
        <v/>
      </c>
      <c r="S223" s="50">
        <f>IFERROR(INDEX(VaultRank[Rank],MATCH(Table1[[#This Row],[Employer]],VaultRank[EIW Name],0)),"")</f>
        <v>64</v>
      </c>
      <c r="T223" s="50" t="str">
        <f t="array" ref="T223">IFERROR(INDEX(Table2[Summers Matched],MATCH(1,(Table1[[#This Row],[Employer]]=Table2[EIW Name])*(Table1[[#This Row],[City, State]]=Table2[Offices Matched]),0)),"")</f>
        <v/>
      </c>
      <c r="U223" s="52" t="str">
        <f t="shared" si="3"/>
        <v/>
      </c>
      <c r="V223" s="60"/>
      <c r="W223" s="114">
        <v>42595</v>
      </c>
      <c r="X223"/>
    </row>
    <row r="224" spans="1:24" ht="14.1" customHeight="1">
      <c r="A224" s="45" t="s">
        <v>317</v>
      </c>
      <c r="B224" s="45" t="s">
        <v>408</v>
      </c>
      <c r="C224" s="45" t="s">
        <v>324</v>
      </c>
      <c r="D224" s="45" t="str">
        <f>Table1[[#This Row],[City]]&amp;", "&amp;Table1[[#This Row],[State]]</f>
        <v>Jacksonville, FL</v>
      </c>
      <c r="E224" s="49">
        <v>144</v>
      </c>
      <c r="F224" s="50">
        <v>1</v>
      </c>
      <c r="G224" s="50" t="str">
        <f t="array" ref="G224">IFERROR(INDEX(Table2[1st Year],MATCH(1,(Table1[[#This Row],[Employer]]=Table2[EIW Name])*(Table1[[#This Row],[City, State]]=Table2[Offices Matched]),0)),"")</f>
        <v/>
      </c>
      <c r="H224" s="50">
        <f>_xlfn.IFNA(INDEX(saCAGR[CAGR],MATCH(Table1[[#This Row],[Employer]],saCAGR[EIW Name],0)),"")</f>
        <v>1.0162651532323876</v>
      </c>
      <c r="I224" s="50">
        <f>IFERROR(Table1[[#This Row],[SA CAGR]]*Table1[[#This Row],[Number of Summer 2016 2L SAs]],"")</f>
        <v>1.0162651532323876</v>
      </c>
      <c r="J224" s="50">
        <v>13</v>
      </c>
      <c r="K224" s="51">
        <f>IFERROR(Table1[[#This Row],[Number of Summer 2016 NYU 2L SAs]]/Table1[[#This Row],[Interview Slots]],0)</f>
        <v>9.0277777777777776E-2</v>
      </c>
      <c r="L224" s="51">
        <f>Table1[[#This Row],[Number of Summer 2016 2L SAs]]/Table1[[#This Row],[Interview Slots]]</f>
        <v>6.9444444444444441E-3</v>
      </c>
      <c r="M224" s="51">
        <f>IFERROR(Table1[[#This Row],[Number of Summer 2016 NYU 2L SAs]]/Table1[[#This Row],[Number of Summer 2016 2L SAs]],0)</f>
        <v>13</v>
      </c>
      <c r="N224" s="50" t="str">
        <f>IFERROR(RIGHT(Table1[[#This Row],[1st year]],LEN(Table1[[#This Row],[1st year]])-FIND(":",Table1[[#This Row],[1st year]])-1),"")</f>
        <v/>
      </c>
      <c r="O224" s="50" t="str">
        <f t="array" ref="O224">IFERROR(INDEX(Table2[Nth year],MATCH(1,(Table1[[#This Row],[Employer]]=Table2[EIW Name])*(Table1[[#This Row],[City, State]]=Table2[Offices Matched]),0)),"")</f>
        <v/>
      </c>
      <c r="P224" s="50" t="str">
        <f>IFERROR(RIGHT(Table1[[#This Row],[Nth year]],LEN(Table1[[#This Row],[Nth year]])-FIND(":",Table1[[#This Row],[Nth year]])-1),"")</f>
        <v/>
      </c>
      <c r="Q224" s="50" t="str">
        <f t="array" ref="Q224">IFERROR(INDEX(Table2[Am Law 200 PPP Rank ’16],MATCH(1,(Table1[[#This Row],[Employer]]=Table2[EIW Name])*(Table1[[#This Row],[City, State]]=Table2[Offices Matched]),0)),"")</f>
        <v/>
      </c>
      <c r="R224" s="50" t="str">
        <f>IFERROR(LEFT(Table1[[#This Row],[Am Law 200 PPP Rank ’16]],FIND(":",Table1[[#This Row],[Am Law 200 PPP Rank ’16]])-1),"")</f>
        <v/>
      </c>
      <c r="S224" s="50">
        <f>IFERROR(INDEX(VaultRank[Rank],MATCH(Table1[[#This Row],[Employer]],VaultRank[EIW Name],0)),"")</f>
        <v>64</v>
      </c>
      <c r="T224" s="50" t="str">
        <f t="array" ref="T224">IFERROR(INDEX(Table2[Summers Matched],MATCH(1,(Table1[[#This Row],[Employer]]=Table2[EIW Name])*(Table1[[#This Row],[City, State]]=Table2[Offices Matched]),0)),"")</f>
        <v/>
      </c>
      <c r="U224" s="52">
        <f t="shared" si="3"/>
        <v>3.4</v>
      </c>
      <c r="V224" s="60"/>
      <c r="W224" s="114">
        <v>42595</v>
      </c>
      <c r="X224"/>
    </row>
    <row r="225" spans="1:24" ht="14.1" customHeight="1">
      <c r="A225" s="45" t="s">
        <v>317</v>
      </c>
      <c r="B225" s="45" t="s">
        <v>337</v>
      </c>
      <c r="C225" s="45" t="s">
        <v>324</v>
      </c>
      <c r="D225" s="45" t="str">
        <f>Table1[[#This Row],[City]]&amp;", "&amp;Table1[[#This Row],[State]]</f>
        <v>Miami, FL</v>
      </c>
      <c r="E225" s="49">
        <v>115</v>
      </c>
      <c r="F225" s="50">
        <v>5</v>
      </c>
      <c r="G225" s="50" t="str">
        <f t="array" ref="G225">IFERROR(INDEX(Table2[1st Year],MATCH(1,(Table1[[#This Row],[Employer]]=Table2[EIW Name])*(Table1[[#This Row],[City, State]]=Table2[Offices Matched]),0)),"")</f>
        <v/>
      </c>
      <c r="H225" s="50">
        <f>_xlfn.IFNA(INDEX(saCAGR[CAGR],MATCH(Table1[[#This Row],[Employer]],saCAGR[EIW Name],0)),"")</f>
        <v>1.0162651532323876</v>
      </c>
      <c r="I225" s="50">
        <f>IFERROR(Table1[[#This Row],[SA CAGR]]*Table1[[#This Row],[Number of Summer 2016 2L SAs]],"")</f>
        <v>5.081325766161938</v>
      </c>
      <c r="J225" s="50">
        <v>10</v>
      </c>
      <c r="K225" s="51">
        <f>IFERROR(Table1[[#This Row],[Number of Summer 2016 NYU 2L SAs]]/Table1[[#This Row],[Interview Slots]],0)</f>
        <v>8.6956521739130432E-2</v>
      </c>
      <c r="L225" s="51">
        <f>Table1[[#This Row],[Number of Summer 2016 2L SAs]]/Table1[[#This Row],[Interview Slots]]</f>
        <v>4.3478260869565216E-2</v>
      </c>
      <c r="M225" s="51">
        <f>IFERROR(Table1[[#This Row],[Number of Summer 2016 NYU 2L SAs]]/Table1[[#This Row],[Number of Summer 2016 2L SAs]],0)</f>
        <v>2</v>
      </c>
      <c r="N225" s="50" t="str">
        <f>IFERROR(RIGHT(Table1[[#This Row],[1st year]],LEN(Table1[[#This Row],[1st year]])-FIND(":",Table1[[#This Row],[1st year]])-1),"")</f>
        <v/>
      </c>
      <c r="O225" s="50" t="str">
        <f t="array" ref="O225">IFERROR(INDEX(Table2[Nth year],MATCH(1,(Table1[[#This Row],[Employer]]=Table2[EIW Name])*(Table1[[#This Row],[City, State]]=Table2[Offices Matched]),0)),"")</f>
        <v/>
      </c>
      <c r="P225" s="50" t="str">
        <f>IFERROR(RIGHT(Table1[[#This Row],[Nth year]],LEN(Table1[[#This Row],[Nth year]])-FIND(":",Table1[[#This Row],[Nth year]])-1),"")</f>
        <v/>
      </c>
      <c r="Q225" s="50" t="str">
        <f t="array" ref="Q225">IFERROR(INDEX(Table2[Am Law 200 PPP Rank ’16],MATCH(1,(Table1[[#This Row],[Employer]]=Table2[EIW Name])*(Table1[[#This Row],[City, State]]=Table2[Offices Matched]),0)),"")</f>
        <v/>
      </c>
      <c r="R225" s="50" t="str">
        <f>IFERROR(LEFT(Table1[[#This Row],[Am Law 200 PPP Rank ’16]],FIND(":",Table1[[#This Row],[Am Law 200 PPP Rank ’16]])-1),"")</f>
        <v/>
      </c>
      <c r="S225" s="50">
        <f>IFERROR(INDEX(VaultRank[Rank],MATCH(Table1[[#This Row],[Employer]],VaultRank[EIW Name],0)),"")</f>
        <v>64</v>
      </c>
      <c r="T225" s="50" t="str">
        <f t="array" ref="T225">IFERROR(INDEX(Table2[Summers Matched],MATCH(1,(Table1[[#This Row],[Employer]]=Table2[EIW Name])*(Table1[[#This Row],[City, State]]=Table2[Offices Matched]),0)),"")</f>
        <v/>
      </c>
      <c r="U225" s="52" t="str">
        <f t="shared" si="3"/>
        <v/>
      </c>
      <c r="V225" s="60"/>
      <c r="W225" s="114">
        <v>42593</v>
      </c>
      <c r="X225"/>
    </row>
    <row r="226" spans="1:24" ht="14.1" customHeight="1">
      <c r="A226" s="45" t="s">
        <v>317</v>
      </c>
      <c r="B226" s="45" t="s">
        <v>323</v>
      </c>
      <c r="C226" s="45" t="s">
        <v>324</v>
      </c>
      <c r="D226" s="45" t="str">
        <f>Table1[[#This Row],[City]]&amp;", "&amp;Table1[[#This Row],[State]]</f>
        <v>Orlando, FL</v>
      </c>
      <c r="E226" s="49">
        <v>75</v>
      </c>
      <c r="F226" s="50">
        <v>1</v>
      </c>
      <c r="G226" s="50" t="str">
        <f t="array" ref="G226">IFERROR(INDEX(Table2[1st Year],MATCH(1,(Table1[[#This Row],[Employer]]=Table2[EIW Name])*(Table1[[#This Row],[City, State]]=Table2[Offices Matched]),0)),"")</f>
        <v/>
      </c>
      <c r="H226" s="50">
        <f>_xlfn.IFNA(INDEX(saCAGR[CAGR],MATCH(Table1[[#This Row],[Employer]],saCAGR[EIW Name],0)),"")</f>
        <v>1.0162651532323876</v>
      </c>
      <c r="I226" s="50">
        <f>IFERROR(Table1[[#This Row],[SA CAGR]]*Table1[[#This Row],[Number of Summer 2016 2L SAs]],"")</f>
        <v>1.0162651532323876</v>
      </c>
      <c r="J226" s="50">
        <v>8</v>
      </c>
      <c r="K226" s="51">
        <f>IFERROR(Table1[[#This Row],[Number of Summer 2016 NYU 2L SAs]]/Table1[[#This Row],[Interview Slots]],0)</f>
        <v>0.10666666666666667</v>
      </c>
      <c r="L226" s="51">
        <f>Table1[[#This Row],[Number of Summer 2016 2L SAs]]/Table1[[#This Row],[Interview Slots]]</f>
        <v>1.3333333333333334E-2</v>
      </c>
      <c r="M226" s="51">
        <f>IFERROR(Table1[[#This Row],[Number of Summer 2016 NYU 2L SAs]]/Table1[[#This Row],[Number of Summer 2016 2L SAs]],0)</f>
        <v>8</v>
      </c>
      <c r="N226" s="50" t="str">
        <f>IFERROR(RIGHT(Table1[[#This Row],[1st year]],LEN(Table1[[#This Row],[1st year]])-FIND(":",Table1[[#This Row],[1st year]])-1),"")</f>
        <v/>
      </c>
      <c r="O226" s="50" t="str">
        <f t="array" ref="O226">IFERROR(INDEX(Table2[Nth year],MATCH(1,(Table1[[#This Row],[Employer]]=Table2[EIW Name])*(Table1[[#This Row],[City, State]]=Table2[Offices Matched]),0)),"")</f>
        <v/>
      </c>
      <c r="P226" s="50" t="str">
        <f>IFERROR(RIGHT(Table1[[#This Row],[Nth year]],LEN(Table1[[#This Row],[Nth year]])-FIND(":",Table1[[#This Row],[Nth year]])-1),"")</f>
        <v/>
      </c>
      <c r="Q226" s="50" t="str">
        <f t="array" ref="Q226">IFERROR(INDEX(Table2[Am Law 200 PPP Rank ’16],MATCH(1,(Table1[[#This Row],[Employer]]=Table2[EIW Name])*(Table1[[#This Row],[City, State]]=Table2[Offices Matched]),0)),"")</f>
        <v/>
      </c>
      <c r="R226" s="50" t="str">
        <f>IFERROR(LEFT(Table1[[#This Row],[Am Law 200 PPP Rank ’16]],FIND(":",Table1[[#This Row],[Am Law 200 PPP Rank ’16]])-1),"")</f>
        <v/>
      </c>
      <c r="S226" s="50">
        <f>IFERROR(INDEX(VaultRank[Rank],MATCH(Table1[[#This Row],[Employer]],VaultRank[EIW Name],0)),"")</f>
        <v>64</v>
      </c>
      <c r="T226" s="50" t="str">
        <f t="array" ref="T226">IFERROR(INDEX(Table2[Summers Matched],MATCH(1,(Table1[[#This Row],[Employer]]=Table2[EIW Name])*(Table1[[#This Row],[City, State]]=Table2[Offices Matched]),0)),"")</f>
        <v/>
      </c>
      <c r="U226" s="52" t="str">
        <f t="shared" si="3"/>
        <v/>
      </c>
      <c r="V226" s="60"/>
      <c r="W226" s="114">
        <v>42595</v>
      </c>
      <c r="X226"/>
    </row>
    <row r="227" spans="1:24" ht="14.1" customHeight="1">
      <c r="A227" s="45" t="s">
        <v>317</v>
      </c>
      <c r="B227" s="45" t="s">
        <v>409</v>
      </c>
      <c r="C227" s="45" t="s">
        <v>324</v>
      </c>
      <c r="D227" s="45" t="str">
        <f>Table1[[#This Row],[City]]&amp;", "&amp;Table1[[#This Row],[State]]</f>
        <v>Tallahassee, FL</v>
      </c>
      <c r="E227" s="49">
        <v>61</v>
      </c>
      <c r="F227" s="50">
        <v>0</v>
      </c>
      <c r="G227" s="50" t="str">
        <f t="array" ref="G227">IFERROR(INDEX(Table2[1st Year],MATCH(1,(Table1[[#This Row],[Employer]]=Table2[EIW Name])*(Table1[[#This Row],[City, State]]=Table2[Offices Matched]),0)),"")</f>
        <v/>
      </c>
      <c r="H227" s="50">
        <f>_xlfn.IFNA(INDEX(saCAGR[CAGR],MATCH(Table1[[#This Row],[Employer]],saCAGR[EIW Name],0)),"")</f>
        <v>1.0162651532323876</v>
      </c>
      <c r="I227" s="50">
        <f>IFERROR(Table1[[#This Row],[SA CAGR]]*Table1[[#This Row],[Number of Summer 2016 2L SAs]],"")</f>
        <v>0</v>
      </c>
      <c r="J227" s="50">
        <v>24</v>
      </c>
      <c r="K227" s="51">
        <f>IFERROR(Table1[[#This Row],[Number of Summer 2016 NYU 2L SAs]]/Table1[[#This Row],[Interview Slots]],0)</f>
        <v>0.39344262295081966</v>
      </c>
      <c r="L227" s="51">
        <f>Table1[[#This Row],[Number of Summer 2016 2L SAs]]/Table1[[#This Row],[Interview Slots]]</f>
        <v>0</v>
      </c>
      <c r="M227" s="51">
        <f>IFERROR(Table1[[#This Row],[Number of Summer 2016 NYU 2L SAs]]/Table1[[#This Row],[Number of Summer 2016 2L SAs]],0)</f>
        <v>0</v>
      </c>
      <c r="N227" s="50" t="str">
        <f>IFERROR(RIGHT(Table1[[#This Row],[1st year]],LEN(Table1[[#This Row],[1st year]])-FIND(":",Table1[[#This Row],[1st year]])-1),"")</f>
        <v/>
      </c>
      <c r="O227" s="50" t="str">
        <f t="array" ref="O227">IFERROR(INDEX(Table2[Nth year],MATCH(1,(Table1[[#This Row],[Employer]]=Table2[EIW Name])*(Table1[[#This Row],[City, State]]=Table2[Offices Matched]),0)),"")</f>
        <v/>
      </c>
      <c r="P227" s="50" t="str">
        <f>IFERROR(RIGHT(Table1[[#This Row],[Nth year]],LEN(Table1[[#This Row],[Nth year]])-FIND(":",Table1[[#This Row],[Nth year]])-1),"")</f>
        <v/>
      </c>
      <c r="Q227" s="50" t="str">
        <f t="array" ref="Q227">IFERROR(INDEX(Table2[Am Law 200 PPP Rank ’16],MATCH(1,(Table1[[#This Row],[Employer]]=Table2[EIW Name])*(Table1[[#This Row],[City, State]]=Table2[Offices Matched]),0)),"")</f>
        <v/>
      </c>
      <c r="R227" s="50" t="str">
        <f>IFERROR(LEFT(Table1[[#This Row],[Am Law 200 PPP Rank ’16]],FIND(":",Table1[[#This Row],[Am Law 200 PPP Rank ’16]])-1),"")</f>
        <v/>
      </c>
      <c r="S227" s="50">
        <f>IFERROR(INDEX(VaultRank[Rank],MATCH(Table1[[#This Row],[Employer]],VaultRank[EIW Name],0)),"")</f>
        <v>64</v>
      </c>
      <c r="T227" s="50" t="str">
        <f t="array" ref="T227">IFERROR(INDEX(Table2[Summers Matched],MATCH(1,(Table1[[#This Row],[Employer]]=Table2[EIW Name])*(Table1[[#This Row],[City, State]]=Table2[Offices Matched]),0)),"")</f>
        <v/>
      </c>
      <c r="U227" s="52" t="str">
        <f t="shared" si="3"/>
        <v/>
      </c>
      <c r="V227" s="60"/>
      <c r="W227" s="114">
        <v>42592</v>
      </c>
      <c r="X227"/>
    </row>
    <row r="228" spans="1:24" ht="14.1" customHeight="1">
      <c r="A228" s="45" t="s">
        <v>317</v>
      </c>
      <c r="B228" s="45" t="s">
        <v>410</v>
      </c>
      <c r="C228" s="45" t="s">
        <v>324</v>
      </c>
      <c r="D228" s="45" t="str">
        <f>Table1[[#This Row],[City]]&amp;", "&amp;Table1[[#This Row],[State]]</f>
        <v>Tampa, FL</v>
      </c>
      <c r="E228" s="49">
        <v>83</v>
      </c>
      <c r="F228" s="50">
        <v>5</v>
      </c>
      <c r="G228" s="50" t="str">
        <f t="array" ref="G228">IFERROR(INDEX(Table2[1st Year],MATCH(1,(Table1[[#This Row],[Employer]]=Table2[EIW Name])*(Table1[[#This Row],[City, State]]=Table2[Offices Matched]),0)),"")</f>
        <v/>
      </c>
      <c r="H228" s="50">
        <f>_xlfn.IFNA(INDEX(saCAGR[CAGR],MATCH(Table1[[#This Row],[Employer]],saCAGR[EIW Name],0)),"")</f>
        <v>1.0162651532323876</v>
      </c>
      <c r="I228" s="50">
        <f>IFERROR(Table1[[#This Row],[SA CAGR]]*Table1[[#This Row],[Number of Summer 2016 2L SAs]],"")</f>
        <v>5.081325766161938</v>
      </c>
      <c r="J228" s="50">
        <v>16</v>
      </c>
      <c r="K228" s="51">
        <f>IFERROR(Table1[[#This Row],[Number of Summer 2016 NYU 2L SAs]]/Table1[[#This Row],[Interview Slots]],0)</f>
        <v>0.19277108433734941</v>
      </c>
      <c r="L228" s="51">
        <f>Table1[[#This Row],[Number of Summer 2016 2L SAs]]/Table1[[#This Row],[Interview Slots]]</f>
        <v>6.0240963855421686E-2</v>
      </c>
      <c r="M228" s="51">
        <f>IFERROR(Table1[[#This Row],[Number of Summer 2016 NYU 2L SAs]]/Table1[[#This Row],[Number of Summer 2016 2L SAs]],0)</f>
        <v>3.2</v>
      </c>
      <c r="N228" s="50" t="str">
        <f>IFERROR(RIGHT(Table1[[#This Row],[1st year]],LEN(Table1[[#This Row],[1st year]])-FIND(":",Table1[[#This Row],[1st year]])-1),"")</f>
        <v/>
      </c>
      <c r="O228" s="50" t="str">
        <f t="array" ref="O228">IFERROR(INDEX(Table2[Nth year],MATCH(1,(Table1[[#This Row],[Employer]]=Table2[EIW Name])*(Table1[[#This Row],[City, State]]=Table2[Offices Matched]),0)),"")</f>
        <v/>
      </c>
      <c r="P228" s="50" t="str">
        <f>IFERROR(RIGHT(Table1[[#This Row],[Nth year]],LEN(Table1[[#This Row],[Nth year]])-FIND(":",Table1[[#This Row],[Nth year]])-1),"")</f>
        <v/>
      </c>
      <c r="Q228" s="50" t="str">
        <f t="array" ref="Q228">IFERROR(INDEX(Table2[Am Law 200 PPP Rank ’16],MATCH(1,(Table1[[#This Row],[Employer]]=Table2[EIW Name])*(Table1[[#This Row],[City, State]]=Table2[Offices Matched]),0)),"")</f>
        <v/>
      </c>
      <c r="R228" s="50" t="str">
        <f>IFERROR(LEFT(Table1[[#This Row],[Am Law 200 PPP Rank ’16]],FIND(":",Table1[[#This Row],[Am Law 200 PPP Rank ’16]])-1),"")</f>
        <v/>
      </c>
      <c r="S228" s="50">
        <f>IFERROR(INDEX(VaultRank[Rank],MATCH(Table1[[#This Row],[Employer]],VaultRank[EIW Name],0)),"")</f>
        <v>64</v>
      </c>
      <c r="T228" s="50" t="str">
        <f t="array" ref="T228">IFERROR(INDEX(Table2[Summers Matched],MATCH(1,(Table1[[#This Row],[Employer]]=Table2[EIW Name])*(Table1[[#This Row],[City, State]]=Table2[Offices Matched]),0)),"")</f>
        <v/>
      </c>
      <c r="U228" s="52" t="str">
        <f t="shared" si="3"/>
        <v/>
      </c>
      <c r="V228" s="60"/>
      <c r="W228" s="114">
        <v>42592</v>
      </c>
      <c r="X228"/>
    </row>
    <row r="229" spans="1:24" ht="14.1" customHeight="1">
      <c r="A229" s="45" t="s">
        <v>317</v>
      </c>
      <c r="B229" s="45" t="s">
        <v>429</v>
      </c>
      <c r="C229" s="45" t="s">
        <v>324</v>
      </c>
      <c r="D229" s="45" t="str">
        <f>Table1[[#This Row],[City]]&amp;", "&amp;Table1[[#This Row],[State]]</f>
        <v>West Palm Beach, FL</v>
      </c>
      <c r="E229" s="49">
        <v>32</v>
      </c>
      <c r="F229" s="50">
        <v>1</v>
      </c>
      <c r="G229" s="50" t="str">
        <f t="array" ref="G229">IFERROR(INDEX(Table2[1st Year],MATCH(1,(Table1[[#This Row],[Employer]]=Table2[EIW Name])*(Table1[[#This Row],[City, State]]=Table2[Offices Matched]),0)),"")</f>
        <v/>
      </c>
      <c r="H229" s="50">
        <f>_xlfn.IFNA(INDEX(saCAGR[CAGR],MATCH(Table1[[#This Row],[Employer]],saCAGR[EIW Name],0)),"")</f>
        <v>1.0162651532323876</v>
      </c>
      <c r="I229" s="50">
        <f>IFERROR(Table1[[#This Row],[SA CAGR]]*Table1[[#This Row],[Number of Summer 2016 2L SAs]],"")</f>
        <v>1.0162651532323876</v>
      </c>
      <c r="J229" s="50">
        <v>14</v>
      </c>
      <c r="K229" s="51">
        <f>IFERROR(Table1[[#This Row],[Number of Summer 2016 NYU 2L SAs]]/Table1[[#This Row],[Interview Slots]],0)</f>
        <v>0.4375</v>
      </c>
      <c r="L229" s="51">
        <f>Table1[[#This Row],[Number of Summer 2016 2L SAs]]/Table1[[#This Row],[Interview Slots]]</f>
        <v>3.125E-2</v>
      </c>
      <c r="M229" s="51">
        <f>IFERROR(Table1[[#This Row],[Number of Summer 2016 NYU 2L SAs]]/Table1[[#This Row],[Number of Summer 2016 2L SAs]],0)</f>
        <v>14</v>
      </c>
      <c r="N229" s="50" t="str">
        <f>IFERROR(RIGHT(Table1[[#This Row],[1st year]],LEN(Table1[[#This Row],[1st year]])-FIND(":",Table1[[#This Row],[1st year]])-1),"")</f>
        <v/>
      </c>
      <c r="O229" s="50" t="str">
        <f t="array" ref="O229">IFERROR(INDEX(Table2[Nth year],MATCH(1,(Table1[[#This Row],[Employer]]=Table2[EIW Name])*(Table1[[#This Row],[City, State]]=Table2[Offices Matched]),0)),"")</f>
        <v/>
      </c>
      <c r="P229" s="50" t="str">
        <f>IFERROR(RIGHT(Table1[[#This Row],[Nth year]],LEN(Table1[[#This Row],[Nth year]])-FIND(":",Table1[[#This Row],[Nth year]])-1),"")</f>
        <v/>
      </c>
      <c r="Q229" s="50" t="str">
        <f t="array" ref="Q229">IFERROR(INDEX(Table2[Am Law 200 PPP Rank ’16],MATCH(1,(Table1[[#This Row],[Employer]]=Table2[EIW Name])*(Table1[[#This Row],[City, State]]=Table2[Offices Matched]),0)),"")</f>
        <v/>
      </c>
      <c r="R229" s="50" t="str">
        <f>IFERROR(LEFT(Table1[[#This Row],[Am Law 200 PPP Rank ’16]],FIND(":",Table1[[#This Row],[Am Law 200 PPP Rank ’16]])-1),"")</f>
        <v/>
      </c>
      <c r="S229" s="50">
        <f>IFERROR(INDEX(VaultRank[Rank],MATCH(Table1[[#This Row],[Employer]],VaultRank[EIW Name],0)),"")</f>
        <v>64</v>
      </c>
      <c r="T229" s="50" t="str">
        <f t="array" ref="T229">IFERROR(INDEX(Table2[Summers Matched],MATCH(1,(Table1[[#This Row],[Employer]]=Table2[EIW Name])*(Table1[[#This Row],[City, State]]=Table2[Offices Matched]),0)),"")</f>
        <v/>
      </c>
      <c r="U229" s="52" t="str">
        <f t="shared" si="3"/>
        <v/>
      </c>
      <c r="V229" s="60"/>
      <c r="W229" s="114">
        <v>42593</v>
      </c>
      <c r="X229"/>
    </row>
    <row r="230" spans="1:24" ht="14.1" customHeight="1">
      <c r="A230" s="45" t="s">
        <v>317</v>
      </c>
      <c r="B230" s="45" t="s">
        <v>308</v>
      </c>
      <c r="C230" s="45" t="s">
        <v>309</v>
      </c>
      <c r="D230" s="45" t="str">
        <f>Table1[[#This Row],[City]]&amp;", "&amp;Table1[[#This Row],[State]]</f>
        <v>Atlanta, GA</v>
      </c>
      <c r="E230" s="49">
        <v>89</v>
      </c>
      <c r="F230" s="50">
        <v>0</v>
      </c>
      <c r="G230" s="50" t="str">
        <f t="array" ref="G230">IFERROR(INDEX(Table2[1st Year],MATCH(1,(Table1[[#This Row],[Employer]]=Table2[EIW Name])*(Table1[[#This Row],[City, State]]=Table2[Offices Matched]),0)),"")</f>
        <v/>
      </c>
      <c r="H230" s="50">
        <f>_xlfn.IFNA(INDEX(saCAGR[CAGR],MATCH(Table1[[#This Row],[Employer]],saCAGR[EIW Name],0)),"")</f>
        <v>1.0162651532323876</v>
      </c>
      <c r="I230" s="50">
        <f>IFERROR(Table1[[#This Row],[SA CAGR]]*Table1[[#This Row],[Number of Summer 2016 2L SAs]],"")</f>
        <v>0</v>
      </c>
      <c r="J230" s="50">
        <v>0</v>
      </c>
      <c r="K230" s="51">
        <f>IFERROR(Table1[[#This Row],[Number of Summer 2016 NYU 2L SAs]]/Table1[[#This Row],[Interview Slots]],0)</f>
        <v>0</v>
      </c>
      <c r="L230" s="51">
        <f>Table1[[#This Row],[Number of Summer 2016 2L SAs]]/Table1[[#This Row],[Interview Slots]]</f>
        <v>0</v>
      </c>
      <c r="M230" s="51">
        <f>IFERROR(Table1[[#This Row],[Number of Summer 2016 NYU 2L SAs]]/Table1[[#This Row],[Number of Summer 2016 2L SAs]],0)</f>
        <v>0</v>
      </c>
      <c r="N230" s="50" t="str">
        <f>IFERROR(RIGHT(Table1[[#This Row],[1st year]],LEN(Table1[[#This Row],[1st year]])-FIND(":",Table1[[#This Row],[1st year]])-1),"")</f>
        <v/>
      </c>
      <c r="O230" s="50" t="str">
        <f t="array" ref="O230">IFERROR(INDEX(Table2[Nth year],MATCH(1,(Table1[[#This Row],[Employer]]=Table2[EIW Name])*(Table1[[#This Row],[City, State]]=Table2[Offices Matched]),0)),"")</f>
        <v/>
      </c>
      <c r="P230" s="50" t="str">
        <f>IFERROR(RIGHT(Table1[[#This Row],[Nth year]],LEN(Table1[[#This Row],[Nth year]])-FIND(":",Table1[[#This Row],[Nth year]])-1),"")</f>
        <v/>
      </c>
      <c r="Q230" s="50" t="str">
        <f t="array" ref="Q230">IFERROR(INDEX(Table2[Am Law 200 PPP Rank ’16],MATCH(1,(Table1[[#This Row],[Employer]]=Table2[EIW Name])*(Table1[[#This Row],[City, State]]=Table2[Offices Matched]),0)),"")</f>
        <v/>
      </c>
      <c r="R230" s="50" t="str">
        <f>IFERROR(LEFT(Table1[[#This Row],[Am Law 200 PPP Rank ’16]],FIND(":",Table1[[#This Row],[Am Law 200 PPP Rank ’16]])-1),"")</f>
        <v/>
      </c>
      <c r="S230" s="50">
        <f>IFERROR(INDEX(VaultRank[Rank],MATCH(Table1[[#This Row],[Employer]],VaultRank[EIW Name],0)),"")</f>
        <v>64</v>
      </c>
      <c r="T230" s="50" t="str">
        <f t="array" ref="T230">IFERROR(INDEX(Table2[Summers Matched],MATCH(1,(Table1[[#This Row],[Employer]]=Table2[EIW Name])*(Table1[[#This Row],[City, State]]=Table2[Offices Matched]),0)),"")</f>
        <v/>
      </c>
      <c r="U230" s="52">
        <f t="shared" si="3"/>
        <v>3.6</v>
      </c>
      <c r="V230" s="60"/>
      <c r="W230" s="114">
        <v>42592</v>
      </c>
      <c r="X230"/>
    </row>
    <row r="231" spans="1:24" ht="14.1" customHeight="1">
      <c r="A231" s="45" t="s">
        <v>317</v>
      </c>
      <c r="B231" s="45" t="s">
        <v>367</v>
      </c>
      <c r="C231" s="45" t="s">
        <v>368</v>
      </c>
      <c r="D231" s="45" t="str">
        <f>Table1[[#This Row],[City]]&amp;", "&amp;Table1[[#This Row],[State]]</f>
        <v>Boston, MA</v>
      </c>
      <c r="E231" s="49">
        <v>57</v>
      </c>
      <c r="F231" s="50">
        <v>7</v>
      </c>
      <c r="G231" s="50" t="str">
        <f t="array" ref="G231">IFERROR(INDEX(Table2[1st Year],MATCH(1,(Table1[[#This Row],[Employer]]=Table2[EIW Name])*(Table1[[#This Row],[City, State]]=Table2[Offices Matched]),0)),"")</f>
        <v/>
      </c>
      <c r="H231" s="50">
        <f>_xlfn.IFNA(INDEX(saCAGR[CAGR],MATCH(Table1[[#This Row],[Employer]],saCAGR[EIW Name],0)),"")</f>
        <v>1.0162651532323876</v>
      </c>
      <c r="I231" s="50">
        <f>IFERROR(Table1[[#This Row],[SA CAGR]]*Table1[[#This Row],[Number of Summer 2016 2L SAs]],"")</f>
        <v>7.1138560726267137</v>
      </c>
      <c r="J231" s="50">
        <v>23</v>
      </c>
      <c r="K231" s="51">
        <f>IFERROR(Table1[[#This Row],[Number of Summer 2016 NYU 2L SAs]]/Table1[[#This Row],[Interview Slots]],0)</f>
        <v>0.40350877192982454</v>
      </c>
      <c r="L231" s="51">
        <f>Table1[[#This Row],[Number of Summer 2016 2L SAs]]/Table1[[#This Row],[Interview Slots]]</f>
        <v>0.12280701754385964</v>
      </c>
      <c r="M231" s="51">
        <f>IFERROR(Table1[[#This Row],[Number of Summer 2016 NYU 2L SAs]]/Table1[[#This Row],[Number of Summer 2016 2L SAs]],0)</f>
        <v>3.2857142857142856</v>
      </c>
      <c r="N231" s="50" t="str">
        <f>IFERROR(RIGHT(Table1[[#This Row],[1st year]],LEN(Table1[[#This Row],[1st year]])-FIND(":",Table1[[#This Row],[1st year]])-1),"")</f>
        <v/>
      </c>
      <c r="O231" s="50" t="str">
        <f t="array" ref="O231">IFERROR(INDEX(Table2[Nth year],MATCH(1,(Table1[[#This Row],[Employer]]=Table2[EIW Name])*(Table1[[#This Row],[City, State]]=Table2[Offices Matched]),0)),"")</f>
        <v/>
      </c>
      <c r="P231" s="50" t="str">
        <f>IFERROR(RIGHT(Table1[[#This Row],[Nth year]],LEN(Table1[[#This Row],[Nth year]])-FIND(":",Table1[[#This Row],[Nth year]])-1),"")</f>
        <v/>
      </c>
      <c r="Q231" s="50" t="str">
        <f t="array" ref="Q231">IFERROR(INDEX(Table2[Am Law 200 PPP Rank ’16],MATCH(1,(Table1[[#This Row],[Employer]]=Table2[EIW Name])*(Table1[[#This Row],[City, State]]=Table2[Offices Matched]),0)),"")</f>
        <v/>
      </c>
      <c r="R231" s="50" t="str">
        <f>IFERROR(LEFT(Table1[[#This Row],[Am Law 200 PPP Rank ’16]],FIND(":",Table1[[#This Row],[Am Law 200 PPP Rank ’16]])-1),"")</f>
        <v/>
      </c>
      <c r="S231" s="50">
        <f>IFERROR(INDEX(VaultRank[Rank],MATCH(Table1[[#This Row],[Employer]],VaultRank[EIW Name],0)),"")</f>
        <v>64</v>
      </c>
      <c r="T231" s="50" t="str">
        <f t="array" ref="T231">IFERROR(INDEX(Table2[Summers Matched],MATCH(1,(Table1[[#This Row],[Employer]]=Table2[EIW Name])*(Table1[[#This Row],[City, State]]=Table2[Offices Matched]),0)),"")</f>
        <v/>
      </c>
      <c r="U231" s="52" t="str">
        <f t="shared" si="3"/>
        <v/>
      </c>
      <c r="V231" s="60"/>
      <c r="W231" s="114">
        <v>42593</v>
      </c>
      <c r="X231"/>
    </row>
    <row r="232" spans="1:24" ht="14.1" customHeight="1">
      <c r="A232" s="45" t="s">
        <v>317</v>
      </c>
      <c r="B232" s="45" t="s">
        <v>385</v>
      </c>
      <c r="C232" s="45" t="s">
        <v>386</v>
      </c>
      <c r="D232" s="45" t="str">
        <f>Table1[[#This Row],[City]]&amp;", "&amp;Table1[[#This Row],[State]]</f>
        <v>Portland, OR</v>
      </c>
      <c r="E232" s="49">
        <v>104</v>
      </c>
      <c r="F232" s="50">
        <v>1</v>
      </c>
      <c r="G232" s="50" t="str">
        <f t="array" ref="G232">IFERROR(INDEX(Table2[1st Year],MATCH(1,(Table1[[#This Row],[Employer]]=Table2[EIW Name])*(Table1[[#This Row],[City, State]]=Table2[Offices Matched]),0)),"")</f>
        <v/>
      </c>
      <c r="H232" s="50">
        <f>_xlfn.IFNA(INDEX(saCAGR[CAGR],MATCH(Table1[[#This Row],[Employer]],saCAGR[EIW Name],0)),"")</f>
        <v>1.0162651532323876</v>
      </c>
      <c r="I232" s="50">
        <f>IFERROR(Table1[[#This Row],[SA CAGR]]*Table1[[#This Row],[Number of Summer 2016 2L SAs]],"")</f>
        <v>1.0162651532323876</v>
      </c>
      <c r="J232" s="50">
        <v>7</v>
      </c>
      <c r="K232" s="51">
        <f>IFERROR(Table1[[#This Row],[Number of Summer 2016 NYU 2L SAs]]/Table1[[#This Row],[Interview Slots]],0)</f>
        <v>6.7307692307692304E-2</v>
      </c>
      <c r="L232" s="51">
        <f>Table1[[#This Row],[Number of Summer 2016 2L SAs]]/Table1[[#This Row],[Interview Slots]]</f>
        <v>9.6153846153846159E-3</v>
      </c>
      <c r="M232" s="51">
        <f>IFERROR(Table1[[#This Row],[Number of Summer 2016 NYU 2L SAs]]/Table1[[#This Row],[Number of Summer 2016 2L SAs]],0)</f>
        <v>7</v>
      </c>
      <c r="N232" s="50" t="str">
        <f>IFERROR(RIGHT(Table1[[#This Row],[1st year]],LEN(Table1[[#This Row],[1st year]])-FIND(":",Table1[[#This Row],[1st year]])-1),"")</f>
        <v/>
      </c>
      <c r="O232" s="50" t="str">
        <f t="array" ref="O232">IFERROR(INDEX(Table2[Nth year],MATCH(1,(Table1[[#This Row],[Employer]]=Table2[EIW Name])*(Table1[[#This Row],[City, State]]=Table2[Offices Matched]),0)),"")</f>
        <v/>
      </c>
      <c r="P232" s="50" t="str">
        <f>IFERROR(RIGHT(Table1[[#This Row],[Nth year]],LEN(Table1[[#This Row],[Nth year]])-FIND(":",Table1[[#This Row],[Nth year]])-1),"")</f>
        <v/>
      </c>
      <c r="Q232" s="50" t="str">
        <f t="array" ref="Q232">IFERROR(INDEX(Table2[Am Law 200 PPP Rank ’16],MATCH(1,(Table1[[#This Row],[Employer]]=Table2[EIW Name])*(Table1[[#This Row],[City, State]]=Table2[Offices Matched]),0)),"")</f>
        <v/>
      </c>
      <c r="R232" s="50" t="str">
        <f>IFERROR(LEFT(Table1[[#This Row],[Am Law 200 PPP Rank ’16]],FIND(":",Table1[[#This Row],[Am Law 200 PPP Rank ’16]])-1),"")</f>
        <v/>
      </c>
      <c r="S232" s="50">
        <f>IFERROR(INDEX(VaultRank[Rank],MATCH(Table1[[#This Row],[Employer]],VaultRank[EIW Name],0)),"")</f>
        <v>64</v>
      </c>
      <c r="T232" s="50" t="str">
        <f t="array" ref="T232">IFERROR(INDEX(Table2[Summers Matched],MATCH(1,(Table1[[#This Row],[Employer]]=Table2[EIW Name])*(Table1[[#This Row],[City, State]]=Table2[Offices Matched]),0)),"")</f>
        <v/>
      </c>
      <c r="U232" s="52" t="str">
        <f t="shared" si="3"/>
        <v/>
      </c>
      <c r="V232" s="60"/>
      <c r="W232" s="114">
        <v>42593</v>
      </c>
      <c r="X232"/>
    </row>
    <row r="233" spans="1:24" ht="14.1" customHeight="1">
      <c r="A233" s="45" t="s">
        <v>317</v>
      </c>
      <c r="B233" s="45" t="s">
        <v>313</v>
      </c>
      <c r="C233" s="45" t="s">
        <v>314</v>
      </c>
      <c r="D233" s="45" t="str">
        <f>Table1[[#This Row],[City]]&amp;", "&amp;Table1[[#This Row],[State]]</f>
        <v>Dallas, TX</v>
      </c>
      <c r="E233" s="49">
        <v>24</v>
      </c>
      <c r="F233" s="50">
        <v>5</v>
      </c>
      <c r="G233" s="50" t="str">
        <f t="array" ref="G233">IFERROR(INDEX(Table2[1st Year],MATCH(1,(Table1[[#This Row],[Employer]]=Table2[EIW Name])*(Table1[[#This Row],[City, State]]=Table2[Offices Matched]),0)),"")</f>
        <v/>
      </c>
      <c r="H233" s="50">
        <f>_xlfn.IFNA(INDEX(saCAGR[CAGR],MATCH(Table1[[#This Row],[Employer]],saCAGR[EIW Name],0)),"")</f>
        <v>1.0162651532323876</v>
      </c>
      <c r="I233" s="50">
        <f>IFERROR(Table1[[#This Row],[SA CAGR]]*Table1[[#This Row],[Number of Summer 2016 2L SAs]],"")</f>
        <v>5.081325766161938</v>
      </c>
      <c r="J233" s="50">
        <v>1</v>
      </c>
      <c r="K233" s="51">
        <f>IFERROR(Table1[[#This Row],[Number of Summer 2016 NYU 2L SAs]]/Table1[[#This Row],[Interview Slots]],0)</f>
        <v>4.1666666666666664E-2</v>
      </c>
      <c r="L233" s="51">
        <f>Table1[[#This Row],[Number of Summer 2016 2L SAs]]/Table1[[#This Row],[Interview Slots]]</f>
        <v>0.20833333333333334</v>
      </c>
      <c r="M233" s="51">
        <f>IFERROR(Table1[[#This Row],[Number of Summer 2016 NYU 2L SAs]]/Table1[[#This Row],[Number of Summer 2016 2L SAs]],0)</f>
        <v>0.2</v>
      </c>
      <c r="N233" s="50" t="str">
        <f>IFERROR(RIGHT(Table1[[#This Row],[1st year]],LEN(Table1[[#This Row],[1st year]])-FIND(":",Table1[[#This Row],[1st year]])-1),"")</f>
        <v/>
      </c>
      <c r="O233" s="50" t="str">
        <f t="array" ref="O233">IFERROR(INDEX(Table2[Nth year],MATCH(1,(Table1[[#This Row],[Employer]]=Table2[EIW Name])*(Table1[[#This Row],[City, State]]=Table2[Offices Matched]),0)),"")</f>
        <v/>
      </c>
      <c r="P233" s="50" t="str">
        <f>IFERROR(RIGHT(Table1[[#This Row],[Nth year]],LEN(Table1[[#This Row],[Nth year]])-FIND(":",Table1[[#This Row],[Nth year]])-1),"")</f>
        <v/>
      </c>
      <c r="Q233" s="50" t="str">
        <f t="array" ref="Q233">IFERROR(INDEX(Table2[Am Law 200 PPP Rank ’16],MATCH(1,(Table1[[#This Row],[Employer]]=Table2[EIW Name])*(Table1[[#This Row],[City, State]]=Table2[Offices Matched]),0)),"")</f>
        <v/>
      </c>
      <c r="R233" s="50" t="str">
        <f>IFERROR(LEFT(Table1[[#This Row],[Am Law 200 PPP Rank ’16]],FIND(":",Table1[[#This Row],[Am Law 200 PPP Rank ’16]])-1),"")</f>
        <v/>
      </c>
      <c r="S233" s="50">
        <f>IFERROR(INDEX(VaultRank[Rank],MATCH(Table1[[#This Row],[Employer]],VaultRank[EIW Name],0)),"")</f>
        <v>64</v>
      </c>
      <c r="T233" s="50" t="str">
        <f t="array" ref="T233">IFERROR(INDEX(Table2[Summers Matched],MATCH(1,(Table1[[#This Row],[Employer]]=Table2[EIW Name])*(Table1[[#This Row],[City, State]]=Table2[Offices Matched]),0)),"")</f>
        <v/>
      </c>
      <c r="U233" s="52" t="str">
        <f t="shared" si="3"/>
        <v/>
      </c>
      <c r="V233" s="60"/>
      <c r="W233" s="114">
        <v>42592</v>
      </c>
      <c r="X233"/>
    </row>
    <row r="234" spans="1:24" ht="14.1" customHeight="1">
      <c r="A234" s="45" t="s">
        <v>317</v>
      </c>
      <c r="B234" s="45" t="s">
        <v>431</v>
      </c>
      <c r="C234" s="45" t="s">
        <v>378</v>
      </c>
      <c r="D234" s="45" t="str">
        <f>Table1[[#This Row],[City]]&amp;", "&amp;Table1[[#This Row],[State]]</f>
        <v>Northern VA/Tysons, VA</v>
      </c>
      <c r="E234" s="49">
        <v>53</v>
      </c>
      <c r="F234" s="50">
        <v>1</v>
      </c>
      <c r="G234" s="50" t="str">
        <f t="array" ref="G234">IFERROR(INDEX(Table2[1st Year],MATCH(1,(Table1[[#This Row],[Employer]]=Table2[EIW Name])*(Table1[[#This Row],[City, State]]=Table2[Offices Matched]),0)),"")</f>
        <v/>
      </c>
      <c r="H234" s="50">
        <f>_xlfn.IFNA(INDEX(saCAGR[CAGR],MATCH(Table1[[#This Row],[Employer]],saCAGR[EIW Name],0)),"")</f>
        <v>1.0162651532323876</v>
      </c>
      <c r="I234" s="50">
        <f>IFERROR(Table1[[#This Row],[SA CAGR]]*Table1[[#This Row],[Number of Summer 2016 2L SAs]],"")</f>
        <v>1.0162651532323876</v>
      </c>
      <c r="J234" s="50">
        <v>7</v>
      </c>
      <c r="K234" s="51">
        <f>IFERROR(Table1[[#This Row],[Number of Summer 2016 NYU 2L SAs]]/Table1[[#This Row],[Interview Slots]],0)</f>
        <v>0.13207547169811321</v>
      </c>
      <c r="L234" s="51">
        <f>Table1[[#This Row],[Number of Summer 2016 2L SAs]]/Table1[[#This Row],[Interview Slots]]</f>
        <v>1.8867924528301886E-2</v>
      </c>
      <c r="M234" s="51">
        <f>IFERROR(Table1[[#This Row],[Number of Summer 2016 NYU 2L SAs]]/Table1[[#This Row],[Number of Summer 2016 2L SAs]],0)</f>
        <v>7</v>
      </c>
      <c r="N234" s="50" t="str">
        <f>IFERROR(RIGHT(Table1[[#This Row],[1st year]],LEN(Table1[[#This Row],[1st year]])-FIND(":",Table1[[#This Row],[1st year]])-1),"")</f>
        <v/>
      </c>
      <c r="O234" s="50" t="str">
        <f t="array" ref="O234">IFERROR(INDEX(Table2[Nth year],MATCH(1,(Table1[[#This Row],[Employer]]=Table2[EIW Name])*(Table1[[#This Row],[City, State]]=Table2[Offices Matched]),0)),"")</f>
        <v/>
      </c>
      <c r="P234" s="50" t="str">
        <f>IFERROR(RIGHT(Table1[[#This Row],[Nth year]],LEN(Table1[[#This Row],[Nth year]])-FIND(":",Table1[[#This Row],[Nth year]])-1),"")</f>
        <v/>
      </c>
      <c r="Q234" s="50" t="str">
        <f t="array" ref="Q234">IFERROR(INDEX(Table2[Am Law 200 PPP Rank ’16],MATCH(1,(Table1[[#This Row],[Employer]]=Table2[EIW Name])*(Table1[[#This Row],[City, State]]=Table2[Offices Matched]),0)),"")</f>
        <v/>
      </c>
      <c r="R234" s="50" t="str">
        <f>IFERROR(LEFT(Table1[[#This Row],[Am Law 200 PPP Rank ’16]],FIND(":",Table1[[#This Row],[Am Law 200 PPP Rank ’16]])-1),"")</f>
        <v/>
      </c>
      <c r="S234" s="50">
        <f>IFERROR(INDEX(VaultRank[Rank],MATCH(Table1[[#This Row],[Employer]],VaultRank[EIW Name],0)),"")</f>
        <v>64</v>
      </c>
      <c r="T234" s="50" t="str">
        <f t="array" ref="T234">IFERROR(INDEX(Table2[Summers Matched],MATCH(1,(Table1[[#This Row],[Employer]]=Table2[EIW Name])*(Table1[[#This Row],[City, State]]=Table2[Offices Matched]),0)),"")</f>
        <v/>
      </c>
      <c r="U234" s="52" t="str">
        <f t="shared" si="3"/>
        <v/>
      </c>
      <c r="V234" s="60"/>
      <c r="W234" s="114">
        <v>42594</v>
      </c>
      <c r="X234"/>
    </row>
    <row r="235" spans="1:24" ht="14.1" customHeight="1">
      <c r="A235" s="45" t="s">
        <v>218</v>
      </c>
      <c r="B235" s="45" t="s">
        <v>303</v>
      </c>
      <c r="C235" s="45" t="s">
        <v>304</v>
      </c>
      <c r="D235" s="45" t="str">
        <f>Table1[[#This Row],[City]]&amp;", "&amp;Table1[[#This Row],[State]]</f>
        <v>Chicago, IL</v>
      </c>
      <c r="E235" s="49">
        <v>183</v>
      </c>
      <c r="F235" s="50">
        <v>2</v>
      </c>
      <c r="G235" s="50" t="str">
        <f t="array" ref="G235">IFERROR(INDEX(Table2[1st Year],MATCH(1,(Table1[[#This Row],[Employer]]=Table2[EIW Name])*(Table1[[#This Row],[City, State]]=Table2[Offices Matched]),0)),"")</f>
        <v>1st Year: $180K</v>
      </c>
      <c r="H235" s="50">
        <f>_xlfn.IFNA(INDEX(saCAGR[CAGR],MATCH(Table1[[#This Row],[Employer]],saCAGR[EIW Name],0)),"")</f>
        <v>0.99827089368793842</v>
      </c>
      <c r="I235" s="50">
        <f>IFERROR(Table1[[#This Row],[SA CAGR]]*Table1[[#This Row],[Number of Summer 2016 2L SAs]],"")</f>
        <v>1.9965417873758768</v>
      </c>
      <c r="J235" s="50">
        <v>12</v>
      </c>
      <c r="K235" s="51">
        <f>IFERROR(Table1[[#This Row],[Number of Summer 2016 NYU 2L SAs]]/Table1[[#This Row],[Interview Slots]],0)</f>
        <v>6.5573770491803282E-2</v>
      </c>
      <c r="L235" s="51">
        <f>Table1[[#This Row],[Number of Summer 2016 2L SAs]]/Table1[[#This Row],[Interview Slots]]</f>
        <v>1.092896174863388E-2</v>
      </c>
      <c r="M235" s="51">
        <f>IFERROR(Table1[[#This Row],[Number of Summer 2016 NYU 2L SAs]]/Table1[[#This Row],[Number of Summer 2016 2L SAs]],0)</f>
        <v>6</v>
      </c>
      <c r="N235" s="50" t="str">
        <f>IFERROR(RIGHT(Table1[[#This Row],[1st year]],LEN(Table1[[#This Row],[1st year]])-FIND(":",Table1[[#This Row],[1st year]])-1),"")</f>
        <v>$180K</v>
      </c>
      <c r="O235" s="50" t="str">
        <f t="array" ref="O235">IFERROR(INDEX(Table2[Nth year],MATCH(1,(Table1[[#This Row],[Employer]]=Table2[EIW Name])*(Table1[[#This Row],[City, State]]=Table2[Offices Matched]),0)),"")</f>
        <v>8th Year+: $315K</v>
      </c>
      <c r="P235" s="50" t="str">
        <f>IFERROR(RIGHT(Table1[[#This Row],[Nth year]],LEN(Table1[[#This Row],[Nth year]])-FIND(":",Table1[[#This Row],[Nth year]])-1),"")</f>
        <v>$315K</v>
      </c>
      <c r="Q235" s="50" t="str">
        <f t="array" ref="Q235">IFERROR(INDEX(Table2[Am Law 200 PPP Rank ’16],MATCH(1,(Table1[[#This Row],[Employer]]=Table2[EIW Name])*(Table1[[#This Row],[City, State]]=Table2[Offices Matched]),0)),"")</f>
        <v>22: $2.51M</v>
      </c>
      <c r="R235" s="50" t="str">
        <f>IFERROR(LEFT(Table1[[#This Row],[Am Law 200 PPP Rank ’16]],FIND(":",Table1[[#This Row],[Am Law 200 PPP Rank ’16]])-1),"")</f>
        <v>22</v>
      </c>
      <c r="S235" s="50">
        <f>IFERROR(INDEX(VaultRank[Rank],MATCH(Table1[[#This Row],[Employer]],VaultRank[EIW Name],0)),"")</f>
        <v>51</v>
      </c>
      <c r="T235" s="50" t="str">
        <f t="array" ref="T235">IFERROR(INDEX(Table2[Summers Matched],MATCH(1,(Table1[[#This Row],[Employer]]=Table2[EIW Name])*(Table1[[#This Row],[City, State]]=Table2[Offices Matched]),0)),"")</f>
        <v>Yes</v>
      </c>
      <c r="U235" s="52" t="str">
        <f t="shared" si="3"/>
        <v/>
      </c>
      <c r="V235" s="60"/>
      <c r="W235" s="114">
        <v>42594</v>
      </c>
      <c r="X235"/>
    </row>
    <row r="236" spans="1:24" ht="14.1" customHeight="1">
      <c r="A236" s="45" t="s">
        <v>218</v>
      </c>
      <c r="B236" s="45" t="s">
        <v>364</v>
      </c>
      <c r="C236" s="45" t="s">
        <v>362</v>
      </c>
      <c r="D236" s="45" t="str">
        <f>Table1[[#This Row],[City]]&amp;", "&amp;Table1[[#This Row],[State]]</f>
        <v>New York, NY</v>
      </c>
      <c r="E236" s="49">
        <v>145</v>
      </c>
      <c r="F236" s="50">
        <v>28</v>
      </c>
      <c r="G236" s="50" t="str">
        <f t="array" ref="G236">IFERROR(INDEX(Table2[1st Year],MATCH(1,(Table1[[#This Row],[Employer]]=Table2[EIW Name])*(Table1[[#This Row],[City, State]]=Table2[Offices Matched]),0)),"")</f>
        <v>1st Year: $180K</v>
      </c>
      <c r="H236" s="51">
        <f>_xlfn.IFNA(INDEX(saCAGR[CAGR],MATCH(Table1[[#This Row],[Employer]],saCAGR[EIW Name],0)),"")</f>
        <v>0.99827089368793842</v>
      </c>
      <c r="I236" s="50">
        <f>IFERROR(Table1[[#This Row],[SA CAGR]]*Table1[[#This Row],[Number of Summer 2016 2L SAs]],"")</f>
        <v>27.951585023262275</v>
      </c>
      <c r="J236" s="50">
        <v>6</v>
      </c>
      <c r="K236" s="51">
        <f>IFERROR(Table1[[#This Row],[Number of Summer 2016 NYU 2L SAs]]/Table1[[#This Row],[Interview Slots]],0)</f>
        <v>4.1379310344827586E-2</v>
      </c>
      <c r="L236" s="51">
        <f>Table1[[#This Row],[Number of Summer 2016 2L SAs]]/Table1[[#This Row],[Interview Slots]]</f>
        <v>0.19310344827586207</v>
      </c>
      <c r="M236" s="51">
        <f>IFERROR(Table1[[#This Row],[Number of Summer 2016 NYU 2L SAs]]/Table1[[#This Row],[Number of Summer 2016 2L SAs]],0)</f>
        <v>0.21428571428571427</v>
      </c>
      <c r="N236" s="50" t="str">
        <f>IFERROR(RIGHT(Table1[[#This Row],[1st year]],LEN(Table1[[#This Row],[1st year]])-FIND(":",Table1[[#This Row],[1st year]])-1),"")</f>
        <v>$180K</v>
      </c>
      <c r="O236" s="50" t="str">
        <f t="array" ref="O236">IFERROR(INDEX(Table2[Nth year],MATCH(1,(Table1[[#This Row],[Employer]]=Table2[EIW Name])*(Table1[[#This Row],[City, State]]=Table2[Offices Matched]),0)),"")</f>
        <v>8th Year+: $315K</v>
      </c>
      <c r="P236" s="50" t="str">
        <f>IFERROR(RIGHT(Table1[[#This Row],[Nth year]],LEN(Table1[[#This Row],[Nth year]])-FIND(":",Table1[[#This Row],[Nth year]])-1),"")</f>
        <v>$315K</v>
      </c>
      <c r="Q236" s="50" t="str">
        <f t="array" ref="Q236">IFERROR(INDEX(Table2[Am Law 200 PPP Rank ’16],MATCH(1,(Table1[[#This Row],[Employer]]=Table2[EIW Name])*(Table1[[#This Row],[City, State]]=Table2[Offices Matched]),0)),"")</f>
        <v>22: $2.51M</v>
      </c>
      <c r="R236" s="50" t="str">
        <f>IFERROR(LEFT(Table1[[#This Row],[Am Law 200 PPP Rank ’16]],FIND(":",Table1[[#This Row],[Am Law 200 PPP Rank ’16]])-1),"")</f>
        <v>22</v>
      </c>
      <c r="S236" s="50">
        <f>IFERROR(INDEX(VaultRank[Rank],MATCH(Table1[[#This Row],[Employer]],VaultRank[EIW Name],0)),"")</f>
        <v>51</v>
      </c>
      <c r="T236" s="50" t="str">
        <f t="array" ref="T236">IFERROR(INDEX(Table2[Summers Matched],MATCH(1,(Table1[[#This Row],[Employer]]=Table2[EIW Name])*(Table1[[#This Row],[City, State]]=Table2[Offices Matched]),0)),"")</f>
        <v>Yes</v>
      </c>
      <c r="U236" s="52" t="str">
        <f t="shared" si="3"/>
        <v/>
      </c>
      <c r="V236" s="60"/>
      <c r="W236" s="114">
        <v>42592</v>
      </c>
      <c r="X236"/>
    </row>
    <row r="237" spans="1:24" ht="14.1" customHeight="1">
      <c r="A237" s="45" t="s">
        <v>432</v>
      </c>
      <c r="B237" s="45" t="s">
        <v>301</v>
      </c>
      <c r="C237" s="45" t="s">
        <v>302</v>
      </c>
      <c r="D237" s="45" t="str">
        <f>Table1[[#This Row],[City]]&amp;", "&amp;Table1[[#This Row],[State]]</f>
        <v>Washington, DC</v>
      </c>
      <c r="E237" s="49">
        <v>24</v>
      </c>
      <c r="F237" s="50">
        <v>2</v>
      </c>
      <c r="G237" s="50" t="str">
        <f t="array" ref="G237">IFERROR(INDEX(Table2[1st Year],MATCH(1,(Table1[[#This Row],[Employer]]=Table2[EIW Name])*(Table1[[#This Row],[City, State]]=Table2[Offices Matched]),0)),"")</f>
        <v/>
      </c>
      <c r="H237" s="50" t="str">
        <f>_xlfn.IFNA(INDEX(saCAGR[CAGR],MATCH(Table1[[#This Row],[Employer]],saCAGR[EIW Name],0)),"")</f>
        <v/>
      </c>
      <c r="I237" s="50" t="str">
        <f>IFERROR(Table1[[#This Row],[SA CAGR]]*Table1[[#This Row],[Number of Summer 2016 2L SAs]],"")</f>
        <v/>
      </c>
      <c r="J237" s="50">
        <v>19</v>
      </c>
      <c r="K237" s="51">
        <f>IFERROR(Table1[[#This Row],[Number of Summer 2016 NYU 2L SAs]]/Table1[[#This Row],[Interview Slots]],0)</f>
        <v>0.79166666666666663</v>
      </c>
      <c r="L237" s="51">
        <f>Table1[[#This Row],[Number of Summer 2016 2L SAs]]/Table1[[#This Row],[Interview Slots]]</f>
        <v>8.3333333333333329E-2</v>
      </c>
      <c r="M237" s="51">
        <f>IFERROR(Table1[[#This Row],[Number of Summer 2016 NYU 2L SAs]]/Table1[[#This Row],[Number of Summer 2016 2L SAs]],0)</f>
        <v>9.5</v>
      </c>
      <c r="N237" s="50" t="str">
        <f>IFERROR(RIGHT(Table1[[#This Row],[1st year]],LEN(Table1[[#This Row],[1st year]])-FIND(":",Table1[[#This Row],[1st year]])-1),"")</f>
        <v/>
      </c>
      <c r="O237" s="50" t="str">
        <f t="array" ref="O237">IFERROR(INDEX(Table2[Nth year],MATCH(1,(Table1[[#This Row],[Employer]]=Table2[EIW Name])*(Table1[[#This Row],[City, State]]=Table2[Offices Matched]),0)),"")</f>
        <v/>
      </c>
      <c r="P237" s="50" t="str">
        <f>IFERROR(RIGHT(Table1[[#This Row],[Nth year]],LEN(Table1[[#This Row],[Nth year]])-FIND(":",Table1[[#This Row],[Nth year]])-1),"")</f>
        <v/>
      </c>
      <c r="Q237" s="50" t="str">
        <f t="array" ref="Q237">IFERROR(INDEX(Table2[Am Law 200 PPP Rank ’16],MATCH(1,(Table1[[#This Row],[Employer]]=Table2[EIW Name])*(Table1[[#This Row],[City, State]]=Table2[Offices Matched]),0)),"")</f>
        <v/>
      </c>
      <c r="R237" s="50" t="str">
        <f>IFERROR(LEFT(Table1[[#This Row],[Am Law 200 PPP Rank ’16]],FIND(":",Table1[[#This Row],[Am Law 200 PPP Rank ’16]])-1),"")</f>
        <v/>
      </c>
      <c r="S237" s="50">
        <f>IFERROR(INDEX(VaultRank[Rank],MATCH(Table1[[#This Row],[Employer]],VaultRank[EIW Name],0)),"")</f>
        <v>86</v>
      </c>
      <c r="T237" s="50" t="str">
        <f t="array" ref="T237">IFERROR(INDEX(Table2[Summers Matched],MATCH(1,(Table1[[#This Row],[Employer]]=Table2[EIW Name])*(Table1[[#This Row],[City, State]]=Table2[Offices Matched]),0)),"")</f>
        <v/>
      </c>
      <c r="U237" s="52" t="str">
        <f t="shared" si="3"/>
        <v/>
      </c>
      <c r="V237" s="60"/>
      <c r="W237" s="114">
        <v>42592</v>
      </c>
      <c r="X237"/>
    </row>
    <row r="238" spans="1:24" ht="14.1" customHeight="1">
      <c r="A238" s="45" t="s">
        <v>272</v>
      </c>
      <c r="B238" s="45" t="s">
        <v>303</v>
      </c>
      <c r="C238" s="45" t="s">
        <v>304</v>
      </c>
      <c r="D238" s="45" t="str">
        <f>Table1[[#This Row],[City]]&amp;", "&amp;Table1[[#This Row],[State]]</f>
        <v>Chicago, IL</v>
      </c>
      <c r="E238" s="49">
        <v>81</v>
      </c>
      <c r="F238" s="50">
        <v>6</v>
      </c>
      <c r="G238" s="50" t="str">
        <f t="array" ref="G238">IFERROR(INDEX(Table2[1st Year],MATCH(1,(Table1[[#This Row],[Employer]]=Table2[EIW Name])*(Table1[[#This Row],[City, State]]=Table2[Offices Matched]),0)),"")</f>
        <v>1st Year: $180K</v>
      </c>
      <c r="H238" s="51">
        <f>_xlfn.IFNA(INDEX(saCAGR[CAGR],MATCH(Table1[[#This Row],[Employer]],saCAGR[EIW Name],0)),"")</f>
        <v>1.0180960664634566</v>
      </c>
      <c r="I238" s="50">
        <f>IFERROR(Table1[[#This Row],[SA CAGR]]*Table1[[#This Row],[Number of Summer 2016 2L SAs]],"")</f>
        <v>6.1085763987807393</v>
      </c>
      <c r="J238" s="50">
        <v>6</v>
      </c>
      <c r="K238" s="51">
        <f>IFERROR(Table1[[#This Row],[Number of Summer 2016 NYU 2L SAs]]/Table1[[#This Row],[Interview Slots]],0)</f>
        <v>7.407407407407407E-2</v>
      </c>
      <c r="L238" s="51">
        <f>Table1[[#This Row],[Number of Summer 2016 2L SAs]]/Table1[[#This Row],[Interview Slots]]</f>
        <v>7.407407407407407E-2</v>
      </c>
      <c r="M238" s="51">
        <f>IFERROR(Table1[[#This Row],[Number of Summer 2016 NYU 2L SAs]]/Table1[[#This Row],[Number of Summer 2016 2L SAs]],0)</f>
        <v>1</v>
      </c>
      <c r="N238" s="50" t="str">
        <f>IFERROR(RIGHT(Table1[[#This Row],[1st year]],LEN(Table1[[#This Row],[1st year]])-FIND(":",Table1[[#This Row],[1st year]])-1),"")</f>
        <v>$180K</v>
      </c>
      <c r="O238" s="50" t="str">
        <f t="array" ref="O238">IFERROR(INDEX(Table2[Nth year],MATCH(1,(Table1[[#This Row],[Employer]]=Table2[EIW Name])*(Table1[[#This Row],[City, State]]=Table2[Offices Matched]),0)),"")</f>
        <v>Others: TBD Based on Performance</v>
      </c>
      <c r="P238" s="50" t="str">
        <f>IFERROR(RIGHT(Table1[[#This Row],[Nth year]],LEN(Table1[[#This Row],[Nth year]])-FIND(":",Table1[[#This Row],[Nth year]])-1),"")</f>
        <v>TBD Based on Performance</v>
      </c>
      <c r="Q238" s="50" t="str">
        <f t="array" ref="Q238">IFERROR(INDEX(Table2[Am Law 200 PPP Rank ’16],MATCH(1,(Table1[[#This Row],[Employer]]=Table2[EIW Name])*(Table1[[#This Row],[City, State]]=Table2[Offices Matched]),0)),"")</f>
        <v>62: $1.48M</v>
      </c>
      <c r="R238" s="50" t="str">
        <f>IFERROR(LEFT(Table1[[#This Row],[Am Law 200 PPP Rank ’16]],FIND(":",Table1[[#This Row],[Am Law 200 PPP Rank ’16]])-1),"")</f>
        <v>62</v>
      </c>
      <c r="S238" s="50">
        <f>IFERROR(INDEX(VaultRank[Rank],MATCH(Table1[[#This Row],[Employer]],VaultRank[EIW Name],0)),"")</f>
        <v>52</v>
      </c>
      <c r="T238" s="50" t="str">
        <f t="array" ref="T238">IFERROR(INDEX(Table2[Summers Matched],MATCH(1,(Table1[[#This Row],[Employer]]=Table2[EIW Name])*(Table1[[#This Row],[City, State]]=Table2[Offices Matched]),0)),"")</f>
        <v>TBD</v>
      </c>
      <c r="U238" s="52" t="str">
        <f t="shared" si="3"/>
        <v/>
      </c>
      <c r="V238" s="60"/>
      <c r="W238" s="114">
        <v>42595</v>
      </c>
      <c r="X238"/>
    </row>
    <row r="239" spans="1:24" ht="14.1" customHeight="1">
      <c r="A239" s="61" t="s">
        <v>433</v>
      </c>
      <c r="B239" s="61" t="s">
        <v>301</v>
      </c>
      <c r="C239" s="61" t="s">
        <v>302</v>
      </c>
      <c r="D239" s="61" t="str">
        <f>Table1[[#This Row],[City]]&amp;", "&amp;Table1[[#This Row],[State]]</f>
        <v>Washington, DC</v>
      </c>
      <c r="E239" s="63">
        <v>106</v>
      </c>
      <c r="F239" s="50">
        <v>4</v>
      </c>
      <c r="G239" s="50" t="str">
        <f t="array" ref="G239">IFERROR(INDEX(Table2[1st Year],MATCH(1,(Table1[[#This Row],[Employer]]=Table2[EIW Name])*(Table1[[#This Row],[City, State]]=Table2[Offices Matched]),0)),"")</f>
        <v/>
      </c>
      <c r="H239" s="50">
        <f>_xlfn.IFNA(INDEX(saCAGR[CAGR],MATCH(Table1[[#This Row],[Employer]],saCAGR[EIW Name],0)),"")</f>
        <v>1.0375331969402122</v>
      </c>
      <c r="I239" s="50">
        <f>IFERROR(Table1[[#This Row],[SA CAGR]]*Table1[[#This Row],[Number of Summer 2016 2L SAs]],"")</f>
        <v>4.1501327877608487</v>
      </c>
      <c r="J239" s="50">
        <v>24</v>
      </c>
      <c r="K239" s="51">
        <f>IFERROR(Table1[[#This Row],[Number of Summer 2016 NYU 2L SAs]]/Table1[[#This Row],[Interview Slots]],0)</f>
        <v>0.22641509433962265</v>
      </c>
      <c r="L239" s="51">
        <f>Table1[[#This Row],[Number of Summer 2016 2L SAs]]/Table1[[#This Row],[Interview Slots]]</f>
        <v>3.7735849056603772E-2</v>
      </c>
      <c r="M239" s="51">
        <f>IFERROR(Table1[[#This Row],[Number of Summer 2016 NYU 2L SAs]]/Table1[[#This Row],[Number of Summer 2016 2L SAs]],0)</f>
        <v>6</v>
      </c>
      <c r="N239" s="50" t="str">
        <f>IFERROR(RIGHT(Table1[[#This Row],[1st year]],LEN(Table1[[#This Row],[1st year]])-FIND(":",Table1[[#This Row],[1st year]])-1),"")</f>
        <v/>
      </c>
      <c r="O239" s="50" t="str">
        <f t="array" ref="O239">IFERROR(INDEX(Table2[Nth year],MATCH(1,(Table1[[#This Row],[Employer]]=Table2[EIW Name])*(Table1[[#This Row],[City, State]]=Table2[Offices Matched]),0)),"")</f>
        <v/>
      </c>
      <c r="P239" s="50" t="str">
        <f>IFERROR(RIGHT(Table1[[#This Row],[Nth year]],LEN(Table1[[#This Row],[Nth year]])-FIND(":",Table1[[#This Row],[Nth year]])-1),"")</f>
        <v/>
      </c>
      <c r="Q239" s="50" t="str">
        <f t="array" ref="Q239">IFERROR(INDEX(Table2[Am Law 200 PPP Rank ’16],MATCH(1,(Table1[[#This Row],[Employer]]=Table2[EIW Name])*(Table1[[#This Row],[City, State]]=Table2[Offices Matched]),0)),"")</f>
        <v/>
      </c>
      <c r="R239" s="50" t="str">
        <f>IFERROR(LEFT(Table1[[#This Row],[Am Law 200 PPP Rank ’16]],FIND(":",Table1[[#This Row],[Am Law 200 PPP Rank ’16]])-1),"")</f>
        <v/>
      </c>
      <c r="S239" s="50">
        <f>IFERROR(INDEX(VaultRank[Rank],MATCH(Table1[[#This Row],[Employer]],VaultRank[EIW Name],0)),"")</f>
        <v>82</v>
      </c>
      <c r="T239" s="50" t="str">
        <f t="array" ref="T239">IFERROR(INDEX(Table2[Summers Matched],MATCH(1,(Table1[[#This Row],[Employer]]=Table2[EIW Name])*(Table1[[#This Row],[City, State]]=Table2[Offices Matched]),0)),"")</f>
        <v/>
      </c>
      <c r="U239" s="52" t="str">
        <f t="shared" si="3"/>
        <v/>
      </c>
      <c r="V239" s="49" t="s">
        <v>434</v>
      </c>
      <c r="W239" s="114">
        <v>42595</v>
      </c>
      <c r="X239"/>
    </row>
    <row r="240" spans="1:24" ht="14.1" customHeight="1">
      <c r="A240" s="45" t="s">
        <v>433</v>
      </c>
      <c r="B240" s="45" t="s">
        <v>337</v>
      </c>
      <c r="C240" s="45" t="s">
        <v>324</v>
      </c>
      <c r="D240" s="45" t="str">
        <f>Table1[[#This Row],[City]]&amp;", "&amp;Table1[[#This Row],[State]]</f>
        <v>Miami, FL</v>
      </c>
      <c r="E240" s="49">
        <v>9</v>
      </c>
      <c r="F240" s="50">
        <v>3</v>
      </c>
      <c r="G240" s="50" t="str">
        <f t="array" ref="G240">IFERROR(INDEX(Table2[1st Year],MATCH(1,(Table1[[#This Row],[Employer]]=Table2[EIW Name])*(Table1[[#This Row],[City, State]]=Table2[Offices Matched]),0)),"")</f>
        <v/>
      </c>
      <c r="H240" s="50">
        <f>_xlfn.IFNA(INDEX(saCAGR[CAGR],MATCH(Table1[[#This Row],[Employer]],saCAGR[EIW Name],0)),"")</f>
        <v>1.0375331969402122</v>
      </c>
      <c r="I240" s="50">
        <f>IFERROR(Table1[[#This Row],[SA CAGR]]*Table1[[#This Row],[Number of Summer 2016 2L SAs]],"")</f>
        <v>3.1125995908206363</v>
      </c>
      <c r="J240" s="50">
        <v>23</v>
      </c>
      <c r="K240" s="51">
        <f>IFERROR(Table1[[#This Row],[Number of Summer 2016 NYU 2L SAs]]/Table1[[#This Row],[Interview Slots]],0)</f>
        <v>2.5555555555555554</v>
      </c>
      <c r="L240" s="51">
        <f>Table1[[#This Row],[Number of Summer 2016 2L SAs]]/Table1[[#This Row],[Interview Slots]]</f>
        <v>0.33333333333333331</v>
      </c>
      <c r="M240" s="51">
        <f>IFERROR(Table1[[#This Row],[Number of Summer 2016 NYU 2L SAs]]/Table1[[#This Row],[Number of Summer 2016 2L SAs]],0)</f>
        <v>7.666666666666667</v>
      </c>
      <c r="N240" s="50" t="str">
        <f>IFERROR(RIGHT(Table1[[#This Row],[1st year]],LEN(Table1[[#This Row],[1st year]])-FIND(":",Table1[[#This Row],[1st year]])-1),"")</f>
        <v/>
      </c>
      <c r="O240" s="50" t="str">
        <f t="array" ref="O240">IFERROR(INDEX(Table2[Nth year],MATCH(1,(Table1[[#This Row],[Employer]]=Table2[EIW Name])*(Table1[[#This Row],[City, State]]=Table2[Offices Matched]),0)),"")</f>
        <v/>
      </c>
      <c r="P240" s="50" t="str">
        <f>IFERROR(RIGHT(Table1[[#This Row],[Nth year]],LEN(Table1[[#This Row],[Nth year]])-FIND(":",Table1[[#This Row],[Nth year]])-1),"")</f>
        <v/>
      </c>
      <c r="Q240" s="50" t="str">
        <f t="array" ref="Q240">IFERROR(INDEX(Table2[Am Law 200 PPP Rank ’16],MATCH(1,(Table1[[#This Row],[Employer]]=Table2[EIW Name])*(Table1[[#This Row],[City, State]]=Table2[Offices Matched]),0)),"")</f>
        <v/>
      </c>
      <c r="R240" s="50" t="str">
        <f>IFERROR(LEFT(Table1[[#This Row],[Am Law 200 PPP Rank ’16]],FIND(":",Table1[[#This Row],[Am Law 200 PPP Rank ’16]])-1),"")</f>
        <v/>
      </c>
      <c r="S240" s="50">
        <f>IFERROR(INDEX(VaultRank[Rank],MATCH(Table1[[#This Row],[Employer]],VaultRank[EIW Name],0)),"")</f>
        <v>82</v>
      </c>
      <c r="T240" s="50" t="str">
        <f t="array" ref="T240">IFERROR(INDEX(Table2[Summers Matched],MATCH(1,(Table1[[#This Row],[Employer]]=Table2[EIW Name])*(Table1[[#This Row],[City, State]]=Table2[Offices Matched]),0)),"")</f>
        <v/>
      </c>
      <c r="U240" s="52">
        <f t="shared" si="3"/>
        <v>3.4</v>
      </c>
      <c r="V240" s="60"/>
      <c r="W240" s="114">
        <v>42594</v>
      </c>
      <c r="X240"/>
    </row>
    <row r="241" spans="1:24" ht="14.1" customHeight="1">
      <c r="A241" s="61" t="s">
        <v>433</v>
      </c>
      <c r="B241" s="61" t="s">
        <v>313</v>
      </c>
      <c r="C241" s="61" t="s">
        <v>314</v>
      </c>
      <c r="D241" s="61" t="str">
        <f>Table1[[#This Row],[City]]&amp;", "&amp;Table1[[#This Row],[State]]</f>
        <v>Dallas, TX</v>
      </c>
      <c r="E241" s="63">
        <v>169</v>
      </c>
      <c r="F241" s="50">
        <v>4</v>
      </c>
      <c r="G241" s="50" t="str">
        <f t="array" ref="G241">IFERROR(INDEX(Table2[1st Year],MATCH(1,(Table1[[#This Row],[Employer]]=Table2[EIW Name])*(Table1[[#This Row],[City, State]]=Table2[Offices Matched]),0)),"")</f>
        <v/>
      </c>
      <c r="H241" s="50">
        <f>_xlfn.IFNA(INDEX(saCAGR[CAGR],MATCH(Table1[[#This Row],[Employer]],saCAGR[EIW Name],0)),"")</f>
        <v>1.0375331969402122</v>
      </c>
      <c r="I241" s="50">
        <f>IFERROR(Table1[[#This Row],[SA CAGR]]*Table1[[#This Row],[Number of Summer 2016 2L SAs]],"")</f>
        <v>4.1501327877608487</v>
      </c>
      <c r="J241" s="50">
        <v>3</v>
      </c>
      <c r="K241" s="51">
        <f>IFERROR(Table1[[#This Row],[Number of Summer 2016 NYU 2L SAs]]/Table1[[#This Row],[Interview Slots]],0)</f>
        <v>1.7751479289940829E-2</v>
      </c>
      <c r="L241" s="51">
        <f>Table1[[#This Row],[Number of Summer 2016 2L SAs]]/Table1[[#This Row],[Interview Slots]]</f>
        <v>2.3668639053254437E-2</v>
      </c>
      <c r="M241" s="51">
        <f>IFERROR(Table1[[#This Row],[Number of Summer 2016 NYU 2L SAs]]/Table1[[#This Row],[Number of Summer 2016 2L SAs]],0)</f>
        <v>0.75</v>
      </c>
      <c r="N241" s="50" t="str">
        <f>IFERROR(RIGHT(Table1[[#This Row],[1st year]],LEN(Table1[[#This Row],[1st year]])-FIND(":",Table1[[#This Row],[1st year]])-1),"")</f>
        <v/>
      </c>
      <c r="O241" s="50" t="str">
        <f t="array" ref="O241">IFERROR(INDEX(Table2[Nth year],MATCH(1,(Table1[[#This Row],[Employer]]=Table2[EIW Name])*(Table1[[#This Row],[City, State]]=Table2[Offices Matched]),0)),"")</f>
        <v/>
      </c>
      <c r="P241" s="50" t="str">
        <f>IFERROR(RIGHT(Table1[[#This Row],[Nth year]],LEN(Table1[[#This Row],[Nth year]])-FIND(":",Table1[[#This Row],[Nth year]])-1),"")</f>
        <v/>
      </c>
      <c r="Q241" s="50" t="str">
        <f t="array" ref="Q241">IFERROR(INDEX(Table2[Am Law 200 PPP Rank ’16],MATCH(1,(Table1[[#This Row],[Employer]]=Table2[EIW Name])*(Table1[[#This Row],[City, State]]=Table2[Offices Matched]),0)),"")</f>
        <v/>
      </c>
      <c r="R241" s="50" t="str">
        <f>IFERROR(LEFT(Table1[[#This Row],[Am Law 200 PPP Rank ’16]],FIND(":",Table1[[#This Row],[Am Law 200 PPP Rank ’16]])-1),"")</f>
        <v/>
      </c>
      <c r="S241" s="50">
        <f>IFERROR(INDEX(VaultRank[Rank],MATCH(Table1[[#This Row],[Employer]],VaultRank[EIW Name],0)),"")</f>
        <v>82</v>
      </c>
      <c r="T241" s="50" t="str">
        <f t="array" ref="T241">IFERROR(INDEX(Table2[Summers Matched],MATCH(1,(Table1[[#This Row],[Employer]]=Table2[EIW Name])*(Table1[[#This Row],[City, State]]=Table2[Offices Matched]),0)),"")</f>
        <v/>
      </c>
      <c r="U241" s="52" t="str">
        <f t="shared" si="3"/>
        <v/>
      </c>
      <c r="V241" s="49" t="s">
        <v>435</v>
      </c>
      <c r="W241" s="114">
        <v>42595</v>
      </c>
      <c r="X241"/>
    </row>
    <row r="242" spans="1:24" ht="14.1" customHeight="1">
      <c r="A242" s="61" t="s">
        <v>433</v>
      </c>
      <c r="B242" s="61" t="s">
        <v>436</v>
      </c>
      <c r="C242" s="61" t="s">
        <v>378</v>
      </c>
      <c r="D242" s="61" t="str">
        <f>Table1[[#This Row],[City]]&amp;", "&amp;Table1[[#This Row],[State]]</f>
        <v>Richmond, VA</v>
      </c>
      <c r="E242" s="63">
        <v>120</v>
      </c>
      <c r="F242" s="50">
        <v>9</v>
      </c>
      <c r="G242" s="50" t="str">
        <f t="array" ref="G242">IFERROR(INDEX(Table2[1st Year],MATCH(1,(Table1[[#This Row],[Employer]]=Table2[EIW Name])*(Table1[[#This Row],[City, State]]=Table2[Offices Matched]),0)),"")</f>
        <v/>
      </c>
      <c r="H242" s="50">
        <f>_xlfn.IFNA(INDEX(saCAGR[CAGR],MATCH(Table1[[#This Row],[Employer]],saCAGR[EIW Name],0)),"")</f>
        <v>1.0375331969402122</v>
      </c>
      <c r="I242" s="50">
        <f>IFERROR(Table1[[#This Row],[SA CAGR]]*Table1[[#This Row],[Number of Summer 2016 2L SAs]],"")</f>
        <v>9.3377987724619089</v>
      </c>
      <c r="J242" s="50">
        <v>0</v>
      </c>
      <c r="K242" s="51">
        <f>IFERROR(Table1[[#This Row],[Number of Summer 2016 NYU 2L SAs]]/Table1[[#This Row],[Interview Slots]],0)</f>
        <v>0</v>
      </c>
      <c r="L242" s="51">
        <f>Table1[[#This Row],[Number of Summer 2016 2L SAs]]/Table1[[#This Row],[Interview Slots]]</f>
        <v>7.4999999999999997E-2</v>
      </c>
      <c r="M242" s="51">
        <f>IFERROR(Table1[[#This Row],[Number of Summer 2016 NYU 2L SAs]]/Table1[[#This Row],[Number of Summer 2016 2L SAs]],0)</f>
        <v>0</v>
      </c>
      <c r="N242" s="50" t="str">
        <f>IFERROR(RIGHT(Table1[[#This Row],[1st year]],LEN(Table1[[#This Row],[1st year]])-FIND(":",Table1[[#This Row],[1st year]])-1),"")</f>
        <v/>
      </c>
      <c r="O242" s="50" t="str">
        <f t="array" ref="O242">IFERROR(INDEX(Table2[Nth year],MATCH(1,(Table1[[#This Row],[Employer]]=Table2[EIW Name])*(Table1[[#This Row],[City, State]]=Table2[Offices Matched]),0)),"")</f>
        <v/>
      </c>
      <c r="P242" s="50" t="str">
        <f>IFERROR(RIGHT(Table1[[#This Row],[Nth year]],LEN(Table1[[#This Row],[Nth year]])-FIND(":",Table1[[#This Row],[Nth year]])-1),"")</f>
        <v/>
      </c>
      <c r="Q242" s="50" t="str">
        <f t="array" ref="Q242">IFERROR(INDEX(Table2[Am Law 200 PPP Rank ’16],MATCH(1,(Table1[[#This Row],[Employer]]=Table2[EIW Name])*(Table1[[#This Row],[City, State]]=Table2[Offices Matched]),0)),"")</f>
        <v/>
      </c>
      <c r="R242" s="50" t="str">
        <f>IFERROR(LEFT(Table1[[#This Row],[Am Law 200 PPP Rank ’16]],FIND(":",Table1[[#This Row],[Am Law 200 PPP Rank ’16]])-1),"")</f>
        <v/>
      </c>
      <c r="S242" s="50">
        <f>IFERROR(INDEX(VaultRank[Rank],MATCH(Table1[[#This Row],[Employer]],VaultRank[EIW Name],0)),"")</f>
        <v>82</v>
      </c>
      <c r="T242" s="50" t="str">
        <f t="array" ref="T242">IFERROR(INDEX(Table2[Summers Matched],MATCH(1,(Table1[[#This Row],[Employer]]=Table2[EIW Name])*(Table1[[#This Row],[City, State]]=Table2[Offices Matched]),0)),"")</f>
        <v/>
      </c>
      <c r="U242" s="52" t="str">
        <f t="shared" si="3"/>
        <v/>
      </c>
      <c r="V242" s="49" t="s">
        <v>437</v>
      </c>
      <c r="W242" s="114">
        <v>42594</v>
      </c>
      <c r="X242"/>
    </row>
    <row r="243" spans="1:24" ht="14.1" customHeight="1">
      <c r="A243" s="45" t="s">
        <v>24</v>
      </c>
      <c r="B243" s="45" t="s">
        <v>299</v>
      </c>
      <c r="C243" s="45" t="s">
        <v>300</v>
      </c>
      <c r="D243" s="45" t="str">
        <f>Table1[[#This Row],[City]]&amp;", "&amp;Table1[[#This Row],[State]]</f>
        <v>Los Angeles, CA</v>
      </c>
      <c r="E243" s="49">
        <v>43</v>
      </c>
      <c r="F243" s="50">
        <v>18</v>
      </c>
      <c r="G243" s="50" t="str">
        <f t="array" ref="G243">IFERROR(INDEX(Table2[1st Year],MATCH(1,(Table1[[#This Row],[Employer]]=Table2[EIW Name])*(Table1[[#This Row],[City, State]]=Table2[Offices Matched]),0)),"")</f>
        <v>1st Year: $180K</v>
      </c>
      <c r="H243" s="50">
        <f>_xlfn.IFNA(INDEX(saCAGR[CAGR],MATCH(Table1[[#This Row],[Employer]],saCAGR[EIW Name],0)),"")</f>
        <v>0.98206901282874803</v>
      </c>
      <c r="I243" s="50">
        <f>IFERROR(Table1[[#This Row],[SA CAGR]]*Table1[[#This Row],[Number of Summer 2016 2L SAs]],"")</f>
        <v>17.677242230917464</v>
      </c>
      <c r="J243" s="50">
        <v>1</v>
      </c>
      <c r="K243" s="51">
        <f>IFERROR(Table1[[#This Row],[Number of Summer 2016 NYU 2L SAs]]/Table1[[#This Row],[Interview Slots]],0)</f>
        <v>2.3255813953488372E-2</v>
      </c>
      <c r="L243" s="51">
        <f>Table1[[#This Row],[Number of Summer 2016 2L SAs]]/Table1[[#This Row],[Interview Slots]]</f>
        <v>0.41860465116279072</v>
      </c>
      <c r="M243" s="51">
        <f>IFERROR(Table1[[#This Row],[Number of Summer 2016 NYU 2L SAs]]/Table1[[#This Row],[Number of Summer 2016 2L SAs]],0)</f>
        <v>5.5555555555555552E-2</v>
      </c>
      <c r="N243" s="50" t="str">
        <f>IFERROR(RIGHT(Table1[[#This Row],[1st year]],LEN(Table1[[#This Row],[1st year]])-FIND(":",Table1[[#This Row],[1st year]])-1),"")</f>
        <v>$180K</v>
      </c>
      <c r="O243" s="50" t="str">
        <f t="array" ref="O243">IFERROR(INDEX(Table2[Nth year],MATCH(1,(Table1[[#This Row],[Employer]]=Table2[EIW Name])*(Table1[[#This Row],[City, State]]=Table2[Offices Matched]),0)),"")</f>
        <v>8th Year: $315K</v>
      </c>
      <c r="P243" s="50" t="str">
        <f>IFERROR(RIGHT(Table1[[#This Row],[Nth year]],LEN(Table1[[#This Row],[Nth year]])-FIND(":",Table1[[#This Row],[Nth year]])-1),"")</f>
        <v>$315K</v>
      </c>
      <c r="Q243" s="50" t="str">
        <f t="array" ref="Q243">IFERROR(INDEX(Table2[Am Law 200 PPP Rank ’16],MATCH(1,(Table1[[#This Row],[Employer]]=Table2[EIW Name])*(Table1[[#This Row],[City, State]]=Table2[Offices Matched]),0)),"")</f>
        <v>10: $3.21M</v>
      </c>
      <c r="R243" s="50" t="str">
        <f>IFERROR(LEFT(Table1[[#This Row],[Am Law 200 PPP Rank ’16]],FIND(":",Table1[[#This Row],[Am Law 200 PPP Rank ’16]])-1),"")</f>
        <v>10</v>
      </c>
      <c r="S243" s="50">
        <f>IFERROR(INDEX(VaultRank[Rank],MATCH(Table1[[#This Row],[Employer]],VaultRank[EIW Name],0)),"")</f>
        <v>58</v>
      </c>
      <c r="T243" s="50" t="str">
        <f t="array" ref="T243">IFERROR(INDEX(Table2[Summers Matched],MATCH(1,(Table1[[#This Row],[Employer]]=Table2[EIW Name])*(Table1[[#This Row],[City, State]]=Table2[Offices Matched]),0)),"")</f>
        <v>TBD</v>
      </c>
      <c r="U243" s="52" t="str">
        <f t="shared" si="3"/>
        <v/>
      </c>
      <c r="V243" s="60"/>
      <c r="W243" s="114">
        <v>42594</v>
      </c>
      <c r="X243"/>
    </row>
    <row r="244" spans="1:24" ht="14.1" customHeight="1">
      <c r="A244" s="45" t="s">
        <v>24</v>
      </c>
      <c r="B244" s="45" t="s">
        <v>438</v>
      </c>
      <c r="C244" s="45" t="s">
        <v>300</v>
      </c>
      <c r="D244" s="45" t="str">
        <f>Table1[[#This Row],[City]]&amp;", "&amp;Table1[[#This Row],[State]]</f>
        <v>Newport Beach, CA</v>
      </c>
      <c r="E244" s="49">
        <v>131</v>
      </c>
      <c r="F244" s="50">
        <v>2</v>
      </c>
      <c r="G244" s="50" t="str">
        <f t="array" ref="G244">IFERROR(INDEX(Table2[1st Year],MATCH(1,(Table1[[#This Row],[Employer]]=Table2[EIW Name])*(Table1[[#This Row],[City, State]]=Table2[Offices Matched]),0)),"")</f>
        <v>1st Year: $180K</v>
      </c>
      <c r="H244" s="50">
        <f>_xlfn.IFNA(INDEX(saCAGR[CAGR],MATCH(Table1[[#This Row],[Employer]],saCAGR[EIW Name],0)),"")</f>
        <v>0.98206901282874803</v>
      </c>
      <c r="I244" s="50">
        <f>IFERROR(Table1[[#This Row],[SA CAGR]]*Table1[[#This Row],[Number of Summer 2016 2L SAs]],"")</f>
        <v>1.9641380256574961</v>
      </c>
      <c r="J244" s="50">
        <v>21</v>
      </c>
      <c r="K244" s="51">
        <f>IFERROR(Table1[[#This Row],[Number of Summer 2016 NYU 2L SAs]]/Table1[[#This Row],[Interview Slots]],0)</f>
        <v>0.16030534351145037</v>
      </c>
      <c r="L244" s="51">
        <f>Table1[[#This Row],[Number of Summer 2016 2L SAs]]/Table1[[#This Row],[Interview Slots]]</f>
        <v>1.5267175572519083E-2</v>
      </c>
      <c r="M244" s="51">
        <f>IFERROR(Table1[[#This Row],[Number of Summer 2016 NYU 2L SAs]]/Table1[[#This Row],[Number of Summer 2016 2L SAs]],0)</f>
        <v>10.5</v>
      </c>
      <c r="N244" s="50" t="str">
        <f>IFERROR(RIGHT(Table1[[#This Row],[1st year]],LEN(Table1[[#This Row],[1st year]])-FIND(":",Table1[[#This Row],[1st year]])-1),"")</f>
        <v>$180K</v>
      </c>
      <c r="O244" s="50" t="str">
        <f t="array" ref="O244">IFERROR(INDEX(Table2[Nth year],MATCH(1,(Table1[[#This Row],[Employer]]=Table2[EIW Name])*(Table1[[#This Row],[City, State]]=Table2[Offices Matched]),0)),"")</f>
        <v>8th Year: $315K</v>
      </c>
      <c r="P244" s="50" t="str">
        <f>IFERROR(RIGHT(Table1[[#This Row],[Nth year]],LEN(Table1[[#This Row],[Nth year]])-FIND(":",Table1[[#This Row],[Nth year]])-1),"")</f>
        <v>$315K</v>
      </c>
      <c r="Q244" s="50" t="str">
        <f t="array" ref="Q244">IFERROR(INDEX(Table2[Am Law 200 PPP Rank ’16],MATCH(1,(Table1[[#This Row],[Employer]]=Table2[EIW Name])*(Table1[[#This Row],[City, State]]=Table2[Offices Matched]),0)),"")</f>
        <v>10: $3.21M</v>
      </c>
      <c r="R244" s="50" t="str">
        <f>IFERROR(LEFT(Table1[[#This Row],[Am Law 200 PPP Rank ’16]],FIND(":",Table1[[#This Row],[Am Law 200 PPP Rank ’16]])-1),"")</f>
        <v>10</v>
      </c>
      <c r="S244" s="50">
        <f>IFERROR(INDEX(VaultRank[Rank],MATCH(Table1[[#This Row],[Employer]],VaultRank[EIW Name],0)),"")</f>
        <v>58</v>
      </c>
      <c r="T244" s="50" t="str">
        <f t="array" ref="T244">IFERROR(INDEX(Table2[Summers Matched],MATCH(1,(Table1[[#This Row],[Employer]]=Table2[EIW Name])*(Table1[[#This Row],[City, State]]=Table2[Offices Matched]),0)),"")</f>
        <v>TBD</v>
      </c>
      <c r="U244" s="52" t="str">
        <f t="shared" si="3"/>
        <v/>
      </c>
      <c r="V244" s="60"/>
      <c r="W244" s="114">
        <v>42595</v>
      </c>
      <c r="X244"/>
    </row>
    <row r="245" spans="1:24" ht="14.1" customHeight="1">
      <c r="A245" s="45" t="s">
        <v>272</v>
      </c>
      <c r="B245" s="45" t="s">
        <v>364</v>
      </c>
      <c r="C245" s="45" t="s">
        <v>362</v>
      </c>
      <c r="D245" s="45" t="str">
        <f>Table1[[#This Row],[City]]&amp;", "&amp;Table1[[#This Row],[State]]</f>
        <v>New York, NY</v>
      </c>
      <c r="E245" s="49">
        <v>166</v>
      </c>
      <c r="F245" s="50">
        <v>11</v>
      </c>
      <c r="G245" s="50" t="str">
        <f t="array" ref="G245">IFERROR(INDEX(Table2[1st Year],MATCH(1,(Table1[[#This Row],[Employer]]=Table2[EIW Name])*(Table1[[#This Row],[City, State]]=Table2[Offices Matched]),0)),"")</f>
        <v>1st Year: $180K</v>
      </c>
      <c r="H245" s="51">
        <f>_xlfn.IFNA(INDEX(saCAGR[CAGR],MATCH(Table1[[#This Row],[Employer]],saCAGR[EIW Name],0)),"")</f>
        <v>1.0180960664634566</v>
      </c>
      <c r="I245" s="50">
        <f>IFERROR(Table1[[#This Row],[SA CAGR]]*Table1[[#This Row],[Number of Summer 2016 2L SAs]],"")</f>
        <v>11.199056731098024</v>
      </c>
      <c r="J245" s="50">
        <v>17</v>
      </c>
      <c r="K245" s="51">
        <f>IFERROR(Table1[[#This Row],[Number of Summer 2016 NYU 2L SAs]]/Table1[[#This Row],[Interview Slots]],0)</f>
        <v>0.10240963855421686</v>
      </c>
      <c r="L245" s="51">
        <f>Table1[[#This Row],[Number of Summer 2016 2L SAs]]/Table1[[#This Row],[Interview Slots]]</f>
        <v>6.6265060240963861E-2</v>
      </c>
      <c r="M245" s="51">
        <f>IFERROR(Table1[[#This Row],[Number of Summer 2016 NYU 2L SAs]]/Table1[[#This Row],[Number of Summer 2016 2L SAs]],0)</f>
        <v>1.5454545454545454</v>
      </c>
      <c r="N245" s="50" t="str">
        <f>IFERROR(RIGHT(Table1[[#This Row],[1st year]],LEN(Table1[[#This Row],[1st year]])-FIND(":",Table1[[#This Row],[1st year]])-1),"")</f>
        <v>$180K</v>
      </c>
      <c r="O245" s="50" t="str">
        <f t="array" ref="O245">IFERROR(INDEX(Table2[Nth year],MATCH(1,(Table1[[#This Row],[Employer]]=Table2[EIW Name])*(Table1[[#This Row],[City, State]]=Table2[Offices Matched]),0)),"")</f>
        <v>Others: TBD Based on Performance</v>
      </c>
      <c r="P245" s="50" t="str">
        <f>IFERROR(RIGHT(Table1[[#This Row],[Nth year]],LEN(Table1[[#This Row],[Nth year]])-FIND(":",Table1[[#This Row],[Nth year]])-1),"")</f>
        <v>TBD Based on Performance</v>
      </c>
      <c r="Q245" s="50" t="str">
        <f t="array" ref="Q245">IFERROR(INDEX(Table2[Am Law 200 PPP Rank ’16],MATCH(1,(Table1[[#This Row],[Employer]]=Table2[EIW Name])*(Table1[[#This Row],[City, State]]=Table2[Offices Matched]),0)),"")</f>
        <v>62: $1.48M</v>
      </c>
      <c r="R245" s="50" t="str">
        <f>IFERROR(LEFT(Table1[[#This Row],[Am Law 200 PPP Rank ’16]],FIND(":",Table1[[#This Row],[Am Law 200 PPP Rank ’16]])-1),"")</f>
        <v>62</v>
      </c>
      <c r="S245" s="50">
        <f>IFERROR(INDEX(VaultRank[Rank],MATCH(Table1[[#This Row],[Employer]],VaultRank[EIW Name],0)),"")</f>
        <v>52</v>
      </c>
      <c r="T245" s="50" t="str">
        <f t="array" ref="T245">IFERROR(INDEX(Table2[Summers Matched],MATCH(1,(Table1[[#This Row],[Employer]]=Table2[EIW Name])*(Table1[[#This Row],[City, State]]=Table2[Offices Matched]),0)),"")</f>
        <v>TBD</v>
      </c>
      <c r="U245" s="52" t="str">
        <f t="shared" si="3"/>
        <v/>
      </c>
      <c r="V245" s="60"/>
      <c r="W245" s="114">
        <v>42595</v>
      </c>
      <c r="X245"/>
    </row>
    <row r="246" spans="1:24" ht="14.1" customHeight="1">
      <c r="A246" s="45" t="s">
        <v>321</v>
      </c>
      <c r="B246" s="45" t="s">
        <v>439</v>
      </c>
      <c r="C246" s="45" t="s">
        <v>300</v>
      </c>
      <c r="D246" s="45" t="str">
        <f>Table1[[#This Row],[City]]&amp;", "&amp;Table1[[#This Row],[State]]</f>
        <v>Irvine, CA</v>
      </c>
      <c r="E246" s="49">
        <v>179</v>
      </c>
      <c r="F246" s="50">
        <v>4</v>
      </c>
      <c r="G246" s="50" t="str">
        <f t="array" ref="G246">IFERROR(INDEX(Table2[1st Year],MATCH(1,(Table1[[#This Row],[Employer]]=Table2[EIW Name])*(Table1[[#This Row],[City, State]]=Table2[Offices Matched]),0)),"")</f>
        <v/>
      </c>
      <c r="H246" s="50">
        <f>_xlfn.IFNA(INDEX(saCAGR[CAGR],MATCH(Table1[[#This Row],[Employer]],saCAGR[EIW Name],0)),"")</f>
        <v>1.0082569866034281</v>
      </c>
      <c r="I246" s="50">
        <f>IFERROR(Table1[[#This Row],[SA CAGR]]*Table1[[#This Row],[Number of Summer 2016 2L SAs]],"")</f>
        <v>4.0330279464137124</v>
      </c>
      <c r="J246" s="50">
        <v>17</v>
      </c>
      <c r="K246" s="51">
        <f>IFERROR(Table1[[#This Row],[Number of Summer 2016 NYU 2L SAs]]/Table1[[#This Row],[Interview Slots]],0)</f>
        <v>9.4972067039106142E-2</v>
      </c>
      <c r="L246" s="51">
        <f>Table1[[#This Row],[Number of Summer 2016 2L SAs]]/Table1[[#This Row],[Interview Slots]]</f>
        <v>2.23463687150838E-2</v>
      </c>
      <c r="M246" s="51">
        <f>IFERROR(Table1[[#This Row],[Number of Summer 2016 NYU 2L SAs]]/Table1[[#This Row],[Number of Summer 2016 2L SAs]],0)</f>
        <v>4.25</v>
      </c>
      <c r="N246" s="50" t="str">
        <f>IFERROR(RIGHT(Table1[[#This Row],[1st year]],LEN(Table1[[#This Row],[1st year]])-FIND(":",Table1[[#This Row],[1st year]])-1),"")</f>
        <v/>
      </c>
      <c r="O246" s="50" t="str">
        <f t="array" ref="O246">IFERROR(INDEX(Table2[Nth year],MATCH(1,(Table1[[#This Row],[Employer]]=Table2[EIW Name])*(Table1[[#This Row],[City, State]]=Table2[Offices Matched]),0)),"")</f>
        <v/>
      </c>
      <c r="P246" s="50" t="str">
        <f>IFERROR(RIGHT(Table1[[#This Row],[Nth year]],LEN(Table1[[#This Row],[Nth year]])-FIND(":",Table1[[#This Row],[Nth year]])-1),"")</f>
        <v/>
      </c>
      <c r="Q246" s="50" t="str">
        <f t="array" ref="Q246">IFERROR(INDEX(Table2[Am Law 200 PPP Rank ’16],MATCH(1,(Table1[[#This Row],[Employer]]=Table2[EIW Name])*(Table1[[#This Row],[City, State]]=Table2[Offices Matched]),0)),"")</f>
        <v/>
      </c>
      <c r="R246" s="50" t="str">
        <f>IFERROR(LEFT(Table1[[#This Row],[Am Law 200 PPP Rank ’16]],FIND(":",Table1[[#This Row],[Am Law 200 PPP Rank ’16]])-1),"")</f>
        <v/>
      </c>
      <c r="S246" s="50">
        <f>IFERROR(INDEX(VaultRank[Rank],MATCH(Table1[[#This Row],[Employer]],VaultRank[EIW Name],0)),"")</f>
        <v>18</v>
      </c>
      <c r="T246" s="50" t="str">
        <f t="array" ref="T246">IFERROR(INDEX(Table2[Summers Matched],MATCH(1,(Table1[[#This Row],[Employer]]=Table2[EIW Name])*(Table1[[#This Row],[City, State]]=Table2[Offices Matched]),0)),"")</f>
        <v/>
      </c>
      <c r="U246" s="52" t="str">
        <f t="shared" si="3"/>
        <v/>
      </c>
      <c r="V246" s="60"/>
      <c r="W246" s="114">
        <v>42595</v>
      </c>
      <c r="X246"/>
    </row>
    <row r="247" spans="1:24" ht="14.1" customHeight="1">
      <c r="A247" s="45" t="s">
        <v>321</v>
      </c>
      <c r="B247" s="45" t="s">
        <v>299</v>
      </c>
      <c r="C247" s="45" t="s">
        <v>300</v>
      </c>
      <c r="D247" s="45" t="str">
        <f>Table1[[#This Row],[City]]&amp;", "&amp;Table1[[#This Row],[State]]</f>
        <v>Los Angeles, CA</v>
      </c>
      <c r="E247" s="49">
        <v>8</v>
      </c>
      <c r="F247" s="50">
        <v>5</v>
      </c>
      <c r="G247" s="50" t="str">
        <f t="array" ref="G247">IFERROR(INDEX(Table2[1st Year],MATCH(1,(Table1[[#This Row],[Employer]]=Table2[EIW Name])*(Table1[[#This Row],[City, State]]=Table2[Offices Matched]),0)),"")</f>
        <v/>
      </c>
      <c r="H247" s="50">
        <f>_xlfn.IFNA(INDEX(saCAGR[CAGR],MATCH(Table1[[#This Row],[Employer]],saCAGR[EIW Name],0)),"")</f>
        <v>1.0082569866034281</v>
      </c>
      <c r="I247" s="50">
        <f>IFERROR(Table1[[#This Row],[SA CAGR]]*Table1[[#This Row],[Number of Summer 2016 2L SAs]],"")</f>
        <v>5.0412849330171401</v>
      </c>
      <c r="J247" s="50">
        <v>17</v>
      </c>
      <c r="K247" s="51">
        <f>IFERROR(Table1[[#This Row],[Number of Summer 2016 NYU 2L SAs]]/Table1[[#This Row],[Interview Slots]],0)</f>
        <v>2.125</v>
      </c>
      <c r="L247" s="51">
        <f>Table1[[#This Row],[Number of Summer 2016 2L SAs]]/Table1[[#This Row],[Interview Slots]]</f>
        <v>0.625</v>
      </c>
      <c r="M247" s="51">
        <f>IFERROR(Table1[[#This Row],[Number of Summer 2016 NYU 2L SAs]]/Table1[[#This Row],[Number of Summer 2016 2L SAs]],0)</f>
        <v>3.4</v>
      </c>
      <c r="N247" s="50" t="str">
        <f>IFERROR(RIGHT(Table1[[#This Row],[1st year]],LEN(Table1[[#This Row],[1st year]])-FIND(":",Table1[[#This Row],[1st year]])-1),"")</f>
        <v/>
      </c>
      <c r="O247" s="50" t="str">
        <f t="array" ref="O247">IFERROR(INDEX(Table2[Nth year],MATCH(1,(Table1[[#This Row],[Employer]]=Table2[EIW Name])*(Table1[[#This Row],[City, State]]=Table2[Offices Matched]),0)),"")</f>
        <v/>
      </c>
      <c r="P247" s="50" t="str">
        <f>IFERROR(RIGHT(Table1[[#This Row],[Nth year]],LEN(Table1[[#This Row],[Nth year]])-FIND(":",Table1[[#This Row],[Nth year]])-1),"")</f>
        <v/>
      </c>
      <c r="Q247" s="50" t="str">
        <f t="array" ref="Q247">IFERROR(INDEX(Table2[Am Law 200 PPP Rank ’16],MATCH(1,(Table1[[#This Row],[Employer]]=Table2[EIW Name])*(Table1[[#This Row],[City, State]]=Table2[Offices Matched]),0)),"")</f>
        <v/>
      </c>
      <c r="R247" s="50" t="str">
        <f>IFERROR(LEFT(Table1[[#This Row],[Am Law 200 PPP Rank ’16]],FIND(":",Table1[[#This Row],[Am Law 200 PPP Rank ’16]])-1),"")</f>
        <v/>
      </c>
      <c r="S247" s="50">
        <f>IFERROR(INDEX(VaultRank[Rank],MATCH(Table1[[#This Row],[Employer]],VaultRank[EIW Name],0)),"")</f>
        <v>18</v>
      </c>
      <c r="T247" s="50" t="str">
        <f t="array" ref="T247">IFERROR(INDEX(Table2[Summers Matched],MATCH(1,(Table1[[#This Row],[Employer]]=Table2[EIW Name])*(Table1[[#This Row],[City, State]]=Table2[Offices Matched]),0)),"")</f>
        <v/>
      </c>
      <c r="U247" s="52" t="str">
        <f t="shared" si="3"/>
        <v/>
      </c>
      <c r="V247" s="60"/>
      <c r="W247" s="114">
        <v>42595</v>
      </c>
      <c r="X247"/>
    </row>
    <row r="248" spans="1:24" ht="14.1" customHeight="1">
      <c r="A248" s="45" t="s">
        <v>321</v>
      </c>
      <c r="B248" s="45" t="s">
        <v>375</v>
      </c>
      <c r="C248" s="45" t="s">
        <v>300</v>
      </c>
      <c r="D248" s="45" t="str">
        <f>Table1[[#This Row],[City]]&amp;", "&amp;Table1[[#This Row],[State]]</f>
        <v>San Diego, CA</v>
      </c>
      <c r="E248" s="49">
        <v>108</v>
      </c>
      <c r="F248" s="50">
        <v>1</v>
      </c>
      <c r="G248" s="50" t="str">
        <f t="array" ref="G248">IFERROR(INDEX(Table2[1st Year],MATCH(1,(Table1[[#This Row],[Employer]]=Table2[EIW Name])*(Table1[[#This Row],[City, State]]=Table2[Offices Matched]),0)),"")</f>
        <v/>
      </c>
      <c r="H248" s="50">
        <f>_xlfn.IFNA(INDEX(saCAGR[CAGR],MATCH(Table1[[#This Row],[Employer]],saCAGR[EIW Name],0)),"")</f>
        <v>1.0082569866034281</v>
      </c>
      <c r="I248" s="50">
        <f>IFERROR(Table1[[#This Row],[SA CAGR]]*Table1[[#This Row],[Number of Summer 2016 2L SAs]],"")</f>
        <v>1.0082569866034281</v>
      </c>
      <c r="J248" s="50">
        <v>11</v>
      </c>
      <c r="K248" s="51">
        <f>IFERROR(Table1[[#This Row],[Number of Summer 2016 NYU 2L SAs]]/Table1[[#This Row],[Interview Slots]],0)</f>
        <v>0.10185185185185185</v>
      </c>
      <c r="L248" s="51">
        <f>Table1[[#This Row],[Number of Summer 2016 2L SAs]]/Table1[[#This Row],[Interview Slots]]</f>
        <v>9.2592592592592587E-3</v>
      </c>
      <c r="M248" s="51">
        <f>IFERROR(Table1[[#This Row],[Number of Summer 2016 NYU 2L SAs]]/Table1[[#This Row],[Number of Summer 2016 2L SAs]],0)</f>
        <v>11</v>
      </c>
      <c r="N248" s="50" t="str">
        <f>IFERROR(RIGHT(Table1[[#This Row],[1st year]],LEN(Table1[[#This Row],[1st year]])-FIND(":",Table1[[#This Row],[1st year]])-1),"")</f>
        <v/>
      </c>
      <c r="O248" s="50" t="str">
        <f t="array" ref="O248">IFERROR(INDEX(Table2[Nth year],MATCH(1,(Table1[[#This Row],[Employer]]=Table2[EIW Name])*(Table1[[#This Row],[City, State]]=Table2[Offices Matched]),0)),"")</f>
        <v/>
      </c>
      <c r="P248" s="50" t="str">
        <f>IFERROR(RIGHT(Table1[[#This Row],[Nth year]],LEN(Table1[[#This Row],[Nth year]])-FIND(":",Table1[[#This Row],[Nth year]])-1),"")</f>
        <v/>
      </c>
      <c r="Q248" s="50" t="str">
        <f t="array" ref="Q248">IFERROR(INDEX(Table2[Am Law 200 PPP Rank ’16],MATCH(1,(Table1[[#This Row],[Employer]]=Table2[EIW Name])*(Table1[[#This Row],[City, State]]=Table2[Offices Matched]),0)),"")</f>
        <v/>
      </c>
      <c r="R248" s="50" t="str">
        <f>IFERROR(LEFT(Table1[[#This Row],[Am Law 200 PPP Rank ’16]],FIND(":",Table1[[#This Row],[Am Law 200 PPP Rank ’16]])-1),"")</f>
        <v/>
      </c>
      <c r="S248" s="50">
        <f>IFERROR(INDEX(VaultRank[Rank],MATCH(Table1[[#This Row],[Employer]],VaultRank[EIW Name],0)),"")</f>
        <v>18</v>
      </c>
      <c r="T248" s="50" t="str">
        <f t="array" ref="T248">IFERROR(INDEX(Table2[Summers Matched],MATCH(1,(Table1[[#This Row],[Employer]]=Table2[EIW Name])*(Table1[[#This Row],[City, State]]=Table2[Offices Matched]),0)),"")</f>
        <v/>
      </c>
      <c r="U248" s="52" t="str">
        <f t="shared" si="3"/>
        <v/>
      </c>
      <c r="V248" s="60"/>
      <c r="W248" s="114">
        <v>42595</v>
      </c>
      <c r="X248"/>
    </row>
    <row r="249" spans="1:24" ht="14.1" customHeight="1">
      <c r="A249" s="45" t="s">
        <v>321</v>
      </c>
      <c r="B249" s="45" t="s">
        <v>316</v>
      </c>
      <c r="C249" s="45" t="s">
        <v>300</v>
      </c>
      <c r="D249" s="45" t="str">
        <f>Table1[[#This Row],[City]]&amp;", "&amp;Table1[[#This Row],[State]]</f>
        <v>San Francisco, CA</v>
      </c>
      <c r="E249" s="49">
        <v>145</v>
      </c>
      <c r="F249" s="50">
        <v>4</v>
      </c>
      <c r="G249" s="50" t="str">
        <f t="array" ref="G249">IFERROR(INDEX(Table2[1st Year],MATCH(1,(Table1[[#This Row],[Employer]]=Table2[EIW Name])*(Table1[[#This Row],[City, State]]=Table2[Offices Matched]),0)),"")</f>
        <v/>
      </c>
      <c r="H249" s="50">
        <f>_xlfn.IFNA(INDEX(saCAGR[CAGR],MATCH(Table1[[#This Row],[Employer]],saCAGR[EIW Name],0)),"")</f>
        <v>1.0082569866034281</v>
      </c>
      <c r="I249" s="50">
        <f>IFERROR(Table1[[#This Row],[SA CAGR]]*Table1[[#This Row],[Number of Summer 2016 2L SAs]],"")</f>
        <v>4.0330279464137124</v>
      </c>
      <c r="J249" s="50">
        <v>5</v>
      </c>
      <c r="K249" s="51">
        <f>IFERROR(Table1[[#This Row],[Number of Summer 2016 NYU 2L SAs]]/Table1[[#This Row],[Interview Slots]],0)</f>
        <v>3.4482758620689655E-2</v>
      </c>
      <c r="L249" s="51">
        <f>Table1[[#This Row],[Number of Summer 2016 2L SAs]]/Table1[[#This Row],[Interview Slots]]</f>
        <v>2.7586206896551724E-2</v>
      </c>
      <c r="M249" s="51">
        <f>IFERROR(Table1[[#This Row],[Number of Summer 2016 NYU 2L SAs]]/Table1[[#This Row],[Number of Summer 2016 2L SAs]],0)</f>
        <v>1.25</v>
      </c>
      <c r="N249" s="50" t="str">
        <f>IFERROR(RIGHT(Table1[[#This Row],[1st year]],LEN(Table1[[#This Row],[1st year]])-FIND(":",Table1[[#This Row],[1st year]])-1),"")</f>
        <v/>
      </c>
      <c r="O249" s="50" t="str">
        <f t="array" ref="O249">IFERROR(INDEX(Table2[Nth year],MATCH(1,(Table1[[#This Row],[Employer]]=Table2[EIW Name])*(Table1[[#This Row],[City, State]]=Table2[Offices Matched]),0)),"")</f>
        <v/>
      </c>
      <c r="P249" s="50" t="str">
        <f>IFERROR(RIGHT(Table1[[#This Row],[Nth year]],LEN(Table1[[#This Row],[Nth year]])-FIND(":",Table1[[#This Row],[Nth year]])-1),"")</f>
        <v/>
      </c>
      <c r="Q249" s="50" t="str">
        <f t="array" ref="Q249">IFERROR(INDEX(Table2[Am Law 200 PPP Rank ’16],MATCH(1,(Table1[[#This Row],[Employer]]=Table2[EIW Name])*(Table1[[#This Row],[City, State]]=Table2[Offices Matched]),0)),"")</f>
        <v/>
      </c>
      <c r="R249" s="50" t="str">
        <f>IFERROR(LEFT(Table1[[#This Row],[Am Law 200 PPP Rank ’16]],FIND(":",Table1[[#This Row],[Am Law 200 PPP Rank ’16]])-1),"")</f>
        <v/>
      </c>
      <c r="S249" s="50">
        <f>IFERROR(INDEX(VaultRank[Rank],MATCH(Table1[[#This Row],[Employer]],VaultRank[EIW Name],0)),"")</f>
        <v>18</v>
      </c>
      <c r="T249" s="50" t="str">
        <f t="array" ref="T249">IFERROR(INDEX(Table2[Summers Matched],MATCH(1,(Table1[[#This Row],[Employer]]=Table2[EIW Name])*(Table1[[#This Row],[City, State]]=Table2[Offices Matched]),0)),"")</f>
        <v/>
      </c>
      <c r="U249" s="52" t="str">
        <f t="shared" si="3"/>
        <v/>
      </c>
      <c r="V249" s="60"/>
      <c r="W249" s="114">
        <v>42595</v>
      </c>
      <c r="X249"/>
    </row>
    <row r="250" spans="1:24" ht="14.1" customHeight="1">
      <c r="A250" s="45" t="s">
        <v>321</v>
      </c>
      <c r="B250" s="45" t="s">
        <v>307</v>
      </c>
      <c r="C250" s="45" t="s">
        <v>300</v>
      </c>
      <c r="D250" s="45" t="str">
        <f>Table1[[#This Row],[City]]&amp;", "&amp;Table1[[#This Row],[State]]</f>
        <v>Silicon Valley, CA</v>
      </c>
      <c r="E250" s="49">
        <v>196</v>
      </c>
      <c r="F250" s="50">
        <v>5</v>
      </c>
      <c r="G250" s="50" t="str">
        <f t="array" ref="G250">IFERROR(INDEX(Table2[1st Year],MATCH(1,(Table1[[#This Row],[Employer]]=Table2[EIW Name])*(Table1[[#This Row],[City, State]]=Table2[Offices Matched]),0)),"")</f>
        <v/>
      </c>
      <c r="H250" s="50">
        <f>_xlfn.IFNA(INDEX(saCAGR[CAGR],MATCH(Table1[[#This Row],[Employer]],saCAGR[EIW Name],0)),"")</f>
        <v>1.0082569866034281</v>
      </c>
      <c r="I250" s="50">
        <f>IFERROR(Table1[[#This Row],[SA CAGR]]*Table1[[#This Row],[Number of Summer 2016 2L SAs]],"")</f>
        <v>5.0412849330171401</v>
      </c>
      <c r="J250" s="50">
        <v>19</v>
      </c>
      <c r="K250" s="51">
        <f>IFERROR(Table1[[#This Row],[Number of Summer 2016 NYU 2L SAs]]/Table1[[#This Row],[Interview Slots]],0)</f>
        <v>9.6938775510204078E-2</v>
      </c>
      <c r="L250" s="51">
        <f>Table1[[#This Row],[Number of Summer 2016 2L SAs]]/Table1[[#This Row],[Interview Slots]]</f>
        <v>2.5510204081632654E-2</v>
      </c>
      <c r="M250" s="51">
        <f>IFERROR(Table1[[#This Row],[Number of Summer 2016 NYU 2L SAs]]/Table1[[#This Row],[Number of Summer 2016 2L SAs]],0)</f>
        <v>3.8</v>
      </c>
      <c r="N250" s="50" t="str">
        <f>IFERROR(RIGHT(Table1[[#This Row],[1st year]],LEN(Table1[[#This Row],[1st year]])-FIND(":",Table1[[#This Row],[1st year]])-1),"")</f>
        <v/>
      </c>
      <c r="O250" s="50" t="str">
        <f t="array" ref="O250">IFERROR(INDEX(Table2[Nth year],MATCH(1,(Table1[[#This Row],[Employer]]=Table2[EIW Name])*(Table1[[#This Row],[City, State]]=Table2[Offices Matched]),0)),"")</f>
        <v/>
      </c>
      <c r="P250" s="50" t="str">
        <f>IFERROR(RIGHT(Table1[[#This Row],[Nth year]],LEN(Table1[[#This Row],[Nth year]])-FIND(":",Table1[[#This Row],[Nth year]])-1),"")</f>
        <v/>
      </c>
      <c r="Q250" s="50" t="str">
        <f t="array" ref="Q250">IFERROR(INDEX(Table2[Am Law 200 PPP Rank ’16],MATCH(1,(Table1[[#This Row],[Employer]]=Table2[EIW Name])*(Table1[[#This Row],[City, State]]=Table2[Offices Matched]),0)),"")</f>
        <v/>
      </c>
      <c r="R250" s="50" t="str">
        <f>IFERROR(LEFT(Table1[[#This Row],[Am Law 200 PPP Rank ’16]],FIND(":",Table1[[#This Row],[Am Law 200 PPP Rank ’16]])-1),"")</f>
        <v/>
      </c>
      <c r="S250" s="50">
        <f>IFERROR(INDEX(VaultRank[Rank],MATCH(Table1[[#This Row],[Employer]],VaultRank[EIW Name],0)),"")</f>
        <v>18</v>
      </c>
      <c r="T250" s="50" t="str">
        <f t="array" ref="T250">IFERROR(INDEX(Table2[Summers Matched],MATCH(1,(Table1[[#This Row],[Employer]]=Table2[EIW Name])*(Table1[[#This Row],[City, State]]=Table2[Offices Matched]),0)),"")</f>
        <v/>
      </c>
      <c r="U250" s="52" t="str">
        <f t="shared" si="3"/>
        <v/>
      </c>
      <c r="V250" s="60"/>
      <c r="W250" s="114">
        <v>42592</v>
      </c>
      <c r="X250"/>
    </row>
    <row r="251" spans="1:24" ht="14.1" customHeight="1">
      <c r="A251" s="45" t="s">
        <v>321</v>
      </c>
      <c r="B251" s="45" t="s">
        <v>301</v>
      </c>
      <c r="C251" s="45" t="s">
        <v>302</v>
      </c>
      <c r="D251" s="45" t="str">
        <f>Table1[[#This Row],[City]]&amp;", "&amp;Table1[[#This Row],[State]]</f>
        <v>Washington, DC</v>
      </c>
      <c r="E251" s="49">
        <v>118</v>
      </c>
      <c r="F251" s="50">
        <v>15</v>
      </c>
      <c r="G251" s="50" t="str">
        <f t="array" ref="G251">IFERROR(INDEX(Table2[1st Year],MATCH(1,(Table1[[#This Row],[Employer]]=Table2[EIW Name])*(Table1[[#This Row],[City, State]]=Table2[Offices Matched]),0)),"")</f>
        <v/>
      </c>
      <c r="H251" s="50">
        <f>_xlfn.IFNA(INDEX(saCAGR[CAGR],MATCH(Table1[[#This Row],[Employer]],saCAGR[EIW Name],0)),"")</f>
        <v>1.0082569866034281</v>
      </c>
      <c r="I251" s="50">
        <f>IFERROR(Table1[[#This Row],[SA CAGR]]*Table1[[#This Row],[Number of Summer 2016 2L SAs]],"")</f>
        <v>15.123854799051422</v>
      </c>
      <c r="J251" s="50">
        <v>25</v>
      </c>
      <c r="K251" s="51">
        <f>IFERROR(Table1[[#This Row],[Number of Summer 2016 NYU 2L SAs]]/Table1[[#This Row],[Interview Slots]],0)</f>
        <v>0.21186440677966101</v>
      </c>
      <c r="L251" s="51">
        <f>Table1[[#This Row],[Number of Summer 2016 2L SAs]]/Table1[[#This Row],[Interview Slots]]</f>
        <v>0.1271186440677966</v>
      </c>
      <c r="M251" s="51">
        <f>IFERROR(Table1[[#This Row],[Number of Summer 2016 NYU 2L SAs]]/Table1[[#This Row],[Number of Summer 2016 2L SAs]],0)</f>
        <v>1.6666666666666667</v>
      </c>
      <c r="N251" s="50" t="str">
        <f>IFERROR(RIGHT(Table1[[#This Row],[1st year]],LEN(Table1[[#This Row],[1st year]])-FIND(":",Table1[[#This Row],[1st year]])-1),"")</f>
        <v/>
      </c>
      <c r="O251" s="50" t="str">
        <f t="array" ref="O251">IFERROR(INDEX(Table2[Nth year],MATCH(1,(Table1[[#This Row],[Employer]]=Table2[EIW Name])*(Table1[[#This Row],[City, State]]=Table2[Offices Matched]),0)),"")</f>
        <v/>
      </c>
      <c r="P251" s="50" t="str">
        <f>IFERROR(RIGHT(Table1[[#This Row],[Nth year]],LEN(Table1[[#This Row],[Nth year]])-FIND(":",Table1[[#This Row],[Nth year]])-1),"")</f>
        <v/>
      </c>
      <c r="Q251" s="50" t="str">
        <f t="array" ref="Q251">IFERROR(INDEX(Table2[Am Law 200 PPP Rank ’16],MATCH(1,(Table1[[#This Row],[Employer]]=Table2[EIW Name])*(Table1[[#This Row],[City, State]]=Table2[Offices Matched]),0)),"")</f>
        <v/>
      </c>
      <c r="R251" s="50" t="str">
        <f>IFERROR(LEFT(Table1[[#This Row],[Am Law 200 PPP Rank ’16]],FIND(":",Table1[[#This Row],[Am Law 200 PPP Rank ’16]])-1),"")</f>
        <v/>
      </c>
      <c r="S251" s="50">
        <f>IFERROR(INDEX(VaultRank[Rank],MATCH(Table1[[#This Row],[Employer]],VaultRank[EIW Name],0)),"")</f>
        <v>18</v>
      </c>
      <c r="T251" s="50" t="str">
        <f t="array" ref="T251">IFERROR(INDEX(Table2[Summers Matched],MATCH(1,(Table1[[#This Row],[Employer]]=Table2[EIW Name])*(Table1[[#This Row],[City, State]]=Table2[Offices Matched]),0)),"")</f>
        <v/>
      </c>
      <c r="U251" s="52" t="str">
        <f t="shared" si="3"/>
        <v/>
      </c>
      <c r="V251" s="60"/>
      <c r="W251" s="114">
        <v>42595</v>
      </c>
      <c r="X251"/>
    </row>
    <row r="252" spans="1:24" ht="14.1" customHeight="1">
      <c r="A252" s="45" t="s">
        <v>321</v>
      </c>
      <c r="B252" s="45" t="s">
        <v>337</v>
      </c>
      <c r="C252" s="45" t="s">
        <v>324</v>
      </c>
      <c r="D252" s="45" t="str">
        <f>Table1[[#This Row],[City]]&amp;", "&amp;Table1[[#This Row],[State]]</f>
        <v>Miami, FL</v>
      </c>
      <c r="E252" s="49">
        <v>108</v>
      </c>
      <c r="F252" s="50">
        <v>3</v>
      </c>
      <c r="G252" s="50" t="str">
        <f t="array" ref="G252">IFERROR(INDEX(Table2[1st Year],MATCH(1,(Table1[[#This Row],[Employer]]=Table2[EIW Name])*(Table1[[#This Row],[City, State]]=Table2[Offices Matched]),0)),"")</f>
        <v/>
      </c>
      <c r="H252" s="50">
        <f>_xlfn.IFNA(INDEX(saCAGR[CAGR],MATCH(Table1[[#This Row],[Employer]],saCAGR[EIW Name],0)),"")</f>
        <v>1.0082569866034281</v>
      </c>
      <c r="I252" s="50">
        <f>IFERROR(Table1[[#This Row],[SA CAGR]]*Table1[[#This Row],[Number of Summer 2016 2L SAs]],"")</f>
        <v>3.0247709598102843</v>
      </c>
      <c r="J252" s="50">
        <v>5</v>
      </c>
      <c r="K252" s="51">
        <f>IFERROR(Table1[[#This Row],[Number of Summer 2016 NYU 2L SAs]]/Table1[[#This Row],[Interview Slots]],0)</f>
        <v>4.6296296296296294E-2</v>
      </c>
      <c r="L252" s="51">
        <f>Table1[[#This Row],[Number of Summer 2016 2L SAs]]/Table1[[#This Row],[Interview Slots]]</f>
        <v>2.7777777777777776E-2</v>
      </c>
      <c r="M252" s="51">
        <f>IFERROR(Table1[[#This Row],[Number of Summer 2016 NYU 2L SAs]]/Table1[[#This Row],[Number of Summer 2016 2L SAs]],0)</f>
        <v>1.6666666666666667</v>
      </c>
      <c r="N252" s="50" t="str">
        <f>IFERROR(RIGHT(Table1[[#This Row],[1st year]],LEN(Table1[[#This Row],[1st year]])-FIND(":",Table1[[#This Row],[1st year]])-1),"")</f>
        <v/>
      </c>
      <c r="O252" s="50" t="str">
        <f t="array" ref="O252">IFERROR(INDEX(Table2[Nth year],MATCH(1,(Table1[[#This Row],[Employer]]=Table2[EIW Name])*(Table1[[#This Row],[City, State]]=Table2[Offices Matched]),0)),"")</f>
        <v/>
      </c>
      <c r="P252" s="50" t="str">
        <f>IFERROR(RIGHT(Table1[[#This Row],[Nth year]],LEN(Table1[[#This Row],[Nth year]])-FIND(":",Table1[[#This Row],[Nth year]])-1),"")</f>
        <v/>
      </c>
      <c r="Q252" s="50" t="str">
        <f t="array" ref="Q252">IFERROR(INDEX(Table2[Am Law 200 PPP Rank ’16],MATCH(1,(Table1[[#This Row],[Employer]]=Table2[EIW Name])*(Table1[[#This Row],[City, State]]=Table2[Offices Matched]),0)),"")</f>
        <v/>
      </c>
      <c r="R252" s="50" t="str">
        <f>IFERROR(LEFT(Table1[[#This Row],[Am Law 200 PPP Rank ’16]],FIND(":",Table1[[#This Row],[Am Law 200 PPP Rank ’16]])-1),"")</f>
        <v/>
      </c>
      <c r="S252" s="50">
        <f>IFERROR(INDEX(VaultRank[Rank],MATCH(Table1[[#This Row],[Employer]],VaultRank[EIW Name],0)),"")</f>
        <v>18</v>
      </c>
      <c r="T252" s="50" t="str">
        <f t="array" ref="T252">IFERROR(INDEX(Table2[Summers Matched],MATCH(1,(Table1[[#This Row],[Employer]]=Table2[EIW Name])*(Table1[[#This Row],[City, State]]=Table2[Offices Matched]),0)),"")</f>
        <v/>
      </c>
      <c r="U252" s="52" t="str">
        <f t="shared" si="3"/>
        <v/>
      </c>
      <c r="V252" s="60"/>
      <c r="W252" s="114">
        <v>42592</v>
      </c>
      <c r="X252"/>
    </row>
    <row r="253" spans="1:24" ht="14.1" customHeight="1">
      <c r="A253" s="45" t="s">
        <v>321</v>
      </c>
      <c r="B253" s="45" t="s">
        <v>308</v>
      </c>
      <c r="C253" s="45" t="s">
        <v>309</v>
      </c>
      <c r="D253" s="45" t="str">
        <f>Table1[[#This Row],[City]]&amp;", "&amp;Table1[[#This Row],[State]]</f>
        <v>Atlanta, GA</v>
      </c>
      <c r="E253" s="49">
        <v>168</v>
      </c>
      <c r="F253" s="50">
        <v>7</v>
      </c>
      <c r="G253" s="50" t="str">
        <f t="array" ref="G253">IFERROR(INDEX(Table2[1st Year],MATCH(1,(Table1[[#This Row],[Employer]]=Table2[EIW Name])*(Table1[[#This Row],[City, State]]=Table2[Offices Matched]),0)),"")</f>
        <v/>
      </c>
      <c r="H253" s="50">
        <f>_xlfn.IFNA(INDEX(saCAGR[CAGR],MATCH(Table1[[#This Row],[Employer]],saCAGR[EIW Name],0)),"")</f>
        <v>1.0082569866034281</v>
      </c>
      <c r="I253" s="50">
        <f>IFERROR(Table1[[#This Row],[SA CAGR]]*Table1[[#This Row],[Number of Summer 2016 2L SAs]],"")</f>
        <v>7.0577989062239972</v>
      </c>
      <c r="J253" s="50">
        <v>7</v>
      </c>
      <c r="K253" s="51">
        <f>IFERROR(Table1[[#This Row],[Number of Summer 2016 NYU 2L SAs]]/Table1[[#This Row],[Interview Slots]],0)</f>
        <v>4.1666666666666664E-2</v>
      </c>
      <c r="L253" s="51">
        <f>Table1[[#This Row],[Number of Summer 2016 2L SAs]]/Table1[[#This Row],[Interview Slots]]</f>
        <v>4.1666666666666664E-2</v>
      </c>
      <c r="M253" s="51">
        <f>IFERROR(Table1[[#This Row],[Number of Summer 2016 NYU 2L SAs]]/Table1[[#This Row],[Number of Summer 2016 2L SAs]],0)</f>
        <v>1</v>
      </c>
      <c r="N253" s="50" t="str">
        <f>IFERROR(RIGHT(Table1[[#This Row],[1st year]],LEN(Table1[[#This Row],[1st year]])-FIND(":",Table1[[#This Row],[1st year]])-1),"")</f>
        <v/>
      </c>
      <c r="O253" s="50" t="str">
        <f t="array" ref="O253">IFERROR(INDEX(Table2[Nth year],MATCH(1,(Table1[[#This Row],[Employer]]=Table2[EIW Name])*(Table1[[#This Row],[City, State]]=Table2[Offices Matched]),0)),"")</f>
        <v/>
      </c>
      <c r="P253" s="50" t="str">
        <f>IFERROR(RIGHT(Table1[[#This Row],[Nth year]],LEN(Table1[[#This Row],[Nth year]])-FIND(":",Table1[[#This Row],[Nth year]])-1),"")</f>
        <v/>
      </c>
      <c r="Q253" s="50" t="str">
        <f t="array" ref="Q253">IFERROR(INDEX(Table2[Am Law 200 PPP Rank ’16],MATCH(1,(Table1[[#This Row],[Employer]]=Table2[EIW Name])*(Table1[[#This Row],[City, State]]=Table2[Offices Matched]),0)),"")</f>
        <v/>
      </c>
      <c r="R253" s="50" t="str">
        <f>IFERROR(LEFT(Table1[[#This Row],[Am Law 200 PPP Rank ’16]],FIND(":",Table1[[#This Row],[Am Law 200 PPP Rank ’16]])-1),"")</f>
        <v/>
      </c>
      <c r="S253" s="50">
        <f>IFERROR(INDEX(VaultRank[Rank],MATCH(Table1[[#This Row],[Employer]],VaultRank[EIW Name],0)),"")</f>
        <v>18</v>
      </c>
      <c r="T253" s="50" t="str">
        <f t="array" ref="T253">IFERROR(INDEX(Table2[Summers Matched],MATCH(1,(Table1[[#This Row],[Employer]]=Table2[EIW Name])*(Table1[[#This Row],[City, State]]=Table2[Offices Matched]),0)),"")</f>
        <v/>
      </c>
      <c r="U253" s="52">
        <f t="shared" si="3"/>
        <v>3.6</v>
      </c>
      <c r="V253" s="60"/>
      <c r="W253" s="114">
        <v>42593</v>
      </c>
      <c r="X253"/>
    </row>
    <row r="254" spans="1:24" ht="14.1" customHeight="1">
      <c r="A254" s="45" t="s">
        <v>321</v>
      </c>
      <c r="B254" s="45" t="s">
        <v>367</v>
      </c>
      <c r="C254" s="45" t="s">
        <v>368</v>
      </c>
      <c r="D254" s="45" t="str">
        <f>Table1[[#This Row],[City]]&amp;", "&amp;Table1[[#This Row],[State]]</f>
        <v>Boston, MA</v>
      </c>
      <c r="E254" s="49">
        <v>133</v>
      </c>
      <c r="F254" s="50">
        <v>3</v>
      </c>
      <c r="G254" s="50" t="str">
        <f t="array" ref="G254">IFERROR(INDEX(Table2[1st Year],MATCH(1,(Table1[[#This Row],[Employer]]=Table2[EIW Name])*(Table1[[#This Row],[City, State]]=Table2[Offices Matched]),0)),"")</f>
        <v/>
      </c>
      <c r="H254" s="50">
        <f>_xlfn.IFNA(INDEX(saCAGR[CAGR],MATCH(Table1[[#This Row],[Employer]],saCAGR[EIW Name],0)),"")</f>
        <v>1.0082569866034281</v>
      </c>
      <c r="I254" s="50">
        <f>IFERROR(Table1[[#This Row],[SA CAGR]]*Table1[[#This Row],[Number of Summer 2016 2L SAs]],"")</f>
        <v>3.0247709598102843</v>
      </c>
      <c r="J254" s="50">
        <v>14</v>
      </c>
      <c r="K254" s="51">
        <f>IFERROR(Table1[[#This Row],[Number of Summer 2016 NYU 2L SAs]]/Table1[[#This Row],[Interview Slots]],0)</f>
        <v>0.10526315789473684</v>
      </c>
      <c r="L254" s="51">
        <f>Table1[[#This Row],[Number of Summer 2016 2L SAs]]/Table1[[#This Row],[Interview Slots]]</f>
        <v>2.2556390977443608E-2</v>
      </c>
      <c r="M254" s="51">
        <f>IFERROR(Table1[[#This Row],[Number of Summer 2016 NYU 2L SAs]]/Table1[[#This Row],[Number of Summer 2016 2L SAs]],0)</f>
        <v>4.666666666666667</v>
      </c>
      <c r="N254" s="50" t="str">
        <f>IFERROR(RIGHT(Table1[[#This Row],[1st year]],LEN(Table1[[#This Row],[1st year]])-FIND(":",Table1[[#This Row],[1st year]])-1),"")</f>
        <v/>
      </c>
      <c r="O254" s="50" t="str">
        <f t="array" ref="O254">IFERROR(INDEX(Table2[Nth year],MATCH(1,(Table1[[#This Row],[Employer]]=Table2[EIW Name])*(Table1[[#This Row],[City, State]]=Table2[Offices Matched]),0)),"")</f>
        <v/>
      </c>
      <c r="P254" s="50" t="str">
        <f>IFERROR(RIGHT(Table1[[#This Row],[Nth year]],LEN(Table1[[#This Row],[Nth year]])-FIND(":",Table1[[#This Row],[Nth year]])-1),"")</f>
        <v/>
      </c>
      <c r="Q254" s="50" t="str">
        <f t="array" ref="Q254">IFERROR(INDEX(Table2[Am Law 200 PPP Rank ’16],MATCH(1,(Table1[[#This Row],[Employer]]=Table2[EIW Name])*(Table1[[#This Row],[City, State]]=Table2[Offices Matched]),0)),"")</f>
        <v/>
      </c>
      <c r="R254" s="50" t="str">
        <f>IFERROR(LEFT(Table1[[#This Row],[Am Law 200 PPP Rank ’16]],FIND(":",Table1[[#This Row],[Am Law 200 PPP Rank ’16]])-1),"")</f>
        <v/>
      </c>
      <c r="S254" s="50">
        <f>IFERROR(INDEX(VaultRank[Rank],MATCH(Table1[[#This Row],[Employer]],VaultRank[EIW Name],0)),"")</f>
        <v>18</v>
      </c>
      <c r="T254" s="50" t="str">
        <f t="array" ref="T254">IFERROR(INDEX(Table2[Summers Matched],MATCH(1,(Table1[[#This Row],[Employer]]=Table2[EIW Name])*(Table1[[#This Row],[City, State]]=Table2[Offices Matched]),0)),"")</f>
        <v/>
      </c>
      <c r="U254" s="52" t="str">
        <f t="shared" si="3"/>
        <v/>
      </c>
      <c r="V254" s="60"/>
      <c r="W254" s="114">
        <v>42594</v>
      </c>
      <c r="X254"/>
    </row>
    <row r="255" spans="1:24" ht="14.1" customHeight="1">
      <c r="A255" s="45" t="s">
        <v>321</v>
      </c>
      <c r="B255" s="45" t="s">
        <v>411</v>
      </c>
      <c r="C255" s="45" t="s">
        <v>412</v>
      </c>
      <c r="D255" s="45" t="str">
        <f>Table1[[#This Row],[City]]&amp;", "&amp;Table1[[#This Row],[State]]</f>
        <v>Detroit, MI</v>
      </c>
      <c r="E255" s="49">
        <v>127</v>
      </c>
      <c r="F255" s="50">
        <v>0</v>
      </c>
      <c r="G255" s="50" t="str">
        <f t="array" ref="G255">IFERROR(INDEX(Table2[1st Year],MATCH(1,(Table1[[#This Row],[Employer]]=Table2[EIW Name])*(Table1[[#This Row],[City, State]]=Table2[Offices Matched]),0)),"")</f>
        <v/>
      </c>
      <c r="H255" s="50">
        <f>_xlfn.IFNA(INDEX(saCAGR[CAGR],MATCH(Table1[[#This Row],[Employer]],saCAGR[EIW Name],0)),"")</f>
        <v>1.0082569866034281</v>
      </c>
      <c r="I255" s="50">
        <f>IFERROR(Table1[[#This Row],[SA CAGR]]*Table1[[#This Row],[Number of Summer 2016 2L SAs]],"")</f>
        <v>0</v>
      </c>
      <c r="J255" s="50">
        <v>14</v>
      </c>
      <c r="K255" s="51">
        <f>IFERROR(Table1[[#This Row],[Number of Summer 2016 NYU 2L SAs]]/Table1[[#This Row],[Interview Slots]],0)</f>
        <v>0.11023622047244094</v>
      </c>
      <c r="L255" s="51">
        <f>Table1[[#This Row],[Number of Summer 2016 2L SAs]]/Table1[[#This Row],[Interview Slots]]</f>
        <v>0</v>
      </c>
      <c r="M255" s="51">
        <f>IFERROR(Table1[[#This Row],[Number of Summer 2016 NYU 2L SAs]]/Table1[[#This Row],[Number of Summer 2016 2L SAs]],0)</f>
        <v>0</v>
      </c>
      <c r="N255" s="50" t="str">
        <f>IFERROR(RIGHT(Table1[[#This Row],[1st year]],LEN(Table1[[#This Row],[1st year]])-FIND(":",Table1[[#This Row],[1st year]])-1),"")</f>
        <v/>
      </c>
      <c r="O255" s="50" t="str">
        <f t="array" ref="O255">IFERROR(INDEX(Table2[Nth year],MATCH(1,(Table1[[#This Row],[Employer]]=Table2[EIW Name])*(Table1[[#This Row],[City, State]]=Table2[Offices Matched]),0)),"")</f>
        <v/>
      </c>
      <c r="P255" s="50" t="str">
        <f>IFERROR(RIGHT(Table1[[#This Row],[Nth year]],LEN(Table1[[#This Row],[Nth year]])-FIND(":",Table1[[#This Row],[Nth year]])-1),"")</f>
        <v/>
      </c>
      <c r="Q255" s="50" t="str">
        <f t="array" ref="Q255">IFERROR(INDEX(Table2[Am Law 200 PPP Rank ’16],MATCH(1,(Table1[[#This Row],[Employer]]=Table2[EIW Name])*(Table1[[#This Row],[City, State]]=Table2[Offices Matched]),0)),"")</f>
        <v/>
      </c>
      <c r="R255" s="50" t="str">
        <f>IFERROR(LEFT(Table1[[#This Row],[Am Law 200 PPP Rank ’16]],FIND(":",Table1[[#This Row],[Am Law 200 PPP Rank ’16]])-1),"")</f>
        <v/>
      </c>
      <c r="S255" s="50">
        <f>IFERROR(INDEX(VaultRank[Rank],MATCH(Table1[[#This Row],[Employer]],VaultRank[EIW Name],0)),"")</f>
        <v>18</v>
      </c>
      <c r="T255" s="50" t="str">
        <f t="array" ref="T255">IFERROR(INDEX(Table2[Summers Matched],MATCH(1,(Table1[[#This Row],[Employer]]=Table2[EIW Name])*(Table1[[#This Row],[City, State]]=Table2[Offices Matched]),0)),"")</f>
        <v/>
      </c>
      <c r="U255" s="52" t="str">
        <f t="shared" si="3"/>
        <v/>
      </c>
      <c r="V255" s="60"/>
      <c r="W255" s="114">
        <v>42592</v>
      </c>
      <c r="X255"/>
    </row>
    <row r="256" spans="1:24" ht="14.1" customHeight="1">
      <c r="A256" s="45" t="s">
        <v>321</v>
      </c>
      <c r="B256" s="45" t="s">
        <v>327</v>
      </c>
      <c r="C256" s="45" t="s">
        <v>326</v>
      </c>
      <c r="D256" s="45" t="str">
        <f>Table1[[#This Row],[City]]&amp;", "&amp;Table1[[#This Row],[State]]</f>
        <v>Cleveland, OH</v>
      </c>
      <c r="E256" s="49">
        <v>130</v>
      </c>
      <c r="F256" s="50">
        <v>18</v>
      </c>
      <c r="G256" s="50" t="str">
        <f t="array" ref="G256">IFERROR(INDEX(Table2[1st Year],MATCH(1,(Table1[[#This Row],[Employer]]=Table2[EIW Name])*(Table1[[#This Row],[City, State]]=Table2[Offices Matched]),0)),"")</f>
        <v/>
      </c>
      <c r="H256" s="50">
        <f>_xlfn.IFNA(INDEX(saCAGR[CAGR],MATCH(Table1[[#This Row],[Employer]],saCAGR[EIW Name],0)),"")</f>
        <v>1.0082569866034281</v>
      </c>
      <c r="I256" s="50">
        <f>IFERROR(Table1[[#This Row],[SA CAGR]]*Table1[[#This Row],[Number of Summer 2016 2L SAs]],"")</f>
        <v>18.148625758861705</v>
      </c>
      <c r="J256" s="50">
        <v>5</v>
      </c>
      <c r="K256" s="51">
        <f>IFERROR(Table1[[#This Row],[Number of Summer 2016 NYU 2L SAs]]/Table1[[#This Row],[Interview Slots]],0)</f>
        <v>3.8461538461538464E-2</v>
      </c>
      <c r="L256" s="51">
        <f>Table1[[#This Row],[Number of Summer 2016 2L SAs]]/Table1[[#This Row],[Interview Slots]]</f>
        <v>0.13846153846153847</v>
      </c>
      <c r="M256" s="51">
        <f>IFERROR(Table1[[#This Row],[Number of Summer 2016 NYU 2L SAs]]/Table1[[#This Row],[Number of Summer 2016 2L SAs]],0)</f>
        <v>0.27777777777777779</v>
      </c>
      <c r="N256" s="50" t="str">
        <f>IFERROR(RIGHT(Table1[[#This Row],[1st year]],LEN(Table1[[#This Row],[1st year]])-FIND(":",Table1[[#This Row],[1st year]])-1),"")</f>
        <v/>
      </c>
      <c r="O256" s="50" t="str">
        <f t="array" ref="O256">IFERROR(INDEX(Table2[Nth year],MATCH(1,(Table1[[#This Row],[Employer]]=Table2[EIW Name])*(Table1[[#This Row],[City, State]]=Table2[Offices Matched]),0)),"")</f>
        <v/>
      </c>
      <c r="P256" s="50" t="str">
        <f>IFERROR(RIGHT(Table1[[#This Row],[Nth year]],LEN(Table1[[#This Row],[Nth year]])-FIND(":",Table1[[#This Row],[Nth year]])-1),"")</f>
        <v/>
      </c>
      <c r="Q256" s="50" t="str">
        <f t="array" ref="Q256">IFERROR(INDEX(Table2[Am Law 200 PPP Rank ’16],MATCH(1,(Table1[[#This Row],[Employer]]=Table2[EIW Name])*(Table1[[#This Row],[City, State]]=Table2[Offices Matched]),0)),"")</f>
        <v/>
      </c>
      <c r="R256" s="50" t="str">
        <f>IFERROR(LEFT(Table1[[#This Row],[Am Law 200 PPP Rank ’16]],FIND(":",Table1[[#This Row],[Am Law 200 PPP Rank ’16]])-1),"")</f>
        <v/>
      </c>
      <c r="S256" s="50">
        <f>IFERROR(INDEX(VaultRank[Rank],MATCH(Table1[[#This Row],[Employer]],VaultRank[EIW Name],0)),"")</f>
        <v>18</v>
      </c>
      <c r="T256" s="50" t="str">
        <f t="array" ref="T256">IFERROR(INDEX(Table2[Summers Matched],MATCH(1,(Table1[[#This Row],[Employer]]=Table2[EIW Name])*(Table1[[#This Row],[City, State]]=Table2[Offices Matched]),0)),"")</f>
        <v/>
      </c>
      <c r="U256" s="52">
        <f t="shared" si="3"/>
        <v>3.4</v>
      </c>
      <c r="V256" s="60"/>
      <c r="W256" s="114">
        <v>42595</v>
      </c>
      <c r="X256"/>
    </row>
    <row r="257" spans="1:24" ht="14.1" customHeight="1">
      <c r="A257" s="45" t="s">
        <v>321</v>
      </c>
      <c r="B257" s="45" t="s">
        <v>328</v>
      </c>
      <c r="C257" s="45" t="s">
        <v>326</v>
      </c>
      <c r="D257" s="45" t="str">
        <f>Table1[[#This Row],[City]]&amp;", "&amp;Table1[[#This Row],[State]]</f>
        <v>Columbus, OH</v>
      </c>
      <c r="E257" s="49">
        <v>26</v>
      </c>
      <c r="F257" s="50">
        <v>8</v>
      </c>
      <c r="G257" s="50" t="str">
        <f t="array" ref="G257">IFERROR(INDEX(Table2[1st Year],MATCH(1,(Table1[[#This Row],[Employer]]=Table2[EIW Name])*(Table1[[#This Row],[City, State]]=Table2[Offices Matched]),0)),"")</f>
        <v/>
      </c>
      <c r="H257" s="50">
        <f>_xlfn.IFNA(INDEX(saCAGR[CAGR],MATCH(Table1[[#This Row],[Employer]],saCAGR[EIW Name],0)),"")</f>
        <v>1.0082569866034281</v>
      </c>
      <c r="I257" s="50">
        <f>IFERROR(Table1[[#This Row],[SA CAGR]]*Table1[[#This Row],[Number of Summer 2016 2L SAs]],"")</f>
        <v>8.0660558928274249</v>
      </c>
      <c r="J257" s="50">
        <v>9</v>
      </c>
      <c r="K257" s="51">
        <f>IFERROR(Table1[[#This Row],[Number of Summer 2016 NYU 2L SAs]]/Table1[[#This Row],[Interview Slots]],0)</f>
        <v>0.34615384615384615</v>
      </c>
      <c r="L257" s="51">
        <f>Table1[[#This Row],[Number of Summer 2016 2L SAs]]/Table1[[#This Row],[Interview Slots]]</f>
        <v>0.30769230769230771</v>
      </c>
      <c r="M257" s="51">
        <f>IFERROR(Table1[[#This Row],[Number of Summer 2016 NYU 2L SAs]]/Table1[[#This Row],[Number of Summer 2016 2L SAs]],0)</f>
        <v>1.125</v>
      </c>
      <c r="N257" s="50" t="str">
        <f>IFERROR(RIGHT(Table1[[#This Row],[1st year]],LEN(Table1[[#This Row],[1st year]])-FIND(":",Table1[[#This Row],[1st year]])-1),"")</f>
        <v/>
      </c>
      <c r="O257" s="50" t="str">
        <f t="array" ref="O257">IFERROR(INDEX(Table2[Nth year],MATCH(1,(Table1[[#This Row],[Employer]]=Table2[EIW Name])*(Table1[[#This Row],[City, State]]=Table2[Offices Matched]),0)),"")</f>
        <v/>
      </c>
      <c r="P257" s="50" t="str">
        <f>IFERROR(RIGHT(Table1[[#This Row],[Nth year]],LEN(Table1[[#This Row],[Nth year]])-FIND(":",Table1[[#This Row],[Nth year]])-1),"")</f>
        <v/>
      </c>
      <c r="Q257" s="50" t="str">
        <f t="array" ref="Q257">IFERROR(INDEX(Table2[Am Law 200 PPP Rank ’16],MATCH(1,(Table1[[#This Row],[Employer]]=Table2[EIW Name])*(Table1[[#This Row],[City, State]]=Table2[Offices Matched]),0)),"")</f>
        <v/>
      </c>
      <c r="R257" s="50" t="str">
        <f>IFERROR(LEFT(Table1[[#This Row],[Am Law 200 PPP Rank ’16]],FIND(":",Table1[[#This Row],[Am Law 200 PPP Rank ’16]])-1),"")</f>
        <v/>
      </c>
      <c r="S257" s="50">
        <f>IFERROR(INDEX(VaultRank[Rank],MATCH(Table1[[#This Row],[Employer]],VaultRank[EIW Name],0)),"")</f>
        <v>18</v>
      </c>
      <c r="T257" s="50" t="str">
        <f t="array" ref="T257">IFERROR(INDEX(Table2[Summers Matched],MATCH(1,(Table1[[#This Row],[Employer]]=Table2[EIW Name])*(Table1[[#This Row],[City, State]]=Table2[Offices Matched]),0)),"")</f>
        <v/>
      </c>
      <c r="U257" s="52" t="str">
        <f t="shared" si="3"/>
        <v/>
      </c>
      <c r="V257" s="60"/>
      <c r="W257" s="114">
        <v>42593</v>
      </c>
      <c r="X257"/>
    </row>
    <row r="258" spans="1:24" ht="14.1" customHeight="1">
      <c r="A258" s="45" t="s">
        <v>321</v>
      </c>
      <c r="B258" s="45" t="s">
        <v>440</v>
      </c>
      <c r="C258" s="45" t="s">
        <v>330</v>
      </c>
      <c r="D258" s="45" t="str">
        <f>Table1[[#This Row],[City]]&amp;", "&amp;Table1[[#This Row],[State]]</f>
        <v>Pittsburgh, PA</v>
      </c>
      <c r="E258" s="49">
        <v>142</v>
      </c>
      <c r="F258" s="50">
        <v>7</v>
      </c>
      <c r="G258" s="50" t="str">
        <f t="array" ref="G258">IFERROR(INDEX(Table2[1st Year],MATCH(1,(Table1[[#This Row],[Employer]]=Table2[EIW Name])*(Table1[[#This Row],[City, State]]=Table2[Offices Matched]),0)),"")</f>
        <v/>
      </c>
      <c r="H258" s="50">
        <f>_xlfn.IFNA(INDEX(saCAGR[CAGR],MATCH(Table1[[#This Row],[Employer]],saCAGR[EIW Name],0)),"")</f>
        <v>1.0082569866034281</v>
      </c>
      <c r="I258" s="50">
        <f>IFERROR(Table1[[#This Row],[SA CAGR]]*Table1[[#This Row],[Number of Summer 2016 2L SAs]],"")</f>
        <v>7.0577989062239972</v>
      </c>
      <c r="J258" s="50">
        <v>16</v>
      </c>
      <c r="K258" s="51">
        <f>IFERROR(Table1[[#This Row],[Number of Summer 2016 NYU 2L SAs]]/Table1[[#This Row],[Interview Slots]],0)</f>
        <v>0.11267605633802817</v>
      </c>
      <c r="L258" s="51">
        <f>Table1[[#This Row],[Number of Summer 2016 2L SAs]]/Table1[[#This Row],[Interview Slots]]</f>
        <v>4.9295774647887321E-2</v>
      </c>
      <c r="M258" s="51">
        <f>IFERROR(Table1[[#This Row],[Number of Summer 2016 NYU 2L SAs]]/Table1[[#This Row],[Number of Summer 2016 2L SAs]],0)</f>
        <v>2.2857142857142856</v>
      </c>
      <c r="N258" s="50" t="str">
        <f>IFERROR(RIGHT(Table1[[#This Row],[1st year]],LEN(Table1[[#This Row],[1st year]])-FIND(":",Table1[[#This Row],[1st year]])-1),"")</f>
        <v/>
      </c>
      <c r="O258" s="50" t="str">
        <f t="array" ref="O258">IFERROR(INDEX(Table2[Nth year],MATCH(1,(Table1[[#This Row],[Employer]]=Table2[EIW Name])*(Table1[[#This Row],[City, State]]=Table2[Offices Matched]),0)),"")</f>
        <v/>
      </c>
      <c r="P258" s="50" t="str">
        <f>IFERROR(RIGHT(Table1[[#This Row],[Nth year]],LEN(Table1[[#This Row],[Nth year]])-FIND(":",Table1[[#This Row],[Nth year]])-1),"")</f>
        <v/>
      </c>
      <c r="Q258" s="50" t="str">
        <f t="array" ref="Q258">IFERROR(INDEX(Table2[Am Law 200 PPP Rank ’16],MATCH(1,(Table1[[#This Row],[Employer]]=Table2[EIW Name])*(Table1[[#This Row],[City, State]]=Table2[Offices Matched]),0)),"")</f>
        <v/>
      </c>
      <c r="R258" s="50" t="str">
        <f>IFERROR(LEFT(Table1[[#This Row],[Am Law 200 PPP Rank ’16]],FIND(":",Table1[[#This Row],[Am Law 200 PPP Rank ’16]])-1),"")</f>
        <v/>
      </c>
      <c r="S258" s="50">
        <f>IFERROR(INDEX(VaultRank[Rank],MATCH(Table1[[#This Row],[Employer]],VaultRank[EIW Name],0)),"")</f>
        <v>18</v>
      </c>
      <c r="T258" s="50" t="str">
        <f t="array" ref="T258">IFERROR(INDEX(Table2[Summers Matched],MATCH(1,(Table1[[#This Row],[Employer]]=Table2[EIW Name])*(Table1[[#This Row],[City, State]]=Table2[Offices Matched]),0)),"")</f>
        <v/>
      </c>
      <c r="U258" s="52" t="str">
        <f t="shared" ref="U258:U321" si="4">IF(MOD(ROW(),23)=0,3.6,IF(MOD(ROW(),16)=0,3.4,""))</f>
        <v/>
      </c>
      <c r="V258" s="60"/>
      <c r="W258" s="114">
        <v>42592</v>
      </c>
      <c r="X258"/>
    </row>
    <row r="259" spans="1:24" ht="14.1" customHeight="1">
      <c r="A259" s="45" t="s">
        <v>321</v>
      </c>
      <c r="B259" s="45" t="s">
        <v>313</v>
      </c>
      <c r="C259" s="45" t="s">
        <v>314</v>
      </c>
      <c r="D259" s="45" t="str">
        <f>Table1[[#This Row],[City]]&amp;", "&amp;Table1[[#This Row],[State]]</f>
        <v>Dallas, TX</v>
      </c>
      <c r="E259" s="49">
        <v>27</v>
      </c>
      <c r="F259" s="50">
        <v>7</v>
      </c>
      <c r="G259" s="50" t="str">
        <f t="array" ref="G259">IFERROR(INDEX(Table2[1st Year],MATCH(1,(Table1[[#This Row],[Employer]]=Table2[EIW Name])*(Table1[[#This Row],[City, State]]=Table2[Offices Matched]),0)),"")</f>
        <v/>
      </c>
      <c r="H259" s="50">
        <f>_xlfn.IFNA(INDEX(saCAGR[CAGR],MATCH(Table1[[#This Row],[Employer]],saCAGR[EIW Name],0)),"")</f>
        <v>1.0082569866034281</v>
      </c>
      <c r="I259" s="50">
        <f>IFERROR(Table1[[#This Row],[SA CAGR]]*Table1[[#This Row],[Number of Summer 2016 2L SAs]],"")</f>
        <v>7.0577989062239972</v>
      </c>
      <c r="J259" s="50">
        <v>9</v>
      </c>
      <c r="K259" s="51">
        <f>IFERROR(Table1[[#This Row],[Number of Summer 2016 NYU 2L SAs]]/Table1[[#This Row],[Interview Slots]],0)</f>
        <v>0.33333333333333331</v>
      </c>
      <c r="L259" s="51">
        <f>Table1[[#This Row],[Number of Summer 2016 2L SAs]]/Table1[[#This Row],[Interview Slots]]</f>
        <v>0.25925925925925924</v>
      </c>
      <c r="M259" s="51">
        <f>IFERROR(Table1[[#This Row],[Number of Summer 2016 NYU 2L SAs]]/Table1[[#This Row],[Number of Summer 2016 2L SAs]],0)</f>
        <v>1.2857142857142858</v>
      </c>
      <c r="N259" s="50" t="str">
        <f>IFERROR(RIGHT(Table1[[#This Row],[1st year]],LEN(Table1[[#This Row],[1st year]])-FIND(":",Table1[[#This Row],[1st year]])-1),"")</f>
        <v/>
      </c>
      <c r="O259" s="50" t="str">
        <f t="array" ref="O259">IFERROR(INDEX(Table2[Nth year],MATCH(1,(Table1[[#This Row],[Employer]]=Table2[EIW Name])*(Table1[[#This Row],[City, State]]=Table2[Offices Matched]),0)),"")</f>
        <v/>
      </c>
      <c r="P259" s="50" t="str">
        <f>IFERROR(RIGHT(Table1[[#This Row],[Nth year]],LEN(Table1[[#This Row],[Nth year]])-FIND(":",Table1[[#This Row],[Nth year]])-1),"")</f>
        <v/>
      </c>
      <c r="Q259" s="50" t="str">
        <f t="array" ref="Q259">IFERROR(INDEX(Table2[Am Law 200 PPP Rank ’16],MATCH(1,(Table1[[#This Row],[Employer]]=Table2[EIW Name])*(Table1[[#This Row],[City, State]]=Table2[Offices Matched]),0)),"")</f>
        <v/>
      </c>
      <c r="R259" s="50" t="str">
        <f>IFERROR(LEFT(Table1[[#This Row],[Am Law 200 PPP Rank ’16]],FIND(":",Table1[[#This Row],[Am Law 200 PPP Rank ’16]])-1),"")</f>
        <v/>
      </c>
      <c r="S259" s="50">
        <f>IFERROR(INDEX(VaultRank[Rank],MATCH(Table1[[#This Row],[Employer]],VaultRank[EIW Name],0)),"")</f>
        <v>18</v>
      </c>
      <c r="T259" s="50" t="str">
        <f t="array" ref="T259">IFERROR(INDEX(Table2[Summers Matched],MATCH(1,(Table1[[#This Row],[Employer]]=Table2[EIW Name])*(Table1[[#This Row],[City, State]]=Table2[Offices Matched]),0)),"")</f>
        <v/>
      </c>
      <c r="U259" s="52" t="str">
        <f t="shared" si="4"/>
        <v/>
      </c>
      <c r="V259" s="60"/>
      <c r="W259" s="114">
        <v>42592</v>
      </c>
      <c r="X259"/>
    </row>
    <row r="260" spans="1:24" ht="14.1" customHeight="1">
      <c r="A260" s="45" t="s">
        <v>321</v>
      </c>
      <c r="B260" s="45" t="s">
        <v>331</v>
      </c>
      <c r="C260" s="45" t="s">
        <v>314</v>
      </c>
      <c r="D260" s="45" t="str">
        <f>Table1[[#This Row],[City]]&amp;", "&amp;Table1[[#This Row],[State]]</f>
        <v>Houston, TX</v>
      </c>
      <c r="E260" s="49">
        <v>45</v>
      </c>
      <c r="F260" s="50">
        <v>4</v>
      </c>
      <c r="G260" s="50" t="str">
        <f t="array" ref="G260">IFERROR(INDEX(Table2[1st Year],MATCH(1,(Table1[[#This Row],[Employer]]=Table2[EIW Name])*(Table1[[#This Row],[City, State]]=Table2[Offices Matched]),0)),"")</f>
        <v/>
      </c>
      <c r="H260" s="50">
        <f>_xlfn.IFNA(INDEX(saCAGR[CAGR],MATCH(Table1[[#This Row],[Employer]],saCAGR[EIW Name],0)),"")</f>
        <v>1.0082569866034281</v>
      </c>
      <c r="I260" s="50">
        <f>IFERROR(Table1[[#This Row],[SA CAGR]]*Table1[[#This Row],[Number of Summer 2016 2L SAs]],"")</f>
        <v>4.0330279464137124</v>
      </c>
      <c r="J260" s="50">
        <v>19</v>
      </c>
      <c r="K260" s="51">
        <f>IFERROR(Table1[[#This Row],[Number of Summer 2016 NYU 2L SAs]]/Table1[[#This Row],[Interview Slots]],0)</f>
        <v>0.42222222222222222</v>
      </c>
      <c r="L260" s="51">
        <f>Table1[[#This Row],[Number of Summer 2016 2L SAs]]/Table1[[#This Row],[Interview Slots]]</f>
        <v>8.8888888888888892E-2</v>
      </c>
      <c r="M260" s="51">
        <f>IFERROR(Table1[[#This Row],[Number of Summer 2016 NYU 2L SAs]]/Table1[[#This Row],[Number of Summer 2016 2L SAs]],0)</f>
        <v>4.75</v>
      </c>
      <c r="N260" s="50" t="str">
        <f>IFERROR(RIGHT(Table1[[#This Row],[1st year]],LEN(Table1[[#This Row],[1st year]])-FIND(":",Table1[[#This Row],[1st year]])-1),"")</f>
        <v/>
      </c>
      <c r="O260" s="50" t="str">
        <f t="array" ref="O260">IFERROR(INDEX(Table2[Nth year],MATCH(1,(Table1[[#This Row],[Employer]]=Table2[EIW Name])*(Table1[[#This Row],[City, State]]=Table2[Offices Matched]),0)),"")</f>
        <v/>
      </c>
      <c r="P260" s="50" t="str">
        <f>IFERROR(RIGHT(Table1[[#This Row],[Nth year]],LEN(Table1[[#This Row],[Nth year]])-FIND(":",Table1[[#This Row],[Nth year]])-1),"")</f>
        <v/>
      </c>
      <c r="Q260" s="50" t="str">
        <f t="array" ref="Q260">IFERROR(INDEX(Table2[Am Law 200 PPP Rank ’16],MATCH(1,(Table1[[#This Row],[Employer]]=Table2[EIW Name])*(Table1[[#This Row],[City, State]]=Table2[Offices Matched]),0)),"")</f>
        <v/>
      </c>
      <c r="R260" s="50" t="str">
        <f>IFERROR(LEFT(Table1[[#This Row],[Am Law 200 PPP Rank ’16]],FIND(":",Table1[[#This Row],[Am Law 200 PPP Rank ’16]])-1),"")</f>
        <v/>
      </c>
      <c r="S260" s="50">
        <f>IFERROR(INDEX(VaultRank[Rank],MATCH(Table1[[#This Row],[Employer]],VaultRank[EIW Name],0)),"")</f>
        <v>18</v>
      </c>
      <c r="T260" s="50" t="str">
        <f t="array" ref="T260">IFERROR(INDEX(Table2[Summers Matched],MATCH(1,(Table1[[#This Row],[Employer]]=Table2[EIW Name])*(Table1[[#This Row],[City, State]]=Table2[Offices Matched]),0)),"")</f>
        <v/>
      </c>
      <c r="U260" s="52" t="str">
        <f t="shared" si="4"/>
        <v/>
      </c>
      <c r="V260" s="60"/>
      <c r="W260" s="114">
        <v>42592</v>
      </c>
      <c r="X260"/>
    </row>
    <row r="261" spans="1:24" ht="14.1" customHeight="1">
      <c r="A261" s="45" t="s">
        <v>526</v>
      </c>
      <c r="B261" s="45" t="s">
        <v>364</v>
      </c>
      <c r="C261" s="45" t="s">
        <v>362</v>
      </c>
      <c r="D261" s="45" t="str">
        <f>Table1[[#This Row],[City]]&amp;", "&amp;Table1[[#This Row],[State]]</f>
        <v>New York, NY</v>
      </c>
      <c r="E261" s="49">
        <v>174</v>
      </c>
      <c r="F261" s="50">
        <v>50</v>
      </c>
      <c r="G261" s="50" t="str">
        <f t="array" ref="G261">IFERROR(INDEX(Table2[1st Year],MATCH(1,(Table1[[#This Row],[Employer]]=Table2[EIW Name])*(Table1[[#This Row],[City, State]]=Table2[Offices Matched]),0)),"")</f>
        <v>1st Year: $180K</v>
      </c>
      <c r="H261" s="51">
        <f>_xlfn.IFNA(INDEX(saCAGR[CAGR],MATCH(Table1[[#This Row],[Employer]],saCAGR[EIW Name],0)),"")</f>
        <v>1.0380138801121124</v>
      </c>
      <c r="I261" s="50">
        <f>IFERROR(Table1[[#This Row],[SA CAGR]]*Table1[[#This Row],[Number of Summer 2016 2L SAs]],"")</f>
        <v>51.900694005605615</v>
      </c>
      <c r="J261" s="50">
        <v>8</v>
      </c>
      <c r="K261" s="51">
        <f>IFERROR(Table1[[#This Row],[Number of Summer 2016 NYU 2L SAs]]/Table1[[#This Row],[Interview Slots]],0)</f>
        <v>4.5977011494252873E-2</v>
      </c>
      <c r="L261" s="51">
        <f>Table1[[#This Row],[Number of Summer 2016 2L SAs]]/Table1[[#This Row],[Interview Slots]]</f>
        <v>0.28735632183908044</v>
      </c>
      <c r="M261" s="51">
        <f>IFERROR(Table1[[#This Row],[Number of Summer 2016 NYU 2L SAs]]/Table1[[#This Row],[Number of Summer 2016 2L SAs]],0)</f>
        <v>0.16</v>
      </c>
      <c r="N261" s="50" t="str">
        <f>IFERROR(RIGHT(Table1[[#This Row],[1st year]],LEN(Table1[[#This Row],[1st year]])-FIND(":",Table1[[#This Row],[1st year]])-1),"")</f>
        <v>$180K</v>
      </c>
      <c r="O261" s="50" t="str">
        <f t="array" ref="O261">IFERROR(INDEX(Table2[Nth year],MATCH(1,(Table1[[#This Row],[Employer]]=Table2[EIW Name])*(Table1[[#This Row],[City, State]]=Table2[Offices Matched]),0)),"")</f>
        <v>9th Year+: $325K</v>
      </c>
      <c r="P261" s="50" t="str">
        <f>IFERROR(RIGHT(Table1[[#This Row],[Nth year]],LEN(Table1[[#This Row],[Nth year]])-FIND(":",Table1[[#This Row],[Nth year]])-1),"")</f>
        <v>$325K</v>
      </c>
      <c r="Q261" s="50" t="str">
        <f t="array" ref="Q261">IFERROR(INDEX(Table2[Am Law 200 PPP Rank ’16],MATCH(1,(Table1[[#This Row],[Employer]]=Table2[EIW Name])*(Table1[[#This Row],[City, State]]=Table2[Offices Matched]),0)),"")</f>
        <v>19: $2.61M</v>
      </c>
      <c r="R261" s="50" t="str">
        <f>IFERROR(LEFT(Table1[[#This Row],[Am Law 200 PPP Rank ’16]],FIND(":",Table1[[#This Row],[Am Law 200 PPP Rank ’16]])-1),"")</f>
        <v>19</v>
      </c>
      <c r="S261" s="50">
        <f>IFERROR(INDEX(VaultRank[Rank],MATCH(Table1[[#This Row],[Employer]],VaultRank[EIW Name],0)),"")</f>
        <v>53</v>
      </c>
      <c r="T261" s="50" t="str">
        <f t="array" ref="T261">IFERROR(INDEX(Table2[Summers Matched],MATCH(1,(Table1[[#This Row],[Employer]]=Table2[EIW Name])*(Table1[[#This Row],[City, State]]=Table2[Offices Matched]),0)),"")</f>
        <v>Yes</v>
      </c>
      <c r="U261" s="52" t="str">
        <f t="shared" si="4"/>
        <v/>
      </c>
      <c r="V261" s="60"/>
      <c r="W261" s="114">
        <v>42595</v>
      </c>
      <c r="X261"/>
    </row>
    <row r="262" spans="1:24" ht="14.1" customHeight="1">
      <c r="A262" s="45" t="s">
        <v>52</v>
      </c>
      <c r="B262" s="45" t="s">
        <v>303</v>
      </c>
      <c r="C262" s="45" t="s">
        <v>304</v>
      </c>
      <c r="D262" s="45" t="str">
        <f>Table1[[#This Row],[City]]&amp;", "&amp;Table1[[#This Row],[State]]</f>
        <v>Chicago, IL</v>
      </c>
      <c r="E262" s="49">
        <v>136</v>
      </c>
      <c r="F262" s="50">
        <v>20</v>
      </c>
      <c r="G262" s="50" t="str">
        <f t="array" ref="G262">IFERROR(INDEX(Table2[1st Year],MATCH(1,(Table1[[#This Row],[Employer]]=Table2[EIW Name])*(Table1[[#This Row],[City, State]]=Table2[Offices Matched]),0)),"")</f>
        <v>1st Year: $180K</v>
      </c>
      <c r="H262" s="51">
        <f>_xlfn.IFNA(INDEX(saCAGR[CAGR],MATCH(Table1[[#This Row],[Employer]],saCAGR[EIW Name],0)),"")</f>
        <v>1.0131293398920969</v>
      </c>
      <c r="I262" s="50">
        <f>IFERROR(Table1[[#This Row],[SA CAGR]]*Table1[[#This Row],[Number of Summer 2016 2L SAs]],"")</f>
        <v>20.262586797841937</v>
      </c>
      <c r="J262" s="50">
        <v>5</v>
      </c>
      <c r="K262" s="51">
        <f>IFERROR(Table1[[#This Row],[Number of Summer 2016 NYU 2L SAs]]/Table1[[#This Row],[Interview Slots]],0)</f>
        <v>3.6764705882352942E-2</v>
      </c>
      <c r="L262" s="51">
        <f>Table1[[#This Row],[Number of Summer 2016 2L SAs]]/Table1[[#This Row],[Interview Slots]]</f>
        <v>0.14705882352941177</v>
      </c>
      <c r="M262" s="51">
        <f>IFERROR(Table1[[#This Row],[Number of Summer 2016 NYU 2L SAs]]/Table1[[#This Row],[Number of Summer 2016 2L SAs]],0)</f>
        <v>0.25</v>
      </c>
      <c r="N262" s="50" t="str">
        <f>IFERROR(RIGHT(Table1[[#This Row],[1st year]],LEN(Table1[[#This Row],[1st year]])-FIND(":",Table1[[#This Row],[1st year]])-1),"")</f>
        <v>$180K</v>
      </c>
      <c r="O262" s="50" t="str">
        <f t="array" ref="O262">IFERROR(INDEX(Table2[Nth year],MATCH(1,(Table1[[#This Row],[Employer]]=Table2[EIW Name])*(Table1[[#This Row],[City, State]]=Table2[Offices Matched]),0)),"")</f>
        <v>8th Year: $315K</v>
      </c>
      <c r="P262" s="50" t="str">
        <f>IFERROR(RIGHT(Table1[[#This Row],[Nth year]],LEN(Table1[[#This Row],[Nth year]])-FIND(":",Table1[[#This Row],[Nth year]])-1),"")</f>
        <v>$315K</v>
      </c>
      <c r="Q262" s="50" t="str">
        <f t="array" ref="Q262">IFERROR(INDEX(Table2[Am Law 200 PPP Rank ’16],MATCH(1,(Table1[[#This Row],[Employer]]=Table2[EIW Name])*(Table1[[#This Row],[City, State]]=Table2[Offices Matched]),0)),"")</f>
        <v>44: $1.81M</v>
      </c>
      <c r="R262" s="50" t="str">
        <f>IFERROR(LEFT(Table1[[#This Row],[Am Law 200 PPP Rank ’16]],FIND(":",Table1[[#This Row],[Am Law 200 PPP Rank ’16]])-1),"")</f>
        <v>44</v>
      </c>
      <c r="S262" s="50">
        <f>IFERROR(INDEX(VaultRank[Rank],MATCH(Table1[[#This Row],[Employer]],VaultRank[EIW Name],0)),"")</f>
        <v>54</v>
      </c>
      <c r="T262" s="50" t="str">
        <f t="array" ref="T262">IFERROR(INDEX(Table2[Summers Matched],MATCH(1,(Table1[[#This Row],[Employer]]=Table2[EIW Name])*(Table1[[#This Row],[City, State]]=Table2[Offices Matched]),0)),"")</f>
        <v>Yes</v>
      </c>
      <c r="U262" s="52" t="str">
        <f t="shared" si="4"/>
        <v/>
      </c>
      <c r="V262" s="60"/>
      <c r="W262" s="114">
        <v>42594</v>
      </c>
      <c r="X262"/>
    </row>
    <row r="263" spans="1:24" ht="14.1" customHeight="1">
      <c r="A263" s="45" t="s">
        <v>269</v>
      </c>
      <c r="B263" s="45" t="s">
        <v>337</v>
      </c>
      <c r="C263" s="45" t="s">
        <v>324</v>
      </c>
      <c r="D263" s="45" t="str">
        <f>Table1[[#This Row],[City]]&amp;", "&amp;Table1[[#This Row],[State]]</f>
        <v>Miami, FL</v>
      </c>
      <c r="E263" s="49">
        <v>170</v>
      </c>
      <c r="F263" s="50">
        <v>0</v>
      </c>
      <c r="G263" s="50" t="str">
        <f t="array" ref="G263">IFERROR(INDEX(Table2[1st Year],MATCH(1,(Table1[[#This Row],[Employer]]=Table2[EIW Name])*(Table1[[#This Row],[City, State]]=Table2[Offices Matched]),0)),"")</f>
        <v/>
      </c>
      <c r="H263" s="50">
        <f>_xlfn.IFNA(INDEX(saCAGR[CAGR],MATCH(Table1[[#This Row],[Employer]],saCAGR[EIW Name],0)),"")</f>
        <v>1.0258607522989689</v>
      </c>
      <c r="I263" s="50">
        <f>IFERROR(Table1[[#This Row],[SA CAGR]]*Table1[[#This Row],[Number of Summer 2016 2L SAs]],"")</f>
        <v>0</v>
      </c>
      <c r="J263" s="50">
        <v>14</v>
      </c>
      <c r="K263" s="51">
        <f>IFERROR(Table1[[#This Row],[Number of Summer 2016 NYU 2L SAs]]/Table1[[#This Row],[Interview Slots]],0)</f>
        <v>8.2352941176470587E-2</v>
      </c>
      <c r="L263" s="51">
        <f>Table1[[#This Row],[Number of Summer 2016 2L SAs]]/Table1[[#This Row],[Interview Slots]]</f>
        <v>0</v>
      </c>
      <c r="M263" s="51">
        <f>IFERROR(Table1[[#This Row],[Number of Summer 2016 NYU 2L SAs]]/Table1[[#This Row],[Number of Summer 2016 2L SAs]],0)</f>
        <v>0</v>
      </c>
      <c r="N263" s="50" t="str">
        <f>IFERROR(RIGHT(Table1[[#This Row],[1st year]],LEN(Table1[[#This Row],[1st year]])-FIND(":",Table1[[#This Row],[1st year]])-1),"")</f>
        <v/>
      </c>
      <c r="O263" s="50" t="str">
        <f t="array" ref="O263">IFERROR(INDEX(Table2[Nth year],MATCH(1,(Table1[[#This Row],[Employer]]=Table2[EIW Name])*(Table1[[#This Row],[City, State]]=Table2[Offices Matched]),0)),"")</f>
        <v/>
      </c>
      <c r="P263" s="50" t="str">
        <f>IFERROR(RIGHT(Table1[[#This Row],[Nth year]],LEN(Table1[[#This Row],[Nth year]])-FIND(":",Table1[[#This Row],[Nth year]])-1),"")</f>
        <v/>
      </c>
      <c r="Q263" s="50" t="str">
        <f t="array" ref="Q263">IFERROR(INDEX(Table2[Am Law 200 PPP Rank ’16],MATCH(1,(Table1[[#This Row],[Employer]]=Table2[EIW Name])*(Table1[[#This Row],[City, State]]=Table2[Offices Matched]),0)),"")</f>
        <v/>
      </c>
      <c r="R263" s="50" t="str">
        <f>IFERROR(LEFT(Table1[[#This Row],[Am Law 200 PPP Rank ’16]],FIND(":",Table1[[#This Row],[Am Law 200 PPP Rank ’16]])-1),"")</f>
        <v/>
      </c>
      <c r="S263" s="50">
        <f>IFERROR(INDEX(VaultRank[Rank],MATCH(Table1[[#This Row],[Employer]],VaultRank[EIW Name],0)),"")</f>
        <v>39</v>
      </c>
      <c r="T263" s="50" t="str">
        <f t="array" ref="T263">IFERROR(INDEX(Table2[Summers Matched],MATCH(1,(Table1[[#This Row],[Employer]]=Table2[EIW Name])*(Table1[[#This Row],[City, State]]=Table2[Offices Matched]),0)),"")</f>
        <v/>
      </c>
      <c r="U263" s="52" t="str">
        <f t="shared" si="4"/>
        <v/>
      </c>
      <c r="V263" s="49" t="s">
        <v>441</v>
      </c>
      <c r="W263" s="114">
        <v>42595</v>
      </c>
      <c r="X263"/>
    </row>
    <row r="264" spans="1:24" ht="14.1" customHeight="1">
      <c r="A264" s="45" t="s">
        <v>269</v>
      </c>
      <c r="B264" s="45" t="s">
        <v>397</v>
      </c>
      <c r="C264" s="45" t="s">
        <v>347</v>
      </c>
      <c r="D264" s="45" t="str">
        <f>Table1[[#This Row],[City]]&amp;", "&amp;Table1[[#This Row],[State]]</f>
        <v>Newark, NJ</v>
      </c>
      <c r="E264" s="49">
        <v>129</v>
      </c>
      <c r="F264" s="50">
        <v>2</v>
      </c>
      <c r="G264" s="50" t="str">
        <f t="array" ref="G264">IFERROR(INDEX(Table2[1st Year],MATCH(1,(Table1[[#This Row],[Employer]]=Table2[EIW Name])*(Table1[[#This Row],[City, State]]=Table2[Offices Matched]),0)),"")</f>
        <v/>
      </c>
      <c r="H264" s="50">
        <f>_xlfn.IFNA(INDEX(saCAGR[CAGR],MATCH(Table1[[#This Row],[Employer]],saCAGR[EIW Name],0)),"")</f>
        <v>1.0258607522989689</v>
      </c>
      <c r="I264" s="50">
        <f>IFERROR(Table1[[#This Row],[SA CAGR]]*Table1[[#This Row],[Number of Summer 2016 2L SAs]],"")</f>
        <v>2.0517215045979378</v>
      </c>
      <c r="J264" s="50">
        <v>18</v>
      </c>
      <c r="K264" s="51">
        <f>IFERROR(Table1[[#This Row],[Number of Summer 2016 NYU 2L SAs]]/Table1[[#This Row],[Interview Slots]],0)</f>
        <v>0.13953488372093023</v>
      </c>
      <c r="L264" s="51">
        <f>Table1[[#This Row],[Number of Summer 2016 2L SAs]]/Table1[[#This Row],[Interview Slots]]</f>
        <v>1.5503875968992248E-2</v>
      </c>
      <c r="M264" s="51">
        <f>IFERROR(Table1[[#This Row],[Number of Summer 2016 NYU 2L SAs]]/Table1[[#This Row],[Number of Summer 2016 2L SAs]],0)</f>
        <v>9</v>
      </c>
      <c r="N264" s="50" t="str">
        <f>IFERROR(RIGHT(Table1[[#This Row],[1st year]],LEN(Table1[[#This Row],[1st year]])-FIND(":",Table1[[#This Row],[1st year]])-1),"")</f>
        <v/>
      </c>
      <c r="O264" s="50" t="str">
        <f t="array" ref="O264">IFERROR(INDEX(Table2[Nth year],MATCH(1,(Table1[[#This Row],[Employer]]=Table2[EIW Name])*(Table1[[#This Row],[City, State]]=Table2[Offices Matched]),0)),"")</f>
        <v/>
      </c>
      <c r="P264" s="50" t="str">
        <f>IFERROR(RIGHT(Table1[[#This Row],[Nth year]],LEN(Table1[[#This Row],[Nth year]])-FIND(":",Table1[[#This Row],[Nth year]])-1),"")</f>
        <v/>
      </c>
      <c r="Q264" s="50" t="str">
        <f t="array" ref="Q264">IFERROR(INDEX(Table2[Am Law 200 PPP Rank ’16],MATCH(1,(Table1[[#This Row],[Employer]]=Table2[EIW Name])*(Table1[[#This Row],[City, State]]=Table2[Offices Matched]),0)),"")</f>
        <v/>
      </c>
      <c r="R264" s="50" t="str">
        <f>IFERROR(LEFT(Table1[[#This Row],[Am Law 200 PPP Rank ’16]],FIND(":",Table1[[#This Row],[Am Law 200 PPP Rank ’16]])-1),"")</f>
        <v/>
      </c>
      <c r="S264" s="50">
        <f>IFERROR(INDEX(VaultRank[Rank],MATCH(Table1[[#This Row],[Employer]],VaultRank[EIW Name],0)),"")</f>
        <v>39</v>
      </c>
      <c r="T264" s="50" t="str">
        <f t="array" ref="T264">IFERROR(INDEX(Table2[Summers Matched],MATCH(1,(Table1[[#This Row],[Employer]]=Table2[EIW Name])*(Table1[[#This Row],[City, State]]=Table2[Offices Matched]),0)),"")</f>
        <v/>
      </c>
      <c r="U264" s="52" t="str">
        <f t="shared" si="4"/>
        <v/>
      </c>
      <c r="V264" s="60"/>
      <c r="W264" s="114">
        <v>42592</v>
      </c>
      <c r="X264"/>
    </row>
    <row r="265" spans="1:24" ht="14.1" customHeight="1">
      <c r="A265" s="45" t="s">
        <v>269</v>
      </c>
      <c r="B265" s="45" t="s">
        <v>440</v>
      </c>
      <c r="C265" s="45" t="s">
        <v>330</v>
      </c>
      <c r="D265" s="45" t="str">
        <f>Table1[[#This Row],[City]]&amp;", "&amp;Table1[[#This Row],[State]]</f>
        <v>Pittsburgh, PA</v>
      </c>
      <c r="E265" s="49">
        <v>107</v>
      </c>
      <c r="F265" s="50">
        <v>13</v>
      </c>
      <c r="G265" s="50" t="str">
        <f t="array" ref="G265">IFERROR(INDEX(Table2[1st Year],MATCH(1,(Table1[[#This Row],[Employer]]=Table2[EIW Name])*(Table1[[#This Row],[City, State]]=Table2[Offices Matched]),0)),"")</f>
        <v/>
      </c>
      <c r="H265" s="50">
        <f>_xlfn.IFNA(INDEX(saCAGR[CAGR],MATCH(Table1[[#This Row],[Employer]],saCAGR[EIW Name],0)),"")</f>
        <v>1.0258607522989689</v>
      </c>
      <c r="I265" s="50">
        <f>IFERROR(Table1[[#This Row],[SA CAGR]]*Table1[[#This Row],[Number of Summer 2016 2L SAs]],"")</f>
        <v>13.336189779886595</v>
      </c>
      <c r="J265" s="50">
        <v>13</v>
      </c>
      <c r="K265" s="51">
        <f>IFERROR(Table1[[#This Row],[Number of Summer 2016 NYU 2L SAs]]/Table1[[#This Row],[Interview Slots]],0)</f>
        <v>0.12149532710280374</v>
      </c>
      <c r="L265" s="51">
        <f>Table1[[#This Row],[Number of Summer 2016 2L SAs]]/Table1[[#This Row],[Interview Slots]]</f>
        <v>0.12149532710280374</v>
      </c>
      <c r="M265" s="51">
        <f>IFERROR(Table1[[#This Row],[Number of Summer 2016 NYU 2L SAs]]/Table1[[#This Row],[Number of Summer 2016 2L SAs]],0)</f>
        <v>1</v>
      </c>
      <c r="N265" s="50" t="str">
        <f>IFERROR(RIGHT(Table1[[#This Row],[1st year]],LEN(Table1[[#This Row],[1st year]])-FIND(":",Table1[[#This Row],[1st year]])-1),"")</f>
        <v/>
      </c>
      <c r="O265" s="50" t="str">
        <f t="array" ref="O265">IFERROR(INDEX(Table2[Nth year],MATCH(1,(Table1[[#This Row],[Employer]]=Table2[EIW Name])*(Table1[[#This Row],[City, State]]=Table2[Offices Matched]),0)),"")</f>
        <v/>
      </c>
      <c r="P265" s="50" t="str">
        <f>IFERROR(RIGHT(Table1[[#This Row],[Nth year]],LEN(Table1[[#This Row],[Nth year]])-FIND(":",Table1[[#This Row],[Nth year]])-1),"")</f>
        <v/>
      </c>
      <c r="Q265" s="50" t="str">
        <f t="array" ref="Q265">IFERROR(INDEX(Table2[Am Law 200 PPP Rank ’16],MATCH(1,(Table1[[#This Row],[Employer]]=Table2[EIW Name])*(Table1[[#This Row],[City, State]]=Table2[Offices Matched]),0)),"")</f>
        <v/>
      </c>
      <c r="R265" s="50" t="str">
        <f>IFERROR(LEFT(Table1[[#This Row],[Am Law 200 PPP Rank ’16]],FIND(":",Table1[[#This Row],[Am Law 200 PPP Rank ’16]])-1),"")</f>
        <v/>
      </c>
      <c r="S265" s="50">
        <f>IFERROR(INDEX(VaultRank[Rank],MATCH(Table1[[#This Row],[Employer]],VaultRank[EIW Name],0)),"")</f>
        <v>39</v>
      </c>
      <c r="T265" s="50" t="str">
        <f t="array" ref="T265">IFERROR(INDEX(Table2[Summers Matched],MATCH(1,(Table1[[#This Row],[Employer]]=Table2[EIW Name])*(Table1[[#This Row],[City, State]]=Table2[Offices Matched]),0)),"")</f>
        <v/>
      </c>
      <c r="U265" s="52" t="str">
        <f t="shared" si="4"/>
        <v/>
      </c>
      <c r="V265" s="60"/>
      <c r="W265" s="114">
        <v>42594</v>
      </c>
      <c r="X265"/>
    </row>
    <row r="266" spans="1:24" ht="14.1" customHeight="1">
      <c r="A266" s="61" t="s">
        <v>269</v>
      </c>
      <c r="B266" s="61" t="s">
        <v>442</v>
      </c>
      <c r="C266" s="45" t="s">
        <v>443</v>
      </c>
      <c r="D266" s="45" t="str">
        <f>Table1[[#This Row],[City]]&amp;", "&amp;Table1[[#This Row],[State]]</f>
        <v>Dubai, UnitedArabEm irates- International</v>
      </c>
      <c r="E266" s="49">
        <v>62</v>
      </c>
      <c r="F266" s="49" t="s">
        <v>444</v>
      </c>
      <c r="G266" s="64" t="str">
        <f t="array" ref="G266">IFERROR(INDEX(Table2[1st Year],MATCH(1,(Table1[[#This Row],[Employer]]=Table2[EIW Name])*(Table1[[#This Row],[City, State]]=Table2[Offices Matched]),0)),"")</f>
        <v/>
      </c>
      <c r="H266" s="64">
        <f>_xlfn.IFNA(INDEX(saCAGR[CAGR],MATCH(Table1[[#This Row],[Employer]],saCAGR[EIW Name],0)),"")</f>
        <v>1.0258607522989689</v>
      </c>
      <c r="I266" s="64" t="str">
        <f>IFERROR(Table1[[#This Row],[SA CAGR]]*Table1[[#This Row],[Number of Summer 2016 2L SAs]],"")</f>
        <v/>
      </c>
      <c r="J266" s="64">
        <v>3</v>
      </c>
      <c r="K266" s="65">
        <f>IFERROR(Table1[[#This Row],[Number of Summer 2016 NYU 2L SAs]]/Table1[[#This Row],[Interview Slots]],0)</f>
        <v>4.8387096774193547E-2</v>
      </c>
      <c r="L266" s="65" t="e">
        <f>Table1[[#This Row],[Number of Summer 2016 2L SAs]]/Table1[[#This Row],[Interview Slots]]</f>
        <v>#VALUE!</v>
      </c>
      <c r="M266" s="65">
        <f>IFERROR(Table1[[#This Row],[Number of Summer 2016 NYU 2L SAs]]/Table1[[#This Row],[Number of Summer 2016 2L SAs]],0)</f>
        <v>0</v>
      </c>
      <c r="N266" s="64" t="str">
        <f>IFERROR(RIGHT(Table1[[#This Row],[1st year]],LEN(Table1[[#This Row],[1st year]])-FIND(":",Table1[[#This Row],[1st year]])-1),"")</f>
        <v/>
      </c>
      <c r="O266" s="64" t="str">
        <f t="array" ref="O266">IFERROR(INDEX(Table2[Nth year],MATCH(1,(Table1[[#This Row],[Employer]]=Table2[EIW Name])*(Table1[[#This Row],[City, State]]=Table2[Offices Matched]),0)),"")</f>
        <v/>
      </c>
      <c r="P266" s="64" t="str">
        <f>IFERROR(RIGHT(Table1[[#This Row],[Nth year]],LEN(Table1[[#This Row],[Nth year]])-FIND(":",Table1[[#This Row],[Nth year]])-1),"")</f>
        <v/>
      </c>
      <c r="Q266" s="64" t="str">
        <f t="array" ref="Q266">IFERROR(INDEX(Table2[Am Law 200 PPP Rank ’16],MATCH(1,(Table1[[#This Row],[Employer]]=Table2[EIW Name])*(Table1[[#This Row],[City, State]]=Table2[Offices Matched]),0)),"")</f>
        <v/>
      </c>
      <c r="R266" s="64" t="str">
        <f>IFERROR(LEFT(Table1[[#This Row],[Am Law 200 PPP Rank ’16]],FIND(":",Table1[[#This Row],[Am Law 200 PPP Rank ’16]])-1),"")</f>
        <v/>
      </c>
      <c r="S266" s="64">
        <f>IFERROR(INDEX(VaultRank[Rank],MATCH(Table1[[#This Row],[Employer]],VaultRank[EIW Name],0)),"")</f>
        <v>39</v>
      </c>
      <c r="T266" s="64" t="str">
        <f t="array" ref="T266">IFERROR(INDEX(Table2[Summers Matched],MATCH(1,(Table1[[#This Row],[Employer]]=Table2[EIW Name])*(Table1[[#This Row],[City, State]]=Table2[Offices Matched]),0)),"")</f>
        <v/>
      </c>
      <c r="U266" s="66" t="str">
        <f t="shared" si="4"/>
        <v/>
      </c>
      <c r="V266" s="60"/>
      <c r="W266" s="114">
        <v>42592</v>
      </c>
      <c r="X266"/>
    </row>
    <row r="267" spans="1:24" ht="14.1" customHeight="1">
      <c r="A267" s="45" t="s">
        <v>269</v>
      </c>
      <c r="B267" s="45" t="s">
        <v>332</v>
      </c>
      <c r="C267" s="45" t="s">
        <v>333</v>
      </c>
      <c r="D267" s="45" t="str">
        <f>Table1[[#This Row],[City]]&amp;", "&amp;Table1[[#This Row],[State]]</f>
        <v>Seattle, WA</v>
      </c>
      <c r="E267" s="49">
        <v>112</v>
      </c>
      <c r="F267" s="50">
        <v>8</v>
      </c>
      <c r="G267" s="50" t="str">
        <f t="array" ref="G267">IFERROR(INDEX(Table2[1st Year],MATCH(1,(Table1[[#This Row],[Employer]]=Table2[EIW Name])*(Table1[[#This Row],[City, State]]=Table2[Offices Matched]),0)),"")</f>
        <v/>
      </c>
      <c r="H267" s="50">
        <f>_xlfn.IFNA(INDEX(saCAGR[CAGR],MATCH(Table1[[#This Row],[Employer]],saCAGR[EIW Name],0)),"")</f>
        <v>1.0258607522989689</v>
      </c>
      <c r="I267" s="50">
        <f>IFERROR(Table1[[#This Row],[SA CAGR]]*Table1[[#This Row],[Number of Summer 2016 2L SAs]],"")</f>
        <v>8.2068860183917511</v>
      </c>
      <c r="J267" s="50">
        <v>10</v>
      </c>
      <c r="K267" s="51">
        <f>IFERROR(Table1[[#This Row],[Number of Summer 2016 NYU 2L SAs]]/Table1[[#This Row],[Interview Slots]],0)</f>
        <v>8.9285714285714288E-2</v>
      </c>
      <c r="L267" s="51">
        <f>Table1[[#This Row],[Number of Summer 2016 2L SAs]]/Table1[[#This Row],[Interview Slots]]</f>
        <v>7.1428571428571425E-2</v>
      </c>
      <c r="M267" s="51">
        <f>IFERROR(Table1[[#This Row],[Number of Summer 2016 NYU 2L SAs]]/Table1[[#This Row],[Number of Summer 2016 2L SAs]],0)</f>
        <v>1.25</v>
      </c>
      <c r="N267" s="50" t="str">
        <f>IFERROR(RIGHT(Table1[[#This Row],[1st year]],LEN(Table1[[#This Row],[1st year]])-FIND(":",Table1[[#This Row],[1st year]])-1),"")</f>
        <v/>
      </c>
      <c r="O267" s="50" t="str">
        <f t="array" ref="O267">IFERROR(INDEX(Table2[Nth year],MATCH(1,(Table1[[#This Row],[Employer]]=Table2[EIW Name])*(Table1[[#This Row],[City, State]]=Table2[Offices Matched]),0)),"")</f>
        <v/>
      </c>
      <c r="P267" s="50" t="str">
        <f>IFERROR(RIGHT(Table1[[#This Row],[Nth year]],LEN(Table1[[#This Row],[Nth year]])-FIND(":",Table1[[#This Row],[Nth year]])-1),"")</f>
        <v/>
      </c>
      <c r="Q267" s="50" t="str">
        <f t="array" ref="Q267">IFERROR(INDEX(Table2[Am Law 200 PPP Rank ’16],MATCH(1,(Table1[[#This Row],[Employer]]=Table2[EIW Name])*(Table1[[#This Row],[City, State]]=Table2[Offices Matched]),0)),"")</f>
        <v/>
      </c>
      <c r="R267" s="50" t="str">
        <f>IFERROR(LEFT(Table1[[#This Row],[Am Law 200 PPP Rank ’16]],FIND(":",Table1[[#This Row],[Am Law 200 PPP Rank ’16]])-1),"")</f>
        <v/>
      </c>
      <c r="S267" s="50">
        <f>IFERROR(INDEX(VaultRank[Rank],MATCH(Table1[[#This Row],[Employer]],VaultRank[EIW Name],0)),"")</f>
        <v>39</v>
      </c>
      <c r="T267" s="50" t="str">
        <f t="array" ref="T267">IFERROR(INDEX(Table2[Summers Matched],MATCH(1,(Table1[[#This Row],[Employer]]=Table2[EIW Name])*(Table1[[#This Row],[City, State]]=Table2[Offices Matched]),0)),"")</f>
        <v/>
      </c>
      <c r="U267" s="52" t="str">
        <f t="shared" si="4"/>
        <v/>
      </c>
      <c r="V267" s="60"/>
      <c r="W267" s="114">
        <v>42595</v>
      </c>
      <c r="X267"/>
    </row>
    <row r="268" spans="1:24" ht="14.1" customHeight="1">
      <c r="A268" s="45" t="s">
        <v>52</v>
      </c>
      <c r="B268" s="45" t="s">
        <v>364</v>
      </c>
      <c r="C268" s="45" t="s">
        <v>362</v>
      </c>
      <c r="D268" s="45" t="str">
        <f>Table1[[#This Row],[City]]&amp;", "&amp;Table1[[#This Row],[State]]</f>
        <v>New York, NY</v>
      </c>
      <c r="E268" s="49">
        <v>35</v>
      </c>
      <c r="F268" s="50">
        <v>24</v>
      </c>
      <c r="G268" s="50" t="str">
        <f t="array" ref="G268">IFERROR(INDEX(Table2[1st Year],MATCH(1,(Table1[[#This Row],[Employer]]=Table2[EIW Name])*(Table1[[#This Row],[City, State]]=Table2[Offices Matched]),0)),"")</f>
        <v>1st Year: $180K</v>
      </c>
      <c r="H268" s="51">
        <f>_xlfn.IFNA(INDEX(saCAGR[CAGR],MATCH(Table1[[#This Row],[Employer]],saCAGR[EIW Name],0)),"")</f>
        <v>1.0131293398920969</v>
      </c>
      <c r="I268" s="50">
        <f>IFERROR(Table1[[#This Row],[SA CAGR]]*Table1[[#This Row],[Number of Summer 2016 2L SAs]],"")</f>
        <v>24.315104157410325</v>
      </c>
      <c r="J268" s="50">
        <v>20</v>
      </c>
      <c r="K268" s="51">
        <f>IFERROR(Table1[[#This Row],[Number of Summer 2016 NYU 2L SAs]]/Table1[[#This Row],[Interview Slots]],0)</f>
        <v>0.5714285714285714</v>
      </c>
      <c r="L268" s="51">
        <f>Table1[[#This Row],[Number of Summer 2016 2L SAs]]/Table1[[#This Row],[Interview Slots]]</f>
        <v>0.68571428571428572</v>
      </c>
      <c r="M268" s="51">
        <f>IFERROR(Table1[[#This Row],[Number of Summer 2016 NYU 2L SAs]]/Table1[[#This Row],[Number of Summer 2016 2L SAs]],0)</f>
        <v>0.83333333333333337</v>
      </c>
      <c r="N268" s="50" t="str">
        <f>IFERROR(RIGHT(Table1[[#This Row],[1st year]],LEN(Table1[[#This Row],[1st year]])-FIND(":",Table1[[#This Row],[1st year]])-1),"")</f>
        <v>$180K</v>
      </c>
      <c r="O268" s="50" t="str">
        <f t="array" ref="O268">IFERROR(INDEX(Table2[Nth year],MATCH(1,(Table1[[#This Row],[Employer]]=Table2[EIW Name])*(Table1[[#This Row],[City, State]]=Table2[Offices Matched]),0)),"")</f>
        <v>8th Year: $315K</v>
      </c>
      <c r="P268" s="50" t="str">
        <f>IFERROR(RIGHT(Table1[[#This Row],[Nth year]],LEN(Table1[[#This Row],[Nth year]])-FIND(":",Table1[[#This Row],[Nth year]])-1),"")</f>
        <v>$315K</v>
      </c>
      <c r="Q268" s="50" t="str">
        <f t="array" ref="Q268">IFERROR(INDEX(Table2[Am Law 200 PPP Rank ’16],MATCH(1,(Table1[[#This Row],[Employer]]=Table2[EIW Name])*(Table1[[#This Row],[City, State]]=Table2[Offices Matched]),0)),"")</f>
        <v>44: $1.81M</v>
      </c>
      <c r="R268" s="50" t="str">
        <f>IFERROR(LEFT(Table1[[#This Row],[Am Law 200 PPP Rank ’16]],FIND(":",Table1[[#This Row],[Am Law 200 PPP Rank ’16]])-1),"")</f>
        <v>44</v>
      </c>
      <c r="S268" s="50">
        <f>IFERROR(INDEX(VaultRank[Rank],MATCH(Table1[[#This Row],[Employer]],VaultRank[EIW Name],0)),"")</f>
        <v>54</v>
      </c>
      <c r="T268" s="50" t="str">
        <f t="array" ref="T268">IFERROR(INDEX(Table2[Summers Matched],MATCH(1,(Table1[[#This Row],[Employer]]=Table2[EIW Name])*(Table1[[#This Row],[City, State]]=Table2[Offices Matched]),0)),"")</f>
        <v>Yes</v>
      </c>
      <c r="U268" s="52" t="str">
        <f t="shared" si="4"/>
        <v/>
      </c>
      <c r="V268" s="60"/>
      <c r="W268" s="114">
        <v>42594</v>
      </c>
      <c r="X268"/>
    </row>
    <row r="269" spans="1:24" ht="14.1" customHeight="1">
      <c r="A269" s="45" t="s">
        <v>269</v>
      </c>
      <c r="B269" s="45"/>
      <c r="C269" s="45"/>
      <c r="D269" s="46" t="s">
        <v>226</v>
      </c>
      <c r="E269" s="62">
        <v>67</v>
      </c>
      <c r="F269" s="50"/>
      <c r="G269" s="50" t="str">
        <f t="array" ref="G269">IFERROR(INDEX(Table2[1st Year],MATCH(1,(Table1[[#This Row],[Employer]]=Table2[EIW Name])*(Table1[[#This Row],[City, State]]=Table2[Offices Matched]),0)),"")</f>
        <v/>
      </c>
      <c r="H269" s="50">
        <f>_xlfn.IFNA(INDEX(saCAGR[CAGR],MATCH(Table1[[#This Row],[Employer]],saCAGR[EIW Name],0)),"")</f>
        <v>1.0258607522989689</v>
      </c>
      <c r="I269" s="50">
        <f>IFERROR(Table1[[#This Row],[SA CAGR]]*Table1[[#This Row],[Number of Summer 2016 2L SAs]],"")</f>
        <v>0</v>
      </c>
      <c r="J269" s="50">
        <v>25</v>
      </c>
      <c r="K269" s="51">
        <f>IFERROR(Table1[[#This Row],[Number of Summer 2016 NYU 2L SAs]]/Table1[[#This Row],[Interview Slots]],0)</f>
        <v>0.37313432835820898</v>
      </c>
      <c r="L269" s="51">
        <f>Table1[[#This Row],[Number of Summer 2016 2L SAs]]/Table1[[#This Row],[Interview Slots]]</f>
        <v>0</v>
      </c>
      <c r="M269" s="51">
        <f>IFERROR(Table1[[#This Row],[Number of Summer 2016 NYU 2L SAs]]/Table1[[#This Row],[Number of Summer 2016 2L SAs]],0)</f>
        <v>0</v>
      </c>
      <c r="N269" s="50" t="str">
        <f>IFERROR(RIGHT(Table1[[#This Row],[1st year]],LEN(Table1[[#This Row],[1st year]])-FIND(":",Table1[[#This Row],[1st year]])-1),"")</f>
        <v/>
      </c>
      <c r="O269" s="50" t="str">
        <f t="array" ref="O269">IFERROR(INDEX(Table2[Nth year],MATCH(1,(Table1[[#This Row],[Employer]]=Table2[EIW Name])*(Table1[[#This Row],[City, State]]=Table2[Offices Matched]),0)),"")</f>
        <v/>
      </c>
      <c r="P269" s="50" t="str">
        <f>IFERROR(RIGHT(Table1[[#This Row],[Nth year]],LEN(Table1[[#This Row],[Nth year]])-FIND(":",Table1[[#This Row],[Nth year]])-1),"")</f>
        <v/>
      </c>
      <c r="Q269" s="50" t="str">
        <f t="array" ref="Q269">IFERROR(INDEX(Table2[Am Law 200 PPP Rank ’16],MATCH(1,(Table1[[#This Row],[Employer]]=Table2[EIW Name])*(Table1[[#This Row],[City, State]]=Table2[Offices Matched]),0)),"")</f>
        <v/>
      </c>
      <c r="R269" s="50" t="str">
        <f>IFERROR(LEFT(Table1[[#This Row],[Am Law 200 PPP Rank ’16]],FIND(":",Table1[[#This Row],[Am Law 200 PPP Rank ’16]])-1),"")</f>
        <v/>
      </c>
      <c r="S269" s="50">
        <f>IFERROR(INDEX(VaultRank[Rank],MATCH(Table1[[#This Row],[Employer]],VaultRank[EIW Name],0)),"")</f>
        <v>39</v>
      </c>
      <c r="T269" s="50" t="str">
        <f t="array" ref="T269">IFERROR(INDEX(Table2[Summers Matched],MATCH(1,(Table1[[#This Row],[Employer]]=Table2[EIW Name])*(Table1[[#This Row],[City, State]]=Table2[Offices Matched]),0)),"")</f>
        <v/>
      </c>
      <c r="U269" s="52" t="str">
        <f t="shared" si="4"/>
        <v/>
      </c>
      <c r="V269" s="60"/>
      <c r="W269" s="114">
        <v>42593</v>
      </c>
      <c r="X269"/>
    </row>
    <row r="270" spans="1:24" ht="14.1" customHeight="1">
      <c r="A270" s="45" t="s">
        <v>265</v>
      </c>
      <c r="B270" s="45" t="s">
        <v>364</v>
      </c>
      <c r="C270" s="45" t="s">
        <v>362</v>
      </c>
      <c r="D270" s="45" t="str">
        <f>Table1[[#This Row],[City]]&amp;", "&amp;Table1[[#This Row],[State]]</f>
        <v>New York, NY</v>
      </c>
      <c r="E270" s="49">
        <v>95</v>
      </c>
      <c r="F270" s="50">
        <v>7</v>
      </c>
      <c r="G270" s="50" t="str">
        <f t="array" ref="G270">IFERROR(INDEX(Table2[1st Year],MATCH(1,(Table1[[#This Row],[Employer]]=Table2[EIW Name])*(Table1[[#This Row],[City, State]]=Table2[Offices Matched]),0)),"")</f>
        <v>1st Year: $180K</v>
      </c>
      <c r="H270" s="51">
        <f>_xlfn.IFNA(INDEX(saCAGR[CAGR],MATCH(Table1[[#This Row],[Employer]],saCAGR[EIW Name],0)),"")</f>
        <v>1.016056879994979</v>
      </c>
      <c r="I270" s="50">
        <f>IFERROR(Table1[[#This Row],[SA CAGR]]*Table1[[#This Row],[Number of Summer 2016 2L SAs]],"")</f>
        <v>7.1123981599648527</v>
      </c>
      <c r="J270" s="50">
        <v>24</v>
      </c>
      <c r="K270" s="51">
        <f>IFERROR(Table1[[#This Row],[Number of Summer 2016 NYU 2L SAs]]/Table1[[#This Row],[Interview Slots]],0)</f>
        <v>0.25263157894736843</v>
      </c>
      <c r="L270" s="51">
        <f>Table1[[#This Row],[Number of Summer 2016 2L SAs]]/Table1[[#This Row],[Interview Slots]]</f>
        <v>7.3684210526315783E-2</v>
      </c>
      <c r="M270" s="51">
        <f>IFERROR(Table1[[#This Row],[Number of Summer 2016 NYU 2L SAs]]/Table1[[#This Row],[Number of Summer 2016 2L SAs]],0)</f>
        <v>3.4285714285714284</v>
      </c>
      <c r="N270" s="50" t="str">
        <f>IFERROR(RIGHT(Table1[[#This Row],[1st year]],LEN(Table1[[#This Row],[1st year]])-FIND(":",Table1[[#This Row],[1st year]])-1),"")</f>
        <v>$180K</v>
      </c>
      <c r="O270" s="50" t="str">
        <f t="array" ref="O270">IFERROR(INDEX(Table2[Nth year],MATCH(1,(Table1[[#This Row],[Employer]]=Table2[EIW Name])*(Table1[[#This Row],[City, State]]=Table2[Offices Matched]),0)),"")</f>
        <v>Others: TBD</v>
      </c>
      <c r="P270" s="50" t="str">
        <f>IFERROR(RIGHT(Table1[[#This Row],[Nth year]],LEN(Table1[[#This Row],[Nth year]])-FIND(":",Table1[[#This Row],[Nth year]])-1),"")</f>
        <v>TBD</v>
      </c>
      <c r="Q270" s="50" t="str">
        <f t="array" ref="Q270">IFERROR(INDEX(Table2[Am Law 200 PPP Rank ’16],MATCH(1,(Table1[[#This Row],[Employer]]=Table2[EIW Name])*(Table1[[#This Row],[City, State]]=Table2[Offices Matched]),0)),"")</f>
        <v>48: $1.75M</v>
      </c>
      <c r="R270" s="50" t="str">
        <f>IFERROR(LEFT(Table1[[#This Row],[Am Law 200 PPP Rank ’16]],FIND(":",Table1[[#This Row],[Am Law 200 PPP Rank ’16]])-1),"")</f>
        <v>48</v>
      </c>
      <c r="S270" s="50">
        <f>IFERROR(INDEX(VaultRank[Rank],MATCH(Table1[[#This Row],[Employer]],VaultRank[EIW Name],0)),"")</f>
        <v>55</v>
      </c>
      <c r="T270" s="50" t="str">
        <f t="array" ref="T270">IFERROR(INDEX(Table2[Summers Matched],MATCH(1,(Table1[[#This Row],[Employer]]=Table2[EIW Name])*(Table1[[#This Row],[City, State]]=Table2[Offices Matched]),0)),"")</f>
        <v>Yes</v>
      </c>
      <c r="U270" s="52" t="str">
        <f t="shared" si="4"/>
        <v/>
      </c>
      <c r="V270" s="60"/>
      <c r="W270" s="114">
        <v>42592</v>
      </c>
      <c r="X270"/>
    </row>
    <row r="271" spans="1:24" ht="14.1" customHeight="1">
      <c r="A271" s="45" t="s">
        <v>351</v>
      </c>
      <c r="B271" s="45" t="s">
        <v>303</v>
      </c>
      <c r="C271" s="45" t="s">
        <v>304</v>
      </c>
      <c r="D271" s="45" t="str">
        <f>Table1[[#This Row],[City]]&amp;", "&amp;Table1[[#This Row],[State]]</f>
        <v>Chicago, IL</v>
      </c>
      <c r="E271" s="49">
        <v>69</v>
      </c>
      <c r="F271" s="50">
        <v>3</v>
      </c>
      <c r="G271" s="50" t="str">
        <f t="array" ref="G271">IFERROR(INDEX(Table2[1st Year],MATCH(1,(Table1[[#This Row],[Employer]]=Table2[EIW Name])*(Table1[[#This Row],[City, State]]=Table2[Offices Matched]),0)),"")</f>
        <v/>
      </c>
      <c r="H271" s="50">
        <f>_xlfn.IFNA(INDEX(saCAGR[CAGR],MATCH(Table1[[#This Row],[Employer]],saCAGR[EIW Name],0)),"")</f>
        <v>1.012315227192385</v>
      </c>
      <c r="I271" s="50">
        <f>IFERROR(Table1[[#This Row],[SA CAGR]]*Table1[[#This Row],[Number of Summer 2016 2L SAs]],"")</f>
        <v>3.0369456815771549</v>
      </c>
      <c r="J271" s="50">
        <v>11</v>
      </c>
      <c r="K271" s="51">
        <f>IFERROR(Table1[[#This Row],[Number of Summer 2016 NYU 2L SAs]]/Table1[[#This Row],[Interview Slots]],0)</f>
        <v>0.15942028985507245</v>
      </c>
      <c r="L271" s="51">
        <f>Table1[[#This Row],[Number of Summer 2016 2L SAs]]/Table1[[#This Row],[Interview Slots]]</f>
        <v>4.3478260869565216E-2</v>
      </c>
      <c r="M271" s="51">
        <f>IFERROR(Table1[[#This Row],[Number of Summer 2016 NYU 2L SAs]]/Table1[[#This Row],[Number of Summer 2016 2L SAs]],0)</f>
        <v>3.6666666666666665</v>
      </c>
      <c r="N271" s="50" t="str">
        <f>IFERROR(RIGHT(Table1[[#This Row],[1st year]],LEN(Table1[[#This Row],[1st year]])-FIND(":",Table1[[#This Row],[1st year]])-1),"")</f>
        <v/>
      </c>
      <c r="O271" s="50" t="str">
        <f t="array" ref="O271">IFERROR(INDEX(Table2[Nth year],MATCH(1,(Table1[[#This Row],[Employer]]=Table2[EIW Name])*(Table1[[#This Row],[City, State]]=Table2[Offices Matched]),0)),"")</f>
        <v/>
      </c>
      <c r="P271" s="50" t="str">
        <f>IFERROR(RIGHT(Table1[[#This Row],[Nth year]],LEN(Table1[[#This Row],[Nth year]])-FIND(":",Table1[[#This Row],[Nth year]])-1),"")</f>
        <v/>
      </c>
      <c r="Q271" s="50" t="str">
        <f t="array" ref="Q271">IFERROR(INDEX(Table2[Am Law 200 PPP Rank ’16],MATCH(1,(Table1[[#This Row],[Employer]]=Table2[EIW Name])*(Table1[[#This Row],[City, State]]=Table2[Offices Matched]),0)),"")</f>
        <v/>
      </c>
      <c r="R271" s="50" t="str">
        <f>IFERROR(LEFT(Table1[[#This Row],[Am Law 200 PPP Rank ’16]],FIND(":",Table1[[#This Row],[Am Law 200 PPP Rank ’16]])-1),"")</f>
        <v/>
      </c>
      <c r="S271" s="50">
        <f>IFERROR(INDEX(VaultRank[Rank],MATCH(Table1[[#This Row],[Employer]],VaultRank[EIW Name],0)),"")</f>
        <v>56</v>
      </c>
      <c r="T271" s="50" t="str">
        <f t="array" ref="T271">IFERROR(INDEX(Table2[Summers Matched],MATCH(1,(Table1[[#This Row],[Employer]]=Table2[EIW Name])*(Table1[[#This Row],[City, State]]=Table2[Offices Matched]),0)),"")</f>
        <v/>
      </c>
      <c r="U271" s="52" t="str">
        <f t="shared" si="4"/>
        <v/>
      </c>
      <c r="V271" s="60"/>
      <c r="W271" s="114">
        <v>42592</v>
      </c>
      <c r="X271"/>
    </row>
    <row r="272" spans="1:24" ht="14.1" customHeight="1">
      <c r="A272" s="45" t="s">
        <v>508</v>
      </c>
      <c r="B272" s="45"/>
      <c r="C272" s="45"/>
      <c r="D272" s="46" t="s">
        <v>608</v>
      </c>
      <c r="E272" s="62">
        <v>176</v>
      </c>
      <c r="F272" s="50"/>
      <c r="G272" s="50" t="str">
        <f t="array" ref="G272">IFERROR(INDEX(Table2[1st Year],MATCH(1,(Table1[[#This Row],[Employer]]=Table2[EIW Name])*(Table1[[#This Row],[City, State]]=Table2[Offices Matched]),0)),"")</f>
        <v/>
      </c>
      <c r="H272" s="50">
        <f>_xlfn.IFNA(INDEX(saCAGR[CAGR],MATCH(Table1[[#This Row],[Employer]],saCAGR[EIW Name],0)),"")</f>
        <v>1.0197506397513165</v>
      </c>
      <c r="I272" s="50">
        <f>IFERROR(Table1[[#This Row],[SA CAGR]]*Table1[[#This Row],[Number of Summer 2016 2L SAs]],"")</f>
        <v>0</v>
      </c>
      <c r="J272" s="50">
        <v>21</v>
      </c>
      <c r="K272" s="51">
        <f>IFERROR(Table1[[#This Row],[Number of Summer 2016 NYU 2L SAs]]/Table1[[#This Row],[Interview Slots]],0)</f>
        <v>0.11931818181818182</v>
      </c>
      <c r="L272" s="51">
        <f>Table1[[#This Row],[Number of Summer 2016 2L SAs]]/Table1[[#This Row],[Interview Slots]]</f>
        <v>0</v>
      </c>
      <c r="M272" s="51">
        <f>IFERROR(Table1[[#This Row],[Number of Summer 2016 NYU 2L SAs]]/Table1[[#This Row],[Number of Summer 2016 2L SAs]],0)</f>
        <v>0</v>
      </c>
      <c r="N272" s="50" t="str">
        <f>IFERROR(RIGHT(Table1[[#This Row],[1st year]],LEN(Table1[[#This Row],[1st year]])-FIND(":",Table1[[#This Row],[1st year]])-1),"")</f>
        <v/>
      </c>
      <c r="O272" s="50" t="str">
        <f t="array" ref="O272">IFERROR(INDEX(Table2[Nth year],MATCH(1,(Table1[[#This Row],[Employer]]=Table2[EIW Name])*(Table1[[#This Row],[City, State]]=Table2[Offices Matched]),0)),"")</f>
        <v/>
      </c>
      <c r="P272" s="50" t="str">
        <f>IFERROR(RIGHT(Table1[[#This Row],[Nth year]],LEN(Table1[[#This Row],[Nth year]])-FIND(":",Table1[[#This Row],[Nth year]])-1),"")</f>
        <v/>
      </c>
      <c r="Q272" s="50" t="str">
        <f t="array" ref="Q272">IFERROR(INDEX(Table2[Am Law 200 PPP Rank ’16],MATCH(1,(Table1[[#This Row],[Employer]]=Table2[EIW Name])*(Table1[[#This Row],[City, State]]=Table2[Offices Matched]),0)),"")</f>
        <v/>
      </c>
      <c r="R272" s="50" t="str">
        <f>IFERROR(LEFT(Table1[[#This Row],[Am Law 200 PPP Rank ’16]],FIND(":",Table1[[#This Row],[Am Law 200 PPP Rank ’16]])-1),"")</f>
        <v/>
      </c>
      <c r="S272" s="50">
        <f>IFERROR(INDEX(VaultRank[Rank],MATCH(Table1[[#This Row],[Employer]],VaultRank[EIW Name],0)),"")</f>
        <v>6</v>
      </c>
      <c r="T272" s="50" t="str">
        <f t="array" ref="T272">IFERROR(INDEX(Table2[Summers Matched],MATCH(1,(Table1[[#This Row],[Employer]]=Table2[EIW Name])*(Table1[[#This Row],[City, State]]=Table2[Offices Matched]),0)),"")</f>
        <v/>
      </c>
      <c r="U272" s="52">
        <f t="shared" si="4"/>
        <v>3.4</v>
      </c>
      <c r="V272" s="60"/>
      <c r="W272" s="114">
        <v>42594</v>
      </c>
      <c r="X272"/>
    </row>
    <row r="273" spans="1:24" ht="14.1" customHeight="1">
      <c r="A273" s="45" t="s">
        <v>465</v>
      </c>
      <c r="B273" s="45" t="s">
        <v>364</v>
      </c>
      <c r="C273" s="45" t="s">
        <v>362</v>
      </c>
      <c r="D273" s="45" t="str">
        <f>Table1[[#This Row],[City]]&amp;", "&amp;Table1[[#This Row],[State]]</f>
        <v>New York, NY</v>
      </c>
      <c r="E273" s="49">
        <v>147</v>
      </c>
      <c r="F273" s="50">
        <v>10</v>
      </c>
      <c r="G273" s="50" t="str">
        <f t="array" ref="G273">IFERROR(INDEX(Table2[1st Year],MATCH(1,(Table1[[#This Row],[Employer]]=Table2[EIW Name])*(Table1[[#This Row],[City, State]]=Table2[Offices Matched]),0)),"")</f>
        <v>1st Year: $180K</v>
      </c>
      <c r="H273" s="51" t="str">
        <f>_xlfn.IFNA(INDEX(saCAGR[CAGR],MATCH(Table1[[#This Row],[Employer]],saCAGR[EIW Name],0)),"")</f>
        <v/>
      </c>
      <c r="I273" s="50" t="str">
        <f>IFERROR(Table1[[#This Row],[SA CAGR]]*Table1[[#This Row],[Number of Summer 2016 2L SAs]],"")</f>
        <v/>
      </c>
      <c r="J273" s="50">
        <v>1</v>
      </c>
      <c r="K273" s="51">
        <f>IFERROR(Table1[[#This Row],[Number of Summer 2016 NYU 2L SAs]]/Table1[[#This Row],[Interview Slots]],0)</f>
        <v>6.8027210884353739E-3</v>
      </c>
      <c r="L273" s="51">
        <f>Table1[[#This Row],[Number of Summer 2016 2L SAs]]/Table1[[#This Row],[Interview Slots]]</f>
        <v>6.8027210884353748E-2</v>
      </c>
      <c r="M273" s="51">
        <f>IFERROR(Table1[[#This Row],[Number of Summer 2016 NYU 2L SAs]]/Table1[[#This Row],[Number of Summer 2016 2L SAs]],0)</f>
        <v>0.1</v>
      </c>
      <c r="N273" s="50" t="str">
        <f>IFERROR(RIGHT(Table1[[#This Row],[1st year]],LEN(Table1[[#This Row],[1st year]])-FIND(":",Table1[[#This Row],[1st year]])-1),"")</f>
        <v>$180K</v>
      </c>
      <c r="O273" s="50" t="str">
        <f t="array" ref="O273">IFERROR(INDEX(Table2[Nth year],MATCH(1,(Table1[[#This Row],[Employer]]=Table2[EIW Name])*(Table1[[#This Row],[City, State]]=Table2[Offices Matched]),0)),"")</f>
        <v>7th Year: $300K</v>
      </c>
      <c r="P273" s="50" t="str">
        <f>IFERROR(RIGHT(Table1[[#This Row],[Nth year]],LEN(Table1[[#This Row],[Nth year]])-FIND(":",Table1[[#This Row],[Nth year]])-1),"")</f>
        <v>$300K</v>
      </c>
      <c r="Q273" s="50" t="str">
        <f t="array" ref="Q273">IFERROR(INDEX(Table2[Am Law 200 PPP Rank ’16],MATCH(1,(Table1[[#This Row],[Employer]]=Table2[EIW Name])*(Table1[[#This Row],[City, State]]=Table2[Offices Matched]),0)),"")</f>
        <v>53: $1.58M</v>
      </c>
      <c r="R273" s="50" t="str">
        <f>IFERROR(LEFT(Table1[[#This Row],[Am Law 200 PPP Rank ’16]],FIND(":",Table1[[#This Row],[Am Law 200 PPP Rank ’16]])-1),"")</f>
        <v>53</v>
      </c>
      <c r="S273" s="50">
        <f>IFERROR(INDEX(VaultRank[Rank],MATCH(Table1[[#This Row],[Employer]],VaultRank[EIW Name],0)),"")</f>
        <v>59</v>
      </c>
      <c r="T273" s="50" t="str">
        <f t="array" ref="T273">IFERROR(INDEX(Table2[Summers Matched],MATCH(1,(Table1[[#This Row],[Employer]]=Table2[EIW Name])*(Table1[[#This Row],[City, State]]=Table2[Offices Matched]),0)),"")</f>
        <v>Yes</v>
      </c>
      <c r="U273" s="52" t="str">
        <f t="shared" si="4"/>
        <v/>
      </c>
      <c r="V273" s="60"/>
      <c r="W273" s="114">
        <v>42592</v>
      </c>
      <c r="X273"/>
    </row>
    <row r="274" spans="1:24" ht="14.1" customHeight="1">
      <c r="A274" s="45" t="s">
        <v>445</v>
      </c>
      <c r="B274" s="45" t="s">
        <v>308</v>
      </c>
      <c r="C274" s="45" t="s">
        <v>309</v>
      </c>
      <c r="D274" s="45" t="str">
        <f>Table1[[#This Row],[City]]&amp;", "&amp;Table1[[#This Row],[State]]</f>
        <v>Atlanta, GA</v>
      </c>
      <c r="E274" s="49">
        <v>158</v>
      </c>
      <c r="F274" s="50">
        <v>9</v>
      </c>
      <c r="G274" s="50" t="str">
        <f t="array" ref="G274">IFERROR(INDEX(Table2[1st Year],MATCH(1,(Table1[[#This Row],[Employer]]=Table2[EIW Name])*(Table1[[#This Row],[City, State]]=Table2[Offices Matched]),0)),"")</f>
        <v/>
      </c>
      <c r="H274" s="50" t="str">
        <f>_xlfn.IFNA(INDEX(saCAGR[CAGR],MATCH(Table1[[#This Row],[Employer]],saCAGR[EIW Name],0)),"")</f>
        <v/>
      </c>
      <c r="I274" s="50" t="str">
        <f>IFERROR(Table1[[#This Row],[SA CAGR]]*Table1[[#This Row],[Number of Summer 2016 2L SAs]],"")</f>
        <v/>
      </c>
      <c r="J274" s="50">
        <v>8</v>
      </c>
      <c r="K274" s="51">
        <f>IFERROR(Table1[[#This Row],[Number of Summer 2016 NYU 2L SAs]]/Table1[[#This Row],[Interview Slots]],0)</f>
        <v>5.0632911392405063E-2</v>
      </c>
      <c r="L274" s="51">
        <f>Table1[[#This Row],[Number of Summer 2016 2L SAs]]/Table1[[#This Row],[Interview Slots]]</f>
        <v>5.6962025316455694E-2</v>
      </c>
      <c r="M274" s="51">
        <f>IFERROR(Table1[[#This Row],[Number of Summer 2016 NYU 2L SAs]]/Table1[[#This Row],[Number of Summer 2016 2L SAs]],0)</f>
        <v>0.88888888888888884</v>
      </c>
      <c r="N274" s="50" t="str">
        <f>IFERROR(RIGHT(Table1[[#This Row],[1st year]],LEN(Table1[[#This Row],[1st year]])-FIND(":",Table1[[#This Row],[1st year]])-1),"")</f>
        <v/>
      </c>
      <c r="O274" s="50" t="str">
        <f t="array" ref="O274">IFERROR(INDEX(Table2[Nth year],MATCH(1,(Table1[[#This Row],[Employer]]=Table2[EIW Name])*(Table1[[#This Row],[City, State]]=Table2[Offices Matched]),0)),"")</f>
        <v/>
      </c>
      <c r="P274" s="50" t="str">
        <f>IFERROR(RIGHT(Table1[[#This Row],[Nth year]],LEN(Table1[[#This Row],[Nth year]])-FIND(":",Table1[[#This Row],[Nth year]])-1),"")</f>
        <v/>
      </c>
      <c r="Q274" s="50" t="str">
        <f t="array" ref="Q274">IFERROR(INDEX(Table2[Am Law 200 PPP Rank ’16],MATCH(1,(Table1[[#This Row],[Employer]]=Table2[EIW Name])*(Table1[[#This Row],[City, State]]=Table2[Offices Matched]),0)),"")</f>
        <v/>
      </c>
      <c r="R274" s="50" t="str">
        <f>IFERROR(LEFT(Table1[[#This Row],[Am Law 200 PPP Rank ’16]],FIND(":",Table1[[#This Row],[Am Law 200 PPP Rank ’16]])-1),"")</f>
        <v/>
      </c>
      <c r="S274" s="50" t="str">
        <f>IFERROR(INDEX(VaultRank[Rank],MATCH(Table1[[#This Row],[Employer]],VaultRank[EIW Name],0)),"")</f>
        <v/>
      </c>
      <c r="T274" s="50" t="str">
        <f t="array" ref="T274">IFERROR(INDEX(Table2[Summers Matched],MATCH(1,(Table1[[#This Row],[Employer]]=Table2[EIW Name])*(Table1[[#This Row],[City, State]]=Table2[Offices Matched]),0)),"")</f>
        <v/>
      </c>
      <c r="U274" s="52" t="str">
        <f t="shared" si="4"/>
        <v/>
      </c>
      <c r="V274" s="60"/>
      <c r="W274" s="114">
        <v>42593</v>
      </c>
      <c r="X274"/>
    </row>
    <row r="275" spans="1:24" ht="14.1" customHeight="1">
      <c r="A275" s="45" t="s">
        <v>121</v>
      </c>
      <c r="B275" s="45" t="s">
        <v>364</v>
      </c>
      <c r="C275" s="45" t="s">
        <v>362</v>
      </c>
      <c r="D275" s="45" t="str">
        <f>Table1[[#This Row],[City]]&amp;", "&amp;Table1[[#This Row],[State]]</f>
        <v>New York, NY</v>
      </c>
      <c r="E275" s="49">
        <v>125</v>
      </c>
      <c r="F275" s="50">
        <v>3</v>
      </c>
      <c r="G275" s="50" t="str">
        <f t="array" ref="G275">IFERROR(INDEX(Table2[1st Year],MATCH(1,(Table1[[#This Row],[Employer]]=Table2[EIW Name])*(Table1[[#This Row],[City, State]]=Table2[Offices Matched]),0)),"")</f>
        <v>1st Year: $190K</v>
      </c>
      <c r="H275" s="50" t="str">
        <f>_xlfn.IFNA(INDEX(saCAGR[CAGR],MATCH(Table1[[#This Row],[Employer]],saCAGR[EIW Name],0)),"")</f>
        <v/>
      </c>
      <c r="I275" s="50" t="str">
        <f>IFERROR(Table1[[#This Row],[SA CAGR]]*Table1[[#This Row],[Number of Summer 2016 2L SAs]],"")</f>
        <v/>
      </c>
      <c r="J275" s="50">
        <v>19</v>
      </c>
      <c r="K275" s="51">
        <f>IFERROR(Table1[[#This Row],[Number of Summer 2016 NYU 2L SAs]]/Table1[[#This Row],[Interview Slots]],0)</f>
        <v>0.152</v>
      </c>
      <c r="L275" s="51">
        <f>Table1[[#This Row],[Number of Summer 2016 2L SAs]]/Table1[[#This Row],[Interview Slots]]</f>
        <v>2.4E-2</v>
      </c>
      <c r="M275" s="51">
        <f>IFERROR(Table1[[#This Row],[Number of Summer 2016 NYU 2L SAs]]/Table1[[#This Row],[Number of Summer 2016 2L SAs]],0)</f>
        <v>6.333333333333333</v>
      </c>
      <c r="N275" s="50" t="str">
        <f>IFERROR(RIGHT(Table1[[#This Row],[1st year]],LEN(Table1[[#This Row],[1st year]])-FIND(":",Table1[[#This Row],[1st year]])-1),"")</f>
        <v>$190K</v>
      </c>
      <c r="O275" s="50" t="str">
        <f t="array" ref="O275">IFERROR(INDEX(Table2[Nth year],MATCH(1,(Table1[[#This Row],[Employer]]=Table2[EIW Name])*(Table1[[#This Row],[City, State]]=Table2[Offices Matched]),0)),"")</f>
        <v>6th Year: $300K</v>
      </c>
      <c r="P275" s="50" t="str">
        <f>IFERROR(RIGHT(Table1[[#This Row],[Nth year]],LEN(Table1[[#This Row],[Nth year]])-FIND(":",Table1[[#This Row],[Nth year]])-1),"")</f>
        <v>$300K</v>
      </c>
      <c r="Q275" s="50" t="str">
        <f t="array" ref="Q275">IFERROR(INDEX(Table2[Am Law 200 PPP Rank ’16],MATCH(1,(Table1[[#This Row],[Employer]]=Table2[EIW Name])*(Table1[[#This Row],[City, State]]=Table2[Offices Matched]),0)),"")</f>
        <v>N/A</v>
      </c>
      <c r="R275" s="50" t="str">
        <f>IFERROR(LEFT(Table1[[#This Row],[Am Law 200 PPP Rank ’16]],FIND(":",Table1[[#This Row],[Am Law 200 PPP Rank ’16]])-1),"")</f>
        <v/>
      </c>
      <c r="S275" s="50">
        <f>IFERROR(INDEX(VaultRank[Rank],MATCH(Table1[[#This Row],[Employer]],VaultRank[EIW Name],0)),"")</f>
        <v>60</v>
      </c>
      <c r="T275" s="50" t="str">
        <f t="array" ref="T275">IFERROR(INDEX(Table2[Summers Matched],MATCH(1,(Table1[[#This Row],[Employer]]=Table2[EIW Name])*(Table1[[#This Row],[City, State]]=Table2[Offices Matched]),0)),"")</f>
        <v>TBD</v>
      </c>
      <c r="U275" s="52" t="str">
        <f t="shared" si="4"/>
        <v/>
      </c>
      <c r="V275" s="60"/>
      <c r="W275" s="114">
        <v>42594</v>
      </c>
      <c r="X275"/>
    </row>
    <row r="276" spans="1:24" ht="14.1" customHeight="1">
      <c r="A276" s="45" t="s">
        <v>494</v>
      </c>
      <c r="B276" s="45" t="s">
        <v>364</v>
      </c>
      <c r="C276" s="45" t="s">
        <v>362</v>
      </c>
      <c r="D276" s="45" t="str">
        <f>Table1[[#This Row],[City]]&amp;", "&amp;Table1[[#This Row],[State]]</f>
        <v>New York, NY</v>
      </c>
      <c r="E276" s="49">
        <v>191</v>
      </c>
      <c r="F276" s="50">
        <v>13</v>
      </c>
      <c r="G276" s="50" t="str">
        <f t="array" ref="G276">IFERROR(INDEX(Table2[1st Year],MATCH(1,(Table1[[#This Row],[Employer]]=Table2[EIW Name])*(Table1[[#This Row],[City, State]]=Table2[Offices Matched]),0)),"")</f>
        <v/>
      </c>
      <c r="H276" s="51">
        <f>_xlfn.IFNA(INDEX(saCAGR[CAGR],MATCH(Table1[[#This Row],[Employer]],saCAGR[EIW Name],0)),"")</f>
        <v>1.0276696143700124</v>
      </c>
      <c r="I276" s="50">
        <f>IFERROR(Table1[[#This Row],[SA CAGR]]*Table1[[#This Row],[Number of Summer 2016 2L SAs]],"")</f>
        <v>13.359704986810161</v>
      </c>
      <c r="J276" s="50">
        <v>23</v>
      </c>
      <c r="K276" s="51">
        <f>IFERROR(Table1[[#This Row],[Number of Summer 2016 NYU 2L SAs]]/Table1[[#This Row],[Interview Slots]],0)</f>
        <v>0.12041884816753927</v>
      </c>
      <c r="L276" s="51">
        <f>Table1[[#This Row],[Number of Summer 2016 2L SAs]]/Table1[[#This Row],[Interview Slots]]</f>
        <v>6.8062827225130892E-2</v>
      </c>
      <c r="M276" s="51">
        <f>IFERROR(Table1[[#This Row],[Number of Summer 2016 NYU 2L SAs]]/Table1[[#This Row],[Number of Summer 2016 2L SAs]],0)</f>
        <v>1.7692307692307692</v>
      </c>
      <c r="N276" s="50" t="str">
        <f>IFERROR(RIGHT(Table1[[#This Row],[1st year]],LEN(Table1[[#This Row],[1st year]])-FIND(":",Table1[[#This Row],[1st year]])-1),"")</f>
        <v/>
      </c>
      <c r="O276" s="50" t="str">
        <f t="array" ref="O276">IFERROR(INDEX(Table2[Nth year],MATCH(1,(Table1[[#This Row],[Employer]]=Table2[EIW Name])*(Table1[[#This Row],[City, State]]=Table2[Offices Matched]),0)),"")</f>
        <v/>
      </c>
      <c r="P276" s="50" t="str">
        <f>IFERROR(RIGHT(Table1[[#This Row],[Nth year]],LEN(Table1[[#This Row],[Nth year]])-FIND(":",Table1[[#This Row],[Nth year]])-1),"")</f>
        <v/>
      </c>
      <c r="Q276" s="50" t="str">
        <f t="array" ref="Q276">IFERROR(INDEX(Table2[Am Law 200 PPP Rank ’16],MATCH(1,(Table1[[#This Row],[Employer]]=Table2[EIW Name])*(Table1[[#This Row],[City, State]]=Table2[Offices Matched]),0)),"")</f>
        <v/>
      </c>
      <c r="R276" s="50" t="str">
        <f>IFERROR(LEFT(Table1[[#This Row],[Am Law 200 PPP Rank ’16]],FIND(":",Table1[[#This Row],[Am Law 200 PPP Rank ’16]])-1),"")</f>
        <v/>
      </c>
      <c r="S276" s="50">
        <f>IFERROR(INDEX(VaultRank[Rank],MATCH(Table1[[#This Row],[Employer]],VaultRank[EIW Name],0)),"")</f>
        <v>61</v>
      </c>
      <c r="T276" s="50" t="str">
        <f t="array" ref="T276">IFERROR(INDEX(Table2[Summers Matched],MATCH(1,(Table1[[#This Row],[Employer]]=Table2[EIW Name])*(Table1[[#This Row],[City, State]]=Table2[Offices Matched]),0)),"")</f>
        <v/>
      </c>
      <c r="U276" s="52">
        <f t="shared" si="4"/>
        <v>3.6</v>
      </c>
      <c r="V276" s="60"/>
      <c r="W276" s="114">
        <v>42593</v>
      </c>
      <c r="X276"/>
    </row>
    <row r="277" spans="1:24" ht="14.1" customHeight="1">
      <c r="A277" s="45" t="s">
        <v>255</v>
      </c>
      <c r="B277" s="45" t="s">
        <v>331</v>
      </c>
      <c r="C277" s="45" t="s">
        <v>314</v>
      </c>
      <c r="D277" s="45" t="str">
        <f>Table1[[#This Row],[City]]&amp;", "&amp;Table1[[#This Row],[State]]</f>
        <v>Houston, TX</v>
      </c>
      <c r="E277" s="49">
        <v>24</v>
      </c>
      <c r="F277" s="50">
        <v>5</v>
      </c>
      <c r="G277" s="50" t="str">
        <f t="array" ref="G277">IFERROR(INDEX(Table2[1st Year],MATCH(1,(Table1[[#This Row],[Employer]]=Table2[EIW Name])*(Table1[[#This Row],[City, State]]=Table2[Offices Matched]),0)),"")</f>
        <v>1st Year: $180K</v>
      </c>
      <c r="H277" s="50">
        <f>_xlfn.IFNA(INDEX(saCAGR[CAGR],MATCH(Table1[[#This Row],[Employer]],saCAGR[EIW Name],0)),"")</f>
        <v>1.0265177803595402</v>
      </c>
      <c r="I277" s="50">
        <f>IFERROR(Table1[[#This Row],[SA CAGR]]*Table1[[#This Row],[Number of Summer 2016 2L SAs]],"")</f>
        <v>5.1325889017977016</v>
      </c>
      <c r="J277" s="50">
        <v>8</v>
      </c>
      <c r="K277" s="51">
        <f>IFERROR(Table1[[#This Row],[Number of Summer 2016 NYU 2L SAs]]/Table1[[#This Row],[Interview Slots]],0)</f>
        <v>0.33333333333333331</v>
      </c>
      <c r="L277" s="51">
        <f>Table1[[#This Row],[Number of Summer 2016 2L SAs]]/Table1[[#This Row],[Interview Slots]]</f>
        <v>0.20833333333333334</v>
      </c>
      <c r="M277" s="51">
        <f>IFERROR(Table1[[#This Row],[Number of Summer 2016 NYU 2L SAs]]/Table1[[#This Row],[Number of Summer 2016 2L SAs]],0)</f>
        <v>1.6</v>
      </c>
      <c r="N277" s="50" t="str">
        <f>IFERROR(RIGHT(Table1[[#This Row],[1st year]],LEN(Table1[[#This Row],[1st year]])-FIND(":",Table1[[#This Row],[1st year]])-1),"")</f>
        <v>$180K</v>
      </c>
      <c r="O277" s="50" t="str">
        <f t="array" ref="O277">IFERROR(INDEX(Table2[Nth year],MATCH(1,(Table1[[#This Row],[Employer]]=Table2[EIW Name])*(Table1[[#This Row],[City, State]]=Table2[Offices Matched]),0)),"")</f>
        <v>8th Year: $315K</v>
      </c>
      <c r="P277" s="50" t="str">
        <f>IFERROR(RIGHT(Table1[[#This Row],[Nth year]],LEN(Table1[[#This Row],[Nth year]])-FIND(":",Table1[[#This Row],[Nth year]])-1),"")</f>
        <v>$315K</v>
      </c>
      <c r="Q277" s="50" t="str">
        <f t="array" ref="Q277">IFERROR(INDEX(Table2[Am Law 200 PPP Rank ’16],MATCH(1,(Table1[[#This Row],[Employer]]=Table2[EIW Name])*(Table1[[#This Row],[City, State]]=Table2[Offices Matched]),0)),"")</f>
        <v>21: $2.52M</v>
      </c>
      <c r="R277" s="50" t="str">
        <f>IFERROR(LEFT(Table1[[#This Row],[Am Law 200 PPP Rank ’16]],FIND(":",Table1[[#This Row],[Am Law 200 PPP Rank ’16]])-1),"")</f>
        <v>21</v>
      </c>
      <c r="S277" s="50">
        <f>IFERROR(INDEX(VaultRank[Rank],MATCH(Table1[[#This Row],[Employer]],VaultRank[EIW Name],0)),"")</f>
        <v>49</v>
      </c>
      <c r="T277" s="50" t="str">
        <f t="array" ref="T277">IFERROR(INDEX(Table2[Summers Matched],MATCH(1,(Table1[[#This Row],[Employer]]=Table2[EIW Name])*(Table1[[#This Row],[City, State]]=Table2[Offices Matched]),0)),"")</f>
        <v>Yes</v>
      </c>
      <c r="U277" s="52" t="str">
        <f t="shared" si="4"/>
        <v/>
      </c>
      <c r="V277" s="60"/>
      <c r="W277" s="114">
        <v>42592</v>
      </c>
      <c r="X277"/>
    </row>
    <row r="278" spans="1:24" ht="14.1" customHeight="1">
      <c r="A278" s="45" t="s">
        <v>86</v>
      </c>
      <c r="B278" s="45" t="s">
        <v>364</v>
      </c>
      <c r="C278" s="45" t="s">
        <v>362</v>
      </c>
      <c r="D278" s="45" t="str">
        <f>Table1[[#This Row],[City]]&amp;", "&amp;Table1[[#This Row],[State]]</f>
        <v>New York, NY</v>
      </c>
      <c r="E278" s="49">
        <v>185</v>
      </c>
      <c r="F278" s="50">
        <v>6</v>
      </c>
      <c r="G278" s="50" t="str">
        <f t="array" ref="G278">IFERROR(INDEX(Table2[1st Year],MATCH(1,(Table1[[#This Row],[Employer]]=Table2[EIW Name])*(Table1[[#This Row],[City, State]]=Table2[Offices Matched]),0)),"")</f>
        <v>1st Year: $180K</v>
      </c>
      <c r="H278" s="51">
        <f>_xlfn.IFNA(INDEX(saCAGR[CAGR],MATCH(Table1[[#This Row],[Employer]],saCAGR[EIW Name],0)),"")</f>
        <v>0.98930874523842427</v>
      </c>
      <c r="I278" s="50">
        <f>IFERROR(Table1[[#This Row],[SA CAGR]]*Table1[[#This Row],[Number of Summer 2016 2L SAs]],"")</f>
        <v>5.9358524714305458</v>
      </c>
      <c r="J278" s="50">
        <v>4</v>
      </c>
      <c r="K278" s="51">
        <f>IFERROR(Table1[[#This Row],[Number of Summer 2016 NYU 2L SAs]]/Table1[[#This Row],[Interview Slots]],0)</f>
        <v>2.1621621621621623E-2</v>
      </c>
      <c r="L278" s="51">
        <f>Table1[[#This Row],[Number of Summer 2016 2L SAs]]/Table1[[#This Row],[Interview Slots]]</f>
        <v>3.2432432432432434E-2</v>
      </c>
      <c r="M278" s="51">
        <f>IFERROR(Table1[[#This Row],[Number of Summer 2016 NYU 2L SAs]]/Table1[[#This Row],[Number of Summer 2016 2L SAs]],0)</f>
        <v>0.66666666666666663</v>
      </c>
      <c r="N278" s="50" t="str">
        <f>IFERROR(RIGHT(Table1[[#This Row],[1st year]],LEN(Table1[[#This Row],[1st year]])-FIND(":",Table1[[#This Row],[1st year]])-1),"")</f>
        <v>$180K</v>
      </c>
      <c r="O278" s="50" t="str">
        <f t="array" ref="O278">IFERROR(INDEX(Table2[Nth year],MATCH(1,(Table1[[#This Row],[Employer]]=Table2[EIW Name])*(Table1[[#This Row],[City, State]]=Table2[Offices Matched]),0)),"")</f>
        <v>8th Year: $315K</v>
      </c>
      <c r="P278" s="50" t="str">
        <f>IFERROR(RIGHT(Table1[[#This Row],[Nth year]],LEN(Table1[[#This Row],[Nth year]])-FIND(":",Table1[[#This Row],[Nth year]])-1),"")</f>
        <v>$315K</v>
      </c>
      <c r="Q278" s="50" t="str">
        <f t="array" ref="Q278">IFERROR(INDEX(Table2[Am Law 200 PPP Rank ’16],MATCH(1,(Table1[[#This Row],[Employer]]=Table2[EIW Name])*(Table1[[#This Row],[City, State]]=Table2[Offices Matched]),0)),"")</f>
        <v>36: $1.89M</v>
      </c>
      <c r="R278" s="50" t="str">
        <f>IFERROR(LEFT(Table1[[#This Row],[Am Law 200 PPP Rank ’16]],FIND(":",Table1[[#This Row],[Am Law 200 PPP Rank ’16]])-1),"")</f>
        <v>36</v>
      </c>
      <c r="S278" s="50">
        <f>IFERROR(INDEX(VaultRank[Rank],MATCH(Table1[[#This Row],[Employer]],VaultRank[EIW Name],0)),"")</f>
        <v>62</v>
      </c>
      <c r="T278" s="50" t="str">
        <f t="array" ref="T278">IFERROR(INDEX(Table2[Summers Matched],MATCH(1,(Table1[[#This Row],[Employer]]=Table2[EIW Name])*(Table1[[#This Row],[City, State]]=Table2[Offices Matched]),0)),"")</f>
        <v>Yes</v>
      </c>
      <c r="U278" s="52" t="str">
        <f t="shared" si="4"/>
        <v/>
      </c>
      <c r="V278" s="60"/>
      <c r="W278" s="114">
        <v>42595</v>
      </c>
      <c r="X278"/>
    </row>
    <row r="279" spans="1:24" ht="14.1" customHeight="1">
      <c r="A279" s="45" t="s">
        <v>63</v>
      </c>
      <c r="B279" s="45" t="s">
        <v>299</v>
      </c>
      <c r="C279" s="45" t="s">
        <v>300</v>
      </c>
      <c r="D279" s="45" t="str">
        <f>Table1[[#This Row],[City]]&amp;", "&amp;Table1[[#This Row],[State]]</f>
        <v>Los Angeles, CA</v>
      </c>
      <c r="E279" s="49">
        <v>3</v>
      </c>
      <c r="F279" s="50">
        <v>10</v>
      </c>
      <c r="G279" s="50" t="str">
        <f t="array" ref="G279">IFERROR(INDEX(Table2[1st Year],MATCH(1,(Table1[[#This Row],[Employer]]=Table2[EIW Name])*(Table1[[#This Row],[City, State]]=Table2[Offices Matched]),0)),"")</f>
        <v>1st Year: $180K</v>
      </c>
      <c r="H279" s="50">
        <f>_xlfn.IFNA(INDEX(saCAGR[CAGR],MATCH(Table1[[#This Row],[Employer]],saCAGR[EIW Name],0)),"")</f>
        <v>1.0246904523384679</v>
      </c>
      <c r="I279" s="50">
        <f>IFERROR(Table1[[#This Row],[SA CAGR]]*Table1[[#This Row],[Number of Summer 2016 2L SAs]],"")</f>
        <v>10.246904523384678</v>
      </c>
      <c r="J279" s="50">
        <v>5</v>
      </c>
      <c r="K279" s="51">
        <f>IFERROR(Table1[[#This Row],[Number of Summer 2016 NYU 2L SAs]]/Table1[[#This Row],[Interview Slots]],0)</f>
        <v>1.6666666666666667</v>
      </c>
      <c r="L279" s="51">
        <f>Table1[[#This Row],[Number of Summer 2016 2L SAs]]/Table1[[#This Row],[Interview Slots]]</f>
        <v>3.3333333333333335</v>
      </c>
      <c r="M279" s="51">
        <f>IFERROR(Table1[[#This Row],[Number of Summer 2016 NYU 2L SAs]]/Table1[[#This Row],[Number of Summer 2016 2L SAs]],0)</f>
        <v>0.5</v>
      </c>
      <c r="N279" s="50" t="str">
        <f>IFERROR(RIGHT(Table1[[#This Row],[1st year]],LEN(Table1[[#This Row],[1st year]])-FIND(":",Table1[[#This Row],[1st year]])-1),"")</f>
        <v>$180K</v>
      </c>
      <c r="O279" s="50" t="str">
        <f t="array" ref="O279">IFERROR(INDEX(Table2[Nth year],MATCH(1,(Table1[[#This Row],[Employer]]=Table2[EIW Name])*(Table1[[#This Row],[City, State]]=Table2[Offices Matched]),0)),"")</f>
        <v>6th Year: $280K</v>
      </c>
      <c r="P279" s="50" t="str">
        <f>IFERROR(RIGHT(Table1[[#This Row],[Nth year]],LEN(Table1[[#This Row],[Nth year]])-FIND(":",Table1[[#This Row],[Nth year]])-1),"")</f>
        <v>$280K</v>
      </c>
      <c r="Q279" s="50" t="str">
        <f t="array" ref="Q279">IFERROR(INDEX(Table2[Am Law 200 PPP Rank ’16],MATCH(1,(Table1[[#This Row],[Employer]]=Table2[EIW Name])*(Table1[[#This Row],[City, State]]=Table2[Offices Matched]),0)),"")</f>
        <v>5: $3.61M</v>
      </c>
      <c r="R279" s="50" t="str">
        <f>IFERROR(LEFT(Table1[[#This Row],[Am Law 200 PPP Rank ’16]],FIND(":",Table1[[#This Row],[Am Law 200 PPP Rank ’16]])-1),"")</f>
        <v>5</v>
      </c>
      <c r="S279" s="50">
        <f>IFERROR(INDEX(VaultRank[Rank],MATCH(Table1[[#This Row],[Employer]],VaultRank[EIW Name],0)),"")</f>
        <v>8</v>
      </c>
      <c r="T279" s="50" t="str">
        <f t="array" ref="T279">IFERROR(INDEX(Table2[Summers Matched],MATCH(1,(Table1[[#This Row],[Employer]]=Table2[EIW Name])*(Table1[[#This Row],[City, State]]=Table2[Offices Matched]),0)),"")</f>
        <v>Yes</v>
      </c>
      <c r="U279" s="52" t="str">
        <f t="shared" si="4"/>
        <v/>
      </c>
      <c r="V279" s="60"/>
      <c r="W279" s="114">
        <v>42592</v>
      </c>
      <c r="X279"/>
    </row>
    <row r="280" spans="1:24" ht="14.1" customHeight="1">
      <c r="A280" s="45" t="s">
        <v>63</v>
      </c>
      <c r="B280" s="45" t="s">
        <v>334</v>
      </c>
      <c r="C280" s="45" t="s">
        <v>300</v>
      </c>
      <c r="D280" s="45" t="str">
        <f>Table1[[#This Row],[City]]&amp;", "&amp;Table1[[#This Row],[State]]</f>
        <v>Palo Alto, CA</v>
      </c>
      <c r="E280" s="49">
        <v>45</v>
      </c>
      <c r="F280" s="50">
        <v>4</v>
      </c>
      <c r="G280" s="50" t="str">
        <f t="array" ref="G280">IFERROR(INDEX(Table2[1st Year],MATCH(1,(Table1[[#This Row],[Employer]]=Table2[EIW Name])*(Table1[[#This Row],[City, State]]=Table2[Offices Matched]),0)),"")</f>
        <v>1st Year: $180K</v>
      </c>
      <c r="H280" s="50">
        <f>_xlfn.IFNA(INDEX(saCAGR[CAGR],MATCH(Table1[[#This Row],[Employer]],saCAGR[EIW Name],0)),"")</f>
        <v>1.0246904523384679</v>
      </c>
      <c r="I280" s="50">
        <f>IFERROR(Table1[[#This Row],[SA CAGR]]*Table1[[#This Row],[Number of Summer 2016 2L SAs]],"")</f>
        <v>4.0987618093538716</v>
      </c>
      <c r="J280" s="50">
        <v>17</v>
      </c>
      <c r="K280" s="51">
        <f>IFERROR(Table1[[#This Row],[Number of Summer 2016 NYU 2L SAs]]/Table1[[#This Row],[Interview Slots]],0)</f>
        <v>0.37777777777777777</v>
      </c>
      <c r="L280" s="51">
        <f>Table1[[#This Row],[Number of Summer 2016 2L SAs]]/Table1[[#This Row],[Interview Slots]]</f>
        <v>8.8888888888888892E-2</v>
      </c>
      <c r="M280" s="51">
        <f>IFERROR(Table1[[#This Row],[Number of Summer 2016 NYU 2L SAs]]/Table1[[#This Row],[Number of Summer 2016 2L SAs]],0)</f>
        <v>4.25</v>
      </c>
      <c r="N280" s="50" t="str">
        <f>IFERROR(RIGHT(Table1[[#This Row],[1st year]],LEN(Table1[[#This Row],[1st year]])-FIND(":",Table1[[#This Row],[1st year]])-1),"")</f>
        <v>$180K</v>
      </c>
      <c r="O280" s="50" t="str">
        <f t="array" ref="O280">IFERROR(INDEX(Table2[Nth year],MATCH(1,(Table1[[#This Row],[Employer]]=Table2[EIW Name])*(Table1[[#This Row],[City, State]]=Table2[Offices Matched]),0)),"")</f>
        <v>6th Year: $280K</v>
      </c>
      <c r="P280" s="50" t="str">
        <f>IFERROR(RIGHT(Table1[[#This Row],[Nth year]],LEN(Table1[[#This Row],[Nth year]])-FIND(":",Table1[[#This Row],[Nth year]])-1),"")</f>
        <v>$280K</v>
      </c>
      <c r="Q280" s="50" t="str">
        <f t="array" ref="Q280">IFERROR(INDEX(Table2[Am Law 200 PPP Rank ’16],MATCH(1,(Table1[[#This Row],[Employer]]=Table2[EIW Name])*(Table1[[#This Row],[City, State]]=Table2[Offices Matched]),0)),"")</f>
        <v>5: $3.61M</v>
      </c>
      <c r="R280" s="50" t="str">
        <f>IFERROR(LEFT(Table1[[#This Row],[Am Law 200 PPP Rank ’16]],FIND(":",Table1[[#This Row],[Am Law 200 PPP Rank ’16]])-1),"")</f>
        <v>5</v>
      </c>
      <c r="S280" s="50">
        <f>IFERROR(INDEX(VaultRank[Rank],MATCH(Table1[[#This Row],[Employer]],VaultRank[EIW Name],0)),"")</f>
        <v>8</v>
      </c>
      <c r="T280" s="50" t="str">
        <f t="array" ref="T280">IFERROR(INDEX(Table2[Summers Matched],MATCH(1,(Table1[[#This Row],[Employer]]=Table2[EIW Name])*(Table1[[#This Row],[City, State]]=Table2[Offices Matched]),0)),"")</f>
        <v>Yes</v>
      </c>
      <c r="U280" s="52" t="str">
        <f t="shared" si="4"/>
        <v/>
      </c>
      <c r="V280" s="60"/>
      <c r="W280" s="114">
        <v>42594</v>
      </c>
      <c r="X280"/>
    </row>
    <row r="281" spans="1:24" ht="14.1" customHeight="1">
      <c r="A281" s="45" t="s">
        <v>63</v>
      </c>
      <c r="B281" s="45" t="s">
        <v>316</v>
      </c>
      <c r="C281" s="45" t="s">
        <v>300</v>
      </c>
      <c r="D281" s="45" t="str">
        <f>Table1[[#This Row],[City]]&amp;", "&amp;Table1[[#This Row],[State]]</f>
        <v>San Francisco, CA</v>
      </c>
      <c r="E281" s="49">
        <v>78</v>
      </c>
      <c r="F281" s="50">
        <v>12</v>
      </c>
      <c r="G281" s="50" t="str">
        <f t="array" ref="G281">IFERROR(INDEX(Table2[1st Year],MATCH(1,(Table1[[#This Row],[Employer]]=Table2[EIW Name])*(Table1[[#This Row],[City, State]]=Table2[Offices Matched]),0)),"")</f>
        <v>1st Year: $180K</v>
      </c>
      <c r="H281" s="50">
        <f>_xlfn.IFNA(INDEX(saCAGR[CAGR],MATCH(Table1[[#This Row],[Employer]],saCAGR[EIW Name],0)),"")</f>
        <v>1.0246904523384679</v>
      </c>
      <c r="I281" s="50">
        <f>IFERROR(Table1[[#This Row],[SA CAGR]]*Table1[[#This Row],[Number of Summer 2016 2L SAs]],"")</f>
        <v>12.296285428061616</v>
      </c>
      <c r="J281" s="50">
        <v>2</v>
      </c>
      <c r="K281" s="51">
        <f>IFERROR(Table1[[#This Row],[Number of Summer 2016 NYU 2L SAs]]/Table1[[#This Row],[Interview Slots]],0)</f>
        <v>2.564102564102564E-2</v>
      </c>
      <c r="L281" s="51">
        <f>Table1[[#This Row],[Number of Summer 2016 2L SAs]]/Table1[[#This Row],[Interview Slots]]</f>
        <v>0.15384615384615385</v>
      </c>
      <c r="M281" s="51">
        <f>IFERROR(Table1[[#This Row],[Number of Summer 2016 NYU 2L SAs]]/Table1[[#This Row],[Number of Summer 2016 2L SAs]],0)</f>
        <v>0.16666666666666666</v>
      </c>
      <c r="N281" s="50" t="str">
        <f>IFERROR(RIGHT(Table1[[#This Row],[1st year]],LEN(Table1[[#This Row],[1st year]])-FIND(":",Table1[[#This Row],[1st year]])-1),"")</f>
        <v>$180K</v>
      </c>
      <c r="O281" s="50" t="str">
        <f t="array" ref="O281">IFERROR(INDEX(Table2[Nth year],MATCH(1,(Table1[[#This Row],[Employer]]=Table2[EIW Name])*(Table1[[#This Row],[City, State]]=Table2[Offices Matched]),0)),"")</f>
        <v>6th Year: $280K</v>
      </c>
      <c r="P281" s="50" t="str">
        <f>IFERROR(RIGHT(Table1[[#This Row],[Nth year]],LEN(Table1[[#This Row],[Nth year]])-FIND(":",Table1[[#This Row],[Nth year]])-1),"")</f>
        <v>$280K</v>
      </c>
      <c r="Q281" s="50" t="str">
        <f t="array" ref="Q281">IFERROR(INDEX(Table2[Am Law 200 PPP Rank ’16],MATCH(1,(Table1[[#This Row],[Employer]]=Table2[EIW Name])*(Table1[[#This Row],[City, State]]=Table2[Offices Matched]),0)),"")</f>
        <v>5: $3.61M</v>
      </c>
      <c r="R281" s="50" t="str">
        <f>IFERROR(LEFT(Table1[[#This Row],[Am Law 200 PPP Rank ’16]],FIND(":",Table1[[#This Row],[Am Law 200 PPP Rank ’16]])-1),"")</f>
        <v>5</v>
      </c>
      <c r="S281" s="50">
        <f>IFERROR(INDEX(VaultRank[Rank],MATCH(Table1[[#This Row],[Employer]],VaultRank[EIW Name],0)),"")</f>
        <v>8</v>
      </c>
      <c r="T281" s="50" t="str">
        <f t="array" ref="T281">IFERROR(INDEX(Table2[Summers Matched],MATCH(1,(Table1[[#This Row],[Employer]]=Table2[EIW Name])*(Table1[[#This Row],[City, State]]=Table2[Offices Matched]),0)),"")</f>
        <v>Yes</v>
      </c>
      <c r="U281" s="52" t="str">
        <f t="shared" si="4"/>
        <v/>
      </c>
      <c r="V281" s="60"/>
      <c r="W281" s="114">
        <v>42594</v>
      </c>
      <c r="X281"/>
    </row>
    <row r="282" spans="1:24" ht="14.1" customHeight="1">
      <c r="A282" s="45" t="s">
        <v>63</v>
      </c>
      <c r="B282" s="45" t="s">
        <v>301</v>
      </c>
      <c r="C282" s="45" t="s">
        <v>302</v>
      </c>
      <c r="D282" s="45" t="str">
        <f>Table1[[#This Row],[City]]&amp;", "&amp;Table1[[#This Row],[State]]</f>
        <v>Washington, DC</v>
      </c>
      <c r="E282" s="49">
        <v>117</v>
      </c>
      <c r="F282" s="50">
        <v>15</v>
      </c>
      <c r="G282" s="50" t="str">
        <f t="array" ref="G282">IFERROR(INDEX(Table2[1st Year],MATCH(1,(Table1[[#This Row],[Employer]]=Table2[EIW Name])*(Table1[[#This Row],[City, State]]=Table2[Offices Matched]),0)),"")</f>
        <v/>
      </c>
      <c r="H282" s="50">
        <f>_xlfn.IFNA(INDEX(saCAGR[CAGR],MATCH(Table1[[#This Row],[Employer]],saCAGR[EIW Name],0)),"")</f>
        <v>1.0246904523384679</v>
      </c>
      <c r="I282" s="50">
        <f>IFERROR(Table1[[#This Row],[SA CAGR]]*Table1[[#This Row],[Number of Summer 2016 2L SAs]],"")</f>
        <v>15.370356785077018</v>
      </c>
      <c r="J282" s="50">
        <v>22</v>
      </c>
      <c r="K282" s="51">
        <f>IFERROR(Table1[[#This Row],[Number of Summer 2016 NYU 2L SAs]]/Table1[[#This Row],[Interview Slots]],0)</f>
        <v>0.18803418803418803</v>
      </c>
      <c r="L282" s="51">
        <f>Table1[[#This Row],[Number of Summer 2016 2L SAs]]/Table1[[#This Row],[Interview Slots]]</f>
        <v>0.12820512820512819</v>
      </c>
      <c r="M282" s="51">
        <f>IFERROR(Table1[[#This Row],[Number of Summer 2016 NYU 2L SAs]]/Table1[[#This Row],[Number of Summer 2016 2L SAs]],0)</f>
        <v>1.4666666666666666</v>
      </c>
      <c r="N282" s="50" t="str">
        <f>IFERROR(RIGHT(Table1[[#This Row],[1st year]],LEN(Table1[[#This Row],[1st year]])-FIND(":",Table1[[#This Row],[1st year]])-1),"")</f>
        <v/>
      </c>
      <c r="O282" s="50" t="str">
        <f t="array" ref="O282">IFERROR(INDEX(Table2[Nth year],MATCH(1,(Table1[[#This Row],[Employer]]=Table2[EIW Name])*(Table1[[#This Row],[City, State]]=Table2[Offices Matched]),0)),"")</f>
        <v/>
      </c>
      <c r="P282" s="50" t="str">
        <f>IFERROR(RIGHT(Table1[[#This Row],[Nth year]],LEN(Table1[[#This Row],[Nth year]])-FIND(":",Table1[[#This Row],[Nth year]])-1),"")</f>
        <v/>
      </c>
      <c r="Q282" s="50" t="str">
        <f t="array" ref="Q282">IFERROR(INDEX(Table2[Am Law 200 PPP Rank ’16],MATCH(1,(Table1[[#This Row],[Employer]]=Table2[EIW Name])*(Table1[[#This Row],[City, State]]=Table2[Offices Matched]),0)),"")</f>
        <v/>
      </c>
      <c r="R282" s="50" t="str">
        <f>IFERROR(LEFT(Table1[[#This Row],[Am Law 200 PPP Rank ’16]],FIND(":",Table1[[#This Row],[Am Law 200 PPP Rank ’16]])-1),"")</f>
        <v/>
      </c>
      <c r="S282" s="50">
        <f>IFERROR(INDEX(VaultRank[Rank],MATCH(Table1[[#This Row],[Employer]],VaultRank[EIW Name],0)),"")</f>
        <v>8</v>
      </c>
      <c r="T282" s="50" t="str">
        <f t="array" ref="T282">IFERROR(INDEX(Table2[Summers Matched],MATCH(1,(Table1[[#This Row],[Employer]]=Table2[EIW Name])*(Table1[[#This Row],[City, State]]=Table2[Offices Matched]),0)),"")</f>
        <v/>
      </c>
      <c r="U282" s="52" t="str">
        <f t="shared" si="4"/>
        <v/>
      </c>
      <c r="V282" s="60"/>
      <c r="W282" s="114">
        <v>42592</v>
      </c>
      <c r="X282"/>
    </row>
    <row r="283" spans="1:24" ht="14.1" customHeight="1">
      <c r="A283" s="45" t="s">
        <v>447</v>
      </c>
      <c r="B283" s="45" t="s">
        <v>439</v>
      </c>
      <c r="C283" s="45" t="s">
        <v>300</v>
      </c>
      <c r="D283" s="45" t="str">
        <f>Table1[[#This Row],[City]]&amp;", "&amp;Table1[[#This Row],[State]]</f>
        <v>Irvine, CA</v>
      </c>
      <c r="E283" s="49">
        <v>144</v>
      </c>
      <c r="F283" s="50">
        <v>11</v>
      </c>
      <c r="G283" s="50" t="str">
        <f t="array" ref="G283">IFERROR(INDEX(Table2[1st Year],MATCH(1,(Table1[[#This Row],[Employer]]=Table2[EIW Name])*(Table1[[#This Row],[City, State]]=Table2[Offices Matched]),0)),"")</f>
        <v/>
      </c>
      <c r="H283" s="50" t="str">
        <f>_xlfn.IFNA(INDEX(saCAGR[CAGR],MATCH(Table1[[#This Row],[Employer]],saCAGR[EIW Name],0)),"")</f>
        <v/>
      </c>
      <c r="I283" s="50" t="str">
        <f>IFERROR(Table1[[#This Row],[SA CAGR]]*Table1[[#This Row],[Number of Summer 2016 2L SAs]],"")</f>
        <v/>
      </c>
      <c r="J283" s="50">
        <v>5</v>
      </c>
      <c r="K283" s="51">
        <f>IFERROR(Table1[[#This Row],[Number of Summer 2016 NYU 2L SAs]]/Table1[[#This Row],[Interview Slots]],0)</f>
        <v>3.4722222222222224E-2</v>
      </c>
      <c r="L283" s="51">
        <f>Table1[[#This Row],[Number of Summer 2016 2L SAs]]/Table1[[#This Row],[Interview Slots]]</f>
        <v>7.6388888888888895E-2</v>
      </c>
      <c r="M283" s="51">
        <f>IFERROR(Table1[[#This Row],[Number of Summer 2016 NYU 2L SAs]]/Table1[[#This Row],[Number of Summer 2016 2L SAs]],0)</f>
        <v>0.45454545454545453</v>
      </c>
      <c r="N283" s="50" t="str">
        <f>IFERROR(RIGHT(Table1[[#This Row],[1st year]],LEN(Table1[[#This Row],[1st year]])-FIND(":",Table1[[#This Row],[1st year]])-1),"")</f>
        <v/>
      </c>
      <c r="O283" s="50" t="str">
        <f t="array" ref="O283">IFERROR(INDEX(Table2[Nth year],MATCH(1,(Table1[[#This Row],[Employer]]=Table2[EIW Name])*(Table1[[#This Row],[City, State]]=Table2[Offices Matched]),0)),"")</f>
        <v/>
      </c>
      <c r="P283" s="50" t="str">
        <f>IFERROR(RIGHT(Table1[[#This Row],[Nth year]],LEN(Table1[[#This Row],[Nth year]])-FIND(":",Table1[[#This Row],[Nth year]])-1),"")</f>
        <v/>
      </c>
      <c r="Q283" s="50" t="str">
        <f t="array" ref="Q283">IFERROR(INDEX(Table2[Am Law 200 PPP Rank ’16],MATCH(1,(Table1[[#This Row],[Employer]]=Table2[EIW Name])*(Table1[[#This Row],[City, State]]=Table2[Offices Matched]),0)),"")</f>
        <v/>
      </c>
      <c r="R283" s="50" t="str">
        <f>IFERROR(LEFT(Table1[[#This Row],[Am Law 200 PPP Rank ’16]],FIND(":",Table1[[#This Row],[Am Law 200 PPP Rank ’16]])-1),"")</f>
        <v/>
      </c>
      <c r="S283" s="50" t="str">
        <f>IFERROR(INDEX(VaultRank[Rank],MATCH(Table1[[#This Row],[Employer]],VaultRank[EIW Name],0)),"")</f>
        <v/>
      </c>
      <c r="T283" s="50" t="str">
        <f t="array" ref="T283">IFERROR(INDEX(Table2[Summers Matched],MATCH(1,(Table1[[#This Row],[Employer]]=Table2[EIW Name])*(Table1[[#This Row],[City, State]]=Table2[Offices Matched]),0)),"")</f>
        <v/>
      </c>
      <c r="U283" s="52" t="str">
        <f t="shared" si="4"/>
        <v/>
      </c>
      <c r="V283" s="60"/>
      <c r="W283" s="114">
        <v>42594</v>
      </c>
      <c r="X283"/>
    </row>
    <row r="284" spans="1:24" ht="14.1" customHeight="1">
      <c r="A284" s="45" t="s">
        <v>447</v>
      </c>
      <c r="B284" s="45" t="s">
        <v>299</v>
      </c>
      <c r="C284" s="45" t="s">
        <v>300</v>
      </c>
      <c r="D284" s="45" t="str">
        <f>Table1[[#This Row],[City]]&amp;", "&amp;Table1[[#This Row],[State]]</f>
        <v>Los Angeles, CA</v>
      </c>
      <c r="E284" s="49">
        <v>166</v>
      </c>
      <c r="F284" s="50">
        <v>1</v>
      </c>
      <c r="G284" s="50" t="str">
        <f t="array" ref="G284">IFERROR(INDEX(Table2[1st Year],MATCH(1,(Table1[[#This Row],[Employer]]=Table2[EIW Name])*(Table1[[#This Row],[City, State]]=Table2[Offices Matched]),0)),"")</f>
        <v/>
      </c>
      <c r="H284" s="50" t="str">
        <f>_xlfn.IFNA(INDEX(saCAGR[CAGR],MATCH(Table1[[#This Row],[Employer]],saCAGR[EIW Name],0)),"")</f>
        <v/>
      </c>
      <c r="I284" s="50" t="str">
        <f>IFERROR(Table1[[#This Row],[SA CAGR]]*Table1[[#This Row],[Number of Summer 2016 2L SAs]],"")</f>
        <v/>
      </c>
      <c r="J284" s="50">
        <v>9</v>
      </c>
      <c r="K284" s="51">
        <f>IFERROR(Table1[[#This Row],[Number of Summer 2016 NYU 2L SAs]]/Table1[[#This Row],[Interview Slots]],0)</f>
        <v>5.4216867469879519E-2</v>
      </c>
      <c r="L284" s="51">
        <f>Table1[[#This Row],[Number of Summer 2016 2L SAs]]/Table1[[#This Row],[Interview Slots]]</f>
        <v>6.024096385542169E-3</v>
      </c>
      <c r="M284" s="51">
        <f>IFERROR(Table1[[#This Row],[Number of Summer 2016 NYU 2L SAs]]/Table1[[#This Row],[Number of Summer 2016 2L SAs]],0)</f>
        <v>9</v>
      </c>
      <c r="N284" s="50" t="str">
        <f>IFERROR(RIGHT(Table1[[#This Row],[1st year]],LEN(Table1[[#This Row],[1st year]])-FIND(":",Table1[[#This Row],[1st year]])-1),"")</f>
        <v/>
      </c>
      <c r="O284" s="50" t="str">
        <f t="array" ref="O284">IFERROR(INDEX(Table2[Nth year],MATCH(1,(Table1[[#This Row],[Employer]]=Table2[EIW Name])*(Table1[[#This Row],[City, State]]=Table2[Offices Matched]),0)),"")</f>
        <v/>
      </c>
      <c r="P284" s="50" t="str">
        <f>IFERROR(RIGHT(Table1[[#This Row],[Nth year]],LEN(Table1[[#This Row],[Nth year]])-FIND(":",Table1[[#This Row],[Nth year]])-1),"")</f>
        <v/>
      </c>
      <c r="Q284" s="50" t="str">
        <f t="array" ref="Q284">IFERROR(INDEX(Table2[Am Law 200 PPP Rank ’16],MATCH(1,(Table1[[#This Row],[Employer]]=Table2[EIW Name])*(Table1[[#This Row],[City, State]]=Table2[Offices Matched]),0)),"")</f>
        <v/>
      </c>
      <c r="R284" s="50" t="str">
        <f>IFERROR(LEFT(Table1[[#This Row],[Am Law 200 PPP Rank ’16]],FIND(":",Table1[[#This Row],[Am Law 200 PPP Rank ’16]])-1),"")</f>
        <v/>
      </c>
      <c r="S284" s="50" t="str">
        <f>IFERROR(INDEX(VaultRank[Rank],MATCH(Table1[[#This Row],[Employer]],VaultRank[EIW Name],0)),"")</f>
        <v/>
      </c>
      <c r="T284" s="50" t="str">
        <f t="array" ref="T284">IFERROR(INDEX(Table2[Summers Matched],MATCH(1,(Table1[[#This Row],[Employer]]=Table2[EIW Name])*(Table1[[#This Row],[City, State]]=Table2[Offices Matched]),0)),"")</f>
        <v/>
      </c>
      <c r="U284" s="52" t="str">
        <f t="shared" si="4"/>
        <v/>
      </c>
      <c r="V284" s="60"/>
      <c r="W284" s="114">
        <v>42593</v>
      </c>
      <c r="X284"/>
    </row>
    <row r="285" spans="1:24" ht="14.1" customHeight="1">
      <c r="A285" s="45" t="s">
        <v>447</v>
      </c>
      <c r="B285" s="45" t="s">
        <v>375</v>
      </c>
      <c r="C285" s="45" t="s">
        <v>300</v>
      </c>
      <c r="D285" s="45" t="str">
        <f>Table1[[#This Row],[City]]&amp;", "&amp;Table1[[#This Row],[State]]</f>
        <v>San Diego, CA</v>
      </c>
      <c r="E285" s="49">
        <v>20</v>
      </c>
      <c r="F285" s="50">
        <v>6</v>
      </c>
      <c r="G285" s="50" t="str">
        <f t="array" ref="G285">IFERROR(INDEX(Table2[1st Year],MATCH(1,(Table1[[#This Row],[Employer]]=Table2[EIW Name])*(Table1[[#This Row],[City, State]]=Table2[Offices Matched]),0)),"")</f>
        <v/>
      </c>
      <c r="H285" s="50" t="str">
        <f>_xlfn.IFNA(INDEX(saCAGR[CAGR],MATCH(Table1[[#This Row],[Employer]],saCAGR[EIW Name],0)),"")</f>
        <v/>
      </c>
      <c r="I285" s="50" t="str">
        <f>IFERROR(Table1[[#This Row],[SA CAGR]]*Table1[[#This Row],[Number of Summer 2016 2L SAs]],"")</f>
        <v/>
      </c>
      <c r="J285" s="50">
        <v>18</v>
      </c>
      <c r="K285" s="51">
        <f>IFERROR(Table1[[#This Row],[Number of Summer 2016 NYU 2L SAs]]/Table1[[#This Row],[Interview Slots]],0)</f>
        <v>0.9</v>
      </c>
      <c r="L285" s="51">
        <f>Table1[[#This Row],[Number of Summer 2016 2L SAs]]/Table1[[#This Row],[Interview Slots]]</f>
        <v>0.3</v>
      </c>
      <c r="M285" s="51">
        <f>IFERROR(Table1[[#This Row],[Number of Summer 2016 NYU 2L SAs]]/Table1[[#This Row],[Number of Summer 2016 2L SAs]],0)</f>
        <v>3</v>
      </c>
      <c r="N285" s="50" t="str">
        <f>IFERROR(RIGHT(Table1[[#This Row],[1st year]],LEN(Table1[[#This Row],[1st year]])-FIND(":",Table1[[#This Row],[1st year]])-1),"")</f>
        <v/>
      </c>
      <c r="O285" s="50" t="str">
        <f t="array" ref="O285">IFERROR(INDEX(Table2[Nth year],MATCH(1,(Table1[[#This Row],[Employer]]=Table2[EIW Name])*(Table1[[#This Row],[City, State]]=Table2[Offices Matched]),0)),"")</f>
        <v/>
      </c>
      <c r="P285" s="50" t="str">
        <f>IFERROR(RIGHT(Table1[[#This Row],[Nth year]],LEN(Table1[[#This Row],[Nth year]])-FIND(":",Table1[[#This Row],[Nth year]])-1),"")</f>
        <v/>
      </c>
      <c r="Q285" s="50" t="str">
        <f t="array" ref="Q285">IFERROR(INDEX(Table2[Am Law 200 PPP Rank ’16],MATCH(1,(Table1[[#This Row],[Employer]]=Table2[EIW Name])*(Table1[[#This Row],[City, State]]=Table2[Offices Matched]),0)),"")</f>
        <v/>
      </c>
      <c r="R285" s="50" t="str">
        <f>IFERROR(LEFT(Table1[[#This Row],[Am Law 200 PPP Rank ’16]],FIND(":",Table1[[#This Row],[Am Law 200 PPP Rank ’16]])-1),"")</f>
        <v/>
      </c>
      <c r="S285" s="50" t="str">
        <f>IFERROR(INDEX(VaultRank[Rank],MATCH(Table1[[#This Row],[Employer]],VaultRank[EIW Name],0)),"")</f>
        <v/>
      </c>
      <c r="T285" s="50" t="str">
        <f t="array" ref="T285">IFERROR(INDEX(Table2[Summers Matched],MATCH(1,(Table1[[#This Row],[Employer]]=Table2[EIW Name])*(Table1[[#This Row],[City, State]]=Table2[Offices Matched]),0)),"")</f>
        <v/>
      </c>
      <c r="U285" s="52" t="str">
        <f t="shared" si="4"/>
        <v/>
      </c>
      <c r="V285" s="60"/>
      <c r="W285" s="114">
        <v>42594</v>
      </c>
      <c r="X285"/>
    </row>
    <row r="286" spans="1:24" ht="14.1" customHeight="1">
      <c r="A286" s="45" t="s">
        <v>447</v>
      </c>
      <c r="B286" s="45" t="s">
        <v>316</v>
      </c>
      <c r="C286" s="45" t="s">
        <v>300</v>
      </c>
      <c r="D286" s="45" t="str">
        <f>Table1[[#This Row],[City]]&amp;", "&amp;Table1[[#This Row],[State]]</f>
        <v>San Francisco, CA</v>
      </c>
      <c r="E286" s="49">
        <v>29</v>
      </c>
      <c r="F286" s="50">
        <v>5</v>
      </c>
      <c r="G286" s="50" t="str">
        <f t="array" ref="G286">IFERROR(INDEX(Table2[1st Year],MATCH(1,(Table1[[#This Row],[Employer]]=Table2[EIW Name])*(Table1[[#This Row],[City, State]]=Table2[Offices Matched]),0)),"")</f>
        <v/>
      </c>
      <c r="H286" s="50" t="str">
        <f>_xlfn.IFNA(INDEX(saCAGR[CAGR],MATCH(Table1[[#This Row],[Employer]],saCAGR[EIW Name],0)),"")</f>
        <v/>
      </c>
      <c r="I286" s="50" t="str">
        <f>IFERROR(Table1[[#This Row],[SA CAGR]]*Table1[[#This Row],[Number of Summer 2016 2L SAs]],"")</f>
        <v/>
      </c>
      <c r="J286" s="50">
        <v>2</v>
      </c>
      <c r="K286" s="51">
        <f>IFERROR(Table1[[#This Row],[Number of Summer 2016 NYU 2L SAs]]/Table1[[#This Row],[Interview Slots]],0)</f>
        <v>6.8965517241379309E-2</v>
      </c>
      <c r="L286" s="51">
        <f>Table1[[#This Row],[Number of Summer 2016 2L SAs]]/Table1[[#This Row],[Interview Slots]]</f>
        <v>0.17241379310344829</v>
      </c>
      <c r="M286" s="51">
        <f>IFERROR(Table1[[#This Row],[Number of Summer 2016 NYU 2L SAs]]/Table1[[#This Row],[Number of Summer 2016 2L SAs]],0)</f>
        <v>0.4</v>
      </c>
      <c r="N286" s="50" t="str">
        <f>IFERROR(RIGHT(Table1[[#This Row],[1st year]],LEN(Table1[[#This Row],[1st year]])-FIND(":",Table1[[#This Row],[1st year]])-1),"")</f>
        <v/>
      </c>
      <c r="O286" s="50" t="str">
        <f t="array" ref="O286">IFERROR(INDEX(Table2[Nth year],MATCH(1,(Table1[[#This Row],[Employer]]=Table2[EIW Name])*(Table1[[#This Row],[City, State]]=Table2[Offices Matched]),0)),"")</f>
        <v/>
      </c>
      <c r="P286" s="50" t="str">
        <f>IFERROR(RIGHT(Table1[[#This Row],[Nth year]],LEN(Table1[[#This Row],[Nth year]])-FIND(":",Table1[[#This Row],[Nth year]])-1),"")</f>
        <v/>
      </c>
      <c r="Q286" s="50" t="str">
        <f t="array" ref="Q286">IFERROR(INDEX(Table2[Am Law 200 PPP Rank ’16],MATCH(1,(Table1[[#This Row],[Employer]]=Table2[EIW Name])*(Table1[[#This Row],[City, State]]=Table2[Offices Matched]),0)),"")</f>
        <v/>
      </c>
      <c r="R286" s="50" t="str">
        <f>IFERROR(LEFT(Table1[[#This Row],[Am Law 200 PPP Rank ’16]],FIND(":",Table1[[#This Row],[Am Law 200 PPP Rank ’16]])-1),"")</f>
        <v/>
      </c>
      <c r="S286" s="50" t="str">
        <f>IFERROR(INDEX(VaultRank[Rank],MATCH(Table1[[#This Row],[Employer]],VaultRank[EIW Name],0)),"")</f>
        <v/>
      </c>
      <c r="T286" s="50" t="str">
        <f t="array" ref="T286">IFERROR(INDEX(Table2[Summers Matched],MATCH(1,(Table1[[#This Row],[Employer]]=Table2[EIW Name])*(Table1[[#This Row],[City, State]]=Table2[Offices Matched]),0)),"")</f>
        <v/>
      </c>
      <c r="U286" s="52" t="str">
        <f t="shared" si="4"/>
        <v/>
      </c>
      <c r="V286" s="60"/>
      <c r="W286" s="114">
        <v>42595</v>
      </c>
      <c r="X286"/>
    </row>
    <row r="287" spans="1:24" ht="14.1" customHeight="1">
      <c r="A287" s="45" t="s">
        <v>447</v>
      </c>
      <c r="B287" s="45" t="s">
        <v>301</v>
      </c>
      <c r="C287" s="45" t="s">
        <v>302</v>
      </c>
      <c r="D287" s="45" t="str">
        <f>Table1[[#This Row],[City]]&amp;", "&amp;Table1[[#This Row],[State]]</f>
        <v>Washington, DC</v>
      </c>
      <c r="E287" s="49">
        <v>159</v>
      </c>
      <c r="F287" s="50">
        <v>1</v>
      </c>
      <c r="G287" s="50" t="str">
        <f t="array" ref="G287">IFERROR(INDEX(Table2[1st Year],MATCH(1,(Table1[[#This Row],[Employer]]=Table2[EIW Name])*(Table1[[#This Row],[City, State]]=Table2[Offices Matched]),0)),"")</f>
        <v/>
      </c>
      <c r="H287" s="50" t="str">
        <f>_xlfn.IFNA(INDEX(saCAGR[CAGR],MATCH(Table1[[#This Row],[Employer]],saCAGR[EIW Name],0)),"")</f>
        <v/>
      </c>
      <c r="I287" s="50" t="str">
        <f>IFERROR(Table1[[#This Row],[SA CAGR]]*Table1[[#This Row],[Number of Summer 2016 2L SAs]],"")</f>
        <v/>
      </c>
      <c r="J287" s="50">
        <v>22</v>
      </c>
      <c r="K287" s="51">
        <f>IFERROR(Table1[[#This Row],[Number of Summer 2016 NYU 2L SAs]]/Table1[[#This Row],[Interview Slots]],0)</f>
        <v>0.13836477987421383</v>
      </c>
      <c r="L287" s="51">
        <f>Table1[[#This Row],[Number of Summer 2016 2L SAs]]/Table1[[#This Row],[Interview Slots]]</f>
        <v>6.2893081761006293E-3</v>
      </c>
      <c r="M287" s="51">
        <f>IFERROR(Table1[[#This Row],[Number of Summer 2016 NYU 2L SAs]]/Table1[[#This Row],[Number of Summer 2016 2L SAs]],0)</f>
        <v>22</v>
      </c>
      <c r="N287" s="50" t="str">
        <f>IFERROR(RIGHT(Table1[[#This Row],[1st year]],LEN(Table1[[#This Row],[1st year]])-FIND(":",Table1[[#This Row],[1st year]])-1),"")</f>
        <v/>
      </c>
      <c r="O287" s="50" t="str">
        <f t="array" ref="O287">IFERROR(INDEX(Table2[Nth year],MATCH(1,(Table1[[#This Row],[Employer]]=Table2[EIW Name])*(Table1[[#This Row],[City, State]]=Table2[Offices Matched]),0)),"")</f>
        <v/>
      </c>
      <c r="P287" s="50" t="str">
        <f>IFERROR(RIGHT(Table1[[#This Row],[Nth year]],LEN(Table1[[#This Row],[Nth year]])-FIND(":",Table1[[#This Row],[Nth year]])-1),"")</f>
        <v/>
      </c>
      <c r="Q287" s="50" t="str">
        <f t="array" ref="Q287">IFERROR(INDEX(Table2[Am Law 200 PPP Rank ’16],MATCH(1,(Table1[[#This Row],[Employer]]=Table2[EIW Name])*(Table1[[#This Row],[City, State]]=Table2[Offices Matched]),0)),"")</f>
        <v/>
      </c>
      <c r="R287" s="50" t="str">
        <f>IFERROR(LEFT(Table1[[#This Row],[Am Law 200 PPP Rank ’16]],FIND(":",Table1[[#This Row],[Am Law 200 PPP Rank ’16]])-1),"")</f>
        <v/>
      </c>
      <c r="S287" s="50" t="str">
        <f>IFERROR(INDEX(VaultRank[Rank],MATCH(Table1[[#This Row],[Employer]],VaultRank[EIW Name],0)),"")</f>
        <v/>
      </c>
      <c r="T287" s="50" t="str">
        <f t="array" ref="T287">IFERROR(INDEX(Table2[Summers Matched],MATCH(1,(Table1[[#This Row],[Employer]]=Table2[EIW Name])*(Table1[[#This Row],[City, State]]=Table2[Offices Matched]),0)),"")</f>
        <v/>
      </c>
      <c r="U287" s="52" t="str">
        <f t="shared" si="4"/>
        <v/>
      </c>
      <c r="V287" s="60"/>
      <c r="W287" s="114">
        <v>42594</v>
      </c>
      <c r="X287"/>
    </row>
    <row r="288" spans="1:24" ht="14.1" customHeight="1">
      <c r="A288" s="45" t="s">
        <v>447</v>
      </c>
      <c r="B288" s="45" t="s">
        <v>332</v>
      </c>
      <c r="C288" s="45" t="s">
        <v>333</v>
      </c>
      <c r="D288" s="45" t="str">
        <f>Table1[[#This Row],[City]]&amp;", "&amp;Table1[[#This Row],[State]]</f>
        <v>Seattle, WA</v>
      </c>
      <c r="E288" s="49">
        <v>107</v>
      </c>
      <c r="F288" s="50">
        <v>1</v>
      </c>
      <c r="G288" s="50" t="str">
        <f t="array" ref="G288">IFERROR(INDEX(Table2[1st Year],MATCH(1,(Table1[[#This Row],[Employer]]=Table2[EIW Name])*(Table1[[#This Row],[City, State]]=Table2[Offices Matched]),0)),"")</f>
        <v/>
      </c>
      <c r="H288" s="50" t="str">
        <f>_xlfn.IFNA(INDEX(saCAGR[CAGR],MATCH(Table1[[#This Row],[Employer]],saCAGR[EIW Name],0)),"")</f>
        <v/>
      </c>
      <c r="I288" s="50" t="str">
        <f>IFERROR(Table1[[#This Row],[SA CAGR]]*Table1[[#This Row],[Number of Summer 2016 2L SAs]],"")</f>
        <v/>
      </c>
      <c r="J288" s="50">
        <v>1</v>
      </c>
      <c r="K288" s="51">
        <f>IFERROR(Table1[[#This Row],[Number of Summer 2016 NYU 2L SAs]]/Table1[[#This Row],[Interview Slots]],0)</f>
        <v>9.3457943925233638E-3</v>
      </c>
      <c r="L288" s="51">
        <f>Table1[[#This Row],[Number of Summer 2016 2L SAs]]/Table1[[#This Row],[Interview Slots]]</f>
        <v>9.3457943925233638E-3</v>
      </c>
      <c r="M288" s="51">
        <f>IFERROR(Table1[[#This Row],[Number of Summer 2016 NYU 2L SAs]]/Table1[[#This Row],[Number of Summer 2016 2L SAs]],0)</f>
        <v>1</v>
      </c>
      <c r="N288" s="50" t="str">
        <f>IFERROR(RIGHT(Table1[[#This Row],[1st year]],LEN(Table1[[#This Row],[1st year]])-FIND(":",Table1[[#This Row],[1st year]])-1),"")</f>
        <v/>
      </c>
      <c r="O288" s="50" t="str">
        <f t="array" ref="O288">IFERROR(INDEX(Table2[Nth year],MATCH(1,(Table1[[#This Row],[Employer]]=Table2[EIW Name])*(Table1[[#This Row],[City, State]]=Table2[Offices Matched]),0)),"")</f>
        <v/>
      </c>
      <c r="P288" s="50" t="str">
        <f>IFERROR(RIGHT(Table1[[#This Row],[Nth year]],LEN(Table1[[#This Row],[Nth year]])-FIND(":",Table1[[#This Row],[Nth year]])-1),"")</f>
        <v/>
      </c>
      <c r="Q288" s="50" t="str">
        <f t="array" ref="Q288">IFERROR(INDEX(Table2[Am Law 200 PPP Rank ’16],MATCH(1,(Table1[[#This Row],[Employer]]=Table2[EIW Name])*(Table1[[#This Row],[City, State]]=Table2[Offices Matched]),0)),"")</f>
        <v/>
      </c>
      <c r="R288" s="50" t="str">
        <f>IFERROR(LEFT(Table1[[#This Row],[Am Law 200 PPP Rank ’16]],FIND(":",Table1[[#This Row],[Am Law 200 PPP Rank ’16]])-1),"")</f>
        <v/>
      </c>
      <c r="S288" s="50" t="str">
        <f>IFERROR(INDEX(VaultRank[Rank],MATCH(Table1[[#This Row],[Employer]],VaultRank[EIW Name],0)),"")</f>
        <v/>
      </c>
      <c r="T288" s="50" t="str">
        <f t="array" ref="T288">IFERROR(INDEX(Table2[Summers Matched],MATCH(1,(Table1[[#This Row],[Employer]]=Table2[EIW Name])*(Table1[[#This Row],[City, State]]=Table2[Offices Matched]),0)),"")</f>
        <v/>
      </c>
      <c r="U288" s="52">
        <f t="shared" si="4"/>
        <v>3.4</v>
      </c>
      <c r="V288" s="60"/>
      <c r="W288" s="114">
        <v>42592</v>
      </c>
      <c r="X288"/>
    </row>
    <row r="289" spans="1:24" ht="14.1" customHeight="1">
      <c r="A289" s="45" t="s">
        <v>322</v>
      </c>
      <c r="B289" s="45" t="s">
        <v>364</v>
      </c>
      <c r="C289" s="45" t="s">
        <v>362</v>
      </c>
      <c r="D289" s="45" t="str">
        <f>Table1[[#This Row],[City]]&amp;", "&amp;Table1[[#This Row],[State]]</f>
        <v>New York, NY</v>
      </c>
      <c r="E289" s="49">
        <v>98</v>
      </c>
      <c r="F289" s="50">
        <v>4</v>
      </c>
      <c r="G289" s="50" t="str">
        <f t="array" ref="G289">IFERROR(INDEX(Table2[1st Year],MATCH(1,(Table1[[#This Row],[Employer]]=Table2[EIW Name])*(Table1[[#This Row],[City, State]]=Table2[Offices Matched]),0)),"")</f>
        <v/>
      </c>
      <c r="H289" s="50" t="str">
        <f>_xlfn.IFNA(INDEX(saCAGR[CAGR],MATCH(Table1[[#This Row],[Employer]],saCAGR[EIW Name],0)),"")</f>
        <v/>
      </c>
      <c r="I289" s="50" t="str">
        <f>IFERROR(Table1[[#This Row],[SA CAGR]]*Table1[[#This Row],[Number of Summer 2016 2L SAs]],"")</f>
        <v/>
      </c>
      <c r="J289" s="50">
        <v>16</v>
      </c>
      <c r="K289" s="51">
        <f>IFERROR(Table1[[#This Row],[Number of Summer 2016 NYU 2L SAs]]/Table1[[#This Row],[Interview Slots]],0)</f>
        <v>0.16326530612244897</v>
      </c>
      <c r="L289" s="51">
        <f>Table1[[#This Row],[Number of Summer 2016 2L SAs]]/Table1[[#This Row],[Interview Slots]]</f>
        <v>4.0816326530612242E-2</v>
      </c>
      <c r="M289" s="51">
        <f>IFERROR(Table1[[#This Row],[Number of Summer 2016 NYU 2L SAs]]/Table1[[#This Row],[Number of Summer 2016 2L SAs]],0)</f>
        <v>4</v>
      </c>
      <c r="N289" s="50" t="str">
        <f>IFERROR(RIGHT(Table1[[#This Row],[1st year]],LEN(Table1[[#This Row],[1st year]])-FIND(":",Table1[[#This Row],[1st year]])-1),"")</f>
        <v/>
      </c>
      <c r="O289" s="50" t="str">
        <f t="array" ref="O289">IFERROR(INDEX(Table2[Nth year],MATCH(1,(Table1[[#This Row],[Employer]]=Table2[EIW Name])*(Table1[[#This Row],[City, State]]=Table2[Offices Matched]),0)),"")</f>
        <v/>
      </c>
      <c r="P289" s="50" t="str">
        <f>IFERROR(RIGHT(Table1[[#This Row],[Nth year]],LEN(Table1[[#This Row],[Nth year]])-FIND(":",Table1[[#This Row],[Nth year]])-1),"")</f>
        <v/>
      </c>
      <c r="Q289" s="50" t="str">
        <f t="array" ref="Q289">IFERROR(INDEX(Table2[Am Law 200 PPP Rank ’16],MATCH(1,(Table1[[#This Row],[Employer]]=Table2[EIW Name])*(Table1[[#This Row],[City, State]]=Table2[Offices Matched]),0)),"")</f>
        <v/>
      </c>
      <c r="R289" s="50" t="str">
        <f>IFERROR(LEFT(Table1[[#This Row],[Am Law 200 PPP Rank ’16]],FIND(":",Table1[[#This Row],[Am Law 200 PPP Rank ’16]])-1),"")</f>
        <v/>
      </c>
      <c r="S289" s="50">
        <f>IFERROR(INDEX(VaultRank[Rank],MATCH(Table1[[#This Row],[Employer]],VaultRank[EIW Name],0)),"")</f>
        <v>63</v>
      </c>
      <c r="T289" s="50" t="str">
        <f t="array" ref="T289">IFERROR(INDEX(Table2[Summers Matched],MATCH(1,(Table1[[#This Row],[Employer]]=Table2[EIW Name])*(Table1[[#This Row],[City, State]]=Table2[Offices Matched]),0)),"")</f>
        <v/>
      </c>
      <c r="U289" s="52" t="str">
        <f t="shared" si="4"/>
        <v/>
      </c>
      <c r="V289" s="60"/>
      <c r="W289" s="114">
        <v>42594</v>
      </c>
      <c r="X289"/>
    </row>
    <row r="290" spans="1:24" ht="14.1" customHeight="1">
      <c r="A290" s="45" t="s">
        <v>317</v>
      </c>
      <c r="B290" s="45" t="s">
        <v>303</v>
      </c>
      <c r="C290" s="45" t="s">
        <v>304</v>
      </c>
      <c r="D290" s="45" t="str">
        <f>Table1[[#This Row],[City]]&amp;", "&amp;Table1[[#This Row],[State]]</f>
        <v>Chicago, IL</v>
      </c>
      <c r="E290" s="49">
        <v>165</v>
      </c>
      <c r="F290" s="50">
        <v>1</v>
      </c>
      <c r="G290" s="50" t="str">
        <f t="array" ref="G290">IFERROR(INDEX(Table2[1st Year],MATCH(1,(Table1[[#This Row],[Employer]]=Table2[EIW Name])*(Table1[[#This Row],[City, State]]=Table2[Offices Matched]),0)),"")</f>
        <v/>
      </c>
      <c r="H290" s="50">
        <f>_xlfn.IFNA(INDEX(saCAGR[CAGR],MATCH(Table1[[#This Row],[Employer]],saCAGR[EIW Name],0)),"")</f>
        <v>1.0162651532323876</v>
      </c>
      <c r="I290" s="50">
        <f>IFERROR(Table1[[#This Row],[SA CAGR]]*Table1[[#This Row],[Number of Summer 2016 2L SAs]],"")</f>
        <v>1.0162651532323876</v>
      </c>
      <c r="J290" s="50">
        <v>10</v>
      </c>
      <c r="K290" s="51">
        <f>IFERROR(Table1[[#This Row],[Number of Summer 2016 NYU 2L SAs]]/Table1[[#This Row],[Interview Slots]],0)</f>
        <v>6.0606060606060608E-2</v>
      </c>
      <c r="L290" s="51">
        <f>Table1[[#This Row],[Number of Summer 2016 2L SAs]]/Table1[[#This Row],[Interview Slots]]</f>
        <v>6.0606060606060606E-3</v>
      </c>
      <c r="M290" s="51">
        <f>IFERROR(Table1[[#This Row],[Number of Summer 2016 NYU 2L SAs]]/Table1[[#This Row],[Number of Summer 2016 2L SAs]],0)</f>
        <v>10</v>
      </c>
      <c r="N290" s="50" t="str">
        <f>IFERROR(RIGHT(Table1[[#This Row],[1st year]],LEN(Table1[[#This Row],[1st year]])-FIND(":",Table1[[#This Row],[1st year]])-1),"")</f>
        <v/>
      </c>
      <c r="O290" s="50" t="str">
        <f t="array" ref="O290">IFERROR(INDEX(Table2[Nth year],MATCH(1,(Table1[[#This Row],[Employer]]=Table2[EIW Name])*(Table1[[#This Row],[City, State]]=Table2[Offices Matched]),0)),"")</f>
        <v/>
      </c>
      <c r="P290" s="50" t="str">
        <f>IFERROR(RIGHT(Table1[[#This Row],[Nth year]],LEN(Table1[[#This Row],[Nth year]])-FIND(":",Table1[[#This Row],[Nth year]])-1),"")</f>
        <v/>
      </c>
      <c r="Q290" s="50" t="str">
        <f t="array" ref="Q290">IFERROR(INDEX(Table2[Am Law 200 PPP Rank ’16],MATCH(1,(Table1[[#This Row],[Employer]]=Table2[EIW Name])*(Table1[[#This Row],[City, State]]=Table2[Offices Matched]),0)),"")</f>
        <v/>
      </c>
      <c r="R290" s="50" t="str">
        <f>IFERROR(LEFT(Table1[[#This Row],[Am Law 200 PPP Rank ’16]],FIND(":",Table1[[#This Row],[Am Law 200 PPP Rank ’16]])-1),"")</f>
        <v/>
      </c>
      <c r="S290" s="50">
        <f>IFERROR(INDEX(VaultRank[Rank],MATCH(Table1[[#This Row],[Employer]],VaultRank[EIW Name],0)),"")</f>
        <v>64</v>
      </c>
      <c r="T290" s="50" t="str">
        <f t="array" ref="T290">IFERROR(INDEX(Table2[Summers Matched],MATCH(1,(Table1[[#This Row],[Employer]]=Table2[EIW Name])*(Table1[[#This Row],[City, State]]=Table2[Offices Matched]),0)),"")</f>
        <v/>
      </c>
      <c r="U290" s="52" t="str">
        <f t="shared" si="4"/>
        <v/>
      </c>
      <c r="V290" s="60"/>
      <c r="W290" s="114">
        <v>42593</v>
      </c>
      <c r="X290"/>
    </row>
    <row r="291" spans="1:24" ht="14.1" customHeight="1">
      <c r="A291" s="45" t="s">
        <v>89</v>
      </c>
      <c r="B291" s="45" t="s">
        <v>449</v>
      </c>
      <c r="C291" s="45" t="s">
        <v>300</v>
      </c>
      <c r="D291" s="45" t="str">
        <f>Table1[[#This Row],[City]]&amp;", "&amp;Table1[[#This Row],[State]]</f>
        <v>Century City, CA</v>
      </c>
      <c r="E291" s="49">
        <v>17</v>
      </c>
      <c r="F291" s="50">
        <v>6</v>
      </c>
      <c r="G291" s="50" t="str">
        <f t="array" ref="G291">IFERROR(INDEX(Table2[1st Year],MATCH(1,(Table1[[#This Row],[Employer]]=Table2[EIW Name])*(Table1[[#This Row],[City, State]]=Table2[Offices Matched]),0)),"")</f>
        <v>1st Year: $180K</v>
      </c>
      <c r="H291" s="50">
        <f>_xlfn.IFNA(INDEX(saCAGR[CAGR],MATCH(Table1[[#This Row],[Employer]],saCAGR[EIW Name],0)),"")</f>
        <v>1.0180368317639257</v>
      </c>
      <c r="I291" s="50">
        <f>IFERROR(Table1[[#This Row],[SA CAGR]]*Table1[[#This Row],[Number of Summer 2016 2L SAs]],"")</f>
        <v>6.1082209905835541</v>
      </c>
      <c r="J291" s="50">
        <v>15</v>
      </c>
      <c r="K291" s="51">
        <f>IFERROR(Table1[[#This Row],[Number of Summer 2016 NYU 2L SAs]]/Table1[[#This Row],[Interview Slots]],0)</f>
        <v>0.88235294117647056</v>
      </c>
      <c r="L291" s="51">
        <f>Table1[[#This Row],[Number of Summer 2016 2L SAs]]/Table1[[#This Row],[Interview Slots]]</f>
        <v>0.35294117647058826</v>
      </c>
      <c r="M291" s="51">
        <f>IFERROR(Table1[[#This Row],[Number of Summer 2016 NYU 2L SAs]]/Table1[[#This Row],[Number of Summer 2016 2L SAs]],0)</f>
        <v>2.5</v>
      </c>
      <c r="N291" s="50" t="str">
        <f>IFERROR(RIGHT(Table1[[#This Row],[1st year]],LEN(Table1[[#This Row],[1st year]])-FIND(":",Table1[[#This Row],[1st year]])-1),"")</f>
        <v>$180K</v>
      </c>
      <c r="O291" s="50" t="str">
        <f t="array" ref="O291">IFERROR(INDEX(Table2[Nth year],MATCH(1,(Table1[[#This Row],[Employer]]=Table2[EIW Name])*(Table1[[#This Row],[City, State]]=Table2[Offices Matched]),0)),"")</f>
        <v>8th Year: $315K</v>
      </c>
      <c r="P291" s="50" t="str">
        <f>IFERROR(RIGHT(Table1[[#This Row],[Nth year]],LEN(Table1[[#This Row],[Nth year]])-FIND(":",Table1[[#This Row],[Nth year]])-1),"")</f>
        <v>$315K</v>
      </c>
      <c r="Q291" s="50" t="str">
        <f t="array" ref="Q291">IFERROR(INDEX(Table2[Am Law 200 PPP Rank ’16],MATCH(1,(Table1[[#This Row],[Employer]]=Table2[EIW Name])*(Table1[[#This Row],[City, State]]=Table2[Offices Matched]),0)),"")</f>
        <v>15: $2.91M</v>
      </c>
      <c r="R291" s="50" t="str">
        <f>IFERROR(LEFT(Table1[[#This Row],[Am Law 200 PPP Rank ’16]],FIND(":",Table1[[#This Row],[Am Law 200 PPP Rank ’16]])-1),"")</f>
        <v>15</v>
      </c>
      <c r="S291" s="50">
        <f>IFERROR(INDEX(VaultRank[Rank],MATCH(Table1[[#This Row],[Employer]],VaultRank[EIW Name],0)),"")</f>
        <v>7</v>
      </c>
      <c r="T291" s="50" t="str">
        <f t="array" ref="T291">IFERROR(INDEX(Table2[Summers Matched],MATCH(1,(Table1[[#This Row],[Employer]]=Table2[EIW Name])*(Table1[[#This Row],[City, State]]=Table2[Offices Matched]),0)),"")</f>
        <v>Yes</v>
      </c>
      <c r="U291" s="52" t="str">
        <f t="shared" si="4"/>
        <v/>
      </c>
      <c r="V291" s="60"/>
      <c r="W291" s="114">
        <v>42595</v>
      </c>
      <c r="X291"/>
    </row>
    <row r="292" spans="1:24" ht="14.1" customHeight="1">
      <c r="A292" s="45" t="s">
        <v>89</v>
      </c>
      <c r="B292" s="45" t="s">
        <v>406</v>
      </c>
      <c r="C292" s="45" t="s">
        <v>300</v>
      </c>
      <c r="D292" s="45" t="str">
        <f>Table1[[#This Row],[City]]&amp;", "&amp;Table1[[#This Row],[State]]</f>
        <v>Costa Mesa, CA</v>
      </c>
      <c r="E292" s="49">
        <v>196</v>
      </c>
      <c r="F292" s="50">
        <v>10</v>
      </c>
      <c r="G292" s="50" t="str">
        <f t="array" ref="G292">IFERROR(INDEX(Table2[1st Year],MATCH(1,(Table1[[#This Row],[Employer]]=Table2[EIW Name])*(Table1[[#This Row],[City, State]]=Table2[Offices Matched]),0)),"")</f>
        <v/>
      </c>
      <c r="H292" s="50">
        <f>_xlfn.IFNA(INDEX(saCAGR[CAGR],MATCH(Table1[[#This Row],[Employer]],saCAGR[EIW Name],0)),"")</f>
        <v>1.0180368317639257</v>
      </c>
      <c r="I292" s="50">
        <f>IFERROR(Table1[[#This Row],[SA CAGR]]*Table1[[#This Row],[Number of Summer 2016 2L SAs]],"")</f>
        <v>10.180368317639257</v>
      </c>
      <c r="J292" s="50">
        <v>1</v>
      </c>
      <c r="K292" s="51">
        <f>IFERROR(Table1[[#This Row],[Number of Summer 2016 NYU 2L SAs]]/Table1[[#This Row],[Interview Slots]],0)</f>
        <v>5.1020408163265302E-3</v>
      </c>
      <c r="L292" s="51">
        <f>Table1[[#This Row],[Number of Summer 2016 2L SAs]]/Table1[[#This Row],[Interview Slots]]</f>
        <v>5.1020408163265307E-2</v>
      </c>
      <c r="M292" s="51">
        <f>IFERROR(Table1[[#This Row],[Number of Summer 2016 NYU 2L SAs]]/Table1[[#This Row],[Number of Summer 2016 2L SAs]],0)</f>
        <v>0.1</v>
      </c>
      <c r="N292" s="50" t="str">
        <f>IFERROR(RIGHT(Table1[[#This Row],[1st year]],LEN(Table1[[#This Row],[1st year]])-FIND(":",Table1[[#This Row],[1st year]])-1),"")</f>
        <v/>
      </c>
      <c r="O292" s="50" t="str">
        <f t="array" ref="O292">IFERROR(INDEX(Table2[Nth year],MATCH(1,(Table1[[#This Row],[Employer]]=Table2[EIW Name])*(Table1[[#This Row],[City, State]]=Table2[Offices Matched]),0)),"")</f>
        <v/>
      </c>
      <c r="P292" s="50" t="str">
        <f>IFERROR(RIGHT(Table1[[#This Row],[Nth year]],LEN(Table1[[#This Row],[Nth year]])-FIND(":",Table1[[#This Row],[Nth year]])-1),"")</f>
        <v/>
      </c>
      <c r="Q292" s="50" t="str">
        <f t="array" ref="Q292">IFERROR(INDEX(Table2[Am Law 200 PPP Rank ’16],MATCH(1,(Table1[[#This Row],[Employer]]=Table2[EIW Name])*(Table1[[#This Row],[City, State]]=Table2[Offices Matched]),0)),"")</f>
        <v/>
      </c>
      <c r="R292" s="50" t="str">
        <f>IFERROR(LEFT(Table1[[#This Row],[Am Law 200 PPP Rank ’16]],FIND(":",Table1[[#This Row],[Am Law 200 PPP Rank ’16]])-1),"")</f>
        <v/>
      </c>
      <c r="S292" s="50">
        <f>IFERROR(INDEX(VaultRank[Rank],MATCH(Table1[[#This Row],[Employer]],VaultRank[EIW Name],0)),"")</f>
        <v>7</v>
      </c>
      <c r="T292" s="50" t="str">
        <f t="array" ref="T292">IFERROR(INDEX(Table2[Summers Matched],MATCH(1,(Table1[[#This Row],[Employer]]=Table2[EIW Name])*(Table1[[#This Row],[City, State]]=Table2[Offices Matched]),0)),"")</f>
        <v/>
      </c>
      <c r="U292" s="52" t="str">
        <f t="shared" si="4"/>
        <v/>
      </c>
      <c r="V292" s="60"/>
      <c r="W292" s="114">
        <v>42592</v>
      </c>
      <c r="X292"/>
    </row>
    <row r="293" spans="1:24" ht="14.1" customHeight="1">
      <c r="A293" s="45" t="s">
        <v>89</v>
      </c>
      <c r="B293" s="45" t="s">
        <v>299</v>
      </c>
      <c r="C293" s="45" t="s">
        <v>300</v>
      </c>
      <c r="D293" s="45" t="str">
        <f>Table1[[#This Row],[City]]&amp;", "&amp;Table1[[#This Row],[State]]</f>
        <v>Los Angeles, CA</v>
      </c>
      <c r="E293" s="49">
        <v>91</v>
      </c>
      <c r="F293" s="50">
        <v>19</v>
      </c>
      <c r="G293" s="50" t="str">
        <f t="array" ref="G293">IFERROR(INDEX(Table2[1st Year],MATCH(1,(Table1[[#This Row],[Employer]]=Table2[EIW Name])*(Table1[[#This Row],[City, State]]=Table2[Offices Matched]),0)),"")</f>
        <v>1st Year: $180K</v>
      </c>
      <c r="H293" s="50">
        <f>_xlfn.IFNA(INDEX(saCAGR[CAGR],MATCH(Table1[[#This Row],[Employer]],saCAGR[EIW Name],0)),"")</f>
        <v>1.0180368317639257</v>
      </c>
      <c r="I293" s="50">
        <f>IFERROR(Table1[[#This Row],[SA CAGR]]*Table1[[#This Row],[Number of Summer 2016 2L SAs]],"")</f>
        <v>19.342699803514588</v>
      </c>
      <c r="J293" s="50">
        <v>8</v>
      </c>
      <c r="K293" s="51">
        <f>IFERROR(Table1[[#This Row],[Number of Summer 2016 NYU 2L SAs]]/Table1[[#This Row],[Interview Slots]],0)</f>
        <v>8.7912087912087919E-2</v>
      </c>
      <c r="L293" s="51">
        <f>Table1[[#This Row],[Number of Summer 2016 2L SAs]]/Table1[[#This Row],[Interview Slots]]</f>
        <v>0.2087912087912088</v>
      </c>
      <c r="M293" s="51">
        <f>IFERROR(Table1[[#This Row],[Number of Summer 2016 NYU 2L SAs]]/Table1[[#This Row],[Number of Summer 2016 2L SAs]],0)</f>
        <v>0.42105263157894735</v>
      </c>
      <c r="N293" s="50" t="str">
        <f>IFERROR(RIGHT(Table1[[#This Row],[1st year]],LEN(Table1[[#This Row],[1st year]])-FIND(":",Table1[[#This Row],[1st year]])-1),"")</f>
        <v>$180K</v>
      </c>
      <c r="O293" s="50" t="str">
        <f t="array" ref="O293">IFERROR(INDEX(Table2[Nth year],MATCH(1,(Table1[[#This Row],[Employer]]=Table2[EIW Name])*(Table1[[#This Row],[City, State]]=Table2[Offices Matched]),0)),"")</f>
        <v>8th Year: $315K</v>
      </c>
      <c r="P293" s="50" t="str">
        <f>IFERROR(RIGHT(Table1[[#This Row],[Nth year]],LEN(Table1[[#This Row],[Nth year]])-FIND(":",Table1[[#This Row],[Nth year]])-1),"")</f>
        <v>$315K</v>
      </c>
      <c r="Q293" s="50" t="str">
        <f t="array" ref="Q293">IFERROR(INDEX(Table2[Am Law 200 PPP Rank ’16],MATCH(1,(Table1[[#This Row],[Employer]]=Table2[EIW Name])*(Table1[[#This Row],[City, State]]=Table2[Offices Matched]),0)),"")</f>
        <v>15: $2.91M</v>
      </c>
      <c r="R293" s="50" t="str">
        <f>IFERROR(LEFT(Table1[[#This Row],[Am Law 200 PPP Rank ’16]],FIND(":",Table1[[#This Row],[Am Law 200 PPP Rank ’16]])-1),"")</f>
        <v>15</v>
      </c>
      <c r="S293" s="50">
        <f>IFERROR(INDEX(VaultRank[Rank],MATCH(Table1[[#This Row],[Employer]],VaultRank[EIW Name],0)),"")</f>
        <v>7</v>
      </c>
      <c r="T293" s="50" t="str">
        <f t="array" ref="T293">IFERROR(INDEX(Table2[Summers Matched],MATCH(1,(Table1[[#This Row],[Employer]]=Table2[EIW Name])*(Table1[[#This Row],[City, State]]=Table2[Offices Matched]),0)),"")</f>
        <v>Yes</v>
      </c>
      <c r="U293" s="52" t="str">
        <f t="shared" si="4"/>
        <v/>
      </c>
      <c r="V293" s="60"/>
      <c r="W293" s="114">
        <v>42592</v>
      </c>
      <c r="X293"/>
    </row>
    <row r="294" spans="1:24" ht="14.1" customHeight="1">
      <c r="A294" s="45" t="s">
        <v>89</v>
      </c>
      <c r="B294" s="45" t="s">
        <v>382</v>
      </c>
      <c r="C294" s="45" t="s">
        <v>300</v>
      </c>
      <c r="D294" s="45" t="str">
        <f>Table1[[#This Row],[City]]&amp;", "&amp;Table1[[#This Row],[State]]</f>
        <v>Menlo Park, CA</v>
      </c>
      <c r="E294" s="49">
        <v>182</v>
      </c>
      <c r="F294" s="50">
        <v>9</v>
      </c>
      <c r="G294" s="50" t="str">
        <f t="array" ref="G294">IFERROR(INDEX(Table2[1st Year],MATCH(1,(Table1[[#This Row],[Employer]]=Table2[EIW Name])*(Table1[[#This Row],[City, State]]=Table2[Offices Matched]),0)),"")</f>
        <v>1st Year: $180K</v>
      </c>
      <c r="H294" s="50">
        <f>_xlfn.IFNA(INDEX(saCAGR[CAGR],MATCH(Table1[[#This Row],[Employer]],saCAGR[EIW Name],0)),"")</f>
        <v>1.0180368317639257</v>
      </c>
      <c r="I294" s="50">
        <f>IFERROR(Table1[[#This Row],[SA CAGR]]*Table1[[#This Row],[Number of Summer 2016 2L SAs]],"")</f>
        <v>9.1623314858753311</v>
      </c>
      <c r="J294" s="50">
        <v>7</v>
      </c>
      <c r="K294" s="51">
        <f>IFERROR(Table1[[#This Row],[Number of Summer 2016 NYU 2L SAs]]/Table1[[#This Row],[Interview Slots]],0)</f>
        <v>3.8461538461538464E-2</v>
      </c>
      <c r="L294" s="51">
        <f>Table1[[#This Row],[Number of Summer 2016 2L SAs]]/Table1[[#This Row],[Interview Slots]]</f>
        <v>4.9450549450549448E-2</v>
      </c>
      <c r="M294" s="51">
        <f>IFERROR(Table1[[#This Row],[Number of Summer 2016 NYU 2L SAs]]/Table1[[#This Row],[Number of Summer 2016 2L SAs]],0)</f>
        <v>0.77777777777777779</v>
      </c>
      <c r="N294" s="50" t="str">
        <f>IFERROR(RIGHT(Table1[[#This Row],[1st year]],LEN(Table1[[#This Row],[1st year]])-FIND(":",Table1[[#This Row],[1st year]])-1),"")</f>
        <v>$180K</v>
      </c>
      <c r="O294" s="50" t="str">
        <f t="array" ref="O294">IFERROR(INDEX(Table2[Nth year],MATCH(1,(Table1[[#This Row],[Employer]]=Table2[EIW Name])*(Table1[[#This Row],[City, State]]=Table2[Offices Matched]),0)),"")</f>
        <v>8th Year: $315K</v>
      </c>
      <c r="P294" s="50" t="str">
        <f>IFERROR(RIGHT(Table1[[#This Row],[Nth year]],LEN(Table1[[#This Row],[Nth year]])-FIND(":",Table1[[#This Row],[Nth year]])-1),"")</f>
        <v>$315K</v>
      </c>
      <c r="Q294" s="50" t="str">
        <f t="array" ref="Q294">IFERROR(INDEX(Table2[Am Law 200 PPP Rank ’16],MATCH(1,(Table1[[#This Row],[Employer]]=Table2[EIW Name])*(Table1[[#This Row],[City, State]]=Table2[Offices Matched]),0)),"")</f>
        <v>15: $2.91M</v>
      </c>
      <c r="R294" s="50" t="str">
        <f>IFERROR(LEFT(Table1[[#This Row],[Am Law 200 PPP Rank ’16]],FIND(":",Table1[[#This Row],[Am Law 200 PPP Rank ’16]])-1),"")</f>
        <v>15</v>
      </c>
      <c r="S294" s="50">
        <f>IFERROR(INDEX(VaultRank[Rank],MATCH(Table1[[#This Row],[Employer]],VaultRank[EIW Name],0)),"")</f>
        <v>7</v>
      </c>
      <c r="T294" s="50" t="str">
        <f t="array" ref="T294">IFERROR(INDEX(Table2[Summers Matched],MATCH(1,(Table1[[#This Row],[Employer]]=Table2[EIW Name])*(Table1[[#This Row],[City, State]]=Table2[Offices Matched]),0)),"")</f>
        <v>Yes</v>
      </c>
      <c r="U294" s="52" t="str">
        <f t="shared" si="4"/>
        <v/>
      </c>
      <c r="V294" s="60"/>
      <c r="W294" s="114">
        <v>42595</v>
      </c>
      <c r="X294"/>
    </row>
    <row r="295" spans="1:24" ht="14.1" customHeight="1">
      <c r="A295" s="45" t="s">
        <v>89</v>
      </c>
      <c r="B295" s="45" t="s">
        <v>375</v>
      </c>
      <c r="C295" s="45" t="s">
        <v>300</v>
      </c>
      <c r="D295" s="45" t="str">
        <f>Table1[[#This Row],[City]]&amp;", "&amp;Table1[[#This Row],[State]]</f>
        <v>San Diego, CA</v>
      </c>
      <c r="E295" s="49">
        <v>82</v>
      </c>
      <c r="F295" s="50">
        <v>9</v>
      </c>
      <c r="G295" s="50" t="str">
        <f t="array" ref="G295">IFERROR(INDEX(Table2[1st Year],MATCH(1,(Table1[[#This Row],[Employer]]=Table2[EIW Name])*(Table1[[#This Row],[City, State]]=Table2[Offices Matched]),0)),"")</f>
        <v>1st Year: $180K</v>
      </c>
      <c r="H295" s="50">
        <f>_xlfn.IFNA(INDEX(saCAGR[CAGR],MATCH(Table1[[#This Row],[Employer]],saCAGR[EIW Name],0)),"")</f>
        <v>1.0180368317639257</v>
      </c>
      <c r="I295" s="50">
        <f>IFERROR(Table1[[#This Row],[SA CAGR]]*Table1[[#This Row],[Number of Summer 2016 2L SAs]],"")</f>
        <v>9.1623314858753311</v>
      </c>
      <c r="J295" s="50">
        <v>3</v>
      </c>
      <c r="K295" s="51">
        <f>IFERROR(Table1[[#This Row],[Number of Summer 2016 NYU 2L SAs]]/Table1[[#This Row],[Interview Slots]],0)</f>
        <v>3.6585365853658534E-2</v>
      </c>
      <c r="L295" s="51">
        <f>Table1[[#This Row],[Number of Summer 2016 2L SAs]]/Table1[[#This Row],[Interview Slots]]</f>
        <v>0.10975609756097561</v>
      </c>
      <c r="M295" s="51">
        <f>IFERROR(Table1[[#This Row],[Number of Summer 2016 NYU 2L SAs]]/Table1[[#This Row],[Number of Summer 2016 2L SAs]],0)</f>
        <v>0.33333333333333331</v>
      </c>
      <c r="N295" s="50" t="str">
        <f>IFERROR(RIGHT(Table1[[#This Row],[1st year]],LEN(Table1[[#This Row],[1st year]])-FIND(":",Table1[[#This Row],[1st year]])-1),"")</f>
        <v>$180K</v>
      </c>
      <c r="O295" s="50" t="str">
        <f t="array" ref="O295">IFERROR(INDEX(Table2[Nth year],MATCH(1,(Table1[[#This Row],[Employer]]=Table2[EIW Name])*(Table1[[#This Row],[City, State]]=Table2[Offices Matched]),0)),"")</f>
        <v>8th Year: $315K</v>
      </c>
      <c r="P295" s="50" t="str">
        <f>IFERROR(RIGHT(Table1[[#This Row],[Nth year]],LEN(Table1[[#This Row],[Nth year]])-FIND(":",Table1[[#This Row],[Nth year]])-1),"")</f>
        <v>$315K</v>
      </c>
      <c r="Q295" s="50" t="str">
        <f t="array" ref="Q295">IFERROR(INDEX(Table2[Am Law 200 PPP Rank ’16],MATCH(1,(Table1[[#This Row],[Employer]]=Table2[EIW Name])*(Table1[[#This Row],[City, State]]=Table2[Offices Matched]),0)),"")</f>
        <v>15: $2.91M</v>
      </c>
      <c r="R295" s="50" t="str">
        <f>IFERROR(LEFT(Table1[[#This Row],[Am Law 200 PPP Rank ’16]],FIND(":",Table1[[#This Row],[Am Law 200 PPP Rank ’16]])-1),"")</f>
        <v>15</v>
      </c>
      <c r="S295" s="50">
        <f>IFERROR(INDEX(VaultRank[Rank],MATCH(Table1[[#This Row],[Employer]],VaultRank[EIW Name],0)),"")</f>
        <v>7</v>
      </c>
      <c r="T295" s="50" t="str">
        <f t="array" ref="T295">IFERROR(INDEX(Table2[Summers Matched],MATCH(1,(Table1[[#This Row],[Employer]]=Table2[EIW Name])*(Table1[[#This Row],[City, State]]=Table2[Offices Matched]),0)),"")</f>
        <v>Yes</v>
      </c>
      <c r="U295" s="52" t="str">
        <f t="shared" si="4"/>
        <v/>
      </c>
      <c r="V295" s="60"/>
      <c r="W295" s="114">
        <v>42593</v>
      </c>
      <c r="X295"/>
    </row>
    <row r="296" spans="1:24" ht="14.1" customHeight="1">
      <c r="A296" s="45" t="s">
        <v>89</v>
      </c>
      <c r="B296" s="45" t="s">
        <v>316</v>
      </c>
      <c r="C296" s="45" t="s">
        <v>300</v>
      </c>
      <c r="D296" s="45" t="str">
        <f>Table1[[#This Row],[City]]&amp;", "&amp;Table1[[#This Row],[State]]</f>
        <v>San Francisco, CA</v>
      </c>
      <c r="E296" s="49">
        <v>63</v>
      </c>
      <c r="F296" s="50">
        <v>11</v>
      </c>
      <c r="G296" s="50" t="str">
        <f t="array" ref="G296">IFERROR(INDEX(Table2[1st Year],MATCH(1,(Table1[[#This Row],[Employer]]=Table2[EIW Name])*(Table1[[#This Row],[City, State]]=Table2[Offices Matched]),0)),"")</f>
        <v>1st Year: $180K</v>
      </c>
      <c r="H296" s="50">
        <f>_xlfn.IFNA(INDEX(saCAGR[CAGR],MATCH(Table1[[#This Row],[Employer]],saCAGR[EIW Name],0)),"")</f>
        <v>1.0180368317639257</v>
      </c>
      <c r="I296" s="50">
        <f>IFERROR(Table1[[#This Row],[SA CAGR]]*Table1[[#This Row],[Number of Summer 2016 2L SAs]],"")</f>
        <v>11.198405149403182</v>
      </c>
      <c r="J296" s="50">
        <v>7</v>
      </c>
      <c r="K296" s="51">
        <f>IFERROR(Table1[[#This Row],[Number of Summer 2016 NYU 2L SAs]]/Table1[[#This Row],[Interview Slots]],0)</f>
        <v>0.1111111111111111</v>
      </c>
      <c r="L296" s="51">
        <f>Table1[[#This Row],[Number of Summer 2016 2L SAs]]/Table1[[#This Row],[Interview Slots]]</f>
        <v>0.17460317460317459</v>
      </c>
      <c r="M296" s="51">
        <f>IFERROR(Table1[[#This Row],[Number of Summer 2016 NYU 2L SAs]]/Table1[[#This Row],[Number of Summer 2016 2L SAs]],0)</f>
        <v>0.63636363636363635</v>
      </c>
      <c r="N296" s="50" t="str">
        <f>IFERROR(RIGHT(Table1[[#This Row],[1st year]],LEN(Table1[[#This Row],[1st year]])-FIND(":",Table1[[#This Row],[1st year]])-1),"")</f>
        <v>$180K</v>
      </c>
      <c r="O296" s="50" t="str">
        <f t="array" ref="O296">IFERROR(INDEX(Table2[Nth year],MATCH(1,(Table1[[#This Row],[Employer]]=Table2[EIW Name])*(Table1[[#This Row],[City, State]]=Table2[Offices Matched]),0)),"")</f>
        <v>8th Year: $315K</v>
      </c>
      <c r="P296" s="50" t="str">
        <f>IFERROR(RIGHT(Table1[[#This Row],[Nth year]],LEN(Table1[[#This Row],[Nth year]])-FIND(":",Table1[[#This Row],[Nth year]])-1),"")</f>
        <v>$315K</v>
      </c>
      <c r="Q296" s="50" t="str">
        <f t="array" ref="Q296">IFERROR(INDEX(Table2[Am Law 200 PPP Rank ’16],MATCH(1,(Table1[[#This Row],[Employer]]=Table2[EIW Name])*(Table1[[#This Row],[City, State]]=Table2[Offices Matched]),0)),"")</f>
        <v>15: $2.91M</v>
      </c>
      <c r="R296" s="50" t="str">
        <f>IFERROR(LEFT(Table1[[#This Row],[Am Law 200 PPP Rank ’16]],FIND(":",Table1[[#This Row],[Am Law 200 PPP Rank ’16]])-1),"")</f>
        <v>15</v>
      </c>
      <c r="S296" s="50">
        <f>IFERROR(INDEX(VaultRank[Rank],MATCH(Table1[[#This Row],[Employer]],VaultRank[EIW Name],0)),"")</f>
        <v>7</v>
      </c>
      <c r="T296" s="50" t="str">
        <f t="array" ref="T296">IFERROR(INDEX(Table2[Summers Matched],MATCH(1,(Table1[[#This Row],[Employer]]=Table2[EIW Name])*(Table1[[#This Row],[City, State]]=Table2[Offices Matched]),0)),"")</f>
        <v>Yes</v>
      </c>
      <c r="U296" s="52" t="str">
        <f t="shared" si="4"/>
        <v/>
      </c>
      <c r="V296" s="60"/>
      <c r="W296" s="114">
        <v>42592</v>
      </c>
      <c r="X296"/>
    </row>
    <row r="297" spans="1:24" ht="14.1" customHeight="1">
      <c r="A297" s="45" t="s">
        <v>89</v>
      </c>
      <c r="B297" s="45" t="s">
        <v>301</v>
      </c>
      <c r="C297" s="45" t="s">
        <v>302</v>
      </c>
      <c r="D297" s="45" t="str">
        <f>Table1[[#This Row],[City]]&amp;", "&amp;Table1[[#This Row],[State]]</f>
        <v>Washington, DC</v>
      </c>
      <c r="E297" s="49">
        <v>40</v>
      </c>
      <c r="F297" s="50">
        <v>35</v>
      </c>
      <c r="G297" s="50" t="str">
        <f t="array" ref="G297">IFERROR(INDEX(Table2[1st Year],MATCH(1,(Table1[[#This Row],[Employer]]=Table2[EIW Name])*(Table1[[#This Row],[City, State]]=Table2[Offices Matched]),0)),"")</f>
        <v/>
      </c>
      <c r="H297" s="50">
        <f>_xlfn.IFNA(INDEX(saCAGR[CAGR],MATCH(Table1[[#This Row],[Employer]],saCAGR[EIW Name],0)),"")</f>
        <v>1.0180368317639257</v>
      </c>
      <c r="I297" s="50">
        <f>IFERROR(Table1[[#This Row],[SA CAGR]]*Table1[[#This Row],[Number of Summer 2016 2L SAs]],"")</f>
        <v>35.631289111737402</v>
      </c>
      <c r="J297" s="50">
        <v>12</v>
      </c>
      <c r="K297" s="51">
        <f>IFERROR(Table1[[#This Row],[Number of Summer 2016 NYU 2L SAs]]/Table1[[#This Row],[Interview Slots]],0)</f>
        <v>0.3</v>
      </c>
      <c r="L297" s="51">
        <f>Table1[[#This Row],[Number of Summer 2016 2L SAs]]/Table1[[#This Row],[Interview Slots]]</f>
        <v>0.875</v>
      </c>
      <c r="M297" s="51">
        <f>IFERROR(Table1[[#This Row],[Number of Summer 2016 NYU 2L SAs]]/Table1[[#This Row],[Number of Summer 2016 2L SAs]],0)</f>
        <v>0.34285714285714286</v>
      </c>
      <c r="N297" s="50" t="str">
        <f>IFERROR(RIGHT(Table1[[#This Row],[1st year]],LEN(Table1[[#This Row],[1st year]])-FIND(":",Table1[[#This Row],[1st year]])-1),"")</f>
        <v/>
      </c>
      <c r="O297" s="50" t="str">
        <f t="array" ref="O297">IFERROR(INDEX(Table2[Nth year],MATCH(1,(Table1[[#This Row],[Employer]]=Table2[EIW Name])*(Table1[[#This Row],[City, State]]=Table2[Offices Matched]),0)),"")</f>
        <v/>
      </c>
      <c r="P297" s="50" t="str">
        <f>IFERROR(RIGHT(Table1[[#This Row],[Nth year]],LEN(Table1[[#This Row],[Nth year]])-FIND(":",Table1[[#This Row],[Nth year]])-1),"")</f>
        <v/>
      </c>
      <c r="Q297" s="50" t="str">
        <f t="array" ref="Q297">IFERROR(INDEX(Table2[Am Law 200 PPP Rank ’16],MATCH(1,(Table1[[#This Row],[Employer]]=Table2[EIW Name])*(Table1[[#This Row],[City, State]]=Table2[Offices Matched]),0)),"")</f>
        <v/>
      </c>
      <c r="R297" s="50" t="str">
        <f>IFERROR(LEFT(Table1[[#This Row],[Am Law 200 PPP Rank ’16]],FIND(":",Table1[[#This Row],[Am Law 200 PPP Rank ’16]])-1),"")</f>
        <v/>
      </c>
      <c r="S297" s="50">
        <f>IFERROR(INDEX(VaultRank[Rank],MATCH(Table1[[#This Row],[Employer]],VaultRank[EIW Name],0)),"")</f>
        <v>7</v>
      </c>
      <c r="T297" s="50" t="str">
        <f t="array" ref="T297">IFERROR(INDEX(Table2[Summers Matched],MATCH(1,(Table1[[#This Row],[Employer]]=Table2[EIW Name])*(Table1[[#This Row],[City, State]]=Table2[Offices Matched]),0)),"")</f>
        <v/>
      </c>
      <c r="U297" s="52" t="str">
        <f t="shared" si="4"/>
        <v/>
      </c>
      <c r="V297" s="60"/>
      <c r="W297" s="114">
        <v>42592</v>
      </c>
      <c r="X297"/>
    </row>
    <row r="298" spans="1:24" ht="14.1" customHeight="1">
      <c r="A298" s="61" t="s">
        <v>89</v>
      </c>
      <c r="B298" s="61" t="s">
        <v>451</v>
      </c>
      <c r="C298" s="45" t="s">
        <v>456</v>
      </c>
      <c r="D298" s="45" t="str">
        <f>Table1[[#This Row],[City]]&amp;", "&amp;Table1[[#This Row],[State]]</f>
        <v>Hong Kong, China</v>
      </c>
      <c r="E298" s="49">
        <v>195</v>
      </c>
      <c r="F298" s="50">
        <v>3</v>
      </c>
      <c r="G298" s="50" t="str">
        <f t="array" ref="G298">IFERROR(INDEX(Table2[1st Year],MATCH(1,(Table1[[#This Row],[Employer]]=Table2[EIW Name])*(Table1[[#This Row],[City, State]]=Table2[Offices Matched]),0)),"")</f>
        <v>1st Year: $180K</v>
      </c>
      <c r="H298" s="50">
        <f>_xlfn.IFNA(INDEX(saCAGR[CAGR],MATCH(Table1[[#This Row],[Employer]],saCAGR[EIW Name],0)),"")</f>
        <v>1.0180368317639257</v>
      </c>
      <c r="I298" s="50">
        <f>IFERROR(Table1[[#This Row],[SA CAGR]]*Table1[[#This Row],[Number of Summer 2016 2L SAs]],"")</f>
        <v>3.054110495291777</v>
      </c>
      <c r="J298" s="50">
        <v>14</v>
      </c>
      <c r="K298" s="51">
        <f>IFERROR(Table1[[#This Row],[Number of Summer 2016 NYU 2L SAs]]/Table1[[#This Row],[Interview Slots]],0)</f>
        <v>7.179487179487179E-2</v>
      </c>
      <c r="L298" s="51">
        <f>Table1[[#This Row],[Number of Summer 2016 2L SAs]]/Table1[[#This Row],[Interview Slots]]</f>
        <v>1.5384615384615385E-2</v>
      </c>
      <c r="M298" s="51">
        <f>IFERROR(Table1[[#This Row],[Number of Summer 2016 NYU 2L SAs]]/Table1[[#This Row],[Number of Summer 2016 2L SAs]],0)</f>
        <v>4.666666666666667</v>
      </c>
      <c r="N298" s="50" t="str">
        <f>IFERROR(RIGHT(Table1[[#This Row],[1st year]],LEN(Table1[[#This Row],[1st year]])-FIND(":",Table1[[#This Row],[1st year]])-1),"")</f>
        <v>$180K</v>
      </c>
      <c r="O298" s="50" t="str">
        <f t="array" ref="O298">IFERROR(INDEX(Table2[Nth year],MATCH(1,(Table1[[#This Row],[Employer]]=Table2[EIW Name])*(Table1[[#This Row],[City, State]]=Table2[Offices Matched]),0)),"")</f>
        <v>8th Year: $315K</v>
      </c>
      <c r="P298" s="50" t="str">
        <f>IFERROR(RIGHT(Table1[[#This Row],[Nth year]],LEN(Table1[[#This Row],[Nth year]])-FIND(":",Table1[[#This Row],[Nth year]])-1),"")</f>
        <v>$315K</v>
      </c>
      <c r="Q298" s="50" t="str">
        <f t="array" ref="Q298">IFERROR(INDEX(Table2[Am Law 200 PPP Rank ’16],MATCH(1,(Table1[[#This Row],[Employer]]=Table2[EIW Name])*(Table1[[#This Row],[City, State]]=Table2[Offices Matched]),0)),"")</f>
        <v>15: $2.91M</v>
      </c>
      <c r="R298" s="50" t="str">
        <f>IFERROR(LEFT(Table1[[#This Row],[Am Law 200 PPP Rank ’16]],FIND(":",Table1[[#This Row],[Am Law 200 PPP Rank ’16]])-1),"")</f>
        <v>15</v>
      </c>
      <c r="S298" s="50">
        <f>IFERROR(INDEX(VaultRank[Rank],MATCH(Table1[[#This Row],[Employer]],VaultRank[EIW Name],0)),"")</f>
        <v>7</v>
      </c>
      <c r="T298" s="50" t="str">
        <f t="array" ref="T298">IFERROR(INDEX(Table2[Summers Matched],MATCH(1,(Table1[[#This Row],[Employer]]=Table2[EIW Name])*(Table1[[#This Row],[City, State]]=Table2[Offices Matched]),0)),"")</f>
        <v>Yes</v>
      </c>
      <c r="U298" s="52" t="str">
        <f t="shared" si="4"/>
        <v/>
      </c>
      <c r="V298" s="60"/>
      <c r="W298" s="114">
        <v>42592</v>
      </c>
      <c r="X298"/>
    </row>
    <row r="299" spans="1:24" ht="14.1" customHeight="1">
      <c r="A299" s="45" t="s">
        <v>89</v>
      </c>
      <c r="B299" s="45" t="s">
        <v>367</v>
      </c>
      <c r="C299" s="45" t="s">
        <v>368</v>
      </c>
      <c r="D299" s="45" t="str">
        <f>Table1[[#This Row],[City]]&amp;", "&amp;Table1[[#This Row],[State]]</f>
        <v>Boston, MA</v>
      </c>
      <c r="E299" s="49">
        <v>28</v>
      </c>
      <c r="F299" s="50">
        <v>6</v>
      </c>
      <c r="G299" s="50" t="str">
        <f t="array" ref="G299">IFERROR(INDEX(Table2[1st Year],MATCH(1,(Table1[[#This Row],[Employer]]=Table2[EIW Name])*(Table1[[#This Row],[City, State]]=Table2[Offices Matched]),0)),"")</f>
        <v>1st Year: $180K</v>
      </c>
      <c r="H299" s="50">
        <f>_xlfn.IFNA(INDEX(saCAGR[CAGR],MATCH(Table1[[#This Row],[Employer]],saCAGR[EIW Name],0)),"")</f>
        <v>1.0180368317639257</v>
      </c>
      <c r="I299" s="50">
        <f>IFERROR(Table1[[#This Row],[SA CAGR]]*Table1[[#This Row],[Number of Summer 2016 2L SAs]],"")</f>
        <v>6.1082209905835541</v>
      </c>
      <c r="J299" s="50">
        <v>11</v>
      </c>
      <c r="K299" s="51">
        <f>IFERROR(Table1[[#This Row],[Number of Summer 2016 NYU 2L SAs]]/Table1[[#This Row],[Interview Slots]],0)</f>
        <v>0.39285714285714285</v>
      </c>
      <c r="L299" s="51">
        <f>Table1[[#This Row],[Number of Summer 2016 2L SAs]]/Table1[[#This Row],[Interview Slots]]</f>
        <v>0.21428571428571427</v>
      </c>
      <c r="M299" s="51">
        <f>IFERROR(Table1[[#This Row],[Number of Summer 2016 NYU 2L SAs]]/Table1[[#This Row],[Number of Summer 2016 2L SAs]],0)</f>
        <v>1.8333333333333333</v>
      </c>
      <c r="N299" s="50" t="str">
        <f>IFERROR(RIGHT(Table1[[#This Row],[1st year]],LEN(Table1[[#This Row],[1st year]])-FIND(":",Table1[[#This Row],[1st year]])-1),"")</f>
        <v>$180K</v>
      </c>
      <c r="O299" s="50" t="str">
        <f t="array" ref="O299">IFERROR(INDEX(Table2[Nth year],MATCH(1,(Table1[[#This Row],[Employer]]=Table2[EIW Name])*(Table1[[#This Row],[City, State]]=Table2[Offices Matched]),0)),"")</f>
        <v>8th Year: $315K</v>
      </c>
      <c r="P299" s="50" t="str">
        <f>IFERROR(RIGHT(Table1[[#This Row],[Nth year]],LEN(Table1[[#This Row],[Nth year]])-FIND(":",Table1[[#This Row],[Nth year]])-1),"")</f>
        <v>$315K</v>
      </c>
      <c r="Q299" s="50" t="str">
        <f t="array" ref="Q299">IFERROR(INDEX(Table2[Am Law 200 PPP Rank ’16],MATCH(1,(Table1[[#This Row],[Employer]]=Table2[EIW Name])*(Table1[[#This Row],[City, State]]=Table2[Offices Matched]),0)),"")</f>
        <v>15: $2.91M</v>
      </c>
      <c r="R299" s="50" t="str">
        <f>IFERROR(LEFT(Table1[[#This Row],[Am Law 200 PPP Rank ’16]],FIND(":",Table1[[#This Row],[Am Law 200 PPP Rank ’16]])-1),"")</f>
        <v>15</v>
      </c>
      <c r="S299" s="50">
        <f>IFERROR(INDEX(VaultRank[Rank],MATCH(Table1[[#This Row],[Employer]],VaultRank[EIW Name],0)),"")</f>
        <v>7</v>
      </c>
      <c r="T299" s="50" t="str">
        <f t="array" ref="T299">IFERROR(INDEX(Table2[Summers Matched],MATCH(1,(Table1[[#This Row],[Employer]]=Table2[EIW Name])*(Table1[[#This Row],[City, State]]=Table2[Offices Matched]),0)),"")</f>
        <v>Yes</v>
      </c>
      <c r="U299" s="52">
        <f t="shared" si="4"/>
        <v>3.6</v>
      </c>
      <c r="V299" s="60"/>
      <c r="W299" s="114">
        <v>42593</v>
      </c>
      <c r="X299"/>
    </row>
    <row r="300" spans="1:24" ht="14.1" customHeight="1">
      <c r="A300" s="61" t="s">
        <v>89</v>
      </c>
      <c r="B300" s="61" t="s">
        <v>454</v>
      </c>
      <c r="C300" s="45" t="s">
        <v>455</v>
      </c>
      <c r="D300" s="45" t="str">
        <f>Table1[[#This Row],[City]]&amp;", "&amp;Table1[[#This Row],[State]]</f>
        <v>Singapore, Singapore- International</v>
      </c>
      <c r="E300" s="49">
        <v>14</v>
      </c>
      <c r="F300" s="50">
        <v>1</v>
      </c>
      <c r="G300" s="50" t="str">
        <f t="array" ref="G300">IFERROR(INDEX(Table2[1st Year],MATCH(1,(Table1[[#This Row],[Employer]]=Table2[EIW Name])*(Table1[[#This Row],[City, State]]=Table2[Offices Matched]),0)),"")</f>
        <v/>
      </c>
      <c r="H300" s="50">
        <f>_xlfn.IFNA(INDEX(saCAGR[CAGR],MATCH(Table1[[#This Row],[Employer]],saCAGR[EIW Name],0)),"")</f>
        <v>1.0180368317639257</v>
      </c>
      <c r="I300" s="50">
        <f>IFERROR(Table1[[#This Row],[SA CAGR]]*Table1[[#This Row],[Number of Summer 2016 2L SAs]],"")</f>
        <v>1.0180368317639257</v>
      </c>
      <c r="J300" s="50">
        <v>23</v>
      </c>
      <c r="K300" s="51">
        <f>IFERROR(Table1[[#This Row],[Number of Summer 2016 NYU 2L SAs]]/Table1[[#This Row],[Interview Slots]],0)</f>
        <v>1.6428571428571428</v>
      </c>
      <c r="L300" s="51">
        <f>Table1[[#This Row],[Number of Summer 2016 2L SAs]]/Table1[[#This Row],[Interview Slots]]</f>
        <v>7.1428571428571425E-2</v>
      </c>
      <c r="M300" s="51">
        <f>IFERROR(Table1[[#This Row],[Number of Summer 2016 NYU 2L SAs]]/Table1[[#This Row],[Number of Summer 2016 2L SAs]],0)</f>
        <v>23</v>
      </c>
      <c r="N300" s="50" t="str">
        <f>IFERROR(RIGHT(Table1[[#This Row],[1st year]],LEN(Table1[[#This Row],[1st year]])-FIND(":",Table1[[#This Row],[1st year]])-1),"")</f>
        <v/>
      </c>
      <c r="O300" s="50" t="str">
        <f t="array" ref="O300">IFERROR(INDEX(Table2[Nth year],MATCH(1,(Table1[[#This Row],[Employer]]=Table2[EIW Name])*(Table1[[#This Row],[City, State]]=Table2[Offices Matched]),0)),"")</f>
        <v/>
      </c>
      <c r="P300" s="50" t="str">
        <f>IFERROR(RIGHT(Table1[[#This Row],[Nth year]],LEN(Table1[[#This Row],[Nth year]])-FIND(":",Table1[[#This Row],[Nth year]])-1),"")</f>
        <v/>
      </c>
      <c r="Q300" s="50" t="str">
        <f t="array" ref="Q300">IFERROR(INDEX(Table2[Am Law 200 PPP Rank ’16],MATCH(1,(Table1[[#This Row],[Employer]]=Table2[EIW Name])*(Table1[[#This Row],[City, State]]=Table2[Offices Matched]),0)),"")</f>
        <v/>
      </c>
      <c r="R300" s="50" t="str">
        <f>IFERROR(LEFT(Table1[[#This Row],[Am Law 200 PPP Rank ’16]],FIND(":",Table1[[#This Row],[Am Law 200 PPP Rank ’16]])-1),"")</f>
        <v/>
      </c>
      <c r="S300" s="50">
        <f>IFERROR(INDEX(VaultRank[Rank],MATCH(Table1[[#This Row],[Employer]],VaultRank[EIW Name],0)),"")</f>
        <v>7</v>
      </c>
      <c r="T300" s="50" t="str">
        <f t="array" ref="T300">IFERROR(INDEX(Table2[Summers Matched],MATCH(1,(Table1[[#This Row],[Employer]]=Table2[EIW Name])*(Table1[[#This Row],[City, State]]=Table2[Offices Matched]),0)),"")</f>
        <v/>
      </c>
      <c r="U300" s="52" t="str">
        <f t="shared" si="4"/>
        <v/>
      </c>
      <c r="V300" s="60"/>
      <c r="W300" s="114">
        <v>42595</v>
      </c>
      <c r="X300"/>
    </row>
    <row r="301" spans="1:24" ht="14.1" customHeight="1">
      <c r="A301" s="45" t="s">
        <v>89</v>
      </c>
      <c r="B301" s="45" t="s">
        <v>331</v>
      </c>
      <c r="C301" s="45" t="s">
        <v>314</v>
      </c>
      <c r="D301" s="45" t="str">
        <f>Table1[[#This Row],[City]]&amp;", "&amp;Table1[[#This Row],[State]]</f>
        <v>Houston, TX</v>
      </c>
      <c r="E301" s="49">
        <v>65</v>
      </c>
      <c r="F301" s="50">
        <v>14</v>
      </c>
      <c r="G301" s="50" t="str">
        <f t="array" ref="G301">IFERROR(INDEX(Table2[1st Year],MATCH(1,(Table1[[#This Row],[Employer]]=Table2[EIW Name])*(Table1[[#This Row],[City, State]]=Table2[Offices Matched]),0)),"")</f>
        <v>1st Year: $180K</v>
      </c>
      <c r="H301" s="50">
        <f>_xlfn.IFNA(INDEX(saCAGR[CAGR],MATCH(Table1[[#This Row],[Employer]],saCAGR[EIW Name],0)),"")</f>
        <v>1.0180368317639257</v>
      </c>
      <c r="I301" s="50">
        <f>IFERROR(Table1[[#This Row],[SA CAGR]]*Table1[[#This Row],[Number of Summer 2016 2L SAs]],"")</f>
        <v>14.252515644694959</v>
      </c>
      <c r="J301" s="50">
        <v>3</v>
      </c>
      <c r="K301" s="51">
        <f>IFERROR(Table1[[#This Row],[Number of Summer 2016 NYU 2L SAs]]/Table1[[#This Row],[Interview Slots]],0)</f>
        <v>4.6153846153846156E-2</v>
      </c>
      <c r="L301" s="51">
        <f>Table1[[#This Row],[Number of Summer 2016 2L SAs]]/Table1[[#This Row],[Interview Slots]]</f>
        <v>0.2153846153846154</v>
      </c>
      <c r="M301" s="51">
        <f>IFERROR(Table1[[#This Row],[Number of Summer 2016 NYU 2L SAs]]/Table1[[#This Row],[Number of Summer 2016 2L SAs]],0)</f>
        <v>0.21428571428571427</v>
      </c>
      <c r="N301" s="50" t="str">
        <f>IFERROR(RIGHT(Table1[[#This Row],[1st year]],LEN(Table1[[#This Row],[1st year]])-FIND(":",Table1[[#This Row],[1st year]])-1),"")</f>
        <v>$180K</v>
      </c>
      <c r="O301" s="50" t="str">
        <f t="array" ref="O301">IFERROR(INDEX(Table2[Nth year],MATCH(1,(Table1[[#This Row],[Employer]]=Table2[EIW Name])*(Table1[[#This Row],[City, State]]=Table2[Offices Matched]),0)),"")</f>
        <v>8th Year: $315K</v>
      </c>
      <c r="P301" s="50" t="str">
        <f>IFERROR(RIGHT(Table1[[#This Row],[Nth year]],LEN(Table1[[#This Row],[Nth year]])-FIND(":",Table1[[#This Row],[Nth year]])-1),"")</f>
        <v>$315K</v>
      </c>
      <c r="Q301" s="50" t="str">
        <f t="array" ref="Q301">IFERROR(INDEX(Table2[Am Law 200 PPP Rank ’16],MATCH(1,(Table1[[#This Row],[Employer]]=Table2[EIW Name])*(Table1[[#This Row],[City, State]]=Table2[Offices Matched]),0)),"")</f>
        <v>15: $2.91M</v>
      </c>
      <c r="R301" s="50" t="str">
        <f>IFERROR(LEFT(Table1[[#This Row],[Am Law 200 PPP Rank ’16]],FIND(":",Table1[[#This Row],[Am Law 200 PPP Rank ’16]])-1),"")</f>
        <v>15</v>
      </c>
      <c r="S301" s="50">
        <f>IFERROR(INDEX(VaultRank[Rank],MATCH(Table1[[#This Row],[Employer]],VaultRank[EIW Name],0)),"")</f>
        <v>7</v>
      </c>
      <c r="T301" s="50" t="str">
        <f t="array" ref="T301">IFERROR(INDEX(Table2[Summers Matched],MATCH(1,(Table1[[#This Row],[Employer]]=Table2[EIW Name])*(Table1[[#This Row],[City, State]]=Table2[Offices Matched]),0)),"")</f>
        <v>Yes</v>
      </c>
      <c r="U301" s="52" t="str">
        <f t="shared" si="4"/>
        <v/>
      </c>
      <c r="V301" s="60"/>
      <c r="W301" s="114">
        <v>42593</v>
      </c>
      <c r="X301"/>
    </row>
    <row r="302" spans="1:24" ht="14.1" customHeight="1">
      <c r="A302" s="45" t="s">
        <v>317</v>
      </c>
      <c r="B302" s="45" t="s">
        <v>364</v>
      </c>
      <c r="C302" s="45" t="s">
        <v>362</v>
      </c>
      <c r="D302" s="45" t="str">
        <f>Table1[[#This Row],[City]]&amp;", "&amp;Table1[[#This Row],[State]]</f>
        <v>New York, NY</v>
      </c>
      <c r="E302" s="49">
        <v>33</v>
      </c>
      <c r="F302" s="50">
        <v>4</v>
      </c>
      <c r="G302" s="50" t="str">
        <f t="array" ref="G302">IFERROR(INDEX(Table2[1st Year],MATCH(1,(Table1[[#This Row],[Employer]]=Table2[EIW Name])*(Table1[[#This Row],[City, State]]=Table2[Offices Matched]),0)),"")</f>
        <v/>
      </c>
      <c r="H302" s="50">
        <f>_xlfn.IFNA(INDEX(saCAGR[CAGR],MATCH(Table1[[#This Row],[Employer]],saCAGR[EIW Name],0)),"")</f>
        <v>1.0162651532323876</v>
      </c>
      <c r="I302" s="50">
        <f>IFERROR(Table1[[#This Row],[SA CAGR]]*Table1[[#This Row],[Number of Summer 2016 2L SAs]],"")</f>
        <v>4.0650606129295506</v>
      </c>
      <c r="J302" s="50">
        <v>25</v>
      </c>
      <c r="K302" s="51">
        <f>IFERROR(Table1[[#This Row],[Number of Summer 2016 NYU 2L SAs]]/Table1[[#This Row],[Interview Slots]],0)</f>
        <v>0.75757575757575757</v>
      </c>
      <c r="L302" s="51">
        <f>Table1[[#This Row],[Number of Summer 2016 2L SAs]]/Table1[[#This Row],[Interview Slots]]</f>
        <v>0.12121212121212122</v>
      </c>
      <c r="M302" s="51">
        <f>IFERROR(Table1[[#This Row],[Number of Summer 2016 NYU 2L SAs]]/Table1[[#This Row],[Number of Summer 2016 2L SAs]],0)</f>
        <v>6.25</v>
      </c>
      <c r="N302" s="50" t="str">
        <f>IFERROR(RIGHT(Table1[[#This Row],[1st year]],LEN(Table1[[#This Row],[1st year]])-FIND(":",Table1[[#This Row],[1st year]])-1),"")</f>
        <v/>
      </c>
      <c r="O302" s="50" t="str">
        <f t="array" ref="O302">IFERROR(INDEX(Table2[Nth year],MATCH(1,(Table1[[#This Row],[Employer]]=Table2[EIW Name])*(Table1[[#This Row],[City, State]]=Table2[Offices Matched]),0)),"")</f>
        <v/>
      </c>
      <c r="P302" s="50" t="str">
        <f>IFERROR(RIGHT(Table1[[#This Row],[Nth year]],LEN(Table1[[#This Row],[Nth year]])-FIND(":",Table1[[#This Row],[Nth year]])-1),"")</f>
        <v/>
      </c>
      <c r="Q302" s="50" t="str">
        <f t="array" ref="Q302">IFERROR(INDEX(Table2[Am Law 200 PPP Rank ’16],MATCH(1,(Table1[[#This Row],[Employer]]=Table2[EIW Name])*(Table1[[#This Row],[City, State]]=Table2[Offices Matched]),0)),"")</f>
        <v/>
      </c>
      <c r="R302" s="50" t="str">
        <f>IFERROR(LEFT(Table1[[#This Row],[Am Law 200 PPP Rank ’16]],FIND(":",Table1[[#This Row],[Am Law 200 PPP Rank ’16]])-1),"")</f>
        <v/>
      </c>
      <c r="S302" s="50">
        <f>IFERROR(INDEX(VaultRank[Rank],MATCH(Table1[[#This Row],[Employer]],VaultRank[EIW Name],0)),"")</f>
        <v>64</v>
      </c>
      <c r="T302" s="50" t="str">
        <f t="array" ref="T302">IFERROR(INDEX(Table2[Summers Matched],MATCH(1,(Table1[[#This Row],[Employer]]=Table2[EIW Name])*(Table1[[#This Row],[City, State]]=Table2[Offices Matched]),0)),"")</f>
        <v/>
      </c>
      <c r="U302" s="52" t="str">
        <f t="shared" si="4"/>
        <v/>
      </c>
      <c r="V302" s="60"/>
      <c r="W302" s="114">
        <v>42594</v>
      </c>
      <c r="X302"/>
    </row>
    <row r="303" spans="1:24" ht="14.1" customHeight="1">
      <c r="A303" s="45" t="s">
        <v>89</v>
      </c>
      <c r="B303" s="45"/>
      <c r="C303" s="45"/>
      <c r="D303" s="46" t="s">
        <v>535</v>
      </c>
      <c r="E303" s="62">
        <v>60</v>
      </c>
      <c r="F303" s="50"/>
      <c r="G303" s="50" t="str">
        <f t="array" ref="G303">IFERROR(INDEX(Table2[1st Year],MATCH(1,(Table1[[#This Row],[Employer]]=Table2[EIW Name])*(Table1[[#This Row],[City, State]]=Table2[Offices Matched]),0)),"")</f>
        <v/>
      </c>
      <c r="H303" s="50">
        <f>_xlfn.IFNA(INDEX(saCAGR[CAGR],MATCH(Table1[[#This Row],[Employer]],saCAGR[EIW Name],0)),"")</f>
        <v>1.0180368317639257</v>
      </c>
      <c r="I303" s="50">
        <f>IFERROR(Table1[[#This Row],[SA CAGR]]*Table1[[#This Row],[Number of Summer 2016 2L SAs]],"")</f>
        <v>0</v>
      </c>
      <c r="J303" s="50">
        <v>22</v>
      </c>
      <c r="K303" s="51">
        <f>IFERROR(Table1[[#This Row],[Number of Summer 2016 NYU 2L SAs]]/Table1[[#This Row],[Interview Slots]],0)</f>
        <v>0.36666666666666664</v>
      </c>
      <c r="L303" s="51">
        <f>Table1[[#This Row],[Number of Summer 2016 2L SAs]]/Table1[[#This Row],[Interview Slots]]</f>
        <v>0</v>
      </c>
      <c r="M303" s="51">
        <f>IFERROR(Table1[[#This Row],[Number of Summer 2016 NYU 2L SAs]]/Table1[[#This Row],[Number of Summer 2016 2L SAs]],0)</f>
        <v>0</v>
      </c>
      <c r="N303" s="50" t="str">
        <f>IFERROR(RIGHT(Table1[[#This Row],[1st year]],LEN(Table1[[#This Row],[1st year]])-FIND(":",Table1[[#This Row],[1st year]])-1),"")</f>
        <v/>
      </c>
      <c r="O303" s="50" t="str">
        <f t="array" ref="O303">IFERROR(INDEX(Table2[Nth year],MATCH(1,(Table1[[#This Row],[Employer]]=Table2[EIW Name])*(Table1[[#This Row],[City, State]]=Table2[Offices Matched]),0)),"")</f>
        <v/>
      </c>
      <c r="P303" s="50" t="str">
        <f>IFERROR(RIGHT(Table1[[#This Row],[Nth year]],LEN(Table1[[#This Row],[Nth year]])-FIND(":",Table1[[#This Row],[Nth year]])-1),"")</f>
        <v/>
      </c>
      <c r="Q303" s="50" t="str">
        <f t="array" ref="Q303">IFERROR(INDEX(Table2[Am Law 200 PPP Rank ’16],MATCH(1,(Table1[[#This Row],[Employer]]=Table2[EIW Name])*(Table1[[#This Row],[City, State]]=Table2[Offices Matched]),0)),"")</f>
        <v/>
      </c>
      <c r="R303" s="50" t="str">
        <f>IFERROR(LEFT(Table1[[#This Row],[Am Law 200 PPP Rank ’16]],FIND(":",Table1[[#This Row],[Am Law 200 PPP Rank ’16]])-1),"")</f>
        <v/>
      </c>
      <c r="S303" s="50">
        <f>IFERROR(INDEX(VaultRank[Rank],MATCH(Table1[[#This Row],[Employer]],VaultRank[EIW Name],0)),"")</f>
        <v>7</v>
      </c>
      <c r="T303" s="50" t="str">
        <f t="array" ref="T303">IFERROR(INDEX(Table2[Summers Matched],MATCH(1,(Table1[[#This Row],[Employer]]=Table2[EIW Name])*(Table1[[#This Row],[City, State]]=Table2[Offices Matched]),0)),"")</f>
        <v/>
      </c>
      <c r="U303" s="52" t="str">
        <f t="shared" si="4"/>
        <v/>
      </c>
      <c r="V303" s="60"/>
      <c r="W303" s="114">
        <v>42595</v>
      </c>
      <c r="X303"/>
    </row>
    <row r="304" spans="1:24" ht="14.1" customHeight="1">
      <c r="A304" s="45" t="s">
        <v>499</v>
      </c>
      <c r="B304" s="45" t="s">
        <v>364</v>
      </c>
      <c r="C304" s="45" t="s">
        <v>362</v>
      </c>
      <c r="D304" s="45" t="str">
        <f>Table1[[#This Row],[City]]&amp;", "&amp;Table1[[#This Row],[State]]</f>
        <v>New York, NY</v>
      </c>
      <c r="E304" s="49">
        <v>29</v>
      </c>
      <c r="F304" s="50">
        <v>8</v>
      </c>
      <c r="G304" s="50" t="str">
        <f t="array" ref="G304">IFERROR(INDEX(Table2[1st Year],MATCH(1,(Table1[[#This Row],[Employer]]=Table2[EIW Name])*(Table1[[#This Row],[City, State]]=Table2[Offices Matched]),0)),"")</f>
        <v/>
      </c>
      <c r="H304" s="51">
        <f>_xlfn.IFNA(INDEX(saCAGR[CAGR],MATCH(Table1[[#This Row],[Employer]],saCAGR[EIW Name],0)),"")</f>
        <v>1.0239778113349269</v>
      </c>
      <c r="I304" s="50">
        <f>IFERROR(Table1[[#This Row],[SA CAGR]]*Table1[[#This Row],[Number of Summer 2016 2L SAs]],"")</f>
        <v>8.1918224906794155</v>
      </c>
      <c r="J304" s="50">
        <v>18</v>
      </c>
      <c r="K304" s="51">
        <f>IFERROR(Table1[[#This Row],[Number of Summer 2016 NYU 2L SAs]]/Table1[[#This Row],[Interview Slots]],0)</f>
        <v>0.62068965517241381</v>
      </c>
      <c r="L304" s="51">
        <f>Table1[[#This Row],[Number of Summer 2016 2L SAs]]/Table1[[#This Row],[Interview Slots]]</f>
        <v>0.27586206896551724</v>
      </c>
      <c r="M304" s="51">
        <f>IFERROR(Table1[[#This Row],[Number of Summer 2016 NYU 2L SAs]]/Table1[[#This Row],[Number of Summer 2016 2L SAs]],0)</f>
        <v>2.25</v>
      </c>
      <c r="N304" s="50" t="str">
        <f>IFERROR(RIGHT(Table1[[#This Row],[1st year]],LEN(Table1[[#This Row],[1st year]])-FIND(":",Table1[[#This Row],[1st year]])-1),"")</f>
        <v/>
      </c>
      <c r="O304" s="50" t="str">
        <f t="array" ref="O304">IFERROR(INDEX(Table2[Nth year],MATCH(1,(Table1[[#This Row],[Employer]]=Table2[EIW Name])*(Table1[[#This Row],[City, State]]=Table2[Offices Matched]),0)),"")</f>
        <v/>
      </c>
      <c r="P304" s="50" t="str">
        <f>IFERROR(RIGHT(Table1[[#This Row],[Nth year]],LEN(Table1[[#This Row],[Nth year]])-FIND(":",Table1[[#This Row],[Nth year]])-1),"")</f>
        <v/>
      </c>
      <c r="Q304" s="50" t="str">
        <f t="array" ref="Q304">IFERROR(INDEX(Table2[Am Law 200 PPP Rank ’16],MATCH(1,(Table1[[#This Row],[Employer]]=Table2[EIW Name])*(Table1[[#This Row],[City, State]]=Table2[Offices Matched]),0)),"")</f>
        <v/>
      </c>
      <c r="R304" s="50" t="str">
        <f>IFERROR(LEFT(Table1[[#This Row],[Am Law 200 PPP Rank ’16]],FIND(":",Table1[[#This Row],[Am Law 200 PPP Rank ’16]])-1),"")</f>
        <v/>
      </c>
      <c r="S304" s="50">
        <f>IFERROR(INDEX(VaultRank[Rank],MATCH(Table1[[#This Row],[Employer]],VaultRank[EIW Name],0)),"")</f>
        <v>65</v>
      </c>
      <c r="T304" s="50" t="str">
        <f t="array" ref="T304">IFERROR(INDEX(Table2[Summers Matched],MATCH(1,(Table1[[#This Row],[Employer]]=Table2[EIW Name])*(Table1[[#This Row],[City, State]]=Table2[Offices Matched]),0)),"")</f>
        <v/>
      </c>
      <c r="U304" s="52">
        <f t="shared" si="4"/>
        <v>3.4</v>
      </c>
      <c r="V304" s="60"/>
      <c r="W304" s="114">
        <v>42592</v>
      </c>
      <c r="X304"/>
    </row>
    <row r="305" spans="1:24" ht="14.1" customHeight="1">
      <c r="A305" s="45" t="s">
        <v>286</v>
      </c>
      <c r="B305" s="45" t="s">
        <v>451</v>
      </c>
      <c r="C305" s="45" t="s">
        <v>456</v>
      </c>
      <c r="D305" s="45" t="str">
        <f>Table1[[#This Row],[City]]&amp;", "&amp;Table1[[#This Row],[State]]</f>
        <v>Hong Kong, China</v>
      </c>
      <c r="E305" s="49">
        <v>63</v>
      </c>
      <c r="F305" s="50">
        <v>2</v>
      </c>
      <c r="G305" s="50" t="str">
        <f t="array" ref="G305">IFERROR(INDEX(Table2[1st Year],MATCH(1,(Table1[[#This Row],[Employer]]=Table2[EIW Name])*(Table1[[#This Row],[City, State]]=Table2[Offices Matched]),0)),"")</f>
        <v/>
      </c>
      <c r="H305" s="50">
        <f>_xlfn.IFNA(INDEX(saCAGR[CAGR],MATCH(Table1[[#This Row],[Employer]],saCAGR[EIW Name],0)),"")</f>
        <v>0.99589779177402582</v>
      </c>
      <c r="I305" s="50">
        <f>IFERROR(Table1[[#This Row],[SA CAGR]]*Table1[[#This Row],[Number of Summer 2016 2L SAs]],"")</f>
        <v>1.9917955835480516</v>
      </c>
      <c r="J305" s="50">
        <v>24</v>
      </c>
      <c r="K305" s="51">
        <f>IFERROR(Table1[[#This Row],[Number of Summer 2016 NYU 2L SAs]]/Table1[[#This Row],[Interview Slots]],0)</f>
        <v>0.38095238095238093</v>
      </c>
      <c r="L305" s="51">
        <f>Table1[[#This Row],[Number of Summer 2016 2L SAs]]/Table1[[#This Row],[Interview Slots]]</f>
        <v>3.1746031746031744E-2</v>
      </c>
      <c r="M305" s="51">
        <f>IFERROR(Table1[[#This Row],[Number of Summer 2016 NYU 2L SAs]]/Table1[[#This Row],[Number of Summer 2016 2L SAs]],0)</f>
        <v>12</v>
      </c>
      <c r="N305" s="50" t="str">
        <f>IFERROR(RIGHT(Table1[[#This Row],[1st year]],LEN(Table1[[#This Row],[1st year]])-FIND(":",Table1[[#This Row],[1st year]])-1),"")</f>
        <v/>
      </c>
      <c r="O305" s="50" t="str">
        <f t="array" ref="O305">IFERROR(INDEX(Table2[Nth year],MATCH(1,(Table1[[#This Row],[Employer]]=Table2[EIW Name])*(Table1[[#This Row],[City, State]]=Table2[Offices Matched]),0)),"")</f>
        <v/>
      </c>
      <c r="P305" s="50" t="str">
        <f>IFERROR(RIGHT(Table1[[#This Row],[Nth year]],LEN(Table1[[#This Row],[Nth year]])-FIND(":",Table1[[#This Row],[Nth year]])-1),"")</f>
        <v/>
      </c>
      <c r="Q305" s="50" t="str">
        <f t="array" ref="Q305">IFERROR(INDEX(Table2[Am Law 200 PPP Rank ’16],MATCH(1,(Table1[[#This Row],[Employer]]=Table2[EIW Name])*(Table1[[#This Row],[City, State]]=Table2[Offices Matched]),0)),"")</f>
        <v/>
      </c>
      <c r="R305" s="50" t="str">
        <f>IFERROR(LEFT(Table1[[#This Row],[Am Law 200 PPP Rank ’16]],FIND(":",Table1[[#This Row],[Am Law 200 PPP Rank ’16]])-1),"")</f>
        <v/>
      </c>
      <c r="S305" s="50">
        <f>IFERROR(INDEX(VaultRank[Rank],MATCH(Table1[[#This Row],[Employer]],VaultRank[EIW Name],0)),"")</f>
        <v>33</v>
      </c>
      <c r="T305" s="50" t="str">
        <f t="array" ref="T305">IFERROR(INDEX(Table2[Summers Matched],MATCH(1,(Table1[[#This Row],[Employer]]=Table2[EIW Name])*(Table1[[#This Row],[City, State]]=Table2[Offices Matched]),0)),"")</f>
        <v/>
      </c>
      <c r="U305" s="52" t="str">
        <f t="shared" si="4"/>
        <v/>
      </c>
      <c r="V305" s="60"/>
      <c r="W305" s="114">
        <v>42592</v>
      </c>
      <c r="X305"/>
    </row>
    <row r="306" spans="1:24" ht="14.1" customHeight="1">
      <c r="A306" s="45" t="s">
        <v>131</v>
      </c>
      <c r="B306" s="45" t="s">
        <v>338</v>
      </c>
      <c r="C306" s="45" t="s">
        <v>314</v>
      </c>
      <c r="D306" s="45" t="str">
        <f>Table1[[#This Row],[City]]&amp;", "&amp;Table1[[#This Row],[State]]</f>
        <v>Austin, TX</v>
      </c>
      <c r="E306" s="49">
        <v>127</v>
      </c>
      <c r="F306" s="50">
        <v>2</v>
      </c>
      <c r="G306" s="50" t="str">
        <f t="array" ref="G306">IFERROR(INDEX(Table2[1st Year],MATCH(1,(Table1[[#This Row],[Employer]]=Table2[EIW Name])*(Table1[[#This Row],[City, State]]=Table2[Offices Matched]),0)),"")</f>
        <v>1st Year: $180K</v>
      </c>
      <c r="H306" s="50" t="str">
        <f>_xlfn.IFNA(INDEX(saCAGR[CAGR],MATCH(Table1[[#This Row],[Employer]],saCAGR[EIW Name],0)),"")</f>
        <v/>
      </c>
      <c r="I306" s="50" t="str">
        <f>IFERROR(Table1[[#This Row],[SA CAGR]]*Table1[[#This Row],[Number of Summer 2016 2L SAs]],"")</f>
        <v/>
      </c>
      <c r="J306" s="50">
        <v>22</v>
      </c>
      <c r="K306" s="51">
        <f>IFERROR(Table1[[#This Row],[Number of Summer 2016 NYU 2L SAs]]/Table1[[#This Row],[Interview Slots]],0)</f>
        <v>0.17322834645669291</v>
      </c>
      <c r="L306" s="51">
        <f>Table1[[#This Row],[Number of Summer 2016 2L SAs]]/Table1[[#This Row],[Interview Slots]]</f>
        <v>1.5748031496062992E-2</v>
      </c>
      <c r="M306" s="51">
        <f>IFERROR(Table1[[#This Row],[Number of Summer 2016 NYU 2L SAs]]/Table1[[#This Row],[Number of Summer 2016 2L SAs]],0)</f>
        <v>11</v>
      </c>
      <c r="N306" s="50" t="str">
        <f>IFERROR(RIGHT(Table1[[#This Row],[1st year]],LEN(Table1[[#This Row],[1st year]])-FIND(":",Table1[[#This Row],[1st year]])-1),"")</f>
        <v>$180K</v>
      </c>
      <c r="O306" s="50" t="str">
        <f t="array" ref="O306">IFERROR(INDEX(Table2[Nth year],MATCH(1,(Table1[[#This Row],[Employer]]=Table2[EIW Name])*(Table1[[#This Row],[City, State]]=Table2[Offices Matched]),0)),"")</f>
        <v>8th Year: $310K</v>
      </c>
      <c r="P306" s="50" t="str">
        <f>IFERROR(RIGHT(Table1[[#This Row],[Nth year]],LEN(Table1[[#This Row],[Nth year]])-FIND(":",Table1[[#This Row],[Nth year]])-1),"")</f>
        <v>$310K</v>
      </c>
      <c r="Q306" s="50" t="str">
        <f t="array" ref="Q306">IFERROR(INDEX(Table2[Am Law 200 PPP Rank ’16],MATCH(1,(Table1[[#This Row],[Employer]]=Table2[EIW Name])*(Table1[[#This Row],[City, State]]=Table2[Offices Matched]),0)),"")</f>
        <v>115: $890K</v>
      </c>
      <c r="R306" s="50" t="str">
        <f>IFERROR(LEFT(Table1[[#This Row],[Am Law 200 PPP Rank ’16]],FIND(":",Table1[[#This Row],[Am Law 200 PPP Rank ’16]])-1),"")</f>
        <v>115</v>
      </c>
      <c r="S306" s="50">
        <f>IFERROR(INDEX(VaultRank[Rank],MATCH(Table1[[#This Row],[Employer]],VaultRank[EIW Name],0)),"")</f>
        <v>84</v>
      </c>
      <c r="T306" s="50" t="str">
        <f t="array" ref="T306">IFERROR(INDEX(Table2[Summers Matched],MATCH(1,(Table1[[#This Row],[Employer]]=Table2[EIW Name])*(Table1[[#This Row],[City, State]]=Table2[Offices Matched]),0)),"")</f>
        <v>TBD</v>
      </c>
      <c r="U306" s="52" t="str">
        <f t="shared" si="4"/>
        <v/>
      </c>
      <c r="V306" s="60"/>
      <c r="W306" s="114">
        <v>42594</v>
      </c>
      <c r="X306"/>
    </row>
    <row r="307" spans="1:24" ht="14.1" customHeight="1">
      <c r="A307" s="45" t="s">
        <v>131</v>
      </c>
      <c r="B307" s="45" t="s">
        <v>313</v>
      </c>
      <c r="C307" s="45" t="s">
        <v>314</v>
      </c>
      <c r="D307" s="45" t="str">
        <f>Table1[[#This Row],[City]]&amp;", "&amp;Table1[[#This Row],[State]]</f>
        <v>Dallas, TX</v>
      </c>
      <c r="E307" s="49">
        <v>29</v>
      </c>
      <c r="F307" s="50">
        <v>7</v>
      </c>
      <c r="G307" s="50" t="str">
        <f t="array" ref="G307">IFERROR(INDEX(Table2[1st Year],MATCH(1,(Table1[[#This Row],[Employer]]=Table2[EIW Name])*(Table1[[#This Row],[City, State]]=Table2[Offices Matched]),0)),"")</f>
        <v>1st Year: $180K</v>
      </c>
      <c r="H307" s="50" t="str">
        <f>_xlfn.IFNA(INDEX(saCAGR[CAGR],MATCH(Table1[[#This Row],[Employer]],saCAGR[EIW Name],0)),"")</f>
        <v/>
      </c>
      <c r="I307" s="50" t="str">
        <f>IFERROR(Table1[[#This Row],[SA CAGR]]*Table1[[#This Row],[Number of Summer 2016 2L SAs]],"")</f>
        <v/>
      </c>
      <c r="J307" s="50">
        <v>19</v>
      </c>
      <c r="K307" s="51">
        <f>IFERROR(Table1[[#This Row],[Number of Summer 2016 NYU 2L SAs]]/Table1[[#This Row],[Interview Slots]],0)</f>
        <v>0.65517241379310343</v>
      </c>
      <c r="L307" s="51">
        <f>Table1[[#This Row],[Number of Summer 2016 2L SAs]]/Table1[[#This Row],[Interview Slots]]</f>
        <v>0.2413793103448276</v>
      </c>
      <c r="M307" s="51">
        <f>IFERROR(Table1[[#This Row],[Number of Summer 2016 NYU 2L SAs]]/Table1[[#This Row],[Number of Summer 2016 2L SAs]],0)</f>
        <v>2.7142857142857144</v>
      </c>
      <c r="N307" s="50" t="str">
        <f>IFERROR(RIGHT(Table1[[#This Row],[1st year]],LEN(Table1[[#This Row],[1st year]])-FIND(":",Table1[[#This Row],[1st year]])-1),"")</f>
        <v>$180K</v>
      </c>
      <c r="O307" s="50" t="str">
        <f t="array" ref="O307">IFERROR(INDEX(Table2[Nth year],MATCH(1,(Table1[[#This Row],[Employer]]=Table2[EIW Name])*(Table1[[#This Row],[City, State]]=Table2[Offices Matched]),0)),"")</f>
        <v>8th Year: $310K</v>
      </c>
      <c r="P307" s="50" t="str">
        <f>IFERROR(RIGHT(Table1[[#This Row],[Nth year]],LEN(Table1[[#This Row],[Nth year]])-FIND(":",Table1[[#This Row],[Nth year]])-1),"")</f>
        <v>$310K</v>
      </c>
      <c r="Q307" s="50" t="str">
        <f t="array" ref="Q307">IFERROR(INDEX(Table2[Am Law 200 PPP Rank ’16],MATCH(1,(Table1[[#This Row],[Employer]]=Table2[EIW Name])*(Table1[[#This Row],[City, State]]=Table2[Offices Matched]),0)),"")</f>
        <v>115: $890K</v>
      </c>
      <c r="R307" s="50" t="str">
        <f>IFERROR(LEFT(Table1[[#This Row],[Am Law 200 PPP Rank ’16]],FIND(":",Table1[[#This Row],[Am Law 200 PPP Rank ’16]])-1),"")</f>
        <v>115</v>
      </c>
      <c r="S307" s="50">
        <f>IFERROR(INDEX(VaultRank[Rank],MATCH(Table1[[#This Row],[Employer]],VaultRank[EIW Name],0)),"")</f>
        <v>84</v>
      </c>
      <c r="T307" s="50" t="str">
        <f t="array" ref="T307">IFERROR(INDEX(Table2[Summers Matched],MATCH(1,(Table1[[#This Row],[Employer]]=Table2[EIW Name])*(Table1[[#This Row],[City, State]]=Table2[Offices Matched]),0)),"")</f>
        <v>TBD</v>
      </c>
      <c r="U307" s="52" t="str">
        <f t="shared" si="4"/>
        <v/>
      </c>
      <c r="V307" s="60"/>
      <c r="W307" s="114">
        <v>42593</v>
      </c>
      <c r="X307"/>
    </row>
    <row r="308" spans="1:24" ht="14.1" customHeight="1">
      <c r="A308" s="45" t="s">
        <v>131</v>
      </c>
      <c r="B308" s="45" t="s">
        <v>331</v>
      </c>
      <c r="C308" s="45" t="s">
        <v>314</v>
      </c>
      <c r="D308" s="45" t="str">
        <f>Table1[[#This Row],[City]]&amp;", "&amp;Table1[[#This Row],[State]]</f>
        <v>Houston, TX</v>
      </c>
      <c r="E308" s="49">
        <v>105</v>
      </c>
      <c r="F308" s="50">
        <v>28</v>
      </c>
      <c r="G308" s="50" t="str">
        <f t="array" ref="G308">IFERROR(INDEX(Table2[1st Year],MATCH(1,(Table1[[#This Row],[Employer]]=Table2[EIW Name])*(Table1[[#This Row],[City, State]]=Table2[Offices Matched]),0)),"")</f>
        <v>1st Year: $180K</v>
      </c>
      <c r="H308" s="50" t="str">
        <f>_xlfn.IFNA(INDEX(saCAGR[CAGR],MATCH(Table1[[#This Row],[Employer]],saCAGR[EIW Name],0)),"")</f>
        <v/>
      </c>
      <c r="I308" s="50" t="str">
        <f>IFERROR(Table1[[#This Row],[SA CAGR]]*Table1[[#This Row],[Number of Summer 2016 2L SAs]],"")</f>
        <v/>
      </c>
      <c r="J308" s="50">
        <v>19</v>
      </c>
      <c r="K308" s="51">
        <f>IFERROR(Table1[[#This Row],[Number of Summer 2016 NYU 2L SAs]]/Table1[[#This Row],[Interview Slots]],0)</f>
        <v>0.18095238095238095</v>
      </c>
      <c r="L308" s="51">
        <f>Table1[[#This Row],[Number of Summer 2016 2L SAs]]/Table1[[#This Row],[Interview Slots]]</f>
        <v>0.26666666666666666</v>
      </c>
      <c r="M308" s="51">
        <f>IFERROR(Table1[[#This Row],[Number of Summer 2016 NYU 2L SAs]]/Table1[[#This Row],[Number of Summer 2016 2L SAs]],0)</f>
        <v>0.6785714285714286</v>
      </c>
      <c r="N308" s="50" t="str">
        <f>IFERROR(RIGHT(Table1[[#This Row],[1st year]],LEN(Table1[[#This Row],[1st year]])-FIND(":",Table1[[#This Row],[1st year]])-1),"")</f>
        <v>$180K</v>
      </c>
      <c r="O308" s="50" t="str">
        <f t="array" ref="O308">IFERROR(INDEX(Table2[Nth year],MATCH(1,(Table1[[#This Row],[Employer]]=Table2[EIW Name])*(Table1[[#This Row],[City, State]]=Table2[Offices Matched]),0)),"")</f>
        <v>8th Year: $310K</v>
      </c>
      <c r="P308" s="50" t="str">
        <f>IFERROR(RIGHT(Table1[[#This Row],[Nth year]],LEN(Table1[[#This Row],[Nth year]])-FIND(":",Table1[[#This Row],[Nth year]])-1),"")</f>
        <v>$310K</v>
      </c>
      <c r="Q308" s="50" t="str">
        <f t="array" ref="Q308">IFERROR(INDEX(Table2[Am Law 200 PPP Rank ’16],MATCH(1,(Table1[[#This Row],[Employer]]=Table2[EIW Name])*(Table1[[#This Row],[City, State]]=Table2[Offices Matched]),0)),"")</f>
        <v>115: $890K</v>
      </c>
      <c r="R308" s="50" t="str">
        <f>IFERROR(LEFT(Table1[[#This Row],[Am Law 200 PPP Rank ’16]],FIND(":",Table1[[#This Row],[Am Law 200 PPP Rank ’16]])-1),"")</f>
        <v>115</v>
      </c>
      <c r="S308" s="50">
        <f>IFERROR(INDEX(VaultRank[Rank],MATCH(Table1[[#This Row],[Employer]],VaultRank[EIW Name],0)),"")</f>
        <v>84</v>
      </c>
      <c r="T308" s="50" t="str">
        <f t="array" ref="T308">IFERROR(INDEX(Table2[Summers Matched],MATCH(1,(Table1[[#This Row],[Employer]]=Table2[EIW Name])*(Table1[[#This Row],[City, State]]=Table2[Offices Matched]),0)),"")</f>
        <v>TBD</v>
      </c>
      <c r="U308" s="52" t="str">
        <f t="shared" si="4"/>
        <v/>
      </c>
      <c r="V308" s="60"/>
      <c r="W308" s="114">
        <v>42595</v>
      </c>
      <c r="X308"/>
    </row>
    <row r="309" spans="1:24" ht="14.1" customHeight="1">
      <c r="A309" s="45" t="s">
        <v>228</v>
      </c>
      <c r="B309" s="45" t="s">
        <v>364</v>
      </c>
      <c r="C309" s="45" t="s">
        <v>362</v>
      </c>
      <c r="D309" s="45" t="str">
        <f>Table1[[#This Row],[City]]&amp;", "&amp;Table1[[#This Row],[State]]</f>
        <v>New York, NY</v>
      </c>
      <c r="E309" s="49">
        <v>107</v>
      </c>
      <c r="F309" s="50">
        <v>3</v>
      </c>
      <c r="G309" s="50" t="str">
        <f t="array" ref="G309">IFERROR(INDEX(Table2[1st Year],MATCH(1,(Table1[[#This Row],[Employer]]=Table2[EIW Name])*(Table1[[#This Row],[City, State]]=Table2[Offices Matched]),0)),"")</f>
        <v>1st Year: $180K</v>
      </c>
      <c r="H309" s="50">
        <f>_xlfn.IFNA(INDEX(saCAGR[CAGR],MATCH(Table1[[#This Row],[Employer]],saCAGR[EIW Name],0)),"")</f>
        <v>1.0063013617543448</v>
      </c>
      <c r="I309" s="50">
        <f>IFERROR(Table1[[#This Row],[SA CAGR]]*Table1[[#This Row],[Number of Summer 2016 2L SAs]],"")</f>
        <v>3.0189040852630344</v>
      </c>
      <c r="J309" s="50">
        <v>17</v>
      </c>
      <c r="K309" s="51">
        <f>IFERROR(Table1[[#This Row],[Number of Summer 2016 NYU 2L SAs]]/Table1[[#This Row],[Interview Slots]],0)</f>
        <v>0.15887850467289719</v>
      </c>
      <c r="L309" s="51">
        <f>Table1[[#This Row],[Number of Summer 2016 2L SAs]]/Table1[[#This Row],[Interview Slots]]</f>
        <v>2.8037383177570093E-2</v>
      </c>
      <c r="M309" s="51">
        <f>IFERROR(Table1[[#This Row],[Number of Summer 2016 NYU 2L SAs]]/Table1[[#This Row],[Number of Summer 2016 2L SAs]],0)</f>
        <v>5.666666666666667</v>
      </c>
      <c r="N309" s="50" t="str">
        <f>IFERROR(RIGHT(Table1[[#This Row],[1st year]],LEN(Table1[[#This Row],[1st year]])-FIND(":",Table1[[#This Row],[1st year]])-1),"")</f>
        <v>$180K</v>
      </c>
      <c r="O309" s="50" t="str">
        <f t="array" ref="O309">IFERROR(INDEX(Table2[Nth year],MATCH(1,(Table1[[#This Row],[Employer]]=Table2[EIW Name])*(Table1[[#This Row],[City, State]]=Table2[Offices Matched]),0)),"")</f>
        <v>5th Year: $260K</v>
      </c>
      <c r="P309" s="50" t="str">
        <f>IFERROR(RIGHT(Table1[[#This Row],[Nth year]],LEN(Table1[[#This Row],[Nth year]])-FIND(":",Table1[[#This Row],[Nth year]])-1),"")</f>
        <v>$260K</v>
      </c>
      <c r="Q309" s="50" t="str">
        <f t="array" ref="Q309">IFERROR(INDEX(Table2[Am Law 200 PPP Rank ’16],MATCH(1,(Table1[[#This Row],[Employer]]=Table2[EIW Name])*(Table1[[#This Row],[City, State]]=Table2[Offices Matched]),0)),"")</f>
        <v>90: $1.04M</v>
      </c>
      <c r="R309" s="50" t="str">
        <f>IFERROR(LEFT(Table1[[#This Row],[Am Law 200 PPP Rank ’16]],FIND(":",Table1[[#This Row],[Am Law 200 PPP Rank ’16]])-1),"")</f>
        <v>90</v>
      </c>
      <c r="S309" s="50">
        <f>IFERROR(INDEX(VaultRank[Rank],MATCH(Table1[[#This Row],[Employer]],VaultRank[EIW Name],0)),"")</f>
        <v>66</v>
      </c>
      <c r="T309" s="50" t="str">
        <f t="array" ref="T309">IFERROR(INDEX(Table2[Summers Matched],MATCH(1,(Table1[[#This Row],[Employer]]=Table2[EIW Name])*(Table1[[#This Row],[City, State]]=Table2[Offices Matched]),0)),"")</f>
        <v>TBD</v>
      </c>
      <c r="U309" s="52" t="str">
        <f t="shared" si="4"/>
        <v/>
      </c>
      <c r="V309" s="60"/>
      <c r="W309" s="114">
        <v>42594</v>
      </c>
      <c r="X309"/>
    </row>
    <row r="310" spans="1:24" ht="14.1" customHeight="1">
      <c r="A310" s="45" t="s">
        <v>486</v>
      </c>
      <c r="B310" s="45" t="s">
        <v>364</v>
      </c>
      <c r="C310" s="45" t="s">
        <v>362</v>
      </c>
      <c r="D310" s="45" t="str">
        <f>Table1[[#This Row],[City]]&amp;", "&amp;Table1[[#This Row],[State]]</f>
        <v>New York, NY</v>
      </c>
      <c r="E310" s="49">
        <v>57</v>
      </c>
      <c r="F310" s="50">
        <v>3</v>
      </c>
      <c r="G310" s="50" t="str">
        <f t="array" ref="G310">IFERROR(INDEX(Table2[1st Year],MATCH(1,(Table1[[#This Row],[Employer]]=Table2[EIW Name])*(Table1[[#This Row],[City, State]]=Table2[Offices Matched]),0)),"")</f>
        <v/>
      </c>
      <c r="H310" s="50">
        <f>_xlfn.IFNA(INDEX(saCAGR[CAGR],MATCH(Table1[[#This Row],[Employer]],saCAGR[EIW Name],0)),"")</f>
        <v>0.99621469328120116</v>
      </c>
      <c r="I310" s="50">
        <f>IFERROR(Table1[[#This Row],[SA CAGR]]*Table1[[#This Row],[Number of Summer 2016 2L SAs]],"")</f>
        <v>2.9886440798436036</v>
      </c>
      <c r="J310" s="50">
        <v>11</v>
      </c>
      <c r="K310" s="51">
        <f>IFERROR(Table1[[#This Row],[Number of Summer 2016 NYU 2L SAs]]/Table1[[#This Row],[Interview Slots]],0)</f>
        <v>0.19298245614035087</v>
      </c>
      <c r="L310" s="51">
        <f>Table1[[#This Row],[Number of Summer 2016 2L SAs]]/Table1[[#This Row],[Interview Slots]]</f>
        <v>5.2631578947368418E-2</v>
      </c>
      <c r="M310" s="51">
        <f>IFERROR(Table1[[#This Row],[Number of Summer 2016 NYU 2L SAs]]/Table1[[#This Row],[Number of Summer 2016 2L SAs]],0)</f>
        <v>3.6666666666666665</v>
      </c>
      <c r="N310" s="50" t="str">
        <f>IFERROR(RIGHT(Table1[[#This Row],[1st year]],LEN(Table1[[#This Row],[1st year]])-FIND(":",Table1[[#This Row],[1st year]])-1),"")</f>
        <v/>
      </c>
      <c r="O310" s="50" t="str">
        <f t="array" ref="O310">IFERROR(INDEX(Table2[Nth year],MATCH(1,(Table1[[#This Row],[Employer]]=Table2[EIW Name])*(Table1[[#This Row],[City, State]]=Table2[Offices Matched]),0)),"")</f>
        <v/>
      </c>
      <c r="P310" s="50" t="str">
        <f>IFERROR(RIGHT(Table1[[#This Row],[Nth year]],LEN(Table1[[#This Row],[Nth year]])-FIND(":",Table1[[#This Row],[Nth year]])-1),"")</f>
        <v/>
      </c>
      <c r="Q310" s="50" t="str">
        <f t="array" ref="Q310">IFERROR(INDEX(Table2[Am Law 200 PPP Rank ’16],MATCH(1,(Table1[[#This Row],[Employer]]=Table2[EIW Name])*(Table1[[#This Row],[City, State]]=Table2[Offices Matched]),0)),"")</f>
        <v/>
      </c>
      <c r="R310" s="50" t="str">
        <f>IFERROR(LEFT(Table1[[#This Row],[Am Law 200 PPP Rank ’16]],FIND(":",Table1[[#This Row],[Am Law 200 PPP Rank ’16]])-1),"")</f>
        <v/>
      </c>
      <c r="S310" s="50">
        <f>IFERROR(INDEX(VaultRank[Rank],MATCH(Table1[[#This Row],[Employer]],VaultRank[EIW Name],0)),"")</f>
        <v>67</v>
      </c>
      <c r="T310" s="50" t="str">
        <f t="array" ref="T310">IFERROR(INDEX(Table2[Summers Matched],MATCH(1,(Table1[[#This Row],[Employer]]=Table2[EIW Name])*(Table1[[#This Row],[City, State]]=Table2[Offices Matched]),0)),"")</f>
        <v/>
      </c>
      <c r="U310" s="52" t="str">
        <f t="shared" si="4"/>
        <v/>
      </c>
      <c r="V310" s="60"/>
      <c r="W310" s="114">
        <v>42595</v>
      </c>
      <c r="X310"/>
    </row>
    <row r="311" spans="1:24" ht="14.1" customHeight="1">
      <c r="A311" s="45" t="s">
        <v>457</v>
      </c>
      <c r="B311" s="45" t="s">
        <v>458</v>
      </c>
      <c r="C311" s="45" t="s">
        <v>347</v>
      </c>
      <c r="D311" s="45" t="str">
        <f>Table1[[#This Row],[City]]&amp;", "&amp;Table1[[#This Row],[State]]</f>
        <v>Roseland, NJ</v>
      </c>
      <c r="E311" s="49">
        <v>193</v>
      </c>
      <c r="F311" s="50">
        <v>10</v>
      </c>
      <c r="G311" s="50" t="str">
        <f t="array" ref="G311">IFERROR(INDEX(Table2[1st Year],MATCH(1,(Table1[[#This Row],[Employer]]=Table2[EIW Name])*(Table1[[#This Row],[City, State]]=Table2[Offices Matched]),0)),"")</f>
        <v/>
      </c>
      <c r="H311" s="50" t="str">
        <f>_xlfn.IFNA(INDEX(saCAGR[CAGR],MATCH(Table1[[#This Row],[Employer]],saCAGR[EIW Name],0)),"")</f>
        <v/>
      </c>
      <c r="I311" s="50" t="str">
        <f>IFERROR(Table1[[#This Row],[SA CAGR]]*Table1[[#This Row],[Number of Summer 2016 2L SAs]],"")</f>
        <v/>
      </c>
      <c r="J311" s="50">
        <v>6</v>
      </c>
      <c r="K311" s="51">
        <f>IFERROR(Table1[[#This Row],[Number of Summer 2016 NYU 2L SAs]]/Table1[[#This Row],[Interview Slots]],0)</f>
        <v>3.1088082901554404E-2</v>
      </c>
      <c r="L311" s="51">
        <f>Table1[[#This Row],[Number of Summer 2016 2L SAs]]/Table1[[#This Row],[Interview Slots]]</f>
        <v>5.181347150259067E-2</v>
      </c>
      <c r="M311" s="51">
        <f>IFERROR(Table1[[#This Row],[Number of Summer 2016 NYU 2L SAs]]/Table1[[#This Row],[Number of Summer 2016 2L SAs]],0)</f>
        <v>0.6</v>
      </c>
      <c r="N311" s="50" t="str">
        <f>IFERROR(RIGHT(Table1[[#This Row],[1st year]],LEN(Table1[[#This Row],[1st year]])-FIND(":",Table1[[#This Row],[1st year]])-1),"")</f>
        <v/>
      </c>
      <c r="O311" s="50" t="str">
        <f t="array" ref="O311">IFERROR(INDEX(Table2[Nth year],MATCH(1,(Table1[[#This Row],[Employer]]=Table2[EIW Name])*(Table1[[#This Row],[City, State]]=Table2[Offices Matched]),0)),"")</f>
        <v/>
      </c>
      <c r="P311" s="50" t="str">
        <f>IFERROR(RIGHT(Table1[[#This Row],[Nth year]],LEN(Table1[[#This Row],[Nth year]])-FIND(":",Table1[[#This Row],[Nth year]])-1),"")</f>
        <v/>
      </c>
      <c r="Q311" s="50" t="str">
        <f t="array" ref="Q311">IFERROR(INDEX(Table2[Am Law 200 PPP Rank ’16],MATCH(1,(Table1[[#This Row],[Employer]]=Table2[EIW Name])*(Table1[[#This Row],[City, State]]=Table2[Offices Matched]),0)),"")</f>
        <v/>
      </c>
      <c r="R311" s="50" t="str">
        <f>IFERROR(LEFT(Table1[[#This Row],[Am Law 200 PPP Rank ’16]],FIND(":",Table1[[#This Row],[Am Law 200 PPP Rank ’16]])-1),"")</f>
        <v/>
      </c>
      <c r="S311" s="50" t="str">
        <f>IFERROR(INDEX(VaultRank[Rank],MATCH(Table1[[#This Row],[Employer]],VaultRank[EIW Name],0)),"")</f>
        <v/>
      </c>
      <c r="T311" s="50" t="str">
        <f t="array" ref="T311">IFERROR(INDEX(Table2[Summers Matched],MATCH(1,(Table1[[#This Row],[Employer]]=Table2[EIW Name])*(Table1[[#This Row],[City, State]]=Table2[Offices Matched]),0)),"")</f>
        <v/>
      </c>
      <c r="U311" s="52" t="str">
        <f t="shared" si="4"/>
        <v/>
      </c>
      <c r="V311" s="60"/>
      <c r="W311" s="114">
        <v>42592</v>
      </c>
      <c r="X311"/>
    </row>
    <row r="312" spans="1:24" ht="14.1" customHeight="1">
      <c r="A312" s="45" t="s">
        <v>459</v>
      </c>
      <c r="B312" s="45" t="s">
        <v>299</v>
      </c>
      <c r="C312" s="45" t="s">
        <v>300</v>
      </c>
      <c r="D312" s="45" t="str">
        <f>Table1[[#This Row],[City]]&amp;", "&amp;Table1[[#This Row],[State]]</f>
        <v>Los Angeles, CA</v>
      </c>
      <c r="E312" s="49">
        <v>72</v>
      </c>
      <c r="F312" s="50">
        <v>5</v>
      </c>
      <c r="G312" s="50" t="str">
        <f t="array" ref="G312">IFERROR(INDEX(Table2[1st Year],MATCH(1,(Table1[[#This Row],[Employer]]=Table2[EIW Name])*(Table1[[#This Row],[City, State]]=Table2[Offices Matched]),0)),"")</f>
        <v/>
      </c>
      <c r="H312" s="50" t="str">
        <f>_xlfn.IFNA(INDEX(saCAGR[CAGR],MATCH(Table1[[#This Row],[Employer]],saCAGR[EIW Name],0)),"")</f>
        <v/>
      </c>
      <c r="I312" s="50" t="str">
        <f>IFERROR(Table1[[#This Row],[SA CAGR]]*Table1[[#This Row],[Number of Summer 2016 2L SAs]],"")</f>
        <v/>
      </c>
      <c r="J312" s="50">
        <v>22</v>
      </c>
      <c r="K312" s="51">
        <f>IFERROR(Table1[[#This Row],[Number of Summer 2016 NYU 2L SAs]]/Table1[[#This Row],[Interview Slots]],0)</f>
        <v>0.30555555555555558</v>
      </c>
      <c r="L312" s="51">
        <f>Table1[[#This Row],[Number of Summer 2016 2L SAs]]/Table1[[#This Row],[Interview Slots]]</f>
        <v>6.9444444444444448E-2</v>
      </c>
      <c r="M312" s="51">
        <f>IFERROR(Table1[[#This Row],[Number of Summer 2016 NYU 2L SAs]]/Table1[[#This Row],[Number of Summer 2016 2L SAs]],0)</f>
        <v>4.4000000000000004</v>
      </c>
      <c r="N312" s="50" t="str">
        <f>IFERROR(RIGHT(Table1[[#This Row],[1st year]],LEN(Table1[[#This Row],[1st year]])-FIND(":",Table1[[#This Row],[1st year]])-1),"")</f>
        <v/>
      </c>
      <c r="O312" s="50" t="str">
        <f t="array" ref="O312">IFERROR(INDEX(Table2[Nth year],MATCH(1,(Table1[[#This Row],[Employer]]=Table2[EIW Name])*(Table1[[#This Row],[City, State]]=Table2[Offices Matched]),0)),"")</f>
        <v/>
      </c>
      <c r="P312" s="50" t="str">
        <f>IFERROR(RIGHT(Table1[[#This Row],[Nth year]],LEN(Table1[[#This Row],[Nth year]])-FIND(":",Table1[[#This Row],[Nth year]])-1),"")</f>
        <v/>
      </c>
      <c r="Q312" s="50" t="str">
        <f t="array" ref="Q312">IFERROR(INDEX(Table2[Am Law 200 PPP Rank ’16],MATCH(1,(Table1[[#This Row],[Employer]]=Table2[EIW Name])*(Table1[[#This Row],[City, State]]=Table2[Offices Matched]),0)),"")</f>
        <v/>
      </c>
      <c r="R312" s="50" t="str">
        <f>IFERROR(LEFT(Table1[[#This Row],[Am Law 200 PPP Rank ’16]],FIND(":",Table1[[#This Row],[Am Law 200 PPP Rank ’16]])-1),"")</f>
        <v/>
      </c>
      <c r="S312" s="50" t="str">
        <f>IFERROR(INDEX(VaultRank[Rank],MATCH(Table1[[#This Row],[Employer]],VaultRank[EIW Name],0)),"")</f>
        <v/>
      </c>
      <c r="T312" s="50" t="str">
        <f t="array" ref="T312">IFERROR(INDEX(Table2[Summers Matched],MATCH(1,(Table1[[#This Row],[Employer]]=Table2[EIW Name])*(Table1[[#This Row],[City, State]]=Table2[Offices Matched]),0)),"")</f>
        <v/>
      </c>
      <c r="U312" s="52" t="str">
        <f t="shared" si="4"/>
        <v/>
      </c>
      <c r="V312" s="60"/>
      <c r="W312" s="114">
        <v>42595</v>
      </c>
      <c r="X312"/>
    </row>
    <row r="313" spans="1:24" ht="14.1" customHeight="1">
      <c r="A313" s="61" t="s">
        <v>421</v>
      </c>
      <c r="B313" s="61" t="s">
        <v>364</v>
      </c>
      <c r="C313" s="61" t="s">
        <v>362</v>
      </c>
      <c r="D313" s="61" t="str">
        <f>Table1[[#This Row],[City]]&amp;", "&amp;Table1[[#This Row],[State]]</f>
        <v>New York, NY</v>
      </c>
      <c r="E313" s="63">
        <v>152</v>
      </c>
      <c r="F313" s="50">
        <v>3</v>
      </c>
      <c r="G313" s="50" t="str">
        <f t="array" ref="G313">IFERROR(INDEX(Table2[1st Year],MATCH(1,(Table1[[#This Row],[Employer]]=Table2[EIW Name])*(Table1[[#This Row],[City, State]]=Table2[Offices Matched]),0)),"")</f>
        <v/>
      </c>
      <c r="H313" s="50" t="str">
        <f>_xlfn.IFNA(INDEX(saCAGR[CAGR],MATCH(Table1[[#This Row],[Employer]],saCAGR[EIW Name],0)),"")</f>
        <v/>
      </c>
      <c r="I313" s="50" t="str">
        <f>IFERROR(Table1[[#This Row],[SA CAGR]]*Table1[[#This Row],[Number of Summer 2016 2L SAs]],"")</f>
        <v/>
      </c>
      <c r="J313" s="50">
        <v>0</v>
      </c>
      <c r="K313" s="51">
        <f>IFERROR(Table1[[#This Row],[Number of Summer 2016 NYU 2L SAs]]/Table1[[#This Row],[Interview Slots]],0)</f>
        <v>0</v>
      </c>
      <c r="L313" s="51">
        <f>Table1[[#This Row],[Number of Summer 2016 2L SAs]]/Table1[[#This Row],[Interview Slots]]</f>
        <v>1.9736842105263157E-2</v>
      </c>
      <c r="M313" s="51">
        <f>IFERROR(Table1[[#This Row],[Number of Summer 2016 NYU 2L SAs]]/Table1[[#This Row],[Number of Summer 2016 2L SAs]],0)</f>
        <v>0</v>
      </c>
      <c r="N313" s="50" t="str">
        <f>IFERROR(RIGHT(Table1[[#This Row],[1st year]],LEN(Table1[[#This Row],[1st year]])-FIND(":",Table1[[#This Row],[1st year]])-1),"")</f>
        <v/>
      </c>
      <c r="O313" s="50" t="str">
        <f t="array" ref="O313">IFERROR(INDEX(Table2[Nth year],MATCH(1,(Table1[[#This Row],[Employer]]=Table2[EIW Name])*(Table1[[#This Row],[City, State]]=Table2[Offices Matched]),0)),"")</f>
        <v/>
      </c>
      <c r="P313" s="50" t="str">
        <f>IFERROR(RIGHT(Table1[[#This Row],[Nth year]],LEN(Table1[[#This Row],[Nth year]])-FIND(":",Table1[[#This Row],[Nth year]])-1),"")</f>
        <v/>
      </c>
      <c r="Q313" s="50" t="str">
        <f t="array" ref="Q313">IFERROR(INDEX(Table2[Am Law 200 PPP Rank ’16],MATCH(1,(Table1[[#This Row],[Employer]]=Table2[EIW Name])*(Table1[[#This Row],[City, State]]=Table2[Offices Matched]),0)),"")</f>
        <v/>
      </c>
      <c r="R313" s="50" t="str">
        <f>IFERROR(LEFT(Table1[[#This Row],[Am Law 200 PPP Rank ’16]],FIND(":",Table1[[#This Row],[Am Law 200 PPP Rank ’16]])-1),"")</f>
        <v/>
      </c>
      <c r="S313" s="50">
        <f>IFERROR(INDEX(VaultRank[Rank],MATCH(Table1[[#This Row],[Employer]],VaultRank[EIW Name],0)),"")</f>
        <v>68</v>
      </c>
      <c r="T313" s="50" t="str">
        <f t="array" ref="T313">IFERROR(INDEX(Table2[Summers Matched],MATCH(1,(Table1[[#This Row],[Employer]]=Table2[EIW Name])*(Table1[[#This Row],[City, State]]=Table2[Offices Matched]),0)),"")</f>
        <v/>
      </c>
      <c r="U313" s="52" t="str">
        <f t="shared" si="4"/>
        <v/>
      </c>
      <c r="V313" s="60" t="s">
        <v>744</v>
      </c>
      <c r="W313" s="114">
        <v>42593</v>
      </c>
      <c r="X313"/>
    </row>
    <row r="314" spans="1:24" ht="14.1" customHeight="1">
      <c r="A314" s="45" t="s">
        <v>195</v>
      </c>
      <c r="B314" s="45" t="s">
        <v>299</v>
      </c>
      <c r="C314" s="45" t="s">
        <v>300</v>
      </c>
      <c r="D314" s="45" t="str">
        <f>Table1[[#This Row],[City]]&amp;", "&amp;Table1[[#This Row],[State]]</f>
        <v>Los Angeles, CA</v>
      </c>
      <c r="E314" s="49">
        <v>40</v>
      </c>
      <c r="F314" s="50">
        <v>2</v>
      </c>
      <c r="G314" s="50" t="str">
        <f t="array" ref="G314">IFERROR(INDEX(Table2[1st Year],MATCH(1,(Table1[[#This Row],[Employer]]=Table2[EIW Name])*(Table1[[#This Row],[City, State]]=Table2[Offices Matched]),0)),"")</f>
        <v>1st Year: $180K</v>
      </c>
      <c r="H314" s="50">
        <f>_xlfn.IFNA(INDEX(saCAGR[CAGR],MATCH(Table1[[#This Row],[Employer]],saCAGR[EIW Name],0)),"")</f>
        <v>1.0184377282271837</v>
      </c>
      <c r="I314" s="50">
        <f>IFERROR(Table1[[#This Row],[SA CAGR]]*Table1[[#This Row],[Number of Summer 2016 2L SAs]],"")</f>
        <v>2.0368754564543674</v>
      </c>
      <c r="J314" s="50">
        <v>3</v>
      </c>
      <c r="K314" s="51">
        <f>IFERROR(Table1[[#This Row],[Number of Summer 2016 NYU 2L SAs]]/Table1[[#This Row],[Interview Slots]],0)</f>
        <v>7.4999999999999997E-2</v>
      </c>
      <c r="L314" s="51">
        <f>Table1[[#This Row],[Number of Summer 2016 2L SAs]]/Table1[[#This Row],[Interview Slots]]</f>
        <v>0.05</v>
      </c>
      <c r="M314" s="51">
        <f>IFERROR(Table1[[#This Row],[Number of Summer 2016 NYU 2L SAs]]/Table1[[#This Row],[Number of Summer 2016 2L SAs]],0)</f>
        <v>1.5</v>
      </c>
      <c r="N314" s="50" t="str">
        <f>IFERROR(RIGHT(Table1[[#This Row],[1st year]],LEN(Table1[[#This Row],[1st year]])-FIND(":",Table1[[#This Row],[1st year]])-1),"")</f>
        <v>$180K</v>
      </c>
      <c r="O314" s="50" t="str">
        <f t="array" ref="O314">IFERROR(INDEX(Table2[Nth year],MATCH(1,(Table1[[#This Row],[Employer]]=Table2[EIW Name])*(Table1[[#This Row],[City, State]]=Table2[Offices Matched]),0)),"")</f>
        <v>8th Year: $315K</v>
      </c>
      <c r="P314" s="50" t="str">
        <f>IFERROR(RIGHT(Table1[[#This Row],[Nth year]],LEN(Table1[[#This Row],[Nth year]])-FIND(":",Table1[[#This Row],[Nth year]])-1),"")</f>
        <v>$315K</v>
      </c>
      <c r="Q314" s="50" t="str">
        <f t="array" ref="Q314">IFERROR(INDEX(Table2[Am Law 200 PPP Rank ’16],MATCH(1,(Table1[[#This Row],[Employer]]=Table2[EIW Name])*(Table1[[#This Row],[City, State]]=Table2[Offices Matched]),0)),"")</f>
        <v>55: $1.56M</v>
      </c>
      <c r="R314" s="50" t="str">
        <f>IFERROR(LEFT(Table1[[#This Row],[Am Law 200 PPP Rank ’16]],FIND(":",Table1[[#This Row],[Am Law 200 PPP Rank ’16]])-1),"")</f>
        <v>55</v>
      </c>
      <c r="S314" s="50">
        <f>IFERROR(INDEX(VaultRank[Rank],MATCH(Table1[[#This Row],[Employer]],VaultRank[EIW Name],0)),"")</f>
        <v>34</v>
      </c>
      <c r="T314" s="50" t="str">
        <f t="array" ref="T314">IFERROR(INDEX(Table2[Summers Matched],MATCH(1,(Table1[[#This Row],[Employer]]=Table2[EIW Name])*(Table1[[#This Row],[City, State]]=Table2[Offices Matched]),0)),"")</f>
        <v>Yes</v>
      </c>
      <c r="U314" s="52" t="str">
        <f t="shared" si="4"/>
        <v/>
      </c>
      <c r="V314" s="60"/>
      <c r="W314" s="114">
        <v>42592</v>
      </c>
      <c r="X314"/>
    </row>
    <row r="315" spans="1:24" ht="14.1" customHeight="1">
      <c r="A315" s="45" t="s">
        <v>195</v>
      </c>
      <c r="B315" s="45" t="s">
        <v>334</v>
      </c>
      <c r="C315" s="45" t="s">
        <v>300</v>
      </c>
      <c r="D315" s="45" t="str">
        <f>Table1[[#This Row],[City]]&amp;", "&amp;Table1[[#This Row],[State]]</f>
        <v>Palo Alto, CA</v>
      </c>
      <c r="E315" s="49">
        <v>9</v>
      </c>
      <c r="F315" s="50">
        <v>3</v>
      </c>
      <c r="G315" s="50" t="str">
        <f t="array" ref="G315">IFERROR(INDEX(Table2[1st Year],MATCH(1,(Table1[[#This Row],[Employer]]=Table2[EIW Name])*(Table1[[#This Row],[City, State]]=Table2[Offices Matched]),0)),"")</f>
        <v>1st Year: $180K</v>
      </c>
      <c r="H315" s="50">
        <f>_xlfn.IFNA(INDEX(saCAGR[CAGR],MATCH(Table1[[#This Row],[Employer]],saCAGR[EIW Name],0)),"")</f>
        <v>1.0184377282271837</v>
      </c>
      <c r="I315" s="50">
        <f>IFERROR(Table1[[#This Row],[SA CAGR]]*Table1[[#This Row],[Number of Summer 2016 2L SAs]],"")</f>
        <v>3.0553131846815509</v>
      </c>
      <c r="J315" s="50">
        <v>6</v>
      </c>
      <c r="K315" s="51">
        <f>IFERROR(Table1[[#This Row],[Number of Summer 2016 NYU 2L SAs]]/Table1[[#This Row],[Interview Slots]],0)</f>
        <v>0.66666666666666663</v>
      </c>
      <c r="L315" s="51">
        <f>Table1[[#This Row],[Number of Summer 2016 2L SAs]]/Table1[[#This Row],[Interview Slots]]</f>
        <v>0.33333333333333331</v>
      </c>
      <c r="M315" s="51">
        <f>IFERROR(Table1[[#This Row],[Number of Summer 2016 NYU 2L SAs]]/Table1[[#This Row],[Number of Summer 2016 2L SAs]],0)</f>
        <v>2</v>
      </c>
      <c r="N315" s="50" t="str">
        <f>IFERROR(RIGHT(Table1[[#This Row],[1st year]],LEN(Table1[[#This Row],[1st year]])-FIND(":",Table1[[#This Row],[1st year]])-1),"")</f>
        <v>$180K</v>
      </c>
      <c r="O315" s="50" t="str">
        <f t="array" ref="O315">IFERROR(INDEX(Table2[Nth year],MATCH(1,(Table1[[#This Row],[Employer]]=Table2[EIW Name])*(Table1[[#This Row],[City, State]]=Table2[Offices Matched]),0)),"")</f>
        <v>8th Year: $315K</v>
      </c>
      <c r="P315" s="50" t="str">
        <f>IFERROR(RIGHT(Table1[[#This Row],[Nth year]],LEN(Table1[[#This Row],[Nth year]])-FIND(":",Table1[[#This Row],[Nth year]])-1),"")</f>
        <v>$315K</v>
      </c>
      <c r="Q315" s="50" t="str">
        <f t="array" ref="Q315">IFERROR(INDEX(Table2[Am Law 200 PPP Rank ’16],MATCH(1,(Table1[[#This Row],[Employer]]=Table2[EIW Name])*(Table1[[#This Row],[City, State]]=Table2[Offices Matched]),0)),"")</f>
        <v>55: $1.56M</v>
      </c>
      <c r="R315" s="50" t="str">
        <f>IFERROR(LEFT(Table1[[#This Row],[Am Law 200 PPP Rank ’16]],FIND(":",Table1[[#This Row],[Am Law 200 PPP Rank ’16]])-1),"")</f>
        <v>55</v>
      </c>
      <c r="S315" s="50">
        <f>IFERROR(INDEX(VaultRank[Rank],MATCH(Table1[[#This Row],[Employer]],VaultRank[EIW Name],0)),"")</f>
        <v>34</v>
      </c>
      <c r="T315" s="50" t="str">
        <f t="array" ref="T315">IFERROR(INDEX(Table2[Summers Matched],MATCH(1,(Table1[[#This Row],[Employer]]=Table2[EIW Name])*(Table1[[#This Row],[City, State]]=Table2[Offices Matched]),0)),"")</f>
        <v>Yes</v>
      </c>
      <c r="U315" s="52" t="str">
        <f t="shared" si="4"/>
        <v/>
      </c>
      <c r="V315" s="60"/>
      <c r="W315" s="114">
        <v>42592</v>
      </c>
      <c r="X315"/>
    </row>
    <row r="316" spans="1:24" ht="14.1" customHeight="1">
      <c r="A316" s="45" t="s">
        <v>195</v>
      </c>
      <c r="B316" s="45" t="s">
        <v>301</v>
      </c>
      <c r="C316" s="45" t="s">
        <v>302</v>
      </c>
      <c r="D316" s="45" t="str">
        <f>Table1[[#This Row],[City]]&amp;", "&amp;Table1[[#This Row],[State]]</f>
        <v>Washington, DC</v>
      </c>
      <c r="E316" s="49">
        <v>11</v>
      </c>
      <c r="F316" s="50">
        <v>11</v>
      </c>
      <c r="G316" s="50" t="str">
        <f t="array" ref="G316">IFERROR(INDEX(Table2[1st Year],MATCH(1,(Table1[[#This Row],[Employer]]=Table2[EIW Name])*(Table1[[#This Row],[City, State]]=Table2[Offices Matched]),0)),"")</f>
        <v/>
      </c>
      <c r="H316" s="50">
        <f>_xlfn.IFNA(INDEX(saCAGR[CAGR],MATCH(Table1[[#This Row],[Employer]],saCAGR[EIW Name],0)),"")</f>
        <v>1.0184377282271837</v>
      </c>
      <c r="I316" s="50">
        <f>IFERROR(Table1[[#This Row],[SA CAGR]]*Table1[[#This Row],[Number of Summer 2016 2L SAs]],"")</f>
        <v>11.202815010499021</v>
      </c>
      <c r="J316" s="50">
        <v>11</v>
      </c>
      <c r="K316" s="51">
        <f>IFERROR(Table1[[#This Row],[Number of Summer 2016 NYU 2L SAs]]/Table1[[#This Row],[Interview Slots]],0)</f>
        <v>1</v>
      </c>
      <c r="L316" s="51">
        <f>Table1[[#This Row],[Number of Summer 2016 2L SAs]]/Table1[[#This Row],[Interview Slots]]</f>
        <v>1</v>
      </c>
      <c r="M316" s="51">
        <f>IFERROR(Table1[[#This Row],[Number of Summer 2016 NYU 2L SAs]]/Table1[[#This Row],[Number of Summer 2016 2L SAs]],0)</f>
        <v>1</v>
      </c>
      <c r="N316" s="50" t="str">
        <f>IFERROR(RIGHT(Table1[[#This Row],[1st year]],LEN(Table1[[#This Row],[1st year]])-FIND(":",Table1[[#This Row],[1st year]])-1),"")</f>
        <v/>
      </c>
      <c r="O316" s="50" t="str">
        <f t="array" ref="O316">IFERROR(INDEX(Table2[Nth year],MATCH(1,(Table1[[#This Row],[Employer]]=Table2[EIW Name])*(Table1[[#This Row],[City, State]]=Table2[Offices Matched]),0)),"")</f>
        <v/>
      </c>
      <c r="P316" s="50" t="str">
        <f>IFERROR(RIGHT(Table1[[#This Row],[Nth year]],LEN(Table1[[#This Row],[Nth year]])-FIND(":",Table1[[#This Row],[Nth year]])-1),"")</f>
        <v/>
      </c>
      <c r="Q316" s="50" t="str">
        <f t="array" ref="Q316">IFERROR(INDEX(Table2[Am Law 200 PPP Rank ’16],MATCH(1,(Table1[[#This Row],[Employer]]=Table2[EIW Name])*(Table1[[#This Row],[City, State]]=Table2[Offices Matched]),0)),"")</f>
        <v/>
      </c>
      <c r="R316" s="50" t="str">
        <f>IFERROR(LEFT(Table1[[#This Row],[Am Law 200 PPP Rank ’16]],FIND(":",Table1[[#This Row],[Am Law 200 PPP Rank ’16]])-1),"")</f>
        <v/>
      </c>
      <c r="S316" s="50">
        <f>IFERROR(INDEX(VaultRank[Rank],MATCH(Table1[[#This Row],[Employer]],VaultRank[EIW Name],0)),"")</f>
        <v>34</v>
      </c>
      <c r="T316" s="50" t="str">
        <f t="array" ref="T316">IFERROR(INDEX(Table2[Summers Matched],MATCH(1,(Table1[[#This Row],[Employer]]=Table2[EIW Name])*(Table1[[#This Row],[City, State]]=Table2[Offices Matched]),0)),"")</f>
        <v/>
      </c>
      <c r="U316" s="52" t="str">
        <f t="shared" si="4"/>
        <v/>
      </c>
      <c r="V316" s="60"/>
      <c r="W316" s="114">
        <v>42594</v>
      </c>
      <c r="X316"/>
    </row>
    <row r="317" spans="1:24" ht="14.1" customHeight="1">
      <c r="A317" s="45" t="s">
        <v>195</v>
      </c>
      <c r="B317" s="45" t="s">
        <v>310</v>
      </c>
      <c r="C317" s="45" t="s">
        <v>311</v>
      </c>
      <c r="D317" s="45" t="str">
        <f>Table1[[#This Row],[City]]&amp;", "&amp;Table1[[#This Row],[State]]</f>
        <v>Charlotte, NC</v>
      </c>
      <c r="E317" s="49">
        <v>103</v>
      </c>
      <c r="F317" s="50">
        <v>3</v>
      </c>
      <c r="G317" s="50" t="str">
        <f t="array" ref="G317">IFERROR(INDEX(Table2[1st Year],MATCH(1,(Table1[[#This Row],[Employer]]=Table2[EIW Name])*(Table1[[#This Row],[City, State]]=Table2[Offices Matched]),0)),"")</f>
        <v>1st Year: $180K</v>
      </c>
      <c r="H317" s="50">
        <f>_xlfn.IFNA(INDEX(saCAGR[CAGR],MATCH(Table1[[#This Row],[Employer]],saCAGR[EIW Name],0)),"")</f>
        <v>1.0184377282271837</v>
      </c>
      <c r="I317" s="50">
        <f>IFERROR(Table1[[#This Row],[SA CAGR]]*Table1[[#This Row],[Number of Summer 2016 2L SAs]],"")</f>
        <v>3.0553131846815509</v>
      </c>
      <c r="J317" s="50">
        <v>9</v>
      </c>
      <c r="K317" s="51">
        <f>IFERROR(Table1[[#This Row],[Number of Summer 2016 NYU 2L SAs]]/Table1[[#This Row],[Interview Slots]],0)</f>
        <v>8.7378640776699032E-2</v>
      </c>
      <c r="L317" s="51">
        <f>Table1[[#This Row],[Number of Summer 2016 2L SAs]]/Table1[[#This Row],[Interview Slots]]</f>
        <v>2.9126213592233011E-2</v>
      </c>
      <c r="M317" s="51">
        <f>IFERROR(Table1[[#This Row],[Number of Summer 2016 NYU 2L SAs]]/Table1[[#This Row],[Number of Summer 2016 2L SAs]],0)</f>
        <v>3</v>
      </c>
      <c r="N317" s="50" t="str">
        <f>IFERROR(RIGHT(Table1[[#This Row],[1st year]],LEN(Table1[[#This Row],[1st year]])-FIND(":",Table1[[#This Row],[1st year]])-1),"")</f>
        <v>$180K</v>
      </c>
      <c r="O317" s="50" t="str">
        <f t="array" ref="O317">IFERROR(INDEX(Table2[Nth year],MATCH(1,(Table1[[#This Row],[Employer]]=Table2[EIW Name])*(Table1[[#This Row],[City, State]]=Table2[Offices Matched]),0)),"")</f>
        <v>8th Year: $315K</v>
      </c>
      <c r="P317" s="50" t="str">
        <f>IFERROR(RIGHT(Table1[[#This Row],[Nth year]],LEN(Table1[[#This Row],[Nth year]])-FIND(":",Table1[[#This Row],[Nth year]])-1),"")</f>
        <v>$315K</v>
      </c>
      <c r="Q317" s="50" t="str">
        <f t="array" ref="Q317">IFERROR(INDEX(Table2[Am Law 200 PPP Rank ’16],MATCH(1,(Table1[[#This Row],[Employer]]=Table2[EIW Name])*(Table1[[#This Row],[City, State]]=Table2[Offices Matched]),0)),"")</f>
        <v>55: $1.56M</v>
      </c>
      <c r="R317" s="50" t="str">
        <f>IFERROR(LEFT(Table1[[#This Row],[Am Law 200 PPP Rank ’16]],FIND(":",Table1[[#This Row],[Am Law 200 PPP Rank ’16]])-1),"")</f>
        <v>55</v>
      </c>
      <c r="S317" s="50">
        <f>IFERROR(INDEX(VaultRank[Rank],MATCH(Table1[[#This Row],[Employer]],VaultRank[EIW Name],0)),"")</f>
        <v>34</v>
      </c>
      <c r="T317" s="50" t="str">
        <f t="array" ref="T317">IFERROR(INDEX(Table2[Summers Matched],MATCH(1,(Table1[[#This Row],[Employer]]=Table2[EIW Name])*(Table1[[#This Row],[City, State]]=Table2[Offices Matched]),0)),"")</f>
        <v>Yes</v>
      </c>
      <c r="U317" s="52" t="str">
        <f t="shared" si="4"/>
        <v/>
      </c>
      <c r="V317" s="60"/>
      <c r="W317" s="114">
        <v>42593</v>
      </c>
      <c r="X317"/>
    </row>
    <row r="318" spans="1:24" ht="14.1" customHeight="1">
      <c r="A318" s="45" t="s">
        <v>195</v>
      </c>
      <c r="B318" s="45" t="s">
        <v>331</v>
      </c>
      <c r="C318" s="45" t="s">
        <v>314</v>
      </c>
      <c r="D318" s="45" t="str">
        <f>Table1[[#This Row],[City]]&amp;", "&amp;Table1[[#This Row],[State]]</f>
        <v>Houston, TX</v>
      </c>
      <c r="E318" s="49">
        <v>106</v>
      </c>
      <c r="F318" s="50">
        <v>2</v>
      </c>
      <c r="G318" s="50" t="str">
        <f t="array" ref="G318">IFERROR(INDEX(Table2[1st Year],MATCH(1,(Table1[[#This Row],[Employer]]=Table2[EIW Name])*(Table1[[#This Row],[City, State]]=Table2[Offices Matched]),0)),"")</f>
        <v>1st Year: $180K</v>
      </c>
      <c r="H318" s="50">
        <f>_xlfn.IFNA(INDEX(saCAGR[CAGR],MATCH(Table1[[#This Row],[Employer]],saCAGR[EIW Name],0)),"")</f>
        <v>1.0184377282271837</v>
      </c>
      <c r="I318" s="50">
        <f>IFERROR(Table1[[#This Row],[SA CAGR]]*Table1[[#This Row],[Number of Summer 2016 2L SAs]],"")</f>
        <v>2.0368754564543674</v>
      </c>
      <c r="J318" s="50">
        <v>12</v>
      </c>
      <c r="K318" s="51">
        <f>IFERROR(Table1[[#This Row],[Number of Summer 2016 NYU 2L SAs]]/Table1[[#This Row],[Interview Slots]],0)</f>
        <v>0.11320754716981132</v>
      </c>
      <c r="L318" s="51">
        <f>Table1[[#This Row],[Number of Summer 2016 2L SAs]]/Table1[[#This Row],[Interview Slots]]</f>
        <v>1.8867924528301886E-2</v>
      </c>
      <c r="M318" s="51">
        <f>IFERROR(Table1[[#This Row],[Number of Summer 2016 NYU 2L SAs]]/Table1[[#This Row],[Number of Summer 2016 2L SAs]],0)</f>
        <v>6</v>
      </c>
      <c r="N318" s="50" t="str">
        <f>IFERROR(RIGHT(Table1[[#This Row],[1st year]],LEN(Table1[[#This Row],[1st year]])-FIND(":",Table1[[#This Row],[1st year]])-1),"")</f>
        <v>$180K</v>
      </c>
      <c r="O318" s="50" t="str">
        <f t="array" ref="O318">IFERROR(INDEX(Table2[Nth year],MATCH(1,(Table1[[#This Row],[Employer]]=Table2[EIW Name])*(Table1[[#This Row],[City, State]]=Table2[Offices Matched]),0)),"")</f>
        <v>8th Year: $315K</v>
      </c>
      <c r="P318" s="50" t="str">
        <f>IFERROR(RIGHT(Table1[[#This Row],[Nth year]],LEN(Table1[[#This Row],[Nth year]])-FIND(":",Table1[[#This Row],[Nth year]])-1),"")</f>
        <v>$315K</v>
      </c>
      <c r="Q318" s="50" t="str">
        <f t="array" ref="Q318">IFERROR(INDEX(Table2[Am Law 200 PPP Rank ’16],MATCH(1,(Table1[[#This Row],[Employer]]=Table2[EIW Name])*(Table1[[#This Row],[City, State]]=Table2[Offices Matched]),0)),"")</f>
        <v>55: $1.56M</v>
      </c>
      <c r="R318" s="50" t="str">
        <f>IFERROR(LEFT(Table1[[#This Row],[Am Law 200 PPP Rank ’16]],FIND(":",Table1[[#This Row],[Am Law 200 PPP Rank ’16]])-1),"")</f>
        <v>55</v>
      </c>
      <c r="S318" s="50">
        <f>IFERROR(INDEX(VaultRank[Rank],MATCH(Table1[[#This Row],[Employer]],VaultRank[EIW Name],0)),"")</f>
        <v>34</v>
      </c>
      <c r="T318" s="50" t="str">
        <f t="array" ref="T318">IFERROR(INDEX(Table2[Summers Matched],MATCH(1,(Table1[[#This Row],[Employer]]=Table2[EIW Name])*(Table1[[#This Row],[City, State]]=Table2[Offices Matched]),0)),"")</f>
        <v>Yes</v>
      </c>
      <c r="U318" s="52" t="str">
        <f t="shared" si="4"/>
        <v/>
      </c>
      <c r="V318" s="60"/>
      <c r="W318" s="114">
        <v>42593</v>
      </c>
      <c r="X318"/>
    </row>
    <row r="319" spans="1:24" ht="14.1" customHeight="1">
      <c r="A319" s="45" t="s">
        <v>258</v>
      </c>
      <c r="B319" s="45" t="s">
        <v>364</v>
      </c>
      <c r="C319" s="45" t="s">
        <v>362</v>
      </c>
      <c r="D319" s="45" t="str">
        <f>Table1[[#This Row],[City]]&amp;", "&amp;Table1[[#This Row],[State]]</f>
        <v>New York, NY</v>
      </c>
      <c r="E319" s="49">
        <v>5</v>
      </c>
      <c r="F319" s="50">
        <v>1</v>
      </c>
      <c r="G319" s="50" t="str">
        <f t="array" ref="G319">IFERROR(INDEX(Table2[1st Year],MATCH(1,(Table1[[#This Row],[Employer]]=Table2[EIW Name])*(Table1[[#This Row],[City, State]]=Table2[Offices Matched]),0)),"")</f>
        <v/>
      </c>
      <c r="H319" s="50">
        <f>_xlfn.IFNA(INDEX(saCAGR[CAGR],MATCH(Table1[[#This Row],[Employer]],saCAGR[EIW Name],0)),"")</f>
        <v>1.0287914175139352</v>
      </c>
      <c r="I319" s="50">
        <f>IFERROR(Table1[[#This Row],[SA CAGR]]*Table1[[#This Row],[Number of Summer 2016 2L SAs]],"")</f>
        <v>1.0287914175139352</v>
      </c>
      <c r="J319" s="50">
        <v>25</v>
      </c>
      <c r="K319" s="51">
        <f>IFERROR(Table1[[#This Row],[Number of Summer 2016 NYU 2L SAs]]/Table1[[#This Row],[Interview Slots]],0)</f>
        <v>5</v>
      </c>
      <c r="L319" s="51">
        <f>Table1[[#This Row],[Number of Summer 2016 2L SAs]]/Table1[[#This Row],[Interview Slots]]</f>
        <v>0.2</v>
      </c>
      <c r="M319" s="51">
        <f>IFERROR(Table1[[#This Row],[Number of Summer 2016 NYU 2L SAs]]/Table1[[#This Row],[Number of Summer 2016 2L SAs]],0)</f>
        <v>25</v>
      </c>
      <c r="N319" s="50" t="str">
        <f>IFERROR(RIGHT(Table1[[#This Row],[1st year]],LEN(Table1[[#This Row],[1st year]])-FIND(":",Table1[[#This Row],[1st year]])-1),"")</f>
        <v/>
      </c>
      <c r="O319" s="50" t="str">
        <f t="array" ref="O319">IFERROR(INDEX(Table2[Nth year],MATCH(1,(Table1[[#This Row],[Employer]]=Table2[EIW Name])*(Table1[[#This Row],[City, State]]=Table2[Offices Matched]),0)),"")</f>
        <v/>
      </c>
      <c r="P319" s="50" t="str">
        <f>IFERROR(RIGHT(Table1[[#This Row],[Nth year]],LEN(Table1[[#This Row],[Nth year]])-FIND(":",Table1[[#This Row],[Nth year]])-1),"")</f>
        <v/>
      </c>
      <c r="Q319" s="50" t="str">
        <f t="array" ref="Q319">IFERROR(INDEX(Table2[Am Law 200 PPP Rank ’16],MATCH(1,(Table1[[#This Row],[Employer]]=Table2[EIW Name])*(Table1[[#This Row],[City, State]]=Table2[Offices Matched]),0)),"")</f>
        <v/>
      </c>
      <c r="R319" s="50" t="str">
        <f>IFERROR(LEFT(Table1[[#This Row],[Am Law 200 PPP Rank ’16]],FIND(":",Table1[[#This Row],[Am Law 200 PPP Rank ’16]])-1),"")</f>
        <v/>
      </c>
      <c r="S319" s="50">
        <f>IFERROR(INDEX(VaultRank[Rank],MATCH(Table1[[#This Row],[Employer]],VaultRank[EIW Name],0)),"")</f>
        <v>69</v>
      </c>
      <c r="T319" s="50" t="str">
        <f t="array" ref="T319">IFERROR(INDEX(Table2[Summers Matched],MATCH(1,(Table1[[#This Row],[Employer]]=Table2[EIW Name])*(Table1[[#This Row],[City, State]]=Table2[Offices Matched]),0)),"")</f>
        <v/>
      </c>
      <c r="U319" s="52" t="str">
        <f t="shared" si="4"/>
        <v/>
      </c>
      <c r="V319" s="60"/>
      <c r="W319" s="114">
        <v>42592</v>
      </c>
      <c r="X319"/>
    </row>
    <row r="320" spans="1:24" ht="14.1" customHeight="1">
      <c r="A320" s="45" t="s">
        <v>450</v>
      </c>
      <c r="B320" s="45" t="s">
        <v>364</v>
      </c>
      <c r="C320" s="45" t="s">
        <v>362</v>
      </c>
      <c r="D320" s="45" t="str">
        <f>Table1[[#This Row],[City]]&amp;", "&amp;Table1[[#This Row],[State]]</f>
        <v>New York, NY</v>
      </c>
      <c r="E320" s="49">
        <v>142</v>
      </c>
      <c r="F320" s="50">
        <v>18</v>
      </c>
      <c r="G320" s="50" t="str">
        <f t="array" ref="G320">IFERROR(INDEX(Table2[1st Year],MATCH(1,(Table1[[#This Row],[Employer]]=Table2[EIW Name])*(Table1[[#This Row],[City, State]]=Table2[Offices Matched]),0)),"")</f>
        <v/>
      </c>
      <c r="H320" s="51">
        <f>_xlfn.IFNA(INDEX(saCAGR[CAGR],MATCH(Table1[[#This Row],[Employer]],saCAGR[EIW Name],0)),"")</f>
        <v>1.0194192795547488</v>
      </c>
      <c r="I320" s="50">
        <f>IFERROR(Table1[[#This Row],[SA CAGR]]*Table1[[#This Row],[Number of Summer 2016 2L SAs]],"")</f>
        <v>18.349547031985477</v>
      </c>
      <c r="J320" s="50">
        <v>14</v>
      </c>
      <c r="K320" s="51">
        <f>IFERROR(Table1[[#This Row],[Number of Summer 2016 NYU 2L SAs]]/Table1[[#This Row],[Interview Slots]],0)</f>
        <v>9.8591549295774641E-2</v>
      </c>
      <c r="L320" s="51">
        <f>Table1[[#This Row],[Number of Summer 2016 2L SAs]]/Table1[[#This Row],[Interview Slots]]</f>
        <v>0.12676056338028169</v>
      </c>
      <c r="M320" s="51">
        <f>IFERROR(Table1[[#This Row],[Number of Summer 2016 NYU 2L SAs]]/Table1[[#This Row],[Number of Summer 2016 2L SAs]],0)</f>
        <v>0.77777777777777779</v>
      </c>
      <c r="N320" s="50" t="str">
        <f>IFERROR(RIGHT(Table1[[#This Row],[1st year]],LEN(Table1[[#This Row],[1st year]])-FIND(":",Table1[[#This Row],[1st year]])-1),"")</f>
        <v/>
      </c>
      <c r="O320" s="50" t="str">
        <f t="array" ref="O320">IFERROR(INDEX(Table2[Nth year],MATCH(1,(Table1[[#This Row],[Employer]]=Table2[EIW Name])*(Table1[[#This Row],[City, State]]=Table2[Offices Matched]),0)),"")</f>
        <v/>
      </c>
      <c r="P320" s="50" t="str">
        <f>IFERROR(RIGHT(Table1[[#This Row],[Nth year]],LEN(Table1[[#This Row],[Nth year]])-FIND(":",Table1[[#This Row],[Nth year]])-1),"")</f>
        <v/>
      </c>
      <c r="Q320" s="50" t="str">
        <f t="array" ref="Q320">IFERROR(INDEX(Table2[Am Law 200 PPP Rank ’16],MATCH(1,(Table1[[#This Row],[Employer]]=Table2[EIW Name])*(Table1[[#This Row],[City, State]]=Table2[Offices Matched]),0)),"")</f>
        <v/>
      </c>
      <c r="R320" s="50" t="str">
        <f>IFERROR(LEFT(Table1[[#This Row],[Am Law 200 PPP Rank ’16]],FIND(":",Table1[[#This Row],[Am Law 200 PPP Rank ’16]])-1),"")</f>
        <v/>
      </c>
      <c r="S320" s="50">
        <f>IFERROR(INDEX(VaultRank[Rank],MATCH(Table1[[#This Row],[Employer]],VaultRank[EIW Name],0)),"")</f>
        <v>70</v>
      </c>
      <c r="T320" s="50" t="str">
        <f t="array" ref="T320">IFERROR(INDEX(Table2[Summers Matched],MATCH(1,(Table1[[#This Row],[Employer]]=Table2[EIW Name])*(Table1[[#This Row],[City, State]]=Table2[Offices Matched]),0)),"")</f>
        <v/>
      </c>
      <c r="U320" s="52">
        <f t="shared" si="4"/>
        <v>3.4</v>
      </c>
      <c r="V320" s="60"/>
      <c r="W320" s="114">
        <v>42594</v>
      </c>
      <c r="X320"/>
    </row>
    <row r="321" spans="1:24" ht="14.1" customHeight="1">
      <c r="A321" s="45" t="s">
        <v>104</v>
      </c>
      <c r="B321" s="45" t="s">
        <v>338</v>
      </c>
      <c r="C321" s="45" t="s">
        <v>314</v>
      </c>
      <c r="D321" s="45" t="str">
        <f>Table1[[#This Row],[City]]&amp;", "&amp;Table1[[#This Row],[State]]</f>
        <v>Austin, TX</v>
      </c>
      <c r="E321" s="49">
        <v>119</v>
      </c>
      <c r="F321" s="50">
        <v>5</v>
      </c>
      <c r="G321" s="50" t="str">
        <f t="array" ref="G321">IFERROR(INDEX(Table2[1st Year],MATCH(1,(Table1[[#This Row],[Employer]]=Table2[EIW Name])*(Table1[[#This Row],[City, State]]=Table2[Offices Matched]),0)),"")</f>
        <v>1st Year: $180K</v>
      </c>
      <c r="H321" s="50" t="str">
        <f>_xlfn.IFNA(INDEX(saCAGR[CAGR],MATCH(Table1[[#This Row],[Employer]],saCAGR[EIW Name],0)),"")</f>
        <v/>
      </c>
      <c r="I321" s="50" t="str">
        <f>IFERROR(Table1[[#This Row],[SA CAGR]]*Table1[[#This Row],[Number of Summer 2016 2L SAs]],"")</f>
        <v/>
      </c>
      <c r="J321" s="50">
        <v>2</v>
      </c>
      <c r="K321" s="51">
        <f>IFERROR(Table1[[#This Row],[Number of Summer 2016 NYU 2L SAs]]/Table1[[#This Row],[Interview Slots]],0)</f>
        <v>1.680672268907563E-2</v>
      </c>
      <c r="L321" s="51">
        <f>Table1[[#This Row],[Number of Summer 2016 2L SAs]]/Table1[[#This Row],[Interview Slots]]</f>
        <v>4.2016806722689079E-2</v>
      </c>
      <c r="M321" s="51">
        <f>IFERROR(Table1[[#This Row],[Number of Summer 2016 NYU 2L SAs]]/Table1[[#This Row],[Number of Summer 2016 2L SAs]],0)</f>
        <v>0.4</v>
      </c>
      <c r="N321" s="50" t="str">
        <f>IFERROR(RIGHT(Table1[[#This Row],[1st year]],LEN(Table1[[#This Row],[1st year]])-FIND(":",Table1[[#This Row],[1st year]])-1),"")</f>
        <v>$180K</v>
      </c>
      <c r="O321" s="50" t="str">
        <f t="array" ref="O321">IFERROR(INDEX(Table2[Nth year],MATCH(1,(Table1[[#This Row],[Employer]]=Table2[EIW Name])*(Table1[[#This Row],[City, State]]=Table2[Offices Matched]),0)),"")</f>
        <v>8th Year: $315K</v>
      </c>
      <c r="P321" s="50" t="str">
        <f>IFERROR(RIGHT(Table1[[#This Row],[Nth year]],LEN(Table1[[#This Row],[Nth year]])-FIND(":",Table1[[#This Row],[Nth year]])-1),"")</f>
        <v>$315K</v>
      </c>
      <c r="Q321" s="50" t="str">
        <f t="array" ref="Q321">IFERROR(INDEX(Table2[Am Law 200 PPP Rank ’16],MATCH(1,(Table1[[#This Row],[Employer]]=Table2[EIW Name])*(Table1[[#This Row],[City, State]]=Table2[Offices Matched]),0)),"")</f>
        <v>N/A</v>
      </c>
      <c r="R321" s="50" t="str">
        <f>IFERROR(LEFT(Table1[[#This Row],[Am Law 200 PPP Rank ’16]],FIND(":",Table1[[#This Row],[Am Law 200 PPP Rank ’16]])-1),"")</f>
        <v/>
      </c>
      <c r="S321" s="50" t="str">
        <f>IFERROR(INDEX(VaultRank[Rank],MATCH(Table1[[#This Row],[Employer]],VaultRank[EIW Name],0)),"")</f>
        <v/>
      </c>
      <c r="T321" s="50" t="str">
        <f t="array" ref="T321">IFERROR(INDEX(Table2[Summers Matched],MATCH(1,(Table1[[#This Row],[Employer]]=Table2[EIW Name])*(Table1[[#This Row],[City, State]]=Table2[Offices Matched]),0)),"")</f>
        <v>TBD</v>
      </c>
      <c r="U321" s="52" t="str">
        <f t="shared" si="4"/>
        <v/>
      </c>
      <c r="V321" s="60"/>
      <c r="W321" s="114">
        <v>42595</v>
      </c>
      <c r="X321"/>
    </row>
    <row r="322" spans="1:24" ht="14.1" customHeight="1">
      <c r="A322" s="45" t="s">
        <v>104</v>
      </c>
      <c r="B322" s="45" t="s">
        <v>313</v>
      </c>
      <c r="C322" s="45" t="s">
        <v>314</v>
      </c>
      <c r="D322" s="45" t="str">
        <f>Table1[[#This Row],[City]]&amp;", "&amp;Table1[[#This Row],[State]]</f>
        <v>Dallas, TX</v>
      </c>
      <c r="E322" s="49">
        <v>127</v>
      </c>
      <c r="F322" s="50">
        <v>6</v>
      </c>
      <c r="G322" s="50" t="str">
        <f t="array" ref="G322">IFERROR(INDEX(Table2[1st Year],MATCH(1,(Table1[[#This Row],[Employer]]=Table2[EIW Name])*(Table1[[#This Row],[City, State]]=Table2[Offices Matched]),0)),"")</f>
        <v>1st Year: $180K</v>
      </c>
      <c r="H322" s="50" t="str">
        <f>_xlfn.IFNA(INDEX(saCAGR[CAGR],MATCH(Table1[[#This Row],[Employer]],saCAGR[EIW Name],0)),"")</f>
        <v/>
      </c>
      <c r="I322" s="50" t="str">
        <f>IFERROR(Table1[[#This Row],[SA CAGR]]*Table1[[#This Row],[Number of Summer 2016 2L SAs]],"")</f>
        <v/>
      </c>
      <c r="J322" s="50">
        <v>7</v>
      </c>
      <c r="K322" s="51">
        <f>IFERROR(Table1[[#This Row],[Number of Summer 2016 NYU 2L SAs]]/Table1[[#This Row],[Interview Slots]],0)</f>
        <v>5.5118110236220472E-2</v>
      </c>
      <c r="L322" s="51">
        <f>Table1[[#This Row],[Number of Summer 2016 2L SAs]]/Table1[[#This Row],[Interview Slots]]</f>
        <v>4.7244094488188976E-2</v>
      </c>
      <c r="M322" s="51">
        <f>IFERROR(Table1[[#This Row],[Number of Summer 2016 NYU 2L SAs]]/Table1[[#This Row],[Number of Summer 2016 2L SAs]],0)</f>
        <v>1.1666666666666667</v>
      </c>
      <c r="N322" s="50" t="str">
        <f>IFERROR(RIGHT(Table1[[#This Row],[1st year]],LEN(Table1[[#This Row],[1st year]])-FIND(":",Table1[[#This Row],[1st year]])-1),"")</f>
        <v>$180K</v>
      </c>
      <c r="O322" s="50" t="str">
        <f t="array" ref="O322">IFERROR(INDEX(Table2[Nth year],MATCH(1,(Table1[[#This Row],[Employer]]=Table2[EIW Name])*(Table1[[#This Row],[City, State]]=Table2[Offices Matched]),0)),"")</f>
        <v>8th Year: $315K</v>
      </c>
      <c r="P322" s="50" t="str">
        <f>IFERROR(RIGHT(Table1[[#This Row],[Nth year]],LEN(Table1[[#This Row],[Nth year]])-FIND(":",Table1[[#This Row],[Nth year]])-1),"")</f>
        <v>$315K</v>
      </c>
      <c r="Q322" s="50" t="str">
        <f t="array" ref="Q322">IFERROR(INDEX(Table2[Am Law 200 PPP Rank ’16],MATCH(1,(Table1[[#This Row],[Employer]]=Table2[EIW Name])*(Table1[[#This Row],[City, State]]=Table2[Offices Matched]),0)),"")</f>
        <v>N/A</v>
      </c>
      <c r="R322" s="50" t="str">
        <f>IFERROR(LEFT(Table1[[#This Row],[Am Law 200 PPP Rank ’16]],FIND(":",Table1[[#This Row],[Am Law 200 PPP Rank ’16]])-1),"")</f>
        <v/>
      </c>
      <c r="S322" s="50" t="str">
        <f>IFERROR(INDEX(VaultRank[Rank],MATCH(Table1[[#This Row],[Employer]],VaultRank[EIW Name],0)),"")</f>
        <v/>
      </c>
      <c r="T322" s="50" t="str">
        <f t="array" ref="T322">IFERROR(INDEX(Table2[Summers Matched],MATCH(1,(Table1[[#This Row],[Employer]]=Table2[EIW Name])*(Table1[[#This Row],[City, State]]=Table2[Offices Matched]),0)),"")</f>
        <v>TBD</v>
      </c>
      <c r="U322" s="52">
        <f t="shared" ref="U322:U385" si="5">IF(MOD(ROW(),23)=0,3.6,IF(MOD(ROW(),16)=0,3.4,""))</f>
        <v>3.6</v>
      </c>
      <c r="V322" s="60"/>
      <c r="W322" s="114">
        <v>42594</v>
      </c>
      <c r="X322"/>
    </row>
    <row r="323" spans="1:24" ht="14.1" customHeight="1">
      <c r="A323" s="45" t="s">
        <v>380</v>
      </c>
      <c r="B323" s="45" t="s">
        <v>364</v>
      </c>
      <c r="C323" s="45" t="s">
        <v>362</v>
      </c>
      <c r="D323" s="45" t="str">
        <f>Table1[[#This Row],[City]]&amp;", "&amp;Table1[[#This Row],[State]]</f>
        <v>New York, NY</v>
      </c>
      <c r="E323" s="49">
        <v>155</v>
      </c>
      <c r="F323" s="50">
        <v>2</v>
      </c>
      <c r="G323" s="50" t="str">
        <f t="array" ref="G323">IFERROR(INDEX(Table2[1st Year],MATCH(1,(Table1[[#This Row],[Employer]]=Table2[EIW Name])*(Table1[[#This Row],[City, State]]=Table2[Offices Matched]),0)),"")</f>
        <v/>
      </c>
      <c r="H323" s="50" t="str">
        <f>_xlfn.IFNA(INDEX(saCAGR[CAGR],MATCH(Table1[[#This Row],[Employer]],saCAGR[EIW Name],0)),"")</f>
        <v/>
      </c>
      <c r="I323" s="50" t="str">
        <f>IFERROR(Table1[[#This Row],[SA CAGR]]*Table1[[#This Row],[Number of Summer 2016 2L SAs]],"")</f>
        <v/>
      </c>
      <c r="J323" s="50">
        <v>8</v>
      </c>
      <c r="K323" s="51">
        <f>IFERROR(Table1[[#This Row],[Number of Summer 2016 NYU 2L SAs]]/Table1[[#This Row],[Interview Slots]],0)</f>
        <v>5.1612903225806452E-2</v>
      </c>
      <c r="L323" s="51">
        <f>Table1[[#This Row],[Number of Summer 2016 2L SAs]]/Table1[[#This Row],[Interview Slots]]</f>
        <v>1.2903225806451613E-2</v>
      </c>
      <c r="M323" s="51">
        <f>IFERROR(Table1[[#This Row],[Number of Summer 2016 NYU 2L SAs]]/Table1[[#This Row],[Number of Summer 2016 2L SAs]],0)</f>
        <v>4</v>
      </c>
      <c r="N323" s="50" t="str">
        <f>IFERROR(RIGHT(Table1[[#This Row],[1st year]],LEN(Table1[[#This Row],[1st year]])-FIND(":",Table1[[#This Row],[1st year]])-1),"")</f>
        <v/>
      </c>
      <c r="O323" s="50" t="str">
        <f t="array" ref="O323">IFERROR(INDEX(Table2[Nth year],MATCH(1,(Table1[[#This Row],[Employer]]=Table2[EIW Name])*(Table1[[#This Row],[City, State]]=Table2[Offices Matched]),0)),"")</f>
        <v/>
      </c>
      <c r="P323" s="50" t="str">
        <f>IFERROR(RIGHT(Table1[[#This Row],[Nth year]],LEN(Table1[[#This Row],[Nth year]])-FIND(":",Table1[[#This Row],[Nth year]])-1),"")</f>
        <v/>
      </c>
      <c r="Q323" s="50" t="str">
        <f t="array" ref="Q323">IFERROR(INDEX(Table2[Am Law 200 PPP Rank ’16],MATCH(1,(Table1[[#This Row],[Employer]]=Table2[EIW Name])*(Table1[[#This Row],[City, State]]=Table2[Offices Matched]),0)),"")</f>
        <v/>
      </c>
      <c r="R323" s="50" t="str">
        <f>IFERROR(LEFT(Table1[[#This Row],[Am Law 200 PPP Rank ’16]],FIND(":",Table1[[#This Row],[Am Law 200 PPP Rank ’16]])-1),"")</f>
        <v/>
      </c>
      <c r="S323" s="50">
        <f>IFERROR(INDEX(VaultRank[Rank],MATCH(Table1[[#This Row],[Employer]],VaultRank[EIW Name],0)),"")</f>
        <v>71</v>
      </c>
      <c r="T323" s="50" t="str">
        <f t="array" ref="T323">IFERROR(INDEX(Table2[Summers Matched],MATCH(1,(Table1[[#This Row],[Employer]]=Table2[EIW Name])*(Table1[[#This Row],[City, State]]=Table2[Offices Matched]),0)),"")</f>
        <v/>
      </c>
      <c r="U323" s="52" t="str">
        <f t="shared" si="5"/>
        <v/>
      </c>
      <c r="V323" s="60"/>
      <c r="W323" s="114">
        <v>42595</v>
      </c>
      <c r="X323"/>
    </row>
    <row r="324" spans="1:24" ht="14.1" customHeight="1">
      <c r="A324" s="45" t="s">
        <v>461</v>
      </c>
      <c r="B324" s="45" t="s">
        <v>462</v>
      </c>
      <c r="C324" s="45" t="s">
        <v>362</v>
      </c>
      <c r="D324" s="45" t="str">
        <f>Table1[[#This Row],[City]]&amp;", "&amp;Table1[[#This Row],[State]]</f>
        <v>Mineola, NY</v>
      </c>
      <c r="E324" s="49">
        <v>147</v>
      </c>
      <c r="F324" s="50">
        <v>4</v>
      </c>
      <c r="G324" s="50" t="str">
        <f t="array" ref="G324">IFERROR(INDEX(Table2[1st Year],MATCH(1,(Table1[[#This Row],[Employer]]=Table2[EIW Name])*(Table1[[#This Row],[City, State]]=Table2[Offices Matched]),0)),"")</f>
        <v/>
      </c>
      <c r="H324" s="50" t="str">
        <f>_xlfn.IFNA(INDEX(saCAGR[CAGR],MATCH(Table1[[#This Row],[Employer]],saCAGR[EIW Name],0)),"")</f>
        <v/>
      </c>
      <c r="I324" s="50" t="str">
        <f>IFERROR(Table1[[#This Row],[SA CAGR]]*Table1[[#This Row],[Number of Summer 2016 2L SAs]],"")</f>
        <v/>
      </c>
      <c r="J324" s="50">
        <v>7</v>
      </c>
      <c r="K324" s="51">
        <f>IFERROR(Table1[[#This Row],[Number of Summer 2016 NYU 2L SAs]]/Table1[[#This Row],[Interview Slots]],0)</f>
        <v>4.7619047619047616E-2</v>
      </c>
      <c r="L324" s="51">
        <f>Table1[[#This Row],[Number of Summer 2016 2L SAs]]/Table1[[#This Row],[Interview Slots]]</f>
        <v>2.7210884353741496E-2</v>
      </c>
      <c r="M324" s="51">
        <f>IFERROR(Table1[[#This Row],[Number of Summer 2016 NYU 2L SAs]]/Table1[[#This Row],[Number of Summer 2016 2L SAs]],0)</f>
        <v>1.75</v>
      </c>
      <c r="N324" s="50" t="str">
        <f>IFERROR(RIGHT(Table1[[#This Row],[1st year]],LEN(Table1[[#This Row],[1st year]])-FIND(":",Table1[[#This Row],[1st year]])-1),"")</f>
        <v/>
      </c>
      <c r="O324" s="50" t="str">
        <f t="array" ref="O324">IFERROR(INDEX(Table2[Nth year],MATCH(1,(Table1[[#This Row],[Employer]]=Table2[EIW Name])*(Table1[[#This Row],[City, State]]=Table2[Offices Matched]),0)),"")</f>
        <v/>
      </c>
      <c r="P324" s="50" t="str">
        <f>IFERROR(RIGHT(Table1[[#This Row],[Nth year]],LEN(Table1[[#This Row],[Nth year]])-FIND(":",Table1[[#This Row],[Nth year]])-1),"")</f>
        <v/>
      </c>
      <c r="Q324" s="50" t="str">
        <f t="array" ref="Q324">IFERROR(INDEX(Table2[Am Law 200 PPP Rank ’16],MATCH(1,(Table1[[#This Row],[Employer]]=Table2[EIW Name])*(Table1[[#This Row],[City, State]]=Table2[Offices Matched]),0)),"")</f>
        <v/>
      </c>
      <c r="R324" s="50" t="str">
        <f>IFERROR(LEFT(Table1[[#This Row],[Am Law 200 PPP Rank ’16]],FIND(":",Table1[[#This Row],[Am Law 200 PPP Rank ’16]])-1),"")</f>
        <v/>
      </c>
      <c r="S324" s="50" t="str">
        <f>IFERROR(INDEX(VaultRank[Rank],MATCH(Table1[[#This Row],[Employer]],VaultRank[EIW Name],0)),"")</f>
        <v/>
      </c>
      <c r="T324" s="50" t="str">
        <f t="array" ref="T324">IFERROR(INDEX(Table2[Summers Matched],MATCH(1,(Table1[[#This Row],[Employer]]=Table2[EIW Name])*(Table1[[#This Row],[City, State]]=Table2[Offices Matched]),0)),"")</f>
        <v/>
      </c>
      <c r="U324" s="52" t="str">
        <f t="shared" si="5"/>
        <v/>
      </c>
      <c r="V324" s="60"/>
      <c r="W324" s="114">
        <v>42592</v>
      </c>
      <c r="X324"/>
    </row>
    <row r="325" spans="1:24" ht="14.1" customHeight="1">
      <c r="A325" s="45" t="s">
        <v>612</v>
      </c>
      <c r="B325" s="45"/>
      <c r="C325" s="45"/>
      <c r="D325" s="46" t="s">
        <v>534</v>
      </c>
      <c r="E325" s="62">
        <v>122</v>
      </c>
      <c r="F325" s="50"/>
      <c r="G325" s="50" t="str">
        <f t="array" ref="G325">IFERROR(INDEX(Table2[1st Year],MATCH(1,(Table1[[#This Row],[Employer]]=Table2[EIW Name])*(Table1[[#This Row],[City, State]]=Table2[Offices Matched]),0)),"")</f>
        <v/>
      </c>
      <c r="H325" s="50" t="str">
        <f>_xlfn.IFNA(INDEX(saCAGR[CAGR],MATCH(Table1[[#This Row],[Employer]],saCAGR[EIW Name],0)),"")</f>
        <v/>
      </c>
      <c r="I325" s="50" t="str">
        <f>IFERROR(Table1[[#This Row],[SA CAGR]]*Table1[[#This Row],[Number of Summer 2016 2L SAs]],"")</f>
        <v/>
      </c>
      <c r="J325" s="50">
        <v>2</v>
      </c>
      <c r="K325" s="51">
        <f>IFERROR(Table1[[#This Row],[Number of Summer 2016 NYU 2L SAs]]/Table1[[#This Row],[Interview Slots]],0)</f>
        <v>1.6393442622950821E-2</v>
      </c>
      <c r="L325" s="51">
        <f>Table1[[#This Row],[Number of Summer 2016 2L SAs]]/Table1[[#This Row],[Interview Slots]]</f>
        <v>0</v>
      </c>
      <c r="M325" s="51">
        <f>IFERROR(Table1[[#This Row],[Number of Summer 2016 NYU 2L SAs]]/Table1[[#This Row],[Number of Summer 2016 2L SAs]],0)</f>
        <v>0</v>
      </c>
      <c r="N325" s="50" t="str">
        <f>IFERROR(RIGHT(Table1[[#This Row],[1st year]],LEN(Table1[[#This Row],[1st year]])-FIND(":",Table1[[#This Row],[1st year]])-1),"")</f>
        <v/>
      </c>
      <c r="O325" s="50" t="str">
        <f t="array" ref="O325">IFERROR(INDEX(Table2[Nth year],MATCH(1,(Table1[[#This Row],[Employer]]=Table2[EIW Name])*(Table1[[#This Row],[City, State]]=Table2[Offices Matched]),0)),"")</f>
        <v/>
      </c>
      <c r="P325" s="50" t="str">
        <f>IFERROR(RIGHT(Table1[[#This Row],[Nth year]],LEN(Table1[[#This Row],[Nth year]])-FIND(":",Table1[[#This Row],[Nth year]])-1),"")</f>
        <v/>
      </c>
      <c r="Q325" s="50" t="str">
        <f t="array" ref="Q325">IFERROR(INDEX(Table2[Am Law 200 PPP Rank ’16],MATCH(1,(Table1[[#This Row],[Employer]]=Table2[EIW Name])*(Table1[[#This Row],[City, State]]=Table2[Offices Matched]),0)),"")</f>
        <v/>
      </c>
      <c r="R325" s="50" t="str">
        <f>IFERROR(LEFT(Table1[[#This Row],[Am Law 200 PPP Rank ’16]],FIND(":",Table1[[#This Row],[Am Law 200 PPP Rank ’16]])-1),"")</f>
        <v/>
      </c>
      <c r="S325" s="50">
        <f>IFERROR(INDEX(VaultRank[Rank],MATCH(Table1[[#This Row],[Employer]],VaultRank[EIW Name],0)),"")</f>
        <v>42</v>
      </c>
      <c r="T325" s="50" t="str">
        <f t="array" ref="T325">IFERROR(INDEX(Table2[Summers Matched],MATCH(1,(Table1[[#This Row],[Employer]]=Table2[EIW Name])*(Table1[[#This Row],[City, State]]=Table2[Offices Matched]),0)),"")</f>
        <v/>
      </c>
      <c r="U325" s="52" t="str">
        <f t="shared" si="5"/>
        <v/>
      </c>
      <c r="V325" s="60"/>
      <c r="W325" s="114">
        <v>42595</v>
      </c>
      <c r="X325"/>
    </row>
    <row r="326" spans="1:24" ht="14.1" customHeight="1">
      <c r="A326" s="45" t="s">
        <v>315</v>
      </c>
      <c r="B326" s="45" t="s">
        <v>364</v>
      </c>
      <c r="C326" s="45" t="s">
        <v>362</v>
      </c>
      <c r="D326" s="45" t="str">
        <f>Table1[[#This Row],[City]]&amp;", "&amp;Table1[[#This Row],[State]]</f>
        <v>New York, NY</v>
      </c>
      <c r="E326" s="49">
        <v>149</v>
      </c>
      <c r="F326" s="50">
        <v>2</v>
      </c>
      <c r="G326" s="50" t="str">
        <f t="array" ref="G326">IFERROR(INDEX(Table2[1st Year],MATCH(1,(Table1[[#This Row],[Employer]]=Table2[EIW Name])*(Table1[[#This Row],[City, State]]=Table2[Offices Matched]),0)),"")</f>
        <v/>
      </c>
      <c r="H326" s="50">
        <f>_xlfn.IFNA(INDEX(saCAGR[CAGR],MATCH(Table1[[#This Row],[Employer]],saCAGR[EIW Name],0)),"")</f>
        <v>1.0064964507741889</v>
      </c>
      <c r="I326" s="50">
        <f>IFERROR(Table1[[#This Row],[SA CAGR]]*Table1[[#This Row],[Number of Summer 2016 2L SAs]],"")</f>
        <v>2.0129929015483778</v>
      </c>
      <c r="J326" s="50">
        <v>2</v>
      </c>
      <c r="K326" s="51">
        <f>IFERROR(Table1[[#This Row],[Number of Summer 2016 NYU 2L SAs]]/Table1[[#This Row],[Interview Slots]],0)</f>
        <v>1.3422818791946308E-2</v>
      </c>
      <c r="L326" s="51">
        <f>Table1[[#This Row],[Number of Summer 2016 2L SAs]]/Table1[[#This Row],[Interview Slots]]</f>
        <v>1.3422818791946308E-2</v>
      </c>
      <c r="M326" s="51">
        <f>IFERROR(Table1[[#This Row],[Number of Summer 2016 NYU 2L SAs]]/Table1[[#This Row],[Number of Summer 2016 2L SAs]],0)</f>
        <v>1</v>
      </c>
      <c r="N326" s="50" t="str">
        <f>IFERROR(RIGHT(Table1[[#This Row],[1st year]],LEN(Table1[[#This Row],[1st year]])-FIND(":",Table1[[#This Row],[1st year]])-1),"")</f>
        <v/>
      </c>
      <c r="O326" s="50" t="str">
        <f t="array" ref="O326">IFERROR(INDEX(Table2[Nth year],MATCH(1,(Table1[[#This Row],[Employer]]=Table2[EIW Name])*(Table1[[#This Row],[City, State]]=Table2[Offices Matched]),0)),"")</f>
        <v/>
      </c>
      <c r="P326" s="50" t="str">
        <f>IFERROR(RIGHT(Table1[[#This Row],[Nth year]],LEN(Table1[[#This Row],[Nth year]])-FIND(":",Table1[[#This Row],[Nth year]])-1),"")</f>
        <v/>
      </c>
      <c r="Q326" s="50" t="str">
        <f t="array" ref="Q326">IFERROR(INDEX(Table2[Am Law 200 PPP Rank ’16],MATCH(1,(Table1[[#This Row],[Employer]]=Table2[EIW Name])*(Table1[[#This Row],[City, State]]=Table2[Offices Matched]),0)),"")</f>
        <v/>
      </c>
      <c r="R326" s="50" t="str">
        <f>IFERROR(LEFT(Table1[[#This Row],[Am Law 200 PPP Rank ’16]],FIND(":",Table1[[#This Row],[Am Law 200 PPP Rank ’16]])-1),"")</f>
        <v/>
      </c>
      <c r="S326" s="50">
        <f>IFERROR(INDEX(VaultRank[Rank],MATCH(Table1[[#This Row],[Employer]],VaultRank[EIW Name],0)),"")</f>
        <v>72</v>
      </c>
      <c r="T326" s="50" t="str">
        <f t="array" ref="T326">IFERROR(INDEX(Table2[Summers Matched],MATCH(1,(Table1[[#This Row],[Employer]]=Table2[EIW Name])*(Table1[[#This Row],[City, State]]=Table2[Offices Matched]),0)),"")</f>
        <v/>
      </c>
      <c r="U326" s="52" t="str">
        <f t="shared" si="5"/>
        <v/>
      </c>
      <c r="V326" s="60"/>
      <c r="W326" s="114">
        <v>42594</v>
      </c>
      <c r="X326"/>
    </row>
    <row r="327" spans="1:24" ht="14.1" customHeight="1">
      <c r="A327" s="45" t="s">
        <v>463</v>
      </c>
      <c r="B327" s="45" t="s">
        <v>299</v>
      </c>
      <c r="C327" s="45" t="s">
        <v>300</v>
      </c>
      <c r="D327" s="45" t="str">
        <f>Table1[[#This Row],[City]]&amp;", "&amp;Table1[[#This Row],[State]]</f>
        <v>Los Angeles, CA</v>
      </c>
      <c r="E327" s="49">
        <v>163</v>
      </c>
      <c r="F327" s="50">
        <v>8</v>
      </c>
      <c r="G327" s="50" t="str">
        <f t="array" ref="G327">IFERROR(INDEX(Table2[1st Year],MATCH(1,(Table1[[#This Row],[Employer]]=Table2[EIW Name])*(Table1[[#This Row],[City, State]]=Table2[Offices Matched]),0)),"")</f>
        <v>1st Year: $180K</v>
      </c>
      <c r="H327" s="50">
        <f>_xlfn.IFNA(INDEX(saCAGR[CAGR],MATCH(Table1[[#This Row],[Employer]],saCAGR[EIW Name],0)),"")</f>
        <v>1.0361973906775503</v>
      </c>
      <c r="I327" s="50">
        <f>IFERROR(Table1[[#This Row],[SA CAGR]]*Table1[[#This Row],[Number of Summer 2016 2L SAs]],"")</f>
        <v>8.2895791254204028</v>
      </c>
      <c r="J327" s="50">
        <v>3</v>
      </c>
      <c r="K327" s="51">
        <f>IFERROR(Table1[[#This Row],[Number of Summer 2016 NYU 2L SAs]]/Table1[[#This Row],[Interview Slots]],0)</f>
        <v>1.8404907975460124E-2</v>
      </c>
      <c r="L327" s="51">
        <f>Table1[[#This Row],[Number of Summer 2016 2L SAs]]/Table1[[#This Row],[Interview Slots]]</f>
        <v>4.9079754601226995E-2</v>
      </c>
      <c r="M327" s="51">
        <f>IFERROR(Table1[[#This Row],[Number of Summer 2016 NYU 2L SAs]]/Table1[[#This Row],[Number of Summer 2016 2L SAs]],0)</f>
        <v>0.375</v>
      </c>
      <c r="N327" s="50" t="str">
        <f>IFERROR(RIGHT(Table1[[#This Row],[1st year]],LEN(Table1[[#This Row],[1st year]])-FIND(":",Table1[[#This Row],[1st year]])-1),"")</f>
        <v>$180K</v>
      </c>
      <c r="O327" s="50" t="str">
        <f t="array" ref="O327">IFERROR(INDEX(Table2[Nth year],MATCH(1,(Table1[[#This Row],[Employer]]=Table2[EIW Name])*(Table1[[#This Row],[City, State]]=Table2[Offices Matched]),0)),"")</f>
        <v>8th Year: $315K</v>
      </c>
      <c r="P327" s="50" t="str">
        <f>IFERROR(RIGHT(Table1[[#This Row],[Nth year]],LEN(Table1[[#This Row],[Nth year]])-FIND(":",Table1[[#This Row],[Nth year]])-1),"")</f>
        <v>$315K</v>
      </c>
      <c r="Q327" s="50" t="str">
        <f t="array" ref="Q327">IFERROR(INDEX(Table2[Am Law 200 PPP Rank ’16],MATCH(1,(Table1[[#This Row],[Employer]]=Table2[EIW Name])*(Table1[[#This Row],[City, State]]=Table2[Offices Matched]),0)),"")</f>
        <v>16: $2.77M</v>
      </c>
      <c r="R327" s="50" t="str">
        <f>IFERROR(LEFT(Table1[[#This Row],[Am Law 200 PPP Rank ’16]],FIND(":",Table1[[#This Row],[Am Law 200 PPP Rank ’16]])-1),"")</f>
        <v>16</v>
      </c>
      <c r="S327" s="50" t="str">
        <f>IFERROR(INDEX(VaultRank[Rank],MATCH(Table1[[#This Row],[Employer]],VaultRank[EIW Name],0)),"")</f>
        <v/>
      </c>
      <c r="T327" s="50" t="str">
        <f t="array" ref="T327">IFERROR(INDEX(Table2[Summers Matched],MATCH(1,(Table1[[#This Row],[Employer]]=Table2[EIW Name])*(Table1[[#This Row],[City, State]]=Table2[Offices Matched]),0)),"")</f>
        <v>Yes</v>
      </c>
      <c r="U327" s="52" t="str">
        <f t="shared" si="5"/>
        <v/>
      </c>
      <c r="V327" s="60"/>
      <c r="W327" s="114">
        <v>42592</v>
      </c>
      <c r="X327"/>
    </row>
    <row r="328" spans="1:24" ht="14.1" customHeight="1">
      <c r="A328" s="45" t="s">
        <v>463</v>
      </c>
      <c r="B328" s="45" t="s">
        <v>301</v>
      </c>
      <c r="C328" s="45" t="s">
        <v>302</v>
      </c>
      <c r="D328" s="45" t="str">
        <f>Table1[[#This Row],[City]]&amp;", "&amp;Table1[[#This Row],[State]]</f>
        <v>Washington, DC</v>
      </c>
      <c r="E328" s="49">
        <v>97</v>
      </c>
      <c r="F328" s="50">
        <v>4</v>
      </c>
      <c r="G328" s="50" t="str">
        <f t="array" ref="G328">IFERROR(INDEX(Table2[1st Year],MATCH(1,(Table1[[#This Row],[Employer]]=Table2[EIW Name])*(Table1[[#This Row],[City, State]]=Table2[Offices Matched]),0)),"")</f>
        <v/>
      </c>
      <c r="H328" s="50">
        <f>_xlfn.IFNA(INDEX(saCAGR[CAGR],MATCH(Table1[[#This Row],[Employer]],saCAGR[EIW Name],0)),"")</f>
        <v>1.0361973906775503</v>
      </c>
      <c r="I328" s="50">
        <f>IFERROR(Table1[[#This Row],[SA CAGR]]*Table1[[#This Row],[Number of Summer 2016 2L SAs]],"")</f>
        <v>4.1447895627102014</v>
      </c>
      <c r="J328" s="50">
        <v>8</v>
      </c>
      <c r="K328" s="51">
        <f>IFERROR(Table1[[#This Row],[Number of Summer 2016 NYU 2L SAs]]/Table1[[#This Row],[Interview Slots]],0)</f>
        <v>8.247422680412371E-2</v>
      </c>
      <c r="L328" s="51">
        <f>Table1[[#This Row],[Number of Summer 2016 2L SAs]]/Table1[[#This Row],[Interview Slots]]</f>
        <v>4.1237113402061855E-2</v>
      </c>
      <c r="M328" s="51">
        <f>IFERROR(Table1[[#This Row],[Number of Summer 2016 NYU 2L SAs]]/Table1[[#This Row],[Number of Summer 2016 2L SAs]],0)</f>
        <v>2</v>
      </c>
      <c r="N328" s="50" t="str">
        <f>IFERROR(RIGHT(Table1[[#This Row],[1st year]],LEN(Table1[[#This Row],[1st year]])-FIND(":",Table1[[#This Row],[1st year]])-1),"")</f>
        <v/>
      </c>
      <c r="O328" s="50" t="str">
        <f t="array" ref="O328">IFERROR(INDEX(Table2[Nth year],MATCH(1,(Table1[[#This Row],[Employer]]=Table2[EIW Name])*(Table1[[#This Row],[City, State]]=Table2[Offices Matched]),0)),"")</f>
        <v/>
      </c>
      <c r="P328" s="50" t="str">
        <f>IFERROR(RIGHT(Table1[[#This Row],[Nth year]],LEN(Table1[[#This Row],[Nth year]])-FIND(":",Table1[[#This Row],[Nth year]])-1),"")</f>
        <v/>
      </c>
      <c r="Q328" s="50" t="str">
        <f t="array" ref="Q328">IFERROR(INDEX(Table2[Am Law 200 PPP Rank ’16],MATCH(1,(Table1[[#This Row],[Employer]]=Table2[EIW Name])*(Table1[[#This Row],[City, State]]=Table2[Offices Matched]),0)),"")</f>
        <v/>
      </c>
      <c r="R328" s="50" t="str">
        <f>IFERROR(LEFT(Table1[[#This Row],[Am Law 200 PPP Rank ’16]],FIND(":",Table1[[#This Row],[Am Law 200 PPP Rank ’16]])-1),"")</f>
        <v/>
      </c>
      <c r="S328" s="50" t="str">
        <f>IFERROR(INDEX(VaultRank[Rank],MATCH(Table1[[#This Row],[Employer]],VaultRank[EIW Name],0)),"")</f>
        <v/>
      </c>
      <c r="T328" s="50" t="str">
        <f t="array" ref="T328">IFERROR(INDEX(Table2[Summers Matched],MATCH(1,(Table1[[#This Row],[Employer]]=Table2[EIW Name])*(Table1[[#This Row],[City, State]]=Table2[Offices Matched]),0)),"")</f>
        <v/>
      </c>
      <c r="U328" s="52" t="str">
        <f t="shared" si="5"/>
        <v/>
      </c>
      <c r="V328" s="60"/>
      <c r="W328" s="114">
        <v>42594</v>
      </c>
      <c r="X328"/>
    </row>
    <row r="329" spans="1:24" ht="14.1" customHeight="1">
      <c r="A329" s="45" t="s">
        <v>464</v>
      </c>
      <c r="B329" s="45" t="s">
        <v>301</v>
      </c>
      <c r="C329" s="45" t="s">
        <v>302</v>
      </c>
      <c r="D329" s="45" t="str">
        <f>Table1[[#This Row],[City]]&amp;", "&amp;Table1[[#This Row],[State]]</f>
        <v>Washington, DC</v>
      </c>
      <c r="E329" s="49">
        <v>29</v>
      </c>
      <c r="F329" s="50">
        <v>1</v>
      </c>
      <c r="G329" s="50" t="str">
        <f t="array" ref="G329">IFERROR(INDEX(Table2[1st Year],MATCH(1,(Table1[[#This Row],[Employer]]=Table2[EIW Name])*(Table1[[#This Row],[City, State]]=Table2[Offices Matched]),0)),"")</f>
        <v/>
      </c>
      <c r="H329" s="50" t="str">
        <f>_xlfn.IFNA(INDEX(saCAGR[CAGR],MATCH(Table1[[#This Row],[Employer]],saCAGR[EIW Name],0)),"")</f>
        <v/>
      </c>
      <c r="I329" s="50" t="str">
        <f>IFERROR(Table1[[#This Row],[SA CAGR]]*Table1[[#This Row],[Number of Summer 2016 2L SAs]],"")</f>
        <v/>
      </c>
      <c r="J329" s="50">
        <v>12</v>
      </c>
      <c r="K329" s="51">
        <f>IFERROR(Table1[[#This Row],[Number of Summer 2016 NYU 2L SAs]]/Table1[[#This Row],[Interview Slots]],0)</f>
        <v>0.41379310344827586</v>
      </c>
      <c r="L329" s="51">
        <f>Table1[[#This Row],[Number of Summer 2016 2L SAs]]/Table1[[#This Row],[Interview Slots]]</f>
        <v>3.4482758620689655E-2</v>
      </c>
      <c r="M329" s="51">
        <f>IFERROR(Table1[[#This Row],[Number of Summer 2016 NYU 2L SAs]]/Table1[[#This Row],[Number of Summer 2016 2L SAs]],0)</f>
        <v>12</v>
      </c>
      <c r="N329" s="50" t="str">
        <f>IFERROR(RIGHT(Table1[[#This Row],[1st year]],LEN(Table1[[#This Row],[1st year]])-FIND(":",Table1[[#This Row],[1st year]])-1),"")</f>
        <v/>
      </c>
      <c r="O329" s="50" t="str">
        <f t="array" ref="O329">IFERROR(INDEX(Table2[Nth year],MATCH(1,(Table1[[#This Row],[Employer]]=Table2[EIW Name])*(Table1[[#This Row],[City, State]]=Table2[Offices Matched]),0)),"")</f>
        <v/>
      </c>
      <c r="P329" s="50" t="str">
        <f>IFERROR(RIGHT(Table1[[#This Row],[Nth year]],LEN(Table1[[#This Row],[Nth year]])-FIND(":",Table1[[#This Row],[Nth year]])-1),"")</f>
        <v/>
      </c>
      <c r="Q329" s="50" t="str">
        <f t="array" ref="Q329">IFERROR(INDEX(Table2[Am Law 200 PPP Rank ’16],MATCH(1,(Table1[[#This Row],[Employer]]=Table2[EIW Name])*(Table1[[#This Row],[City, State]]=Table2[Offices Matched]),0)),"")</f>
        <v/>
      </c>
      <c r="R329" s="50" t="str">
        <f>IFERROR(LEFT(Table1[[#This Row],[Am Law 200 PPP Rank ’16]],FIND(":",Table1[[#This Row],[Am Law 200 PPP Rank ’16]])-1),"")</f>
        <v/>
      </c>
      <c r="S329" s="50" t="str">
        <f>IFERROR(INDEX(VaultRank[Rank],MATCH(Table1[[#This Row],[Employer]],VaultRank[EIW Name],0)),"")</f>
        <v/>
      </c>
      <c r="T329" s="50" t="str">
        <f t="array" ref="T329">IFERROR(INDEX(Table2[Summers Matched],MATCH(1,(Table1[[#This Row],[Employer]]=Table2[EIW Name])*(Table1[[#This Row],[City, State]]=Table2[Offices Matched]),0)),"")</f>
        <v/>
      </c>
      <c r="U329" s="52" t="str">
        <f t="shared" si="5"/>
        <v/>
      </c>
      <c r="V329" s="60"/>
      <c r="W329" s="114">
        <v>42595</v>
      </c>
      <c r="X329"/>
    </row>
    <row r="330" spans="1:24" ht="14.1" customHeight="1">
      <c r="A330" s="45" t="s">
        <v>315</v>
      </c>
      <c r="B330" s="45" t="s">
        <v>303</v>
      </c>
      <c r="C330" s="45" t="s">
        <v>304</v>
      </c>
      <c r="D330" s="45" t="str">
        <f>Table1[[#This Row],[City]]&amp;", "&amp;Table1[[#This Row],[State]]</f>
        <v>Chicago, IL</v>
      </c>
      <c r="E330" s="49">
        <v>89</v>
      </c>
      <c r="F330" s="50">
        <v>6</v>
      </c>
      <c r="G330" s="50" t="str">
        <f t="array" ref="G330">IFERROR(INDEX(Table2[1st Year],MATCH(1,(Table1[[#This Row],[Employer]]=Table2[EIW Name])*(Table1[[#This Row],[City, State]]=Table2[Offices Matched]),0)),"")</f>
        <v/>
      </c>
      <c r="H330" s="51">
        <f>_xlfn.IFNA(INDEX(saCAGR[CAGR],MATCH(Table1[[#This Row],[Employer]],saCAGR[EIW Name],0)),"")</f>
        <v>1.0064964507741889</v>
      </c>
      <c r="I330" s="50">
        <f>IFERROR(Table1[[#This Row],[SA CAGR]]*Table1[[#This Row],[Number of Summer 2016 2L SAs]],"")</f>
        <v>6.0389787046451335</v>
      </c>
      <c r="J330" s="50">
        <v>23</v>
      </c>
      <c r="K330" s="51">
        <f>IFERROR(Table1[[#This Row],[Number of Summer 2016 NYU 2L SAs]]/Table1[[#This Row],[Interview Slots]],0)</f>
        <v>0.25842696629213485</v>
      </c>
      <c r="L330" s="51">
        <f>Table1[[#This Row],[Number of Summer 2016 2L SAs]]/Table1[[#This Row],[Interview Slots]]</f>
        <v>6.741573033707865E-2</v>
      </c>
      <c r="M330" s="51">
        <f>IFERROR(Table1[[#This Row],[Number of Summer 2016 NYU 2L SAs]]/Table1[[#This Row],[Number of Summer 2016 2L SAs]],0)</f>
        <v>3.8333333333333335</v>
      </c>
      <c r="N330" s="50" t="str">
        <f>IFERROR(RIGHT(Table1[[#This Row],[1st year]],LEN(Table1[[#This Row],[1st year]])-FIND(":",Table1[[#This Row],[1st year]])-1),"")</f>
        <v/>
      </c>
      <c r="O330" s="50" t="str">
        <f t="array" ref="O330">IFERROR(INDEX(Table2[Nth year],MATCH(1,(Table1[[#This Row],[Employer]]=Table2[EIW Name])*(Table1[[#This Row],[City, State]]=Table2[Offices Matched]),0)),"")</f>
        <v/>
      </c>
      <c r="P330" s="50" t="str">
        <f>IFERROR(RIGHT(Table1[[#This Row],[Nth year]],LEN(Table1[[#This Row],[Nth year]])-FIND(":",Table1[[#This Row],[Nth year]])-1),"")</f>
        <v/>
      </c>
      <c r="Q330" s="50" t="str">
        <f t="array" ref="Q330">IFERROR(INDEX(Table2[Am Law 200 PPP Rank ’16],MATCH(1,(Table1[[#This Row],[Employer]]=Table2[EIW Name])*(Table1[[#This Row],[City, State]]=Table2[Offices Matched]),0)),"")</f>
        <v/>
      </c>
      <c r="R330" s="50" t="str">
        <f>IFERROR(LEFT(Table1[[#This Row],[Am Law 200 PPP Rank ’16]],FIND(":",Table1[[#This Row],[Am Law 200 PPP Rank ’16]])-1),"")</f>
        <v/>
      </c>
      <c r="S330" s="50">
        <f>IFERROR(INDEX(VaultRank[Rank],MATCH(Table1[[#This Row],[Employer]],VaultRank[EIW Name],0)),"")</f>
        <v>72</v>
      </c>
      <c r="T330" s="50" t="str">
        <f t="array" ref="T330">IFERROR(INDEX(Table2[Summers Matched],MATCH(1,(Table1[[#This Row],[Employer]]=Table2[EIW Name])*(Table1[[#This Row],[City, State]]=Table2[Offices Matched]),0)),"")</f>
        <v/>
      </c>
      <c r="U330" s="52" t="str">
        <f t="shared" si="5"/>
        <v/>
      </c>
      <c r="V330" s="60"/>
      <c r="W330" s="114">
        <v>42593</v>
      </c>
      <c r="X330"/>
    </row>
    <row r="331" spans="1:24" ht="14.1" customHeight="1">
      <c r="A331" s="45" t="s">
        <v>479</v>
      </c>
      <c r="B331" s="45" t="s">
        <v>364</v>
      </c>
      <c r="C331" s="45" t="s">
        <v>362</v>
      </c>
      <c r="D331" s="45" t="str">
        <f>Table1[[#This Row],[City]]&amp;", "&amp;Table1[[#This Row],[State]]</f>
        <v>New York, NY</v>
      </c>
      <c r="E331" s="49">
        <v>196</v>
      </c>
      <c r="F331" s="50">
        <v>4</v>
      </c>
      <c r="G331" s="50" t="str">
        <f t="array" ref="G331">IFERROR(INDEX(Table2[1st Year],MATCH(1,(Table1[[#This Row],[Employer]]=Table2[EIW Name])*(Table1[[#This Row],[City, State]]=Table2[Offices Matched]),0)),"")</f>
        <v/>
      </c>
      <c r="H331" s="50" t="str">
        <f>_xlfn.IFNA(INDEX(saCAGR[CAGR],MATCH(Table1[[#This Row],[Employer]],saCAGR[EIW Name],0)),"")</f>
        <v/>
      </c>
      <c r="I331" s="50" t="str">
        <f>IFERROR(Table1[[#This Row],[SA CAGR]]*Table1[[#This Row],[Number of Summer 2016 2L SAs]],"")</f>
        <v/>
      </c>
      <c r="J331" s="50">
        <v>4</v>
      </c>
      <c r="K331" s="51">
        <f>IFERROR(Table1[[#This Row],[Number of Summer 2016 NYU 2L SAs]]/Table1[[#This Row],[Interview Slots]],0)</f>
        <v>2.0408163265306121E-2</v>
      </c>
      <c r="L331" s="51">
        <f>Table1[[#This Row],[Number of Summer 2016 2L SAs]]/Table1[[#This Row],[Interview Slots]]</f>
        <v>2.0408163265306121E-2</v>
      </c>
      <c r="M331" s="51">
        <f>IFERROR(Table1[[#This Row],[Number of Summer 2016 NYU 2L SAs]]/Table1[[#This Row],[Number of Summer 2016 2L SAs]],0)</f>
        <v>1</v>
      </c>
      <c r="N331" s="50" t="str">
        <f>IFERROR(RIGHT(Table1[[#This Row],[1st year]],LEN(Table1[[#This Row],[1st year]])-FIND(":",Table1[[#This Row],[1st year]])-1),"")</f>
        <v/>
      </c>
      <c r="O331" s="50" t="str">
        <f t="array" ref="O331">IFERROR(INDEX(Table2[Nth year],MATCH(1,(Table1[[#This Row],[Employer]]=Table2[EIW Name])*(Table1[[#This Row],[City, State]]=Table2[Offices Matched]),0)),"")</f>
        <v/>
      </c>
      <c r="P331" s="50" t="str">
        <f>IFERROR(RIGHT(Table1[[#This Row],[Nth year]],LEN(Table1[[#This Row],[Nth year]])-FIND(":",Table1[[#This Row],[Nth year]])-1),"")</f>
        <v/>
      </c>
      <c r="Q331" s="50" t="str">
        <f t="array" ref="Q331">IFERROR(INDEX(Table2[Am Law 200 PPP Rank ’16],MATCH(1,(Table1[[#This Row],[Employer]]=Table2[EIW Name])*(Table1[[#This Row],[City, State]]=Table2[Offices Matched]),0)),"")</f>
        <v/>
      </c>
      <c r="R331" s="50" t="str">
        <f>IFERROR(LEFT(Table1[[#This Row],[Am Law 200 PPP Rank ’16]],FIND(":",Table1[[#This Row],[Am Law 200 PPP Rank ’16]])-1),"")</f>
        <v/>
      </c>
      <c r="S331" s="50">
        <f>IFERROR(INDEX(VaultRank[Rank],MATCH(Table1[[#This Row],[Employer]],VaultRank[EIW Name],0)),"")</f>
        <v>73</v>
      </c>
      <c r="T331" s="50" t="str">
        <f t="array" ref="T331">IFERROR(INDEX(Table2[Summers Matched],MATCH(1,(Table1[[#This Row],[Employer]]=Table2[EIW Name])*(Table1[[#This Row],[City, State]]=Table2[Offices Matched]),0)),"")</f>
        <v/>
      </c>
      <c r="U331" s="52" t="str">
        <f t="shared" si="5"/>
        <v/>
      </c>
      <c r="V331" s="60"/>
      <c r="W331" s="114">
        <v>42593</v>
      </c>
      <c r="X331"/>
    </row>
    <row r="332" spans="1:24" ht="14.1" customHeight="1">
      <c r="A332" s="45" t="s">
        <v>466</v>
      </c>
      <c r="B332" s="45" t="s">
        <v>401</v>
      </c>
      <c r="C332" s="45" t="s">
        <v>402</v>
      </c>
      <c r="D332" s="45" t="str">
        <f>Table1[[#This Row],[City]]&amp;", "&amp;Table1[[#This Row],[State]]</f>
        <v>Wilmington, DE</v>
      </c>
      <c r="E332" s="49">
        <v>68</v>
      </c>
      <c r="F332" s="50">
        <v>14</v>
      </c>
      <c r="G332" s="50" t="str">
        <f t="array" ref="G332">IFERROR(INDEX(Table2[1st Year],MATCH(1,(Table1[[#This Row],[Employer]]=Table2[EIW Name])*(Table1[[#This Row],[City, State]]=Table2[Offices Matched]),0)),"")</f>
        <v/>
      </c>
      <c r="H332" s="50" t="str">
        <f>_xlfn.IFNA(INDEX(saCAGR[CAGR],MATCH(Table1[[#This Row],[Employer]],saCAGR[EIW Name],0)),"")</f>
        <v/>
      </c>
      <c r="I332" s="50" t="str">
        <f>IFERROR(Table1[[#This Row],[SA CAGR]]*Table1[[#This Row],[Number of Summer 2016 2L SAs]],"")</f>
        <v/>
      </c>
      <c r="J332" s="50">
        <v>5</v>
      </c>
      <c r="K332" s="51">
        <f>IFERROR(Table1[[#This Row],[Number of Summer 2016 NYU 2L SAs]]/Table1[[#This Row],[Interview Slots]],0)</f>
        <v>7.3529411764705885E-2</v>
      </c>
      <c r="L332" s="51">
        <f>Table1[[#This Row],[Number of Summer 2016 2L SAs]]/Table1[[#This Row],[Interview Slots]]</f>
        <v>0.20588235294117646</v>
      </c>
      <c r="M332" s="51">
        <f>IFERROR(Table1[[#This Row],[Number of Summer 2016 NYU 2L SAs]]/Table1[[#This Row],[Number of Summer 2016 2L SAs]],0)</f>
        <v>0.35714285714285715</v>
      </c>
      <c r="N332" s="50" t="str">
        <f>IFERROR(RIGHT(Table1[[#This Row],[1st year]],LEN(Table1[[#This Row],[1st year]])-FIND(":",Table1[[#This Row],[1st year]])-1),"")</f>
        <v/>
      </c>
      <c r="O332" s="50" t="str">
        <f t="array" ref="O332">IFERROR(INDEX(Table2[Nth year],MATCH(1,(Table1[[#This Row],[Employer]]=Table2[EIW Name])*(Table1[[#This Row],[City, State]]=Table2[Offices Matched]),0)),"")</f>
        <v/>
      </c>
      <c r="P332" s="50" t="str">
        <f>IFERROR(RIGHT(Table1[[#This Row],[Nth year]],LEN(Table1[[#This Row],[Nth year]])-FIND(":",Table1[[#This Row],[Nth year]])-1),"")</f>
        <v/>
      </c>
      <c r="Q332" s="50" t="str">
        <f t="array" ref="Q332">IFERROR(INDEX(Table2[Am Law 200 PPP Rank ’16],MATCH(1,(Table1[[#This Row],[Employer]]=Table2[EIW Name])*(Table1[[#This Row],[City, State]]=Table2[Offices Matched]),0)),"")</f>
        <v/>
      </c>
      <c r="R332" s="50" t="str">
        <f>IFERROR(LEFT(Table1[[#This Row],[Am Law 200 PPP Rank ’16]],FIND(":",Table1[[#This Row],[Am Law 200 PPP Rank ’16]])-1),"")</f>
        <v/>
      </c>
      <c r="S332" s="50" t="str">
        <f>IFERROR(INDEX(VaultRank[Rank],MATCH(Table1[[#This Row],[Employer]],VaultRank[EIW Name],0)),"")</f>
        <v/>
      </c>
      <c r="T332" s="50" t="str">
        <f t="array" ref="T332">IFERROR(INDEX(Table2[Summers Matched],MATCH(1,(Table1[[#This Row],[Employer]]=Table2[EIW Name])*(Table1[[#This Row],[City, State]]=Table2[Offices Matched]),0)),"")</f>
        <v/>
      </c>
      <c r="U332" s="52" t="str">
        <f t="shared" si="5"/>
        <v/>
      </c>
      <c r="V332" s="60"/>
      <c r="W332" s="114">
        <v>42594</v>
      </c>
      <c r="X332"/>
    </row>
    <row r="333" spans="1:24" ht="14.1" customHeight="1">
      <c r="A333" s="45" t="s">
        <v>520</v>
      </c>
      <c r="B333" s="45" t="s">
        <v>364</v>
      </c>
      <c r="C333" s="45" t="s">
        <v>362</v>
      </c>
      <c r="D333" s="45" t="str">
        <f>Table1[[#This Row],[City]]&amp;", "&amp;Table1[[#This Row],[State]]</f>
        <v>New York, NY</v>
      </c>
      <c r="E333" s="49">
        <v>181</v>
      </c>
      <c r="F333" s="50">
        <v>4</v>
      </c>
      <c r="G333" s="50" t="str">
        <f t="array" ref="G333">IFERROR(INDEX(Table2[1st Year],MATCH(1,(Table1[[#This Row],[Employer]]=Table2[EIW Name])*(Table1[[#This Row],[City, State]]=Table2[Offices Matched]),0)),"")</f>
        <v/>
      </c>
      <c r="H333" s="50">
        <f>_xlfn.IFNA(INDEX(saCAGR[CAGR],MATCH(Table1[[#This Row],[Employer]],saCAGR[EIW Name],0)),"")</f>
        <v>1.0223131068074527</v>
      </c>
      <c r="I333" s="50">
        <f>IFERROR(Table1[[#This Row],[SA CAGR]]*Table1[[#This Row],[Number of Summer 2016 2L SAs]],"")</f>
        <v>4.0892524272298107</v>
      </c>
      <c r="J333" s="50">
        <v>22</v>
      </c>
      <c r="K333" s="51">
        <f>IFERROR(Table1[[#This Row],[Number of Summer 2016 NYU 2L SAs]]/Table1[[#This Row],[Interview Slots]],0)</f>
        <v>0.12154696132596685</v>
      </c>
      <c r="L333" s="51">
        <f>Table1[[#This Row],[Number of Summer 2016 2L SAs]]/Table1[[#This Row],[Interview Slots]]</f>
        <v>2.2099447513812154E-2</v>
      </c>
      <c r="M333" s="51">
        <f>IFERROR(Table1[[#This Row],[Number of Summer 2016 NYU 2L SAs]]/Table1[[#This Row],[Number of Summer 2016 2L SAs]],0)</f>
        <v>5.5</v>
      </c>
      <c r="N333" s="50" t="str">
        <f>IFERROR(RIGHT(Table1[[#This Row],[1st year]],LEN(Table1[[#This Row],[1st year]])-FIND(":",Table1[[#This Row],[1st year]])-1),"")</f>
        <v/>
      </c>
      <c r="O333" s="50" t="str">
        <f t="array" ref="O333">IFERROR(INDEX(Table2[Nth year],MATCH(1,(Table1[[#This Row],[Employer]]=Table2[EIW Name])*(Table1[[#This Row],[City, State]]=Table2[Offices Matched]),0)),"")</f>
        <v/>
      </c>
      <c r="P333" s="50" t="str">
        <f>IFERROR(RIGHT(Table1[[#This Row],[Nth year]],LEN(Table1[[#This Row],[Nth year]])-FIND(":",Table1[[#This Row],[Nth year]])-1),"")</f>
        <v/>
      </c>
      <c r="Q333" s="50" t="str">
        <f t="array" ref="Q333">IFERROR(INDEX(Table2[Am Law 200 PPP Rank ’16],MATCH(1,(Table1[[#This Row],[Employer]]=Table2[EIW Name])*(Table1[[#This Row],[City, State]]=Table2[Offices Matched]),0)),"")</f>
        <v/>
      </c>
      <c r="R333" s="50" t="str">
        <f>IFERROR(LEFT(Table1[[#This Row],[Am Law 200 PPP Rank ’16]],FIND(":",Table1[[#This Row],[Am Law 200 PPP Rank ’16]])-1),"")</f>
        <v/>
      </c>
      <c r="S333" s="50">
        <f>IFERROR(INDEX(VaultRank[Rank],MATCH(Table1[[#This Row],[Employer]],VaultRank[EIW Name],0)),"")</f>
        <v>75</v>
      </c>
      <c r="T333" s="50" t="str">
        <f t="array" ref="T333">IFERROR(INDEX(Table2[Summers Matched],MATCH(1,(Table1[[#This Row],[Employer]]=Table2[EIW Name])*(Table1[[#This Row],[City, State]]=Table2[Offices Matched]),0)),"")</f>
        <v/>
      </c>
      <c r="U333" s="52" t="str">
        <f t="shared" si="5"/>
        <v/>
      </c>
      <c r="V333" s="60"/>
      <c r="W333" s="114">
        <v>42592</v>
      </c>
      <c r="X333"/>
    </row>
    <row r="334" spans="1:24" ht="14.1" customHeight="1">
      <c r="A334" s="45" t="s">
        <v>151</v>
      </c>
      <c r="B334" s="45" t="s">
        <v>299</v>
      </c>
      <c r="C334" s="45" t="s">
        <v>300</v>
      </c>
      <c r="D334" s="45" t="str">
        <f>Table1[[#This Row],[City]]&amp;", "&amp;Table1[[#This Row],[State]]</f>
        <v>Los Angeles, CA</v>
      </c>
      <c r="E334" s="49">
        <v>140</v>
      </c>
      <c r="F334" s="50">
        <v>8</v>
      </c>
      <c r="G334" s="50" t="str">
        <f t="array" ref="G334">IFERROR(INDEX(Table2[1st Year],MATCH(1,(Table1[[#This Row],[Employer]]=Table2[EIW Name])*(Table1[[#This Row],[City, State]]=Table2[Offices Matched]),0)),"")</f>
        <v>1st Year: $180K</v>
      </c>
      <c r="H334" s="50">
        <f>_xlfn.IFNA(INDEX(saCAGR[CAGR],MATCH(Table1[[#This Row],[Employer]],saCAGR[EIW Name],0)),"")</f>
        <v>1.0039098649775466</v>
      </c>
      <c r="I334" s="50">
        <f>IFERROR(Table1[[#This Row],[SA CAGR]]*Table1[[#This Row],[Number of Summer 2016 2L SAs]],"")</f>
        <v>8.0312789198203731</v>
      </c>
      <c r="J334" s="50">
        <v>6</v>
      </c>
      <c r="K334" s="51">
        <f>IFERROR(Table1[[#This Row],[Number of Summer 2016 NYU 2L SAs]]/Table1[[#This Row],[Interview Slots]],0)</f>
        <v>4.2857142857142858E-2</v>
      </c>
      <c r="L334" s="51">
        <f>Table1[[#This Row],[Number of Summer 2016 2L SAs]]/Table1[[#This Row],[Interview Slots]]</f>
        <v>5.7142857142857141E-2</v>
      </c>
      <c r="M334" s="51">
        <f>IFERROR(Table1[[#This Row],[Number of Summer 2016 NYU 2L SAs]]/Table1[[#This Row],[Number of Summer 2016 2L SAs]],0)</f>
        <v>0.75</v>
      </c>
      <c r="N334" s="50" t="str">
        <f>IFERROR(RIGHT(Table1[[#This Row],[1st year]],LEN(Table1[[#This Row],[1st year]])-FIND(":",Table1[[#This Row],[1st year]])-1),"")</f>
        <v>$180K</v>
      </c>
      <c r="O334" s="50" t="str">
        <f t="array" ref="O334">IFERROR(INDEX(Table2[Nth year],MATCH(1,(Table1[[#This Row],[Employer]]=Table2[EIW Name])*(Table1[[#This Row],[City, State]]=Table2[Offices Matched]),0)),"")</f>
        <v>9th Year+: $325K</v>
      </c>
      <c r="P334" s="50" t="str">
        <f>IFERROR(RIGHT(Table1[[#This Row],[Nth year]],LEN(Table1[[#This Row],[Nth year]])-FIND(":",Table1[[#This Row],[Nth year]])-1),"")</f>
        <v>$325K</v>
      </c>
      <c r="Q334" s="50" t="str">
        <f t="array" ref="Q334">IFERROR(INDEX(Table2[Am Law 200 PPP Rank ’16],MATCH(1,(Table1[[#This Row],[Employer]]=Table2[EIW Name])*(Table1[[#This Row],[City, State]]=Table2[Offices Matched]),0)),"")</f>
        <v>58: $1.56M</v>
      </c>
      <c r="R334" s="50" t="str">
        <f>IFERROR(LEFT(Table1[[#This Row],[Am Law 200 PPP Rank ’16]],FIND(":",Table1[[#This Row],[Am Law 200 PPP Rank ’16]])-1),"")</f>
        <v>58</v>
      </c>
      <c r="S334" s="50">
        <f>IFERROR(INDEX(VaultRank[Rank],MATCH(Table1[[#This Row],[Employer]],VaultRank[EIW Name],0)),"")</f>
        <v>23</v>
      </c>
      <c r="T334" s="50" t="str">
        <f t="array" ref="T334">IFERROR(INDEX(Table2[Summers Matched],MATCH(1,(Table1[[#This Row],[Employer]]=Table2[EIW Name])*(Table1[[#This Row],[City, State]]=Table2[Offices Matched]),0)),"")</f>
        <v>Yes</v>
      </c>
      <c r="U334" s="52" t="str">
        <f t="shared" si="5"/>
        <v/>
      </c>
      <c r="V334" s="60"/>
      <c r="W334" s="114">
        <v>42593</v>
      </c>
      <c r="X334"/>
    </row>
    <row r="335" spans="1:24" ht="14.1" customHeight="1">
      <c r="A335" s="45" t="s">
        <v>151</v>
      </c>
      <c r="B335" s="45" t="s">
        <v>334</v>
      </c>
      <c r="C335" s="45" t="s">
        <v>300</v>
      </c>
      <c r="D335" s="45" t="str">
        <f>Table1[[#This Row],[City]]&amp;", "&amp;Table1[[#This Row],[State]]</f>
        <v>Palo Alto, CA</v>
      </c>
      <c r="E335" s="49">
        <v>41</v>
      </c>
      <c r="F335" s="50">
        <v>12</v>
      </c>
      <c r="G335" s="50" t="str">
        <f t="array" ref="G335">IFERROR(INDEX(Table2[1st Year],MATCH(1,(Table1[[#This Row],[Employer]]=Table2[EIW Name])*(Table1[[#This Row],[City, State]]=Table2[Offices Matched]),0)),"")</f>
        <v>1st Year: $180K</v>
      </c>
      <c r="H335" s="50">
        <f>_xlfn.IFNA(INDEX(saCAGR[CAGR],MATCH(Table1[[#This Row],[Employer]],saCAGR[EIW Name],0)),"")</f>
        <v>1.0039098649775466</v>
      </c>
      <c r="I335" s="50">
        <f>IFERROR(Table1[[#This Row],[SA CAGR]]*Table1[[#This Row],[Number of Summer 2016 2L SAs]],"")</f>
        <v>12.04691837973056</v>
      </c>
      <c r="J335" s="50">
        <v>21</v>
      </c>
      <c r="K335" s="51">
        <f>IFERROR(Table1[[#This Row],[Number of Summer 2016 NYU 2L SAs]]/Table1[[#This Row],[Interview Slots]],0)</f>
        <v>0.51219512195121952</v>
      </c>
      <c r="L335" s="51">
        <f>Table1[[#This Row],[Number of Summer 2016 2L SAs]]/Table1[[#This Row],[Interview Slots]]</f>
        <v>0.29268292682926828</v>
      </c>
      <c r="M335" s="51">
        <f>IFERROR(Table1[[#This Row],[Number of Summer 2016 NYU 2L SAs]]/Table1[[#This Row],[Number of Summer 2016 2L SAs]],0)</f>
        <v>1.75</v>
      </c>
      <c r="N335" s="50" t="str">
        <f>IFERROR(RIGHT(Table1[[#This Row],[1st year]],LEN(Table1[[#This Row],[1st year]])-FIND(":",Table1[[#This Row],[1st year]])-1),"")</f>
        <v>$180K</v>
      </c>
      <c r="O335" s="50" t="str">
        <f t="array" ref="O335">IFERROR(INDEX(Table2[Nth year],MATCH(1,(Table1[[#This Row],[Employer]]=Table2[EIW Name])*(Table1[[#This Row],[City, State]]=Table2[Offices Matched]),0)),"")</f>
        <v>9th Year+: $325K</v>
      </c>
      <c r="P335" s="50" t="str">
        <f>IFERROR(RIGHT(Table1[[#This Row],[Nth year]],LEN(Table1[[#This Row],[Nth year]])-FIND(":",Table1[[#This Row],[Nth year]])-1),"")</f>
        <v>$325K</v>
      </c>
      <c r="Q335" s="50" t="str">
        <f t="array" ref="Q335">IFERROR(INDEX(Table2[Am Law 200 PPP Rank ’16],MATCH(1,(Table1[[#This Row],[Employer]]=Table2[EIW Name])*(Table1[[#This Row],[City, State]]=Table2[Offices Matched]),0)),"")</f>
        <v>58: $1.56M</v>
      </c>
      <c r="R335" s="50" t="str">
        <f>IFERROR(LEFT(Table1[[#This Row],[Am Law 200 PPP Rank ’16]],FIND(":",Table1[[#This Row],[Am Law 200 PPP Rank ’16]])-1),"")</f>
        <v>58</v>
      </c>
      <c r="S335" s="50">
        <f>IFERROR(INDEX(VaultRank[Rank],MATCH(Table1[[#This Row],[Employer]],VaultRank[EIW Name],0)),"")</f>
        <v>23</v>
      </c>
      <c r="T335" s="50" t="str">
        <f t="array" ref="T335">IFERROR(INDEX(Table2[Summers Matched],MATCH(1,(Table1[[#This Row],[Employer]]=Table2[EIW Name])*(Table1[[#This Row],[City, State]]=Table2[Offices Matched]),0)),"")</f>
        <v>Yes</v>
      </c>
      <c r="U335" s="52" t="str">
        <f t="shared" si="5"/>
        <v/>
      </c>
      <c r="V335" s="60"/>
      <c r="W335" s="114">
        <v>42595</v>
      </c>
      <c r="X335"/>
    </row>
    <row r="336" spans="1:24" ht="14.1" customHeight="1">
      <c r="A336" s="45" t="s">
        <v>151</v>
      </c>
      <c r="B336" s="45" t="s">
        <v>375</v>
      </c>
      <c r="C336" s="45" t="s">
        <v>300</v>
      </c>
      <c r="D336" s="45" t="str">
        <f>Table1[[#This Row],[City]]&amp;", "&amp;Table1[[#This Row],[State]]</f>
        <v>San Diego, CA</v>
      </c>
      <c r="E336" s="49">
        <v>125</v>
      </c>
      <c r="F336" s="50">
        <v>5</v>
      </c>
      <c r="G336" s="50" t="str">
        <f t="array" ref="G336">IFERROR(INDEX(Table2[1st Year],MATCH(1,(Table1[[#This Row],[Employer]]=Table2[EIW Name])*(Table1[[#This Row],[City, State]]=Table2[Offices Matched]),0)),"")</f>
        <v>1st Year: $180K</v>
      </c>
      <c r="H336" s="50">
        <f>_xlfn.IFNA(INDEX(saCAGR[CAGR],MATCH(Table1[[#This Row],[Employer]],saCAGR[EIW Name],0)),"")</f>
        <v>1.0039098649775466</v>
      </c>
      <c r="I336" s="50">
        <f>IFERROR(Table1[[#This Row],[SA CAGR]]*Table1[[#This Row],[Number of Summer 2016 2L SAs]],"")</f>
        <v>5.0195493248877332</v>
      </c>
      <c r="J336" s="50">
        <v>20</v>
      </c>
      <c r="K336" s="51">
        <f>IFERROR(Table1[[#This Row],[Number of Summer 2016 NYU 2L SAs]]/Table1[[#This Row],[Interview Slots]],0)</f>
        <v>0.16</v>
      </c>
      <c r="L336" s="51">
        <f>Table1[[#This Row],[Number of Summer 2016 2L SAs]]/Table1[[#This Row],[Interview Slots]]</f>
        <v>0.04</v>
      </c>
      <c r="M336" s="51">
        <f>IFERROR(Table1[[#This Row],[Number of Summer 2016 NYU 2L SAs]]/Table1[[#This Row],[Number of Summer 2016 2L SAs]],0)</f>
        <v>4</v>
      </c>
      <c r="N336" s="50" t="str">
        <f>IFERROR(RIGHT(Table1[[#This Row],[1st year]],LEN(Table1[[#This Row],[1st year]])-FIND(":",Table1[[#This Row],[1st year]])-1),"")</f>
        <v>$180K</v>
      </c>
      <c r="O336" s="50" t="str">
        <f t="array" ref="O336">IFERROR(INDEX(Table2[Nth year],MATCH(1,(Table1[[#This Row],[Employer]]=Table2[EIW Name])*(Table1[[#This Row],[City, State]]=Table2[Offices Matched]),0)),"")</f>
        <v>9th Year+: $325K</v>
      </c>
      <c r="P336" s="50" t="str">
        <f>IFERROR(RIGHT(Table1[[#This Row],[Nth year]],LEN(Table1[[#This Row],[Nth year]])-FIND(":",Table1[[#This Row],[Nth year]])-1),"")</f>
        <v>$325K</v>
      </c>
      <c r="Q336" s="50" t="str">
        <f t="array" ref="Q336">IFERROR(INDEX(Table2[Am Law 200 PPP Rank ’16],MATCH(1,(Table1[[#This Row],[Employer]]=Table2[EIW Name])*(Table1[[#This Row],[City, State]]=Table2[Offices Matched]),0)),"")</f>
        <v>58: $1.56M</v>
      </c>
      <c r="R336" s="50" t="str">
        <f>IFERROR(LEFT(Table1[[#This Row],[Am Law 200 PPP Rank ’16]],FIND(":",Table1[[#This Row],[Am Law 200 PPP Rank ’16]])-1),"")</f>
        <v>58</v>
      </c>
      <c r="S336" s="50">
        <f>IFERROR(INDEX(VaultRank[Rank],MATCH(Table1[[#This Row],[Employer]],VaultRank[EIW Name],0)),"")</f>
        <v>23</v>
      </c>
      <c r="T336" s="50" t="str">
        <f t="array" ref="T336">IFERROR(INDEX(Table2[Summers Matched],MATCH(1,(Table1[[#This Row],[Employer]]=Table2[EIW Name])*(Table1[[#This Row],[City, State]]=Table2[Offices Matched]),0)),"")</f>
        <v>Yes</v>
      </c>
      <c r="U336" s="52">
        <f t="shared" si="5"/>
        <v>3.4</v>
      </c>
      <c r="V336" s="60"/>
      <c r="W336" s="114">
        <v>42592</v>
      </c>
      <c r="X336"/>
    </row>
    <row r="337" spans="1:24" ht="14.1" customHeight="1">
      <c r="A337" s="45" t="s">
        <v>151</v>
      </c>
      <c r="B337" s="45" t="s">
        <v>316</v>
      </c>
      <c r="C337" s="45" t="s">
        <v>300</v>
      </c>
      <c r="D337" s="45" t="str">
        <f>Table1[[#This Row],[City]]&amp;", "&amp;Table1[[#This Row],[State]]</f>
        <v>San Francisco, CA</v>
      </c>
      <c r="E337" s="49">
        <v>58</v>
      </c>
      <c r="F337" s="50">
        <v>32</v>
      </c>
      <c r="G337" s="50" t="str">
        <f t="array" ref="G337">IFERROR(INDEX(Table2[1st Year],MATCH(1,(Table1[[#This Row],[Employer]]=Table2[EIW Name])*(Table1[[#This Row],[City, State]]=Table2[Offices Matched]),0)),"")</f>
        <v>1st Year: $180K</v>
      </c>
      <c r="H337" s="50">
        <f>_xlfn.IFNA(INDEX(saCAGR[CAGR],MATCH(Table1[[#This Row],[Employer]],saCAGR[EIW Name],0)),"")</f>
        <v>1.0039098649775466</v>
      </c>
      <c r="I337" s="50">
        <f>IFERROR(Table1[[#This Row],[SA CAGR]]*Table1[[#This Row],[Number of Summer 2016 2L SAs]],"")</f>
        <v>32.125115679281492</v>
      </c>
      <c r="J337" s="50">
        <v>13</v>
      </c>
      <c r="K337" s="51">
        <f>IFERROR(Table1[[#This Row],[Number of Summer 2016 NYU 2L SAs]]/Table1[[#This Row],[Interview Slots]],0)</f>
        <v>0.22413793103448276</v>
      </c>
      <c r="L337" s="51">
        <f>Table1[[#This Row],[Number of Summer 2016 2L SAs]]/Table1[[#This Row],[Interview Slots]]</f>
        <v>0.55172413793103448</v>
      </c>
      <c r="M337" s="51">
        <f>IFERROR(Table1[[#This Row],[Number of Summer 2016 NYU 2L SAs]]/Table1[[#This Row],[Number of Summer 2016 2L SAs]],0)</f>
        <v>0.40625</v>
      </c>
      <c r="N337" s="50" t="str">
        <f>IFERROR(RIGHT(Table1[[#This Row],[1st year]],LEN(Table1[[#This Row],[1st year]])-FIND(":",Table1[[#This Row],[1st year]])-1),"")</f>
        <v>$180K</v>
      </c>
      <c r="O337" s="50" t="str">
        <f t="array" ref="O337">IFERROR(INDEX(Table2[Nth year],MATCH(1,(Table1[[#This Row],[Employer]]=Table2[EIW Name])*(Table1[[#This Row],[City, State]]=Table2[Offices Matched]),0)),"")</f>
        <v>9th Year+: $325K</v>
      </c>
      <c r="P337" s="50" t="str">
        <f>IFERROR(RIGHT(Table1[[#This Row],[Nth year]],LEN(Table1[[#This Row],[Nth year]])-FIND(":",Table1[[#This Row],[Nth year]])-1),"")</f>
        <v>$325K</v>
      </c>
      <c r="Q337" s="50" t="str">
        <f t="array" ref="Q337">IFERROR(INDEX(Table2[Am Law 200 PPP Rank ’16],MATCH(1,(Table1[[#This Row],[Employer]]=Table2[EIW Name])*(Table1[[#This Row],[City, State]]=Table2[Offices Matched]),0)),"")</f>
        <v>58: $1.56M</v>
      </c>
      <c r="R337" s="50" t="str">
        <f>IFERROR(LEFT(Table1[[#This Row],[Am Law 200 PPP Rank ’16]],FIND(":",Table1[[#This Row],[Am Law 200 PPP Rank ’16]])-1),"")</f>
        <v>58</v>
      </c>
      <c r="S337" s="50">
        <f>IFERROR(INDEX(VaultRank[Rank],MATCH(Table1[[#This Row],[Employer]],VaultRank[EIW Name],0)),"")</f>
        <v>23</v>
      </c>
      <c r="T337" s="50" t="str">
        <f t="array" ref="T337">IFERROR(INDEX(Table2[Summers Matched],MATCH(1,(Table1[[#This Row],[Employer]]=Table2[EIW Name])*(Table1[[#This Row],[City, State]]=Table2[Offices Matched]),0)),"")</f>
        <v>Yes</v>
      </c>
      <c r="U337" s="52" t="str">
        <f t="shared" si="5"/>
        <v/>
      </c>
      <c r="V337" s="60"/>
      <c r="W337" s="114">
        <v>42593</v>
      </c>
      <c r="X337"/>
    </row>
    <row r="338" spans="1:24" ht="14.1" customHeight="1">
      <c r="A338" s="45" t="s">
        <v>151</v>
      </c>
      <c r="B338" s="45" t="s">
        <v>342</v>
      </c>
      <c r="C338" s="45" t="s">
        <v>343</v>
      </c>
      <c r="D338" s="45" t="str">
        <f>Table1[[#This Row],[City]]&amp;", "&amp;Table1[[#This Row],[State]]</f>
        <v>Denver, CO</v>
      </c>
      <c r="E338" s="49">
        <v>134</v>
      </c>
      <c r="F338" s="50">
        <v>0</v>
      </c>
      <c r="G338" s="50" t="str">
        <f t="array" ref="G338">IFERROR(INDEX(Table2[1st Year],MATCH(1,(Table1[[#This Row],[Employer]]=Table2[EIW Name])*(Table1[[#This Row],[City, State]]=Table2[Offices Matched]),0)),"")</f>
        <v>1st Year: $180K</v>
      </c>
      <c r="H338" s="50">
        <f>_xlfn.IFNA(INDEX(saCAGR[CAGR],MATCH(Table1[[#This Row],[Employer]],saCAGR[EIW Name],0)),"")</f>
        <v>1.0039098649775466</v>
      </c>
      <c r="I338" s="50">
        <f>IFERROR(Table1[[#This Row],[SA CAGR]]*Table1[[#This Row],[Number of Summer 2016 2L SAs]],"")</f>
        <v>0</v>
      </c>
      <c r="J338" s="50">
        <v>3</v>
      </c>
      <c r="K338" s="51">
        <f>IFERROR(Table1[[#This Row],[Number of Summer 2016 NYU 2L SAs]]/Table1[[#This Row],[Interview Slots]],0)</f>
        <v>2.2388059701492536E-2</v>
      </c>
      <c r="L338" s="51">
        <f>Table1[[#This Row],[Number of Summer 2016 2L SAs]]/Table1[[#This Row],[Interview Slots]]</f>
        <v>0</v>
      </c>
      <c r="M338" s="51">
        <f>IFERROR(Table1[[#This Row],[Number of Summer 2016 NYU 2L SAs]]/Table1[[#This Row],[Number of Summer 2016 2L SAs]],0)</f>
        <v>0</v>
      </c>
      <c r="N338" s="50" t="str">
        <f>IFERROR(RIGHT(Table1[[#This Row],[1st year]],LEN(Table1[[#This Row],[1st year]])-FIND(":",Table1[[#This Row],[1st year]])-1),"")</f>
        <v>$180K</v>
      </c>
      <c r="O338" s="50" t="str">
        <f t="array" ref="O338">IFERROR(INDEX(Table2[Nth year],MATCH(1,(Table1[[#This Row],[Employer]]=Table2[EIW Name])*(Table1[[#This Row],[City, State]]=Table2[Offices Matched]),0)),"")</f>
        <v>9th Year+: $325K</v>
      </c>
      <c r="P338" s="50" t="str">
        <f>IFERROR(RIGHT(Table1[[#This Row],[Nth year]],LEN(Table1[[#This Row],[Nth year]])-FIND(":",Table1[[#This Row],[Nth year]])-1),"")</f>
        <v>$325K</v>
      </c>
      <c r="Q338" s="50" t="str">
        <f t="array" ref="Q338">IFERROR(INDEX(Table2[Am Law 200 PPP Rank ’16],MATCH(1,(Table1[[#This Row],[Employer]]=Table2[EIW Name])*(Table1[[#This Row],[City, State]]=Table2[Offices Matched]),0)),"")</f>
        <v>58: $1.56M</v>
      </c>
      <c r="R338" s="50" t="str">
        <f>IFERROR(LEFT(Table1[[#This Row],[Am Law 200 PPP Rank ’16]],FIND(":",Table1[[#This Row],[Am Law 200 PPP Rank ’16]])-1),"")</f>
        <v>58</v>
      </c>
      <c r="S338" s="50">
        <f>IFERROR(INDEX(VaultRank[Rank],MATCH(Table1[[#This Row],[Employer]],VaultRank[EIW Name],0)),"")</f>
        <v>23</v>
      </c>
      <c r="T338" s="50" t="str">
        <f t="array" ref="T338">IFERROR(INDEX(Table2[Summers Matched],MATCH(1,(Table1[[#This Row],[Employer]]=Table2[EIW Name])*(Table1[[#This Row],[City, State]]=Table2[Offices Matched]),0)),"")</f>
        <v>Yes</v>
      </c>
      <c r="U338" s="52" t="str">
        <f t="shared" si="5"/>
        <v/>
      </c>
      <c r="V338" s="60"/>
      <c r="W338" s="114">
        <v>42594</v>
      </c>
      <c r="X338"/>
    </row>
    <row r="339" spans="1:24" ht="14.1" customHeight="1">
      <c r="A339" s="45" t="s">
        <v>151</v>
      </c>
      <c r="B339" s="45" t="s">
        <v>301</v>
      </c>
      <c r="C339" s="45" t="s">
        <v>302</v>
      </c>
      <c r="D339" s="45" t="str">
        <f>Table1[[#This Row],[City]]&amp;", "&amp;Table1[[#This Row],[State]]</f>
        <v>Washington, DC</v>
      </c>
      <c r="E339" s="49">
        <v>180</v>
      </c>
      <c r="F339" s="50">
        <v>6</v>
      </c>
      <c r="G339" s="50" t="str">
        <f t="array" ref="G339">IFERROR(INDEX(Table2[1st Year],MATCH(1,(Table1[[#This Row],[Employer]]=Table2[EIW Name])*(Table1[[#This Row],[City, State]]=Table2[Offices Matched]),0)),"")</f>
        <v/>
      </c>
      <c r="H339" s="50">
        <f>_xlfn.IFNA(INDEX(saCAGR[CAGR],MATCH(Table1[[#This Row],[Employer]],saCAGR[EIW Name],0)),"")</f>
        <v>1.0039098649775466</v>
      </c>
      <c r="I339" s="50">
        <f>IFERROR(Table1[[#This Row],[SA CAGR]]*Table1[[#This Row],[Number of Summer 2016 2L SAs]],"")</f>
        <v>6.0234591898652798</v>
      </c>
      <c r="J339" s="50">
        <v>4</v>
      </c>
      <c r="K339" s="51">
        <f>IFERROR(Table1[[#This Row],[Number of Summer 2016 NYU 2L SAs]]/Table1[[#This Row],[Interview Slots]],0)</f>
        <v>2.2222222222222223E-2</v>
      </c>
      <c r="L339" s="51">
        <f>Table1[[#This Row],[Number of Summer 2016 2L SAs]]/Table1[[#This Row],[Interview Slots]]</f>
        <v>3.3333333333333333E-2</v>
      </c>
      <c r="M339" s="51">
        <f>IFERROR(Table1[[#This Row],[Number of Summer 2016 NYU 2L SAs]]/Table1[[#This Row],[Number of Summer 2016 2L SAs]],0)</f>
        <v>0.66666666666666663</v>
      </c>
      <c r="N339" s="50" t="str">
        <f>IFERROR(RIGHT(Table1[[#This Row],[1st year]],LEN(Table1[[#This Row],[1st year]])-FIND(":",Table1[[#This Row],[1st year]])-1),"")</f>
        <v/>
      </c>
      <c r="O339" s="50" t="str">
        <f t="array" ref="O339">IFERROR(INDEX(Table2[Nth year],MATCH(1,(Table1[[#This Row],[Employer]]=Table2[EIW Name])*(Table1[[#This Row],[City, State]]=Table2[Offices Matched]),0)),"")</f>
        <v/>
      </c>
      <c r="P339" s="50" t="str">
        <f>IFERROR(RIGHT(Table1[[#This Row],[Nth year]],LEN(Table1[[#This Row],[Nth year]])-FIND(":",Table1[[#This Row],[Nth year]])-1),"")</f>
        <v/>
      </c>
      <c r="Q339" s="50" t="str">
        <f t="array" ref="Q339">IFERROR(INDEX(Table2[Am Law 200 PPP Rank ’16],MATCH(1,(Table1[[#This Row],[Employer]]=Table2[EIW Name])*(Table1[[#This Row],[City, State]]=Table2[Offices Matched]),0)),"")</f>
        <v/>
      </c>
      <c r="R339" s="50" t="str">
        <f>IFERROR(LEFT(Table1[[#This Row],[Am Law 200 PPP Rank ’16]],FIND(":",Table1[[#This Row],[Am Law 200 PPP Rank ’16]])-1),"")</f>
        <v/>
      </c>
      <c r="S339" s="50">
        <f>IFERROR(INDEX(VaultRank[Rank],MATCH(Table1[[#This Row],[Employer]],VaultRank[EIW Name],0)),"")</f>
        <v>23</v>
      </c>
      <c r="T339" s="50" t="str">
        <f t="array" ref="T339">IFERROR(INDEX(Table2[Summers Matched],MATCH(1,(Table1[[#This Row],[Employer]]=Table2[EIW Name])*(Table1[[#This Row],[City, State]]=Table2[Offices Matched]),0)),"")</f>
        <v/>
      </c>
      <c r="U339" s="52" t="str">
        <f t="shared" si="5"/>
        <v/>
      </c>
      <c r="V339" s="60"/>
      <c r="W339" s="114">
        <v>42592</v>
      </c>
      <c r="X339"/>
    </row>
    <row r="340" spans="1:24" ht="14.1" customHeight="1">
      <c r="A340" s="61" t="s">
        <v>151</v>
      </c>
      <c r="B340" s="61" t="s">
        <v>467</v>
      </c>
      <c r="C340" s="45" t="s">
        <v>452</v>
      </c>
      <c r="D340" s="45" t="str">
        <f>Table1[[#This Row],[City]]&amp;", "&amp;Table1[[#This Row],[State]]</f>
        <v>Tokyo, Japan- International</v>
      </c>
      <c r="E340" s="49">
        <v>53</v>
      </c>
      <c r="F340" s="50">
        <v>8</v>
      </c>
      <c r="G340" s="50" t="str">
        <f t="array" ref="G340">IFERROR(INDEX(Table2[1st Year],MATCH(1,(Table1[[#This Row],[Employer]]=Table2[EIW Name])*(Table1[[#This Row],[City, State]]=Table2[Offices Matched]),0)),"")</f>
        <v/>
      </c>
      <c r="H340" s="50">
        <f>_xlfn.IFNA(INDEX(saCAGR[CAGR],MATCH(Table1[[#This Row],[Employer]],saCAGR[EIW Name],0)),"")</f>
        <v>1.0039098649775466</v>
      </c>
      <c r="I340" s="50">
        <f>IFERROR(Table1[[#This Row],[SA CAGR]]*Table1[[#This Row],[Number of Summer 2016 2L SAs]],"")</f>
        <v>8.0312789198203731</v>
      </c>
      <c r="J340" s="50">
        <v>4</v>
      </c>
      <c r="K340" s="51">
        <f>IFERROR(Table1[[#This Row],[Number of Summer 2016 NYU 2L SAs]]/Table1[[#This Row],[Interview Slots]],0)</f>
        <v>7.5471698113207544E-2</v>
      </c>
      <c r="L340" s="51">
        <f>Table1[[#This Row],[Number of Summer 2016 2L SAs]]/Table1[[#This Row],[Interview Slots]]</f>
        <v>0.15094339622641509</v>
      </c>
      <c r="M340" s="51">
        <f>IFERROR(Table1[[#This Row],[Number of Summer 2016 NYU 2L SAs]]/Table1[[#This Row],[Number of Summer 2016 2L SAs]],0)</f>
        <v>0.5</v>
      </c>
      <c r="N340" s="50" t="str">
        <f>IFERROR(RIGHT(Table1[[#This Row],[1st year]],LEN(Table1[[#This Row],[1st year]])-FIND(":",Table1[[#This Row],[1st year]])-1),"")</f>
        <v/>
      </c>
      <c r="O340" s="50" t="str">
        <f t="array" ref="O340">IFERROR(INDEX(Table2[Nth year],MATCH(1,(Table1[[#This Row],[Employer]]=Table2[EIW Name])*(Table1[[#This Row],[City, State]]=Table2[Offices Matched]),0)),"")</f>
        <v/>
      </c>
      <c r="P340" s="50" t="str">
        <f>IFERROR(RIGHT(Table1[[#This Row],[Nth year]],LEN(Table1[[#This Row],[Nth year]])-FIND(":",Table1[[#This Row],[Nth year]])-1),"")</f>
        <v/>
      </c>
      <c r="Q340" s="50" t="str">
        <f t="array" ref="Q340">IFERROR(INDEX(Table2[Am Law 200 PPP Rank ’16],MATCH(1,(Table1[[#This Row],[Employer]]=Table2[EIW Name])*(Table1[[#This Row],[City, State]]=Table2[Offices Matched]),0)),"")</f>
        <v/>
      </c>
      <c r="R340" s="50" t="str">
        <f>IFERROR(LEFT(Table1[[#This Row],[Am Law 200 PPP Rank ’16]],FIND(":",Table1[[#This Row],[Am Law 200 PPP Rank ’16]])-1),"")</f>
        <v/>
      </c>
      <c r="S340" s="50">
        <f>IFERROR(INDEX(VaultRank[Rank],MATCH(Table1[[#This Row],[Employer]],VaultRank[EIW Name],0)),"")</f>
        <v>23</v>
      </c>
      <c r="T340" s="50" t="str">
        <f t="array" ref="T340">IFERROR(INDEX(Table2[Summers Matched],MATCH(1,(Table1[[#This Row],[Employer]]=Table2[EIW Name])*(Table1[[#This Row],[City, State]]=Table2[Offices Matched]),0)),"")</f>
        <v/>
      </c>
      <c r="U340" s="52" t="str">
        <f t="shared" si="5"/>
        <v/>
      </c>
      <c r="V340" s="60"/>
      <c r="W340" s="114">
        <v>42595</v>
      </c>
      <c r="X340"/>
    </row>
    <row r="341" spans="1:24" ht="14.1" customHeight="1">
      <c r="A341" s="45" t="s">
        <v>151</v>
      </c>
      <c r="B341" s="45" t="s">
        <v>468</v>
      </c>
      <c r="C341" s="45" t="s">
        <v>378</v>
      </c>
      <c r="D341" s="45" t="str">
        <f>Table1[[#This Row],[City]]&amp;", "&amp;Table1[[#This Row],[State]]</f>
        <v>McLean, VA</v>
      </c>
      <c r="E341" s="49">
        <v>84</v>
      </c>
      <c r="F341" s="50">
        <v>3</v>
      </c>
      <c r="G341" s="50" t="str">
        <f t="array" ref="G341">IFERROR(INDEX(Table2[1st Year],MATCH(1,(Table1[[#This Row],[Employer]]=Table2[EIW Name])*(Table1[[#This Row],[City, State]]=Table2[Offices Matched]),0)),"")</f>
        <v>1st Year: $180K</v>
      </c>
      <c r="H341" s="50">
        <f>_xlfn.IFNA(INDEX(saCAGR[CAGR],MATCH(Table1[[#This Row],[Employer]],saCAGR[EIW Name],0)),"")</f>
        <v>1.0039098649775466</v>
      </c>
      <c r="I341" s="50">
        <f>IFERROR(Table1[[#This Row],[SA CAGR]]*Table1[[#This Row],[Number of Summer 2016 2L SAs]],"")</f>
        <v>3.0117295949326399</v>
      </c>
      <c r="J341" s="50">
        <v>25</v>
      </c>
      <c r="K341" s="51">
        <f>IFERROR(Table1[[#This Row],[Number of Summer 2016 NYU 2L SAs]]/Table1[[#This Row],[Interview Slots]],0)</f>
        <v>0.29761904761904762</v>
      </c>
      <c r="L341" s="51">
        <f>Table1[[#This Row],[Number of Summer 2016 2L SAs]]/Table1[[#This Row],[Interview Slots]]</f>
        <v>3.5714285714285712E-2</v>
      </c>
      <c r="M341" s="51">
        <f>IFERROR(Table1[[#This Row],[Number of Summer 2016 NYU 2L SAs]]/Table1[[#This Row],[Number of Summer 2016 2L SAs]],0)</f>
        <v>8.3333333333333339</v>
      </c>
      <c r="N341" s="50" t="str">
        <f>IFERROR(RIGHT(Table1[[#This Row],[1st year]],LEN(Table1[[#This Row],[1st year]])-FIND(":",Table1[[#This Row],[1st year]])-1),"")</f>
        <v>$180K</v>
      </c>
      <c r="O341" s="50" t="str">
        <f t="array" ref="O341">IFERROR(INDEX(Table2[Nth year],MATCH(1,(Table1[[#This Row],[Employer]]=Table2[EIW Name])*(Table1[[#This Row],[City, State]]=Table2[Offices Matched]),0)),"")</f>
        <v>9th Year+: $325K</v>
      </c>
      <c r="P341" s="50" t="str">
        <f>IFERROR(RIGHT(Table1[[#This Row],[Nth year]],LEN(Table1[[#This Row],[Nth year]])-FIND(":",Table1[[#This Row],[Nth year]])-1),"")</f>
        <v>$325K</v>
      </c>
      <c r="Q341" s="50" t="str">
        <f t="array" ref="Q341">IFERROR(INDEX(Table2[Am Law 200 PPP Rank ’16],MATCH(1,(Table1[[#This Row],[Employer]]=Table2[EIW Name])*(Table1[[#This Row],[City, State]]=Table2[Offices Matched]),0)),"")</f>
        <v>58: $1.56M</v>
      </c>
      <c r="R341" s="50" t="str">
        <f>IFERROR(LEFT(Table1[[#This Row],[Am Law 200 PPP Rank ’16]],FIND(":",Table1[[#This Row],[Am Law 200 PPP Rank ’16]])-1),"")</f>
        <v>58</v>
      </c>
      <c r="S341" s="50">
        <f>IFERROR(INDEX(VaultRank[Rank],MATCH(Table1[[#This Row],[Employer]],VaultRank[EIW Name],0)),"")</f>
        <v>23</v>
      </c>
      <c r="T341" s="50" t="str">
        <f t="array" ref="T341">IFERROR(INDEX(Table2[Summers Matched],MATCH(1,(Table1[[#This Row],[Employer]]=Table2[EIW Name])*(Table1[[#This Row],[City, State]]=Table2[Offices Matched]),0)),"")</f>
        <v>Yes</v>
      </c>
      <c r="U341" s="52" t="str">
        <f t="shared" si="5"/>
        <v/>
      </c>
      <c r="V341" s="60"/>
      <c r="W341" s="114">
        <v>42595</v>
      </c>
      <c r="X341"/>
    </row>
    <row r="342" spans="1:24" ht="14.1" customHeight="1">
      <c r="A342" s="45" t="s">
        <v>372</v>
      </c>
      <c r="B342" s="45" t="s">
        <v>364</v>
      </c>
      <c r="C342" s="45" t="s">
        <v>362</v>
      </c>
      <c r="D342" s="45" t="str">
        <f>Table1[[#This Row],[City]]&amp;", "&amp;Table1[[#This Row],[State]]</f>
        <v>New York, NY</v>
      </c>
      <c r="E342" s="49">
        <v>143</v>
      </c>
      <c r="F342" s="50">
        <v>14</v>
      </c>
      <c r="G342" s="50" t="str">
        <f t="array" ref="G342">IFERROR(INDEX(Table2[1st Year],MATCH(1,(Table1[[#This Row],[Employer]]=Table2[EIW Name])*(Table1[[#This Row],[City, State]]=Table2[Offices Matched]),0)),"")</f>
        <v/>
      </c>
      <c r="H342" s="51">
        <f>_xlfn.IFNA(INDEX(saCAGR[CAGR],MATCH(Table1[[#This Row],[Employer]],saCAGR[EIW Name],0)),"")</f>
        <v>0.99345844411863404</v>
      </c>
      <c r="I342" s="50">
        <f>IFERROR(Table1[[#This Row],[SA CAGR]]*Table1[[#This Row],[Number of Summer 2016 2L SAs]],"")</f>
        <v>13.908418217660877</v>
      </c>
      <c r="J342" s="50">
        <v>17</v>
      </c>
      <c r="K342" s="51">
        <f>IFERROR(Table1[[#This Row],[Number of Summer 2016 NYU 2L SAs]]/Table1[[#This Row],[Interview Slots]],0)</f>
        <v>0.11888111888111888</v>
      </c>
      <c r="L342" s="51">
        <f>Table1[[#This Row],[Number of Summer 2016 2L SAs]]/Table1[[#This Row],[Interview Slots]]</f>
        <v>9.7902097902097904E-2</v>
      </c>
      <c r="M342" s="51">
        <f>IFERROR(Table1[[#This Row],[Number of Summer 2016 NYU 2L SAs]]/Table1[[#This Row],[Number of Summer 2016 2L SAs]],0)</f>
        <v>1.2142857142857142</v>
      </c>
      <c r="N342" s="50" t="str">
        <f>IFERROR(RIGHT(Table1[[#This Row],[1st year]],LEN(Table1[[#This Row],[1st year]])-FIND(":",Table1[[#This Row],[1st year]])-1),"")</f>
        <v/>
      </c>
      <c r="O342" s="50" t="str">
        <f t="array" ref="O342">IFERROR(INDEX(Table2[Nth year],MATCH(1,(Table1[[#This Row],[Employer]]=Table2[EIW Name])*(Table1[[#This Row],[City, State]]=Table2[Offices Matched]),0)),"")</f>
        <v/>
      </c>
      <c r="P342" s="50" t="str">
        <f>IFERROR(RIGHT(Table1[[#This Row],[Nth year]],LEN(Table1[[#This Row],[Nth year]])-FIND(":",Table1[[#This Row],[Nth year]])-1),"")</f>
        <v/>
      </c>
      <c r="Q342" s="50" t="str">
        <f t="array" ref="Q342">IFERROR(INDEX(Table2[Am Law 200 PPP Rank ’16],MATCH(1,(Table1[[#This Row],[Employer]]=Table2[EIW Name])*(Table1[[#This Row],[City, State]]=Table2[Offices Matched]),0)),"")</f>
        <v/>
      </c>
      <c r="R342" s="50" t="str">
        <f>IFERROR(LEFT(Table1[[#This Row],[Am Law 200 PPP Rank ’16]],FIND(":",Table1[[#This Row],[Am Law 200 PPP Rank ’16]])-1),"")</f>
        <v/>
      </c>
      <c r="S342" s="50">
        <f>IFERROR(INDEX(VaultRank[Rank],MATCH(Table1[[#This Row],[Employer]],VaultRank[EIW Name],0)),"")</f>
        <v>76</v>
      </c>
      <c r="T342" s="50" t="str">
        <f t="array" ref="T342">IFERROR(INDEX(Table2[Summers Matched],MATCH(1,(Table1[[#This Row],[Employer]]=Table2[EIW Name])*(Table1[[#This Row],[City, State]]=Table2[Offices Matched]),0)),"")</f>
        <v/>
      </c>
      <c r="U342" s="52" t="str">
        <f t="shared" si="5"/>
        <v/>
      </c>
      <c r="V342" s="60"/>
      <c r="W342" s="114">
        <v>42592</v>
      </c>
      <c r="X342"/>
    </row>
    <row r="343" spans="1:24" ht="14.1" customHeight="1">
      <c r="A343" s="45" t="s">
        <v>470</v>
      </c>
      <c r="B343" s="45" t="s">
        <v>301</v>
      </c>
      <c r="C343" s="45" t="s">
        <v>302</v>
      </c>
      <c r="D343" s="45" t="str">
        <f>Table1[[#This Row],[City]]&amp;", "&amp;Table1[[#This Row],[State]]</f>
        <v>Washington, DC</v>
      </c>
      <c r="E343" s="49">
        <v>94</v>
      </c>
      <c r="F343" s="50">
        <v>1</v>
      </c>
      <c r="G343" s="50" t="str">
        <f t="array" ref="G343">IFERROR(INDEX(Table2[1st Year],MATCH(1,(Table1[[#This Row],[Employer]]=Table2[EIW Name])*(Table1[[#This Row],[City, State]]=Table2[Offices Matched]),0)),"")</f>
        <v/>
      </c>
      <c r="H343" s="50" t="str">
        <f>_xlfn.IFNA(INDEX(saCAGR[CAGR],MATCH(Table1[[#This Row],[Employer]],saCAGR[EIW Name],0)),"")</f>
        <v/>
      </c>
      <c r="I343" s="50" t="str">
        <f>IFERROR(Table1[[#This Row],[SA CAGR]]*Table1[[#This Row],[Number of Summer 2016 2L SAs]],"")</f>
        <v/>
      </c>
      <c r="J343" s="50">
        <v>14</v>
      </c>
      <c r="K343" s="51">
        <f>IFERROR(Table1[[#This Row],[Number of Summer 2016 NYU 2L SAs]]/Table1[[#This Row],[Interview Slots]],0)</f>
        <v>0.14893617021276595</v>
      </c>
      <c r="L343" s="51">
        <f>Table1[[#This Row],[Number of Summer 2016 2L SAs]]/Table1[[#This Row],[Interview Slots]]</f>
        <v>1.0638297872340425E-2</v>
      </c>
      <c r="M343" s="51">
        <f>IFERROR(Table1[[#This Row],[Number of Summer 2016 NYU 2L SAs]]/Table1[[#This Row],[Number of Summer 2016 2L SAs]],0)</f>
        <v>14</v>
      </c>
      <c r="N343" s="50" t="str">
        <f>IFERROR(RIGHT(Table1[[#This Row],[1st year]],LEN(Table1[[#This Row],[1st year]])-FIND(":",Table1[[#This Row],[1st year]])-1),"")</f>
        <v/>
      </c>
      <c r="O343" s="50" t="str">
        <f t="array" ref="O343">IFERROR(INDEX(Table2[Nth year],MATCH(1,(Table1[[#This Row],[Employer]]=Table2[EIW Name])*(Table1[[#This Row],[City, State]]=Table2[Offices Matched]),0)),"")</f>
        <v/>
      </c>
      <c r="P343" s="50" t="str">
        <f>IFERROR(RIGHT(Table1[[#This Row],[Nth year]],LEN(Table1[[#This Row],[Nth year]])-FIND(":",Table1[[#This Row],[Nth year]])-1),"")</f>
        <v/>
      </c>
      <c r="Q343" s="50" t="str">
        <f t="array" ref="Q343">IFERROR(INDEX(Table2[Am Law 200 PPP Rank ’16],MATCH(1,(Table1[[#This Row],[Employer]]=Table2[EIW Name])*(Table1[[#This Row],[City, State]]=Table2[Offices Matched]),0)),"")</f>
        <v/>
      </c>
      <c r="R343" s="50" t="str">
        <f>IFERROR(LEFT(Table1[[#This Row],[Am Law 200 PPP Rank ’16]],FIND(":",Table1[[#This Row],[Am Law 200 PPP Rank ’16]])-1),"")</f>
        <v/>
      </c>
      <c r="S343" s="50" t="str">
        <f>IFERROR(INDEX(VaultRank[Rank],MATCH(Table1[[#This Row],[Employer]],VaultRank[EIW Name],0)),"")</f>
        <v/>
      </c>
      <c r="T343" s="50" t="str">
        <f t="array" ref="T343">IFERROR(INDEX(Table2[Summers Matched],MATCH(1,(Table1[[#This Row],[Employer]]=Table2[EIW Name])*(Table1[[#This Row],[City, State]]=Table2[Offices Matched]),0)),"")</f>
        <v/>
      </c>
      <c r="U343" s="52" t="str">
        <f t="shared" si="5"/>
        <v/>
      </c>
      <c r="V343" s="60"/>
      <c r="W343" s="114">
        <v>42593</v>
      </c>
      <c r="X343"/>
    </row>
    <row r="344" spans="1:24" ht="14.1" customHeight="1">
      <c r="A344" s="45" t="s">
        <v>470</v>
      </c>
      <c r="B344" s="45" t="s">
        <v>308</v>
      </c>
      <c r="C344" s="45" t="s">
        <v>309</v>
      </c>
      <c r="D344" s="45" t="str">
        <f>Table1[[#This Row],[City]]&amp;", "&amp;Table1[[#This Row],[State]]</f>
        <v>Atlanta, GA</v>
      </c>
      <c r="E344" s="49">
        <v>100</v>
      </c>
      <c r="F344" s="50">
        <v>5</v>
      </c>
      <c r="G344" s="50" t="str">
        <f t="array" ref="G344">IFERROR(INDEX(Table2[1st Year],MATCH(1,(Table1[[#This Row],[Employer]]=Table2[EIW Name])*(Table1[[#This Row],[City, State]]=Table2[Offices Matched]),0)),"")</f>
        <v/>
      </c>
      <c r="H344" s="50" t="str">
        <f>_xlfn.IFNA(INDEX(saCAGR[CAGR],MATCH(Table1[[#This Row],[Employer]],saCAGR[EIW Name],0)),"")</f>
        <v/>
      </c>
      <c r="I344" s="50" t="str">
        <f>IFERROR(Table1[[#This Row],[SA CAGR]]*Table1[[#This Row],[Number of Summer 2016 2L SAs]],"")</f>
        <v/>
      </c>
      <c r="J344" s="50">
        <v>15</v>
      </c>
      <c r="K344" s="51">
        <f>IFERROR(Table1[[#This Row],[Number of Summer 2016 NYU 2L SAs]]/Table1[[#This Row],[Interview Slots]],0)</f>
        <v>0.15</v>
      </c>
      <c r="L344" s="51">
        <f>Table1[[#This Row],[Number of Summer 2016 2L SAs]]/Table1[[#This Row],[Interview Slots]]</f>
        <v>0.05</v>
      </c>
      <c r="M344" s="51">
        <f>IFERROR(Table1[[#This Row],[Number of Summer 2016 NYU 2L SAs]]/Table1[[#This Row],[Number of Summer 2016 2L SAs]],0)</f>
        <v>3</v>
      </c>
      <c r="N344" s="50" t="str">
        <f>IFERROR(RIGHT(Table1[[#This Row],[1st year]],LEN(Table1[[#This Row],[1st year]])-FIND(":",Table1[[#This Row],[1st year]])-1),"")</f>
        <v/>
      </c>
      <c r="O344" s="50" t="str">
        <f t="array" ref="O344">IFERROR(INDEX(Table2[Nth year],MATCH(1,(Table1[[#This Row],[Employer]]=Table2[EIW Name])*(Table1[[#This Row],[City, State]]=Table2[Offices Matched]),0)),"")</f>
        <v/>
      </c>
      <c r="P344" s="50" t="str">
        <f>IFERROR(RIGHT(Table1[[#This Row],[Nth year]],LEN(Table1[[#This Row],[Nth year]])-FIND(":",Table1[[#This Row],[Nth year]])-1),"")</f>
        <v/>
      </c>
      <c r="Q344" s="50" t="str">
        <f t="array" ref="Q344">IFERROR(INDEX(Table2[Am Law 200 PPP Rank ’16],MATCH(1,(Table1[[#This Row],[Employer]]=Table2[EIW Name])*(Table1[[#This Row],[City, State]]=Table2[Offices Matched]),0)),"")</f>
        <v/>
      </c>
      <c r="R344" s="50" t="str">
        <f>IFERROR(LEFT(Table1[[#This Row],[Am Law 200 PPP Rank ’16]],FIND(":",Table1[[#This Row],[Am Law 200 PPP Rank ’16]])-1),"")</f>
        <v/>
      </c>
      <c r="S344" s="50" t="str">
        <f>IFERROR(INDEX(VaultRank[Rank],MATCH(Table1[[#This Row],[Employer]],VaultRank[EIW Name],0)),"")</f>
        <v/>
      </c>
      <c r="T344" s="50" t="str">
        <f t="array" ref="T344">IFERROR(INDEX(Table2[Summers Matched],MATCH(1,(Table1[[#This Row],[Employer]]=Table2[EIW Name])*(Table1[[#This Row],[City, State]]=Table2[Offices Matched]),0)),"")</f>
        <v/>
      </c>
      <c r="U344" s="52" t="str">
        <f t="shared" si="5"/>
        <v/>
      </c>
      <c r="V344" s="60"/>
      <c r="W344" s="114">
        <v>42595</v>
      </c>
      <c r="X344"/>
    </row>
    <row r="345" spans="1:24" ht="14.1" customHeight="1">
      <c r="A345" s="45" t="s">
        <v>470</v>
      </c>
      <c r="B345" s="45" t="s">
        <v>367</v>
      </c>
      <c r="C345" s="45" t="s">
        <v>368</v>
      </c>
      <c r="D345" s="45" t="str">
        <f>Table1[[#This Row],[City]]&amp;", "&amp;Table1[[#This Row],[State]]</f>
        <v>Boston, MA</v>
      </c>
      <c r="E345" s="49">
        <v>81</v>
      </c>
      <c r="F345" s="50">
        <v>4</v>
      </c>
      <c r="G345" s="50" t="str">
        <f t="array" ref="G345">IFERROR(INDEX(Table2[1st Year],MATCH(1,(Table1[[#This Row],[Employer]]=Table2[EIW Name])*(Table1[[#This Row],[City, State]]=Table2[Offices Matched]),0)),"")</f>
        <v/>
      </c>
      <c r="H345" s="50" t="str">
        <f>_xlfn.IFNA(INDEX(saCAGR[CAGR],MATCH(Table1[[#This Row],[Employer]],saCAGR[EIW Name],0)),"")</f>
        <v/>
      </c>
      <c r="I345" s="50" t="str">
        <f>IFERROR(Table1[[#This Row],[SA CAGR]]*Table1[[#This Row],[Number of Summer 2016 2L SAs]],"")</f>
        <v/>
      </c>
      <c r="J345" s="50">
        <v>9</v>
      </c>
      <c r="K345" s="51">
        <f>IFERROR(Table1[[#This Row],[Number of Summer 2016 NYU 2L SAs]]/Table1[[#This Row],[Interview Slots]],0)</f>
        <v>0.1111111111111111</v>
      </c>
      <c r="L345" s="51">
        <f>Table1[[#This Row],[Number of Summer 2016 2L SAs]]/Table1[[#This Row],[Interview Slots]]</f>
        <v>4.9382716049382713E-2</v>
      </c>
      <c r="M345" s="51">
        <f>IFERROR(Table1[[#This Row],[Number of Summer 2016 NYU 2L SAs]]/Table1[[#This Row],[Number of Summer 2016 2L SAs]],0)</f>
        <v>2.25</v>
      </c>
      <c r="N345" s="50" t="str">
        <f>IFERROR(RIGHT(Table1[[#This Row],[1st year]],LEN(Table1[[#This Row],[1st year]])-FIND(":",Table1[[#This Row],[1st year]])-1),"")</f>
        <v/>
      </c>
      <c r="O345" s="50" t="str">
        <f t="array" ref="O345">IFERROR(INDEX(Table2[Nth year],MATCH(1,(Table1[[#This Row],[Employer]]=Table2[EIW Name])*(Table1[[#This Row],[City, State]]=Table2[Offices Matched]),0)),"")</f>
        <v/>
      </c>
      <c r="P345" s="50" t="str">
        <f>IFERROR(RIGHT(Table1[[#This Row],[Nth year]],LEN(Table1[[#This Row],[Nth year]])-FIND(":",Table1[[#This Row],[Nth year]])-1),"")</f>
        <v/>
      </c>
      <c r="Q345" s="50" t="str">
        <f t="array" ref="Q345">IFERROR(INDEX(Table2[Am Law 200 PPP Rank ’16],MATCH(1,(Table1[[#This Row],[Employer]]=Table2[EIW Name])*(Table1[[#This Row],[City, State]]=Table2[Offices Matched]),0)),"")</f>
        <v/>
      </c>
      <c r="R345" s="50" t="str">
        <f>IFERROR(LEFT(Table1[[#This Row],[Am Law 200 PPP Rank ’16]],FIND(":",Table1[[#This Row],[Am Law 200 PPP Rank ’16]])-1),"")</f>
        <v/>
      </c>
      <c r="S345" s="50" t="str">
        <f>IFERROR(INDEX(VaultRank[Rank],MATCH(Table1[[#This Row],[Employer]],VaultRank[EIW Name],0)),"")</f>
        <v/>
      </c>
      <c r="T345" s="50" t="str">
        <f t="array" ref="T345">IFERROR(INDEX(Table2[Summers Matched],MATCH(1,(Table1[[#This Row],[Employer]]=Table2[EIW Name])*(Table1[[#This Row],[City, State]]=Table2[Offices Matched]),0)),"")</f>
        <v/>
      </c>
      <c r="U345" s="52">
        <f t="shared" si="5"/>
        <v>3.6</v>
      </c>
      <c r="V345" s="60"/>
      <c r="W345" s="114">
        <v>42594</v>
      </c>
      <c r="X345"/>
    </row>
    <row r="346" spans="1:24" ht="14.1" customHeight="1">
      <c r="A346" s="45" t="s">
        <v>470</v>
      </c>
      <c r="B346" s="45" t="s">
        <v>471</v>
      </c>
      <c r="C346" s="45" t="s">
        <v>311</v>
      </c>
      <c r="D346" s="45" t="str">
        <f>Table1[[#This Row],[City]]&amp;", "&amp;Table1[[#This Row],[State]]</f>
        <v>Winston-Salem, NC</v>
      </c>
      <c r="E346" s="49">
        <v>95</v>
      </c>
      <c r="F346" s="50">
        <v>1</v>
      </c>
      <c r="G346" s="50" t="str">
        <f t="array" ref="G346">IFERROR(INDEX(Table2[1st Year],MATCH(1,(Table1[[#This Row],[Employer]]=Table2[EIW Name])*(Table1[[#This Row],[City, State]]=Table2[Offices Matched]),0)),"")</f>
        <v/>
      </c>
      <c r="H346" s="50" t="str">
        <f>_xlfn.IFNA(INDEX(saCAGR[CAGR],MATCH(Table1[[#This Row],[Employer]],saCAGR[EIW Name],0)),"")</f>
        <v/>
      </c>
      <c r="I346" s="50" t="str">
        <f>IFERROR(Table1[[#This Row],[SA CAGR]]*Table1[[#This Row],[Number of Summer 2016 2L SAs]],"")</f>
        <v/>
      </c>
      <c r="J346" s="50">
        <v>25</v>
      </c>
      <c r="K346" s="51">
        <f>IFERROR(Table1[[#This Row],[Number of Summer 2016 NYU 2L SAs]]/Table1[[#This Row],[Interview Slots]],0)</f>
        <v>0.26315789473684209</v>
      </c>
      <c r="L346" s="51">
        <f>Table1[[#This Row],[Number of Summer 2016 2L SAs]]/Table1[[#This Row],[Interview Slots]]</f>
        <v>1.0526315789473684E-2</v>
      </c>
      <c r="M346" s="51">
        <f>IFERROR(Table1[[#This Row],[Number of Summer 2016 NYU 2L SAs]]/Table1[[#This Row],[Number of Summer 2016 2L SAs]],0)</f>
        <v>25</v>
      </c>
      <c r="N346" s="50" t="str">
        <f>IFERROR(RIGHT(Table1[[#This Row],[1st year]],LEN(Table1[[#This Row],[1st year]])-FIND(":",Table1[[#This Row],[1st year]])-1),"")</f>
        <v/>
      </c>
      <c r="O346" s="50" t="str">
        <f t="array" ref="O346">IFERROR(INDEX(Table2[Nth year],MATCH(1,(Table1[[#This Row],[Employer]]=Table2[EIW Name])*(Table1[[#This Row],[City, State]]=Table2[Offices Matched]),0)),"")</f>
        <v/>
      </c>
      <c r="P346" s="50" t="str">
        <f>IFERROR(RIGHT(Table1[[#This Row],[Nth year]],LEN(Table1[[#This Row],[Nth year]])-FIND(":",Table1[[#This Row],[Nth year]])-1),"")</f>
        <v/>
      </c>
      <c r="Q346" s="50" t="str">
        <f t="array" ref="Q346">IFERROR(INDEX(Table2[Am Law 200 PPP Rank ’16],MATCH(1,(Table1[[#This Row],[Employer]]=Table2[EIW Name])*(Table1[[#This Row],[City, State]]=Table2[Offices Matched]),0)),"")</f>
        <v/>
      </c>
      <c r="R346" s="50" t="str">
        <f>IFERROR(LEFT(Table1[[#This Row],[Am Law 200 PPP Rank ’16]],FIND(":",Table1[[#This Row],[Am Law 200 PPP Rank ’16]])-1),"")</f>
        <v/>
      </c>
      <c r="S346" s="50" t="str">
        <f>IFERROR(INDEX(VaultRank[Rank],MATCH(Table1[[#This Row],[Employer]],VaultRank[EIW Name],0)),"")</f>
        <v/>
      </c>
      <c r="T346" s="50" t="str">
        <f t="array" ref="T346">IFERROR(INDEX(Table2[Summers Matched],MATCH(1,(Table1[[#This Row],[Employer]]=Table2[EIW Name])*(Table1[[#This Row],[City, State]]=Table2[Offices Matched]),0)),"")</f>
        <v/>
      </c>
      <c r="U346" s="52" t="str">
        <f t="shared" si="5"/>
        <v/>
      </c>
      <c r="V346" s="60"/>
      <c r="W346" s="114">
        <v>42595</v>
      </c>
      <c r="X346"/>
    </row>
    <row r="347" spans="1:24" ht="14.1" customHeight="1">
      <c r="A347" s="45" t="s">
        <v>470</v>
      </c>
      <c r="B347" s="45" t="s">
        <v>473</v>
      </c>
      <c r="C347" s="45" t="s">
        <v>474</v>
      </c>
      <c r="D347" s="45" t="str">
        <f>Table1[[#This Row],[City]]&amp;", "&amp;Table1[[#This Row],[State]]</f>
        <v>Charleston, SC</v>
      </c>
      <c r="E347" s="49">
        <v>166</v>
      </c>
      <c r="F347" s="50">
        <v>1</v>
      </c>
      <c r="G347" s="50" t="str">
        <f t="array" ref="G347">IFERROR(INDEX(Table2[1st Year],MATCH(1,(Table1[[#This Row],[Employer]]=Table2[EIW Name])*(Table1[[#This Row],[City, State]]=Table2[Offices Matched]),0)),"")</f>
        <v/>
      </c>
      <c r="H347" s="50" t="str">
        <f>_xlfn.IFNA(INDEX(saCAGR[CAGR],MATCH(Table1[[#This Row],[Employer]],saCAGR[EIW Name],0)),"")</f>
        <v/>
      </c>
      <c r="I347" s="50" t="str">
        <f>IFERROR(Table1[[#This Row],[SA CAGR]]*Table1[[#This Row],[Number of Summer 2016 2L SAs]],"")</f>
        <v/>
      </c>
      <c r="J347" s="50">
        <v>19</v>
      </c>
      <c r="K347" s="51">
        <f>IFERROR(Table1[[#This Row],[Number of Summer 2016 NYU 2L SAs]]/Table1[[#This Row],[Interview Slots]],0)</f>
        <v>0.1144578313253012</v>
      </c>
      <c r="L347" s="51">
        <f>Table1[[#This Row],[Number of Summer 2016 2L SAs]]/Table1[[#This Row],[Interview Slots]]</f>
        <v>6.024096385542169E-3</v>
      </c>
      <c r="M347" s="51">
        <f>IFERROR(Table1[[#This Row],[Number of Summer 2016 NYU 2L SAs]]/Table1[[#This Row],[Number of Summer 2016 2L SAs]],0)</f>
        <v>19</v>
      </c>
      <c r="N347" s="50" t="str">
        <f>IFERROR(RIGHT(Table1[[#This Row],[1st year]],LEN(Table1[[#This Row],[1st year]])-FIND(":",Table1[[#This Row],[1st year]])-1),"")</f>
        <v/>
      </c>
      <c r="O347" s="50" t="str">
        <f t="array" ref="O347">IFERROR(INDEX(Table2[Nth year],MATCH(1,(Table1[[#This Row],[Employer]]=Table2[EIW Name])*(Table1[[#This Row],[City, State]]=Table2[Offices Matched]),0)),"")</f>
        <v/>
      </c>
      <c r="P347" s="50" t="str">
        <f>IFERROR(RIGHT(Table1[[#This Row],[Nth year]],LEN(Table1[[#This Row],[Nth year]])-FIND(":",Table1[[#This Row],[Nth year]])-1),"")</f>
        <v/>
      </c>
      <c r="Q347" s="50" t="str">
        <f t="array" ref="Q347">IFERROR(INDEX(Table2[Am Law 200 PPP Rank ’16],MATCH(1,(Table1[[#This Row],[Employer]]=Table2[EIW Name])*(Table1[[#This Row],[City, State]]=Table2[Offices Matched]),0)),"")</f>
        <v/>
      </c>
      <c r="R347" s="50" t="str">
        <f>IFERROR(LEFT(Table1[[#This Row],[Am Law 200 PPP Rank ’16]],FIND(":",Table1[[#This Row],[Am Law 200 PPP Rank ’16]])-1),"")</f>
        <v/>
      </c>
      <c r="S347" s="50" t="str">
        <f>IFERROR(INDEX(VaultRank[Rank],MATCH(Table1[[#This Row],[Employer]],VaultRank[EIW Name],0)),"")</f>
        <v/>
      </c>
      <c r="T347" s="50" t="str">
        <f t="array" ref="T347">IFERROR(INDEX(Table2[Summers Matched],MATCH(1,(Table1[[#This Row],[Employer]]=Table2[EIW Name])*(Table1[[#This Row],[City, State]]=Table2[Offices Matched]),0)),"")</f>
        <v/>
      </c>
      <c r="U347" s="52" t="str">
        <f t="shared" si="5"/>
        <v/>
      </c>
      <c r="V347" s="60"/>
      <c r="W347" s="114">
        <v>42592</v>
      </c>
      <c r="X347"/>
    </row>
    <row r="348" spans="1:24" ht="14.1" customHeight="1">
      <c r="A348" s="45" t="s">
        <v>470</v>
      </c>
      <c r="B348" s="45" t="s">
        <v>310</v>
      </c>
      <c r="C348" s="45" t="s">
        <v>311</v>
      </c>
      <c r="D348" s="45" t="str">
        <f>Table1[[#This Row],[City]]&amp;", "&amp;Table1[[#This Row],[State]]</f>
        <v>Charlotte, NC</v>
      </c>
      <c r="E348" s="49">
        <v>3</v>
      </c>
      <c r="F348" s="50">
        <v>0</v>
      </c>
      <c r="G348" s="50" t="str">
        <f t="array" ref="G348">IFERROR(INDEX(Table2[1st Year],MATCH(1,(Table1[[#This Row],[Employer]]=Table2[EIW Name])*(Table1[[#This Row],[City, State]]=Table2[Offices Matched]),0)),"")</f>
        <v/>
      </c>
      <c r="H348" s="50" t="str">
        <f>_xlfn.IFNA(INDEX(saCAGR[CAGR],MATCH(Table1[[#This Row],[Employer]],saCAGR[EIW Name],0)),"")</f>
        <v/>
      </c>
      <c r="I348" s="50" t="str">
        <f>IFERROR(Table1[[#This Row],[SA CAGR]]*Table1[[#This Row],[Number of Summer 2016 2L SAs]],"")</f>
        <v/>
      </c>
      <c r="J348" s="50">
        <v>11</v>
      </c>
      <c r="K348" s="51">
        <f>IFERROR(Table1[[#This Row],[Number of Summer 2016 NYU 2L SAs]]/Table1[[#This Row],[Interview Slots]],0)</f>
        <v>3.6666666666666665</v>
      </c>
      <c r="L348" s="51">
        <f>Table1[[#This Row],[Number of Summer 2016 2L SAs]]/Table1[[#This Row],[Interview Slots]]</f>
        <v>0</v>
      </c>
      <c r="M348" s="51">
        <f>IFERROR(Table1[[#This Row],[Number of Summer 2016 NYU 2L SAs]]/Table1[[#This Row],[Number of Summer 2016 2L SAs]],0)</f>
        <v>0</v>
      </c>
      <c r="N348" s="50" t="str">
        <f>IFERROR(RIGHT(Table1[[#This Row],[1st year]],LEN(Table1[[#This Row],[1st year]])-FIND(":",Table1[[#This Row],[1st year]])-1),"")</f>
        <v/>
      </c>
      <c r="O348" s="50" t="str">
        <f t="array" ref="O348">IFERROR(INDEX(Table2[Nth year],MATCH(1,(Table1[[#This Row],[Employer]]=Table2[EIW Name])*(Table1[[#This Row],[City, State]]=Table2[Offices Matched]),0)),"")</f>
        <v/>
      </c>
      <c r="P348" s="50" t="str">
        <f>IFERROR(RIGHT(Table1[[#This Row],[Nth year]],LEN(Table1[[#This Row],[Nth year]])-FIND(":",Table1[[#This Row],[Nth year]])-1),"")</f>
        <v/>
      </c>
      <c r="Q348" s="50" t="str">
        <f t="array" ref="Q348">IFERROR(INDEX(Table2[Am Law 200 PPP Rank ’16],MATCH(1,(Table1[[#This Row],[Employer]]=Table2[EIW Name])*(Table1[[#This Row],[City, State]]=Table2[Offices Matched]),0)),"")</f>
        <v/>
      </c>
      <c r="R348" s="50" t="str">
        <f>IFERROR(LEFT(Table1[[#This Row],[Am Law 200 PPP Rank ’16]],FIND(":",Table1[[#This Row],[Am Law 200 PPP Rank ’16]])-1),"")</f>
        <v/>
      </c>
      <c r="S348" s="50" t="str">
        <f>IFERROR(INDEX(VaultRank[Rank],MATCH(Table1[[#This Row],[Employer]],VaultRank[EIW Name],0)),"")</f>
        <v/>
      </c>
      <c r="T348" s="50" t="str">
        <f t="array" ref="T348">IFERROR(INDEX(Table2[Summers Matched],MATCH(1,(Table1[[#This Row],[Employer]]=Table2[EIW Name])*(Table1[[#This Row],[City, State]]=Table2[Offices Matched]),0)),"")</f>
        <v/>
      </c>
      <c r="U348" s="52" t="str">
        <f t="shared" si="5"/>
        <v/>
      </c>
      <c r="V348" s="60"/>
      <c r="W348" s="114">
        <v>42593</v>
      </c>
      <c r="X348"/>
    </row>
    <row r="349" spans="1:24" ht="14.1" customHeight="1">
      <c r="A349" s="45" t="s">
        <v>470</v>
      </c>
      <c r="B349" s="45" t="s">
        <v>475</v>
      </c>
      <c r="C349" s="45" t="s">
        <v>474</v>
      </c>
      <c r="D349" s="45" t="str">
        <f>Table1[[#This Row],[City]]&amp;", "&amp;Table1[[#This Row],[State]]</f>
        <v>Columbia, SC</v>
      </c>
      <c r="E349" s="49">
        <v>71</v>
      </c>
      <c r="F349" s="50">
        <v>6</v>
      </c>
      <c r="G349" s="50" t="str">
        <f t="array" ref="G349">IFERROR(INDEX(Table2[1st Year],MATCH(1,(Table1[[#This Row],[Employer]]=Table2[EIW Name])*(Table1[[#This Row],[City, State]]=Table2[Offices Matched]),0)),"")</f>
        <v/>
      </c>
      <c r="H349" s="50" t="str">
        <f>_xlfn.IFNA(INDEX(saCAGR[CAGR],MATCH(Table1[[#This Row],[Employer]],saCAGR[EIW Name],0)),"")</f>
        <v/>
      </c>
      <c r="I349" s="50" t="str">
        <f>IFERROR(Table1[[#This Row],[SA CAGR]]*Table1[[#This Row],[Number of Summer 2016 2L SAs]],"")</f>
        <v/>
      </c>
      <c r="J349" s="50">
        <v>20</v>
      </c>
      <c r="K349" s="51">
        <f>IFERROR(Table1[[#This Row],[Number of Summer 2016 NYU 2L SAs]]/Table1[[#This Row],[Interview Slots]],0)</f>
        <v>0.28169014084507044</v>
      </c>
      <c r="L349" s="51">
        <f>Table1[[#This Row],[Number of Summer 2016 2L SAs]]/Table1[[#This Row],[Interview Slots]]</f>
        <v>8.4507042253521125E-2</v>
      </c>
      <c r="M349" s="51">
        <f>IFERROR(Table1[[#This Row],[Number of Summer 2016 NYU 2L SAs]]/Table1[[#This Row],[Number of Summer 2016 2L SAs]],0)</f>
        <v>3.3333333333333335</v>
      </c>
      <c r="N349" s="50" t="str">
        <f>IFERROR(RIGHT(Table1[[#This Row],[1st year]],LEN(Table1[[#This Row],[1st year]])-FIND(":",Table1[[#This Row],[1st year]])-1),"")</f>
        <v/>
      </c>
      <c r="O349" s="50" t="str">
        <f t="array" ref="O349">IFERROR(INDEX(Table2[Nth year],MATCH(1,(Table1[[#This Row],[Employer]]=Table2[EIW Name])*(Table1[[#This Row],[City, State]]=Table2[Offices Matched]),0)),"")</f>
        <v/>
      </c>
      <c r="P349" s="50" t="str">
        <f>IFERROR(RIGHT(Table1[[#This Row],[Nth year]],LEN(Table1[[#This Row],[Nth year]])-FIND(":",Table1[[#This Row],[Nth year]])-1),"")</f>
        <v/>
      </c>
      <c r="Q349" s="50" t="str">
        <f t="array" ref="Q349">IFERROR(INDEX(Table2[Am Law 200 PPP Rank ’16],MATCH(1,(Table1[[#This Row],[Employer]]=Table2[EIW Name])*(Table1[[#This Row],[City, State]]=Table2[Offices Matched]),0)),"")</f>
        <v/>
      </c>
      <c r="R349" s="50" t="str">
        <f>IFERROR(LEFT(Table1[[#This Row],[Am Law 200 PPP Rank ’16]],FIND(":",Table1[[#This Row],[Am Law 200 PPP Rank ’16]])-1),"")</f>
        <v/>
      </c>
      <c r="S349" s="50" t="str">
        <f>IFERROR(INDEX(VaultRank[Rank],MATCH(Table1[[#This Row],[Employer]],VaultRank[EIW Name],0)),"")</f>
        <v/>
      </c>
      <c r="T349" s="50" t="str">
        <f t="array" ref="T349">IFERROR(INDEX(Table2[Summers Matched],MATCH(1,(Table1[[#This Row],[Employer]]=Table2[EIW Name])*(Table1[[#This Row],[City, State]]=Table2[Offices Matched]),0)),"")</f>
        <v/>
      </c>
      <c r="U349" s="52" t="str">
        <f t="shared" si="5"/>
        <v/>
      </c>
      <c r="V349" s="60"/>
      <c r="W349" s="114">
        <v>42594</v>
      </c>
      <c r="X349"/>
    </row>
    <row r="350" spans="1:24" ht="14.1" customHeight="1">
      <c r="A350" s="45" t="s">
        <v>470</v>
      </c>
      <c r="B350" s="45" t="s">
        <v>476</v>
      </c>
      <c r="C350" s="45" t="s">
        <v>474</v>
      </c>
      <c r="D350" s="45" t="str">
        <f>Table1[[#This Row],[City]]&amp;", "&amp;Table1[[#This Row],[State]]</f>
        <v>Greenville, SC</v>
      </c>
      <c r="E350" s="49">
        <v>156</v>
      </c>
      <c r="F350" s="50">
        <v>2</v>
      </c>
      <c r="G350" s="50" t="str">
        <f t="array" ref="G350">IFERROR(INDEX(Table2[1st Year],MATCH(1,(Table1[[#This Row],[Employer]]=Table2[EIW Name])*(Table1[[#This Row],[City, State]]=Table2[Offices Matched]),0)),"")</f>
        <v/>
      </c>
      <c r="H350" s="50" t="str">
        <f>_xlfn.IFNA(INDEX(saCAGR[CAGR],MATCH(Table1[[#This Row],[Employer]],saCAGR[EIW Name],0)),"")</f>
        <v/>
      </c>
      <c r="I350" s="50" t="str">
        <f>IFERROR(Table1[[#This Row],[SA CAGR]]*Table1[[#This Row],[Number of Summer 2016 2L SAs]],"")</f>
        <v/>
      </c>
      <c r="J350" s="50">
        <v>20</v>
      </c>
      <c r="K350" s="51">
        <f>IFERROR(Table1[[#This Row],[Number of Summer 2016 NYU 2L SAs]]/Table1[[#This Row],[Interview Slots]],0)</f>
        <v>0.12820512820512819</v>
      </c>
      <c r="L350" s="51">
        <f>Table1[[#This Row],[Number of Summer 2016 2L SAs]]/Table1[[#This Row],[Interview Slots]]</f>
        <v>1.282051282051282E-2</v>
      </c>
      <c r="M350" s="51">
        <f>IFERROR(Table1[[#This Row],[Number of Summer 2016 NYU 2L SAs]]/Table1[[#This Row],[Number of Summer 2016 2L SAs]],0)</f>
        <v>10</v>
      </c>
      <c r="N350" s="50" t="str">
        <f>IFERROR(RIGHT(Table1[[#This Row],[1st year]],LEN(Table1[[#This Row],[1st year]])-FIND(":",Table1[[#This Row],[1st year]])-1),"")</f>
        <v/>
      </c>
      <c r="O350" s="50" t="str">
        <f t="array" ref="O350">IFERROR(INDEX(Table2[Nth year],MATCH(1,(Table1[[#This Row],[Employer]]=Table2[EIW Name])*(Table1[[#This Row],[City, State]]=Table2[Offices Matched]),0)),"")</f>
        <v/>
      </c>
      <c r="P350" s="50" t="str">
        <f>IFERROR(RIGHT(Table1[[#This Row],[Nth year]],LEN(Table1[[#This Row],[Nth year]])-FIND(":",Table1[[#This Row],[Nth year]])-1),"")</f>
        <v/>
      </c>
      <c r="Q350" s="50" t="str">
        <f t="array" ref="Q350">IFERROR(INDEX(Table2[Am Law 200 PPP Rank ’16],MATCH(1,(Table1[[#This Row],[Employer]]=Table2[EIW Name])*(Table1[[#This Row],[City, State]]=Table2[Offices Matched]),0)),"")</f>
        <v/>
      </c>
      <c r="R350" s="50" t="str">
        <f>IFERROR(LEFT(Table1[[#This Row],[Am Law 200 PPP Rank ’16]],FIND(":",Table1[[#This Row],[Am Law 200 PPP Rank ’16]])-1),"")</f>
        <v/>
      </c>
      <c r="S350" s="50" t="str">
        <f>IFERROR(INDEX(VaultRank[Rank],MATCH(Table1[[#This Row],[Employer]],VaultRank[EIW Name],0)),"")</f>
        <v/>
      </c>
      <c r="T350" s="50" t="str">
        <f t="array" ref="T350">IFERROR(INDEX(Table2[Summers Matched],MATCH(1,(Table1[[#This Row],[Employer]]=Table2[EIW Name])*(Table1[[#This Row],[City, State]]=Table2[Offices Matched]),0)),"")</f>
        <v/>
      </c>
      <c r="U350" s="52" t="str">
        <f t="shared" si="5"/>
        <v/>
      </c>
      <c r="V350" s="60"/>
      <c r="W350" s="114">
        <v>42595</v>
      </c>
      <c r="X350"/>
    </row>
    <row r="351" spans="1:24" ht="14.1" customHeight="1">
      <c r="A351" s="45" t="s">
        <v>470</v>
      </c>
      <c r="B351" s="45" t="s">
        <v>477</v>
      </c>
      <c r="C351" s="45" t="s">
        <v>478</v>
      </c>
      <c r="D351" s="45" t="str">
        <f>Table1[[#This Row],[City]]&amp;", "&amp;Table1[[#This Row],[State]]</f>
        <v>Huntington, WV</v>
      </c>
      <c r="E351" s="49">
        <v>146</v>
      </c>
      <c r="F351" s="50">
        <v>1</v>
      </c>
      <c r="G351" s="50" t="str">
        <f t="array" ref="G351">IFERROR(INDEX(Table2[1st Year],MATCH(1,(Table1[[#This Row],[Employer]]=Table2[EIW Name])*(Table1[[#This Row],[City, State]]=Table2[Offices Matched]),0)),"")</f>
        <v/>
      </c>
      <c r="H351" s="50" t="str">
        <f>_xlfn.IFNA(INDEX(saCAGR[CAGR],MATCH(Table1[[#This Row],[Employer]],saCAGR[EIW Name],0)),"")</f>
        <v/>
      </c>
      <c r="I351" s="50" t="str">
        <f>IFERROR(Table1[[#This Row],[SA CAGR]]*Table1[[#This Row],[Number of Summer 2016 2L SAs]],"")</f>
        <v/>
      </c>
      <c r="J351" s="50">
        <v>17</v>
      </c>
      <c r="K351" s="51">
        <f>IFERROR(Table1[[#This Row],[Number of Summer 2016 NYU 2L SAs]]/Table1[[#This Row],[Interview Slots]],0)</f>
        <v>0.11643835616438356</v>
      </c>
      <c r="L351" s="51">
        <f>Table1[[#This Row],[Number of Summer 2016 2L SAs]]/Table1[[#This Row],[Interview Slots]]</f>
        <v>6.8493150684931503E-3</v>
      </c>
      <c r="M351" s="51">
        <f>IFERROR(Table1[[#This Row],[Number of Summer 2016 NYU 2L SAs]]/Table1[[#This Row],[Number of Summer 2016 2L SAs]],0)</f>
        <v>17</v>
      </c>
      <c r="N351" s="50" t="str">
        <f>IFERROR(RIGHT(Table1[[#This Row],[1st year]],LEN(Table1[[#This Row],[1st year]])-FIND(":",Table1[[#This Row],[1st year]])-1),"")</f>
        <v/>
      </c>
      <c r="O351" s="50" t="str">
        <f t="array" ref="O351">IFERROR(INDEX(Table2[Nth year],MATCH(1,(Table1[[#This Row],[Employer]]=Table2[EIW Name])*(Table1[[#This Row],[City, State]]=Table2[Offices Matched]),0)),"")</f>
        <v/>
      </c>
      <c r="P351" s="50" t="str">
        <f>IFERROR(RIGHT(Table1[[#This Row],[Nth year]],LEN(Table1[[#This Row],[Nth year]])-FIND(":",Table1[[#This Row],[Nth year]])-1),"")</f>
        <v/>
      </c>
      <c r="Q351" s="50" t="str">
        <f t="array" ref="Q351">IFERROR(INDEX(Table2[Am Law 200 PPP Rank ’16],MATCH(1,(Table1[[#This Row],[Employer]]=Table2[EIW Name])*(Table1[[#This Row],[City, State]]=Table2[Offices Matched]),0)),"")</f>
        <v/>
      </c>
      <c r="R351" s="50" t="str">
        <f>IFERROR(LEFT(Table1[[#This Row],[Am Law 200 PPP Rank ’16]],FIND(":",Table1[[#This Row],[Am Law 200 PPP Rank ’16]])-1),"")</f>
        <v/>
      </c>
      <c r="S351" s="50" t="str">
        <f>IFERROR(INDEX(VaultRank[Rank],MATCH(Table1[[#This Row],[Employer]],VaultRank[EIW Name],0)),"")</f>
        <v/>
      </c>
      <c r="T351" s="50" t="str">
        <f t="array" ref="T351">IFERROR(INDEX(Table2[Summers Matched],MATCH(1,(Table1[[#This Row],[Employer]]=Table2[EIW Name])*(Table1[[#This Row],[City, State]]=Table2[Offices Matched]),0)),"")</f>
        <v/>
      </c>
      <c r="U351" s="52" t="str">
        <f t="shared" si="5"/>
        <v/>
      </c>
      <c r="V351" s="60"/>
      <c r="W351" s="114">
        <v>42592</v>
      </c>
      <c r="X351"/>
    </row>
    <row r="352" spans="1:24" ht="14.1" customHeight="1">
      <c r="A352" s="45" t="s">
        <v>371</v>
      </c>
      <c r="B352" s="45" t="s">
        <v>364</v>
      </c>
      <c r="C352" s="45" t="s">
        <v>362</v>
      </c>
      <c r="D352" s="45" t="str">
        <f>Table1[[#This Row],[City]]&amp;", "&amp;Table1[[#This Row],[State]]</f>
        <v>New York, NY</v>
      </c>
      <c r="E352" s="49">
        <v>133</v>
      </c>
      <c r="F352" s="50">
        <v>2</v>
      </c>
      <c r="G352" s="50" t="str">
        <f t="array" ref="G352">IFERROR(INDEX(Table2[1st Year],MATCH(1,(Table1[[#This Row],[Employer]]=Table2[EIW Name])*(Table1[[#This Row],[City, State]]=Table2[Offices Matched]),0)),"")</f>
        <v/>
      </c>
      <c r="H352" s="50" t="str">
        <f>_xlfn.IFNA(INDEX(saCAGR[CAGR],MATCH(Table1[[#This Row],[Employer]],saCAGR[EIW Name],0)),"")</f>
        <v/>
      </c>
      <c r="I352" s="50" t="str">
        <f>IFERROR(Table1[[#This Row],[SA CAGR]]*Table1[[#This Row],[Number of Summer 2016 2L SAs]],"")</f>
        <v/>
      </c>
      <c r="J352" s="50">
        <v>22</v>
      </c>
      <c r="K352" s="51">
        <f>IFERROR(Table1[[#This Row],[Number of Summer 2016 NYU 2L SAs]]/Table1[[#This Row],[Interview Slots]],0)</f>
        <v>0.16541353383458646</v>
      </c>
      <c r="L352" s="51">
        <f>Table1[[#This Row],[Number of Summer 2016 2L SAs]]/Table1[[#This Row],[Interview Slots]]</f>
        <v>1.5037593984962405E-2</v>
      </c>
      <c r="M352" s="51">
        <f>IFERROR(Table1[[#This Row],[Number of Summer 2016 NYU 2L SAs]]/Table1[[#This Row],[Number of Summer 2016 2L SAs]],0)</f>
        <v>11</v>
      </c>
      <c r="N352" s="50" t="str">
        <f>IFERROR(RIGHT(Table1[[#This Row],[1st year]],LEN(Table1[[#This Row],[1st year]])-FIND(":",Table1[[#This Row],[1st year]])-1),"")</f>
        <v/>
      </c>
      <c r="O352" s="50" t="str">
        <f t="array" ref="O352">IFERROR(INDEX(Table2[Nth year],MATCH(1,(Table1[[#This Row],[Employer]]=Table2[EIW Name])*(Table1[[#This Row],[City, State]]=Table2[Offices Matched]),0)),"")</f>
        <v/>
      </c>
      <c r="P352" s="50" t="str">
        <f>IFERROR(RIGHT(Table1[[#This Row],[Nth year]],LEN(Table1[[#This Row],[Nth year]])-FIND(":",Table1[[#This Row],[Nth year]])-1),"")</f>
        <v/>
      </c>
      <c r="Q352" s="50" t="str">
        <f t="array" ref="Q352">IFERROR(INDEX(Table2[Am Law 200 PPP Rank ’16],MATCH(1,(Table1[[#This Row],[Employer]]=Table2[EIW Name])*(Table1[[#This Row],[City, State]]=Table2[Offices Matched]),0)),"")</f>
        <v/>
      </c>
      <c r="R352" s="50" t="str">
        <f>IFERROR(LEFT(Table1[[#This Row],[Am Law 200 PPP Rank ’16]],FIND(":",Table1[[#This Row],[Am Law 200 PPP Rank ’16]])-1),"")</f>
        <v/>
      </c>
      <c r="S352" s="50">
        <f>IFERROR(INDEX(VaultRank[Rank],MATCH(Table1[[#This Row],[Employer]],VaultRank[EIW Name],0)),"")</f>
        <v>79</v>
      </c>
      <c r="T352" s="50" t="str">
        <f t="array" ref="T352">IFERROR(INDEX(Table2[Summers Matched],MATCH(1,(Table1[[#This Row],[Employer]]=Table2[EIW Name])*(Table1[[#This Row],[City, State]]=Table2[Offices Matched]),0)),"")</f>
        <v/>
      </c>
      <c r="U352" s="52">
        <f t="shared" si="5"/>
        <v>3.4</v>
      </c>
      <c r="V352" s="60"/>
      <c r="W352" s="114">
        <v>42593</v>
      </c>
      <c r="X352"/>
    </row>
    <row r="353" spans="1:24" ht="14.1" customHeight="1">
      <c r="A353" s="45" t="s">
        <v>504</v>
      </c>
      <c r="B353" s="45" t="s">
        <v>364</v>
      </c>
      <c r="C353" s="45" t="s">
        <v>362</v>
      </c>
      <c r="D353" s="45" t="str">
        <f>Table1[[#This Row],[City]]&amp;", "&amp;Table1[[#This Row],[State]]</f>
        <v>New York, NY</v>
      </c>
      <c r="E353" s="49">
        <v>185</v>
      </c>
      <c r="F353" s="50">
        <v>37</v>
      </c>
      <c r="G353" s="50" t="str">
        <f t="array" ref="G353">IFERROR(INDEX(Table2[1st Year],MATCH(1,(Table1[[#This Row],[Employer]]=Table2[EIW Name])*(Table1[[#This Row],[City, State]]=Table2[Offices Matched]),0)),"")</f>
        <v>1st Year: $180K</v>
      </c>
      <c r="H353" s="51" t="str">
        <f>_xlfn.IFNA(INDEX(saCAGR[CAGR],MATCH(Table1[[#This Row],[Employer]],saCAGR[EIW Name],0)),"")</f>
        <v/>
      </c>
      <c r="I353" s="50" t="str">
        <f>IFERROR(Table1[[#This Row],[SA CAGR]]*Table1[[#This Row],[Number of Summer 2016 2L SAs]],"")</f>
        <v/>
      </c>
      <c r="J353" s="50">
        <v>18</v>
      </c>
      <c r="K353" s="51">
        <f>IFERROR(Table1[[#This Row],[Number of Summer 2016 NYU 2L SAs]]/Table1[[#This Row],[Interview Slots]],0)</f>
        <v>9.7297297297297303E-2</v>
      </c>
      <c r="L353" s="51">
        <f>Table1[[#This Row],[Number of Summer 2016 2L SAs]]/Table1[[#This Row],[Interview Slots]]</f>
        <v>0.2</v>
      </c>
      <c r="M353" s="51">
        <f>IFERROR(Table1[[#This Row],[Number of Summer 2016 NYU 2L SAs]]/Table1[[#This Row],[Number of Summer 2016 2L SAs]],0)</f>
        <v>0.48648648648648651</v>
      </c>
      <c r="N353" s="50" t="str">
        <f>IFERROR(RIGHT(Table1[[#This Row],[1st year]],LEN(Table1[[#This Row],[1st year]])-FIND(":",Table1[[#This Row],[1st year]])-1),"")</f>
        <v>$180K</v>
      </c>
      <c r="O353" s="50" t="str">
        <f t="array" ref="O353">IFERROR(INDEX(Table2[Nth year],MATCH(1,(Table1[[#This Row],[Employer]]=Table2[EIW Name])*(Table1[[#This Row],[City, State]]=Table2[Offices Matched]),0)),"")</f>
        <v>9th Year: $325K</v>
      </c>
      <c r="P353" s="50" t="str">
        <f>IFERROR(RIGHT(Table1[[#This Row],[Nth year]],LEN(Table1[[#This Row],[Nth year]])-FIND(":",Table1[[#This Row],[Nth year]])-1),"")</f>
        <v>$325K</v>
      </c>
      <c r="Q353" s="50" t="str">
        <f t="array" ref="Q353">IFERROR(INDEX(Table2[Am Law 200 PPP Rank ’16],MATCH(1,(Table1[[#This Row],[Employer]]=Table2[EIW Name])*(Table1[[#This Row],[City, State]]=Table2[Offices Matched]),0)),"")</f>
        <v>24: $2.33M</v>
      </c>
      <c r="R353" s="50" t="str">
        <f>IFERROR(LEFT(Table1[[#This Row],[Am Law 200 PPP Rank ’16]],FIND(":",Table1[[#This Row],[Am Law 200 PPP Rank ’16]])-1),"")</f>
        <v>24</v>
      </c>
      <c r="S353" s="50">
        <f>IFERROR(INDEX(VaultRank[Rank],MATCH(Table1[[#This Row],[Employer]],VaultRank[EIW Name],0)),"")</f>
        <v>80</v>
      </c>
      <c r="T353" s="50" t="str">
        <f t="array" ref="T353">IFERROR(INDEX(Table2[Summers Matched],MATCH(1,(Table1[[#This Row],[Employer]]=Table2[EIW Name])*(Table1[[#This Row],[City, State]]=Table2[Offices Matched]),0)),"")</f>
        <v>Yes</v>
      </c>
      <c r="U353" s="52" t="str">
        <f t="shared" si="5"/>
        <v/>
      </c>
      <c r="V353" s="60"/>
      <c r="W353" s="114">
        <v>42593</v>
      </c>
      <c r="X353"/>
    </row>
    <row r="354" spans="1:24" ht="14.1" customHeight="1">
      <c r="A354" s="45" t="s">
        <v>433</v>
      </c>
      <c r="B354" s="45" t="s">
        <v>364</v>
      </c>
      <c r="C354" s="45" t="s">
        <v>362</v>
      </c>
      <c r="D354" s="45" t="str">
        <f>Table1[[#This Row],[City]]&amp;", "&amp;Table1[[#This Row],[State]]</f>
        <v>New York, NY</v>
      </c>
      <c r="E354" s="49">
        <v>57</v>
      </c>
      <c r="F354" s="50">
        <v>5</v>
      </c>
      <c r="G354" s="50" t="str">
        <f t="array" ref="G354">IFERROR(INDEX(Table2[1st Year],MATCH(1,(Table1[[#This Row],[Employer]]=Table2[EIW Name])*(Table1[[#This Row],[City, State]]=Table2[Offices Matched]),0)),"")</f>
        <v/>
      </c>
      <c r="H354" s="50">
        <f>_xlfn.IFNA(INDEX(saCAGR[CAGR],MATCH(Table1[[#This Row],[Employer]],saCAGR[EIW Name],0)),"")</f>
        <v>1.0375331969402122</v>
      </c>
      <c r="I354" s="50">
        <f>IFERROR(Table1[[#This Row],[SA CAGR]]*Table1[[#This Row],[Number of Summer 2016 2L SAs]],"")</f>
        <v>5.1876659847010611</v>
      </c>
      <c r="J354" s="50">
        <v>2</v>
      </c>
      <c r="K354" s="51">
        <f>IFERROR(Table1[[#This Row],[Number of Summer 2016 NYU 2L SAs]]/Table1[[#This Row],[Interview Slots]],0)</f>
        <v>3.5087719298245612E-2</v>
      </c>
      <c r="L354" s="51">
        <f>Table1[[#This Row],[Number of Summer 2016 2L SAs]]/Table1[[#This Row],[Interview Slots]]</f>
        <v>8.771929824561403E-2</v>
      </c>
      <c r="M354" s="51">
        <f>IFERROR(Table1[[#This Row],[Number of Summer 2016 NYU 2L SAs]]/Table1[[#This Row],[Number of Summer 2016 2L SAs]],0)</f>
        <v>0.4</v>
      </c>
      <c r="N354" s="50" t="str">
        <f>IFERROR(RIGHT(Table1[[#This Row],[1st year]],LEN(Table1[[#This Row],[1st year]])-FIND(":",Table1[[#This Row],[1st year]])-1),"")</f>
        <v/>
      </c>
      <c r="O354" s="50" t="str">
        <f t="array" ref="O354">IFERROR(INDEX(Table2[Nth year],MATCH(1,(Table1[[#This Row],[Employer]]=Table2[EIW Name])*(Table1[[#This Row],[City, State]]=Table2[Offices Matched]),0)),"")</f>
        <v/>
      </c>
      <c r="P354" s="50" t="str">
        <f>IFERROR(RIGHT(Table1[[#This Row],[Nth year]],LEN(Table1[[#This Row],[Nth year]])-FIND(":",Table1[[#This Row],[Nth year]])-1),"")</f>
        <v/>
      </c>
      <c r="Q354" s="50" t="str">
        <f t="array" ref="Q354">IFERROR(INDEX(Table2[Am Law 200 PPP Rank ’16],MATCH(1,(Table1[[#This Row],[Employer]]=Table2[EIW Name])*(Table1[[#This Row],[City, State]]=Table2[Offices Matched]),0)),"")</f>
        <v/>
      </c>
      <c r="R354" s="50" t="str">
        <f>IFERROR(LEFT(Table1[[#This Row],[Am Law 200 PPP Rank ’16]],FIND(":",Table1[[#This Row],[Am Law 200 PPP Rank ’16]])-1),"")</f>
        <v/>
      </c>
      <c r="S354" s="50">
        <f>IFERROR(INDEX(VaultRank[Rank],MATCH(Table1[[#This Row],[Employer]],VaultRank[EIW Name],0)),"")</f>
        <v>82</v>
      </c>
      <c r="T354" s="50" t="str">
        <f t="array" ref="T354">IFERROR(INDEX(Table2[Summers Matched],MATCH(1,(Table1[[#This Row],[Employer]]=Table2[EIW Name])*(Table1[[#This Row],[City, State]]=Table2[Offices Matched]),0)),"")</f>
        <v/>
      </c>
      <c r="U354" s="52" t="str">
        <f t="shared" si="5"/>
        <v/>
      </c>
      <c r="V354" s="60"/>
      <c r="W354" s="114">
        <v>42593</v>
      </c>
      <c r="X354"/>
    </row>
    <row r="355" spans="1:24" ht="14.1" customHeight="1">
      <c r="A355" s="45" t="s">
        <v>479</v>
      </c>
      <c r="B355" s="45" t="s">
        <v>299</v>
      </c>
      <c r="C355" s="45" t="s">
        <v>300</v>
      </c>
      <c r="D355" s="45" t="str">
        <f>Table1[[#This Row],[City]]&amp;", "&amp;Table1[[#This Row],[State]]</f>
        <v>Los Angeles, CA</v>
      </c>
      <c r="E355" s="49">
        <v>93</v>
      </c>
      <c r="F355" s="50">
        <v>4</v>
      </c>
      <c r="G355" s="50" t="str">
        <f t="array" ref="G355">IFERROR(INDEX(Table2[1st Year],MATCH(1,(Table1[[#This Row],[Employer]]=Table2[EIW Name])*(Table1[[#This Row],[City, State]]=Table2[Offices Matched]),0)),"")</f>
        <v/>
      </c>
      <c r="H355" s="50" t="str">
        <f>_xlfn.IFNA(INDEX(saCAGR[CAGR],MATCH(Table1[[#This Row],[Employer]],saCAGR[EIW Name],0)),"")</f>
        <v/>
      </c>
      <c r="I355" s="50" t="str">
        <f>IFERROR(Table1[[#This Row],[SA CAGR]]*Table1[[#This Row],[Number of Summer 2016 2L SAs]],"")</f>
        <v/>
      </c>
      <c r="J355" s="50">
        <v>17</v>
      </c>
      <c r="K355" s="51">
        <f>IFERROR(Table1[[#This Row],[Number of Summer 2016 NYU 2L SAs]]/Table1[[#This Row],[Interview Slots]],0)</f>
        <v>0.18279569892473119</v>
      </c>
      <c r="L355" s="51">
        <f>Table1[[#This Row],[Number of Summer 2016 2L SAs]]/Table1[[#This Row],[Interview Slots]]</f>
        <v>4.3010752688172046E-2</v>
      </c>
      <c r="M355" s="51">
        <f>IFERROR(Table1[[#This Row],[Number of Summer 2016 NYU 2L SAs]]/Table1[[#This Row],[Number of Summer 2016 2L SAs]],0)</f>
        <v>4.25</v>
      </c>
      <c r="N355" s="50" t="str">
        <f>IFERROR(RIGHT(Table1[[#This Row],[1st year]],LEN(Table1[[#This Row],[1st year]])-FIND(":",Table1[[#This Row],[1st year]])-1),"")</f>
        <v/>
      </c>
      <c r="O355" s="50" t="str">
        <f t="array" ref="O355">IFERROR(INDEX(Table2[Nth year],MATCH(1,(Table1[[#This Row],[Employer]]=Table2[EIW Name])*(Table1[[#This Row],[City, State]]=Table2[Offices Matched]),0)),"")</f>
        <v/>
      </c>
      <c r="P355" s="50" t="str">
        <f>IFERROR(RIGHT(Table1[[#This Row],[Nth year]],LEN(Table1[[#This Row],[Nth year]])-FIND(":",Table1[[#This Row],[Nth year]])-1),"")</f>
        <v/>
      </c>
      <c r="Q355" s="50" t="str">
        <f t="array" ref="Q355">IFERROR(INDEX(Table2[Am Law 200 PPP Rank ’16],MATCH(1,(Table1[[#This Row],[Employer]]=Table2[EIW Name])*(Table1[[#This Row],[City, State]]=Table2[Offices Matched]),0)),"")</f>
        <v/>
      </c>
      <c r="R355" s="50" t="str">
        <f>IFERROR(LEFT(Table1[[#This Row],[Am Law 200 PPP Rank ’16]],FIND(":",Table1[[#This Row],[Am Law 200 PPP Rank ’16]])-1),"")</f>
        <v/>
      </c>
      <c r="S355" s="50">
        <f>IFERROR(INDEX(VaultRank[Rank],MATCH(Table1[[#This Row],[Employer]],VaultRank[EIW Name],0)),"")</f>
        <v>73</v>
      </c>
      <c r="T355" s="50" t="str">
        <f t="array" ref="T355">IFERROR(INDEX(Table2[Summers Matched],MATCH(1,(Table1[[#This Row],[Employer]]=Table2[EIW Name])*(Table1[[#This Row],[City, State]]=Table2[Offices Matched]),0)),"")</f>
        <v/>
      </c>
      <c r="U355" s="52" t="str">
        <f t="shared" si="5"/>
        <v/>
      </c>
      <c r="V355" s="60"/>
      <c r="W355" s="114">
        <v>42594</v>
      </c>
      <c r="X355"/>
    </row>
    <row r="356" spans="1:24" ht="14.1" customHeight="1">
      <c r="A356" s="45" t="s">
        <v>479</v>
      </c>
      <c r="B356" s="45" t="s">
        <v>301</v>
      </c>
      <c r="C356" s="45" t="s">
        <v>302</v>
      </c>
      <c r="D356" s="45" t="str">
        <f>Table1[[#This Row],[City]]&amp;", "&amp;Table1[[#This Row],[State]]</f>
        <v>Washington, DC</v>
      </c>
      <c r="E356" s="49">
        <v>197</v>
      </c>
      <c r="F356" s="50">
        <v>3</v>
      </c>
      <c r="G356" s="50" t="str">
        <f t="array" ref="G356">IFERROR(INDEX(Table2[1st Year],MATCH(1,(Table1[[#This Row],[Employer]]=Table2[EIW Name])*(Table1[[#This Row],[City, State]]=Table2[Offices Matched]),0)),"")</f>
        <v/>
      </c>
      <c r="H356" s="50" t="str">
        <f>_xlfn.IFNA(INDEX(saCAGR[CAGR],MATCH(Table1[[#This Row],[Employer]],saCAGR[EIW Name],0)),"")</f>
        <v/>
      </c>
      <c r="I356" s="50" t="str">
        <f>IFERROR(Table1[[#This Row],[SA CAGR]]*Table1[[#This Row],[Number of Summer 2016 2L SAs]],"")</f>
        <v/>
      </c>
      <c r="J356" s="50">
        <v>19</v>
      </c>
      <c r="K356" s="51">
        <f>IFERROR(Table1[[#This Row],[Number of Summer 2016 NYU 2L SAs]]/Table1[[#This Row],[Interview Slots]],0)</f>
        <v>9.6446700507614211E-2</v>
      </c>
      <c r="L356" s="51">
        <f>Table1[[#This Row],[Number of Summer 2016 2L SAs]]/Table1[[#This Row],[Interview Slots]]</f>
        <v>1.5228426395939087E-2</v>
      </c>
      <c r="M356" s="51">
        <f>IFERROR(Table1[[#This Row],[Number of Summer 2016 NYU 2L SAs]]/Table1[[#This Row],[Number of Summer 2016 2L SAs]],0)</f>
        <v>6.333333333333333</v>
      </c>
      <c r="N356" s="50" t="str">
        <f>IFERROR(RIGHT(Table1[[#This Row],[1st year]],LEN(Table1[[#This Row],[1st year]])-FIND(":",Table1[[#This Row],[1st year]])-1),"")</f>
        <v/>
      </c>
      <c r="O356" s="50" t="str">
        <f t="array" ref="O356">IFERROR(INDEX(Table2[Nth year],MATCH(1,(Table1[[#This Row],[Employer]]=Table2[EIW Name])*(Table1[[#This Row],[City, State]]=Table2[Offices Matched]),0)),"")</f>
        <v/>
      </c>
      <c r="P356" s="50" t="str">
        <f>IFERROR(RIGHT(Table1[[#This Row],[Nth year]],LEN(Table1[[#This Row],[Nth year]])-FIND(":",Table1[[#This Row],[Nth year]])-1),"")</f>
        <v/>
      </c>
      <c r="Q356" s="50" t="str">
        <f t="array" ref="Q356">IFERROR(INDEX(Table2[Am Law 200 PPP Rank ’16],MATCH(1,(Table1[[#This Row],[Employer]]=Table2[EIW Name])*(Table1[[#This Row],[City, State]]=Table2[Offices Matched]),0)),"")</f>
        <v/>
      </c>
      <c r="R356" s="50" t="str">
        <f>IFERROR(LEFT(Table1[[#This Row],[Am Law 200 PPP Rank ’16]],FIND(":",Table1[[#This Row],[Am Law 200 PPP Rank ’16]])-1),"")</f>
        <v/>
      </c>
      <c r="S356" s="50">
        <f>IFERROR(INDEX(VaultRank[Rank],MATCH(Table1[[#This Row],[Employer]],VaultRank[EIW Name],0)),"")</f>
        <v>73</v>
      </c>
      <c r="T356" s="50" t="str">
        <f t="array" ref="T356">IFERROR(INDEX(Table2[Summers Matched],MATCH(1,(Table1[[#This Row],[Employer]]=Table2[EIW Name])*(Table1[[#This Row],[City, State]]=Table2[Offices Matched]),0)),"")</f>
        <v/>
      </c>
      <c r="U356" s="52" t="str">
        <f t="shared" si="5"/>
        <v/>
      </c>
      <c r="V356" s="60"/>
      <c r="W356" s="114">
        <v>42594</v>
      </c>
      <c r="X356"/>
    </row>
    <row r="357" spans="1:24" ht="14.1" customHeight="1">
      <c r="A357" s="45" t="s">
        <v>479</v>
      </c>
      <c r="B357" s="45" t="s">
        <v>338</v>
      </c>
      <c r="C357" s="45" t="s">
        <v>314</v>
      </c>
      <c r="D357" s="45" t="str">
        <f>Table1[[#This Row],[City]]&amp;", "&amp;Table1[[#This Row],[State]]</f>
        <v>Austin, TX</v>
      </c>
      <c r="E357" s="49">
        <v>9</v>
      </c>
      <c r="F357" s="50">
        <v>6</v>
      </c>
      <c r="G357" s="50" t="str">
        <f t="array" ref="G357">IFERROR(INDEX(Table2[1st Year],MATCH(1,(Table1[[#This Row],[Employer]]=Table2[EIW Name])*(Table1[[#This Row],[City, State]]=Table2[Offices Matched]),0)),"")</f>
        <v/>
      </c>
      <c r="H357" s="50" t="str">
        <f>_xlfn.IFNA(INDEX(saCAGR[CAGR],MATCH(Table1[[#This Row],[Employer]],saCAGR[EIW Name],0)),"")</f>
        <v/>
      </c>
      <c r="I357" s="50" t="str">
        <f>IFERROR(Table1[[#This Row],[SA CAGR]]*Table1[[#This Row],[Number of Summer 2016 2L SAs]],"")</f>
        <v/>
      </c>
      <c r="J357" s="50">
        <v>6</v>
      </c>
      <c r="K357" s="51">
        <f>IFERROR(Table1[[#This Row],[Number of Summer 2016 NYU 2L SAs]]/Table1[[#This Row],[Interview Slots]],0)</f>
        <v>0.66666666666666663</v>
      </c>
      <c r="L357" s="51">
        <f>Table1[[#This Row],[Number of Summer 2016 2L SAs]]/Table1[[#This Row],[Interview Slots]]</f>
        <v>0.66666666666666663</v>
      </c>
      <c r="M357" s="51">
        <f>IFERROR(Table1[[#This Row],[Number of Summer 2016 NYU 2L SAs]]/Table1[[#This Row],[Number of Summer 2016 2L SAs]],0)</f>
        <v>1</v>
      </c>
      <c r="N357" s="50" t="str">
        <f>IFERROR(RIGHT(Table1[[#This Row],[1st year]],LEN(Table1[[#This Row],[1st year]])-FIND(":",Table1[[#This Row],[1st year]])-1),"")</f>
        <v/>
      </c>
      <c r="O357" s="50" t="str">
        <f t="array" ref="O357">IFERROR(INDEX(Table2[Nth year],MATCH(1,(Table1[[#This Row],[Employer]]=Table2[EIW Name])*(Table1[[#This Row],[City, State]]=Table2[Offices Matched]),0)),"")</f>
        <v/>
      </c>
      <c r="P357" s="50" t="str">
        <f>IFERROR(RIGHT(Table1[[#This Row],[Nth year]],LEN(Table1[[#This Row],[Nth year]])-FIND(":",Table1[[#This Row],[Nth year]])-1),"")</f>
        <v/>
      </c>
      <c r="Q357" s="50" t="str">
        <f t="array" ref="Q357">IFERROR(INDEX(Table2[Am Law 200 PPP Rank ’16],MATCH(1,(Table1[[#This Row],[Employer]]=Table2[EIW Name])*(Table1[[#This Row],[City, State]]=Table2[Offices Matched]),0)),"")</f>
        <v/>
      </c>
      <c r="R357" s="50" t="str">
        <f>IFERROR(LEFT(Table1[[#This Row],[Am Law 200 PPP Rank ’16]],FIND(":",Table1[[#This Row],[Am Law 200 PPP Rank ’16]])-1),"")</f>
        <v/>
      </c>
      <c r="S357" s="50">
        <f>IFERROR(INDEX(VaultRank[Rank],MATCH(Table1[[#This Row],[Employer]],VaultRank[EIW Name],0)),"")</f>
        <v>73</v>
      </c>
      <c r="T357" s="50" t="str">
        <f t="array" ref="T357">IFERROR(INDEX(Table2[Summers Matched],MATCH(1,(Table1[[#This Row],[Employer]]=Table2[EIW Name])*(Table1[[#This Row],[City, State]]=Table2[Offices Matched]),0)),"")</f>
        <v/>
      </c>
      <c r="U357" s="52" t="str">
        <f t="shared" si="5"/>
        <v/>
      </c>
      <c r="V357" s="60"/>
      <c r="W357" s="114">
        <v>42593</v>
      </c>
      <c r="X357"/>
    </row>
    <row r="358" spans="1:24" ht="14.1" customHeight="1">
      <c r="A358" s="45" t="s">
        <v>479</v>
      </c>
      <c r="B358" s="45" t="s">
        <v>313</v>
      </c>
      <c r="C358" s="45" t="s">
        <v>314</v>
      </c>
      <c r="D358" s="45" t="str">
        <f>Table1[[#This Row],[City]]&amp;", "&amp;Table1[[#This Row],[State]]</f>
        <v>Dallas, TX</v>
      </c>
      <c r="E358" s="49">
        <v>110</v>
      </c>
      <c r="F358" s="50">
        <v>10</v>
      </c>
      <c r="G358" s="50" t="str">
        <f t="array" ref="G358">IFERROR(INDEX(Table2[1st Year],MATCH(1,(Table1[[#This Row],[Employer]]=Table2[EIW Name])*(Table1[[#This Row],[City, State]]=Table2[Offices Matched]),0)),"")</f>
        <v/>
      </c>
      <c r="H358" s="50" t="str">
        <f>_xlfn.IFNA(INDEX(saCAGR[CAGR],MATCH(Table1[[#This Row],[Employer]],saCAGR[EIW Name],0)),"")</f>
        <v/>
      </c>
      <c r="I358" s="50" t="str">
        <f>IFERROR(Table1[[#This Row],[SA CAGR]]*Table1[[#This Row],[Number of Summer 2016 2L SAs]],"")</f>
        <v/>
      </c>
      <c r="J358" s="50">
        <v>0</v>
      </c>
      <c r="K358" s="51">
        <f>IFERROR(Table1[[#This Row],[Number of Summer 2016 NYU 2L SAs]]/Table1[[#This Row],[Interview Slots]],0)</f>
        <v>0</v>
      </c>
      <c r="L358" s="51">
        <f>Table1[[#This Row],[Number of Summer 2016 2L SAs]]/Table1[[#This Row],[Interview Slots]]</f>
        <v>9.0909090909090912E-2</v>
      </c>
      <c r="M358" s="51">
        <f>IFERROR(Table1[[#This Row],[Number of Summer 2016 NYU 2L SAs]]/Table1[[#This Row],[Number of Summer 2016 2L SAs]],0)</f>
        <v>0</v>
      </c>
      <c r="N358" s="50" t="str">
        <f>IFERROR(RIGHT(Table1[[#This Row],[1st year]],LEN(Table1[[#This Row],[1st year]])-FIND(":",Table1[[#This Row],[1st year]])-1),"")</f>
        <v/>
      </c>
      <c r="O358" s="50" t="str">
        <f t="array" ref="O358">IFERROR(INDEX(Table2[Nth year],MATCH(1,(Table1[[#This Row],[Employer]]=Table2[EIW Name])*(Table1[[#This Row],[City, State]]=Table2[Offices Matched]),0)),"")</f>
        <v/>
      </c>
      <c r="P358" s="50" t="str">
        <f>IFERROR(RIGHT(Table1[[#This Row],[Nth year]],LEN(Table1[[#This Row],[Nth year]])-FIND(":",Table1[[#This Row],[Nth year]])-1),"")</f>
        <v/>
      </c>
      <c r="Q358" s="50" t="str">
        <f t="array" ref="Q358">IFERROR(INDEX(Table2[Am Law 200 PPP Rank ’16],MATCH(1,(Table1[[#This Row],[Employer]]=Table2[EIW Name])*(Table1[[#This Row],[City, State]]=Table2[Offices Matched]),0)),"")</f>
        <v/>
      </c>
      <c r="R358" s="50" t="str">
        <f>IFERROR(LEFT(Table1[[#This Row],[Am Law 200 PPP Rank ’16]],FIND(":",Table1[[#This Row],[Am Law 200 PPP Rank ’16]])-1),"")</f>
        <v/>
      </c>
      <c r="S358" s="50">
        <f>IFERROR(INDEX(VaultRank[Rank],MATCH(Table1[[#This Row],[Employer]],VaultRank[EIW Name],0)),"")</f>
        <v>73</v>
      </c>
      <c r="T358" s="50" t="str">
        <f t="array" ref="T358">IFERROR(INDEX(Table2[Summers Matched],MATCH(1,(Table1[[#This Row],[Employer]]=Table2[EIW Name])*(Table1[[#This Row],[City, State]]=Table2[Offices Matched]),0)),"")</f>
        <v/>
      </c>
      <c r="U358" s="52" t="str">
        <f t="shared" si="5"/>
        <v/>
      </c>
      <c r="V358" s="60"/>
      <c r="W358" s="114">
        <v>42595</v>
      </c>
      <c r="X358"/>
    </row>
    <row r="359" spans="1:24" ht="14.1" customHeight="1">
      <c r="A359" s="45" t="s">
        <v>479</v>
      </c>
      <c r="B359" s="45" t="s">
        <v>331</v>
      </c>
      <c r="C359" s="45" t="s">
        <v>314</v>
      </c>
      <c r="D359" s="45" t="str">
        <f>Table1[[#This Row],[City]]&amp;", "&amp;Table1[[#This Row],[State]]</f>
        <v>Houston, TX</v>
      </c>
      <c r="E359" s="49">
        <v>3</v>
      </c>
      <c r="F359" s="50">
        <v>19</v>
      </c>
      <c r="G359" s="50" t="str">
        <f t="array" ref="G359">IFERROR(INDEX(Table2[1st Year],MATCH(1,(Table1[[#This Row],[Employer]]=Table2[EIW Name])*(Table1[[#This Row],[City, State]]=Table2[Offices Matched]),0)),"")</f>
        <v/>
      </c>
      <c r="H359" s="50" t="str">
        <f>_xlfn.IFNA(INDEX(saCAGR[CAGR],MATCH(Table1[[#This Row],[Employer]],saCAGR[EIW Name],0)),"")</f>
        <v/>
      </c>
      <c r="I359" s="50" t="str">
        <f>IFERROR(Table1[[#This Row],[SA CAGR]]*Table1[[#This Row],[Number of Summer 2016 2L SAs]],"")</f>
        <v/>
      </c>
      <c r="J359" s="50">
        <v>23</v>
      </c>
      <c r="K359" s="51">
        <f>IFERROR(Table1[[#This Row],[Number of Summer 2016 NYU 2L SAs]]/Table1[[#This Row],[Interview Slots]],0)</f>
        <v>7.666666666666667</v>
      </c>
      <c r="L359" s="51">
        <f>Table1[[#This Row],[Number of Summer 2016 2L SAs]]/Table1[[#This Row],[Interview Slots]]</f>
        <v>6.333333333333333</v>
      </c>
      <c r="M359" s="51">
        <f>IFERROR(Table1[[#This Row],[Number of Summer 2016 NYU 2L SAs]]/Table1[[#This Row],[Number of Summer 2016 2L SAs]],0)</f>
        <v>1.2105263157894737</v>
      </c>
      <c r="N359" s="50" t="str">
        <f>IFERROR(RIGHT(Table1[[#This Row],[1st year]],LEN(Table1[[#This Row],[1st year]])-FIND(":",Table1[[#This Row],[1st year]])-1),"")</f>
        <v/>
      </c>
      <c r="O359" s="50" t="str">
        <f t="array" ref="O359">IFERROR(INDEX(Table2[Nth year],MATCH(1,(Table1[[#This Row],[Employer]]=Table2[EIW Name])*(Table1[[#This Row],[City, State]]=Table2[Offices Matched]),0)),"")</f>
        <v/>
      </c>
      <c r="P359" s="50" t="str">
        <f>IFERROR(RIGHT(Table1[[#This Row],[Nth year]],LEN(Table1[[#This Row],[Nth year]])-FIND(":",Table1[[#This Row],[Nth year]])-1),"")</f>
        <v/>
      </c>
      <c r="Q359" s="50" t="str">
        <f t="array" ref="Q359">IFERROR(INDEX(Table2[Am Law 200 PPP Rank ’16],MATCH(1,(Table1[[#This Row],[Employer]]=Table2[EIW Name])*(Table1[[#This Row],[City, State]]=Table2[Offices Matched]),0)),"")</f>
        <v/>
      </c>
      <c r="R359" s="50" t="str">
        <f>IFERROR(LEFT(Table1[[#This Row],[Am Law 200 PPP Rank ’16]],FIND(":",Table1[[#This Row],[Am Law 200 PPP Rank ’16]])-1),"")</f>
        <v/>
      </c>
      <c r="S359" s="50">
        <f>IFERROR(INDEX(VaultRank[Rank],MATCH(Table1[[#This Row],[Employer]],VaultRank[EIW Name],0)),"")</f>
        <v>73</v>
      </c>
      <c r="T359" s="50" t="str">
        <f t="array" ref="T359">IFERROR(INDEX(Table2[Summers Matched],MATCH(1,(Table1[[#This Row],[Employer]]=Table2[EIW Name])*(Table1[[#This Row],[City, State]]=Table2[Offices Matched]),0)),"")</f>
        <v/>
      </c>
      <c r="U359" s="52" t="str">
        <f t="shared" si="5"/>
        <v/>
      </c>
      <c r="V359" s="60"/>
      <c r="W359" s="114">
        <v>42592</v>
      </c>
      <c r="X359"/>
    </row>
    <row r="360" spans="1:24" ht="14.1" customHeight="1">
      <c r="A360" s="45" t="s">
        <v>479</v>
      </c>
      <c r="B360" s="45" t="s">
        <v>481</v>
      </c>
      <c r="C360" s="45" t="s">
        <v>314</v>
      </c>
      <c r="D360" s="45" t="str">
        <f>Table1[[#This Row],[City]]&amp;", "&amp;Table1[[#This Row],[State]]</f>
        <v>San Antonio, TX</v>
      </c>
      <c r="E360" s="49">
        <v>81</v>
      </c>
      <c r="F360" s="50">
        <v>3</v>
      </c>
      <c r="G360" s="50" t="str">
        <f t="array" ref="G360">IFERROR(INDEX(Table2[1st Year],MATCH(1,(Table1[[#This Row],[Employer]]=Table2[EIW Name])*(Table1[[#This Row],[City, State]]=Table2[Offices Matched]),0)),"")</f>
        <v/>
      </c>
      <c r="H360" s="50" t="str">
        <f>_xlfn.IFNA(INDEX(saCAGR[CAGR],MATCH(Table1[[#This Row],[Employer]],saCAGR[EIW Name],0)),"")</f>
        <v/>
      </c>
      <c r="I360" s="50" t="str">
        <f>IFERROR(Table1[[#This Row],[SA CAGR]]*Table1[[#This Row],[Number of Summer 2016 2L SAs]],"")</f>
        <v/>
      </c>
      <c r="J360" s="50">
        <v>16</v>
      </c>
      <c r="K360" s="51">
        <f>IFERROR(Table1[[#This Row],[Number of Summer 2016 NYU 2L SAs]]/Table1[[#This Row],[Interview Slots]],0)</f>
        <v>0.19753086419753085</v>
      </c>
      <c r="L360" s="51">
        <f>Table1[[#This Row],[Number of Summer 2016 2L SAs]]/Table1[[#This Row],[Interview Slots]]</f>
        <v>3.7037037037037035E-2</v>
      </c>
      <c r="M360" s="51">
        <f>IFERROR(Table1[[#This Row],[Number of Summer 2016 NYU 2L SAs]]/Table1[[#This Row],[Number of Summer 2016 2L SAs]],0)</f>
        <v>5.333333333333333</v>
      </c>
      <c r="N360" s="50" t="str">
        <f>IFERROR(RIGHT(Table1[[#This Row],[1st year]],LEN(Table1[[#This Row],[1st year]])-FIND(":",Table1[[#This Row],[1st year]])-1),"")</f>
        <v/>
      </c>
      <c r="O360" s="50" t="str">
        <f t="array" ref="O360">IFERROR(INDEX(Table2[Nth year],MATCH(1,(Table1[[#This Row],[Employer]]=Table2[EIW Name])*(Table1[[#This Row],[City, State]]=Table2[Offices Matched]),0)),"")</f>
        <v/>
      </c>
      <c r="P360" s="50" t="str">
        <f>IFERROR(RIGHT(Table1[[#This Row],[Nth year]],LEN(Table1[[#This Row],[Nth year]])-FIND(":",Table1[[#This Row],[Nth year]])-1),"")</f>
        <v/>
      </c>
      <c r="Q360" s="50" t="str">
        <f t="array" ref="Q360">IFERROR(INDEX(Table2[Am Law 200 PPP Rank ’16],MATCH(1,(Table1[[#This Row],[Employer]]=Table2[EIW Name])*(Table1[[#This Row],[City, State]]=Table2[Offices Matched]),0)),"")</f>
        <v/>
      </c>
      <c r="R360" s="50" t="str">
        <f>IFERROR(LEFT(Table1[[#This Row],[Am Law 200 PPP Rank ’16]],FIND(":",Table1[[#This Row],[Am Law 200 PPP Rank ’16]])-1),"")</f>
        <v/>
      </c>
      <c r="S360" s="50">
        <f>IFERROR(INDEX(VaultRank[Rank],MATCH(Table1[[#This Row],[Employer]],VaultRank[EIW Name],0)),"")</f>
        <v>73</v>
      </c>
      <c r="T360" s="50" t="str">
        <f t="array" ref="T360">IFERROR(INDEX(Table2[Summers Matched],MATCH(1,(Table1[[#This Row],[Employer]]=Table2[EIW Name])*(Table1[[#This Row],[City, State]]=Table2[Offices Matched]),0)),"")</f>
        <v/>
      </c>
      <c r="U360" s="52" t="str">
        <f t="shared" si="5"/>
        <v/>
      </c>
      <c r="V360" s="60"/>
      <c r="W360" s="114">
        <v>42593</v>
      </c>
      <c r="X360"/>
    </row>
    <row r="361" spans="1:24" ht="14.1" customHeight="1">
      <c r="A361" s="61" t="s">
        <v>482</v>
      </c>
      <c r="B361" s="61" t="s">
        <v>367</v>
      </c>
      <c r="C361" s="61" t="s">
        <v>368</v>
      </c>
      <c r="D361" s="61" t="str">
        <f>Table1[[#This Row],[City]]&amp;", "&amp;Table1[[#This Row],[State]]</f>
        <v>Boston, MA</v>
      </c>
      <c r="E361" s="63">
        <v>86</v>
      </c>
      <c r="F361" s="50">
        <v>4</v>
      </c>
      <c r="G361" s="50" t="str">
        <f t="array" ref="G361">IFERROR(INDEX(Table2[1st Year],MATCH(1,(Table1[[#This Row],[Employer]]=Table2[EIW Name])*(Table1[[#This Row],[City, State]]=Table2[Offices Matched]),0)),"")</f>
        <v/>
      </c>
      <c r="H361" s="50">
        <f>_xlfn.IFNA(INDEX(saCAGR[CAGR],MATCH(Table1[[#This Row],[Employer]],saCAGR[EIW Name],0)),"")</f>
        <v>1.0028587205899626</v>
      </c>
      <c r="I361" s="50">
        <f>IFERROR(Table1[[#This Row],[SA CAGR]]*Table1[[#This Row],[Number of Summer 2016 2L SAs]],"")</f>
        <v>4.0114348823598505</v>
      </c>
      <c r="J361" s="50">
        <v>15</v>
      </c>
      <c r="K361" s="51">
        <f>IFERROR(Table1[[#This Row],[Number of Summer 2016 NYU 2L SAs]]/Table1[[#This Row],[Interview Slots]],0)</f>
        <v>0.1744186046511628</v>
      </c>
      <c r="L361" s="51">
        <f>Table1[[#This Row],[Number of Summer 2016 2L SAs]]/Table1[[#This Row],[Interview Slots]]</f>
        <v>4.6511627906976744E-2</v>
      </c>
      <c r="M361" s="51">
        <f>IFERROR(Table1[[#This Row],[Number of Summer 2016 NYU 2L SAs]]/Table1[[#This Row],[Number of Summer 2016 2L SAs]],0)</f>
        <v>3.75</v>
      </c>
      <c r="N361" s="50" t="str">
        <f>IFERROR(RIGHT(Table1[[#This Row],[1st year]],LEN(Table1[[#This Row],[1st year]])-FIND(":",Table1[[#This Row],[1st year]])-1),"")</f>
        <v/>
      </c>
      <c r="O361" s="50" t="str">
        <f t="array" ref="O361">IFERROR(INDEX(Table2[Nth year],MATCH(1,(Table1[[#This Row],[Employer]]=Table2[EIW Name])*(Table1[[#This Row],[City, State]]=Table2[Offices Matched]),0)),"")</f>
        <v/>
      </c>
      <c r="P361" s="50" t="str">
        <f>IFERROR(RIGHT(Table1[[#This Row],[Nth year]],LEN(Table1[[#This Row],[Nth year]])-FIND(":",Table1[[#This Row],[Nth year]])-1),"")</f>
        <v/>
      </c>
      <c r="Q361" s="50" t="str">
        <f t="array" ref="Q361">IFERROR(INDEX(Table2[Am Law 200 PPP Rank ’16],MATCH(1,(Table1[[#This Row],[Employer]]=Table2[EIW Name])*(Table1[[#This Row],[City, State]]=Table2[Offices Matched]),0)),"")</f>
        <v/>
      </c>
      <c r="R361" s="50" t="str">
        <f>IFERROR(LEFT(Table1[[#This Row],[Am Law 200 PPP Rank ’16]],FIND(":",Table1[[#This Row],[Am Law 200 PPP Rank ’16]])-1),"")</f>
        <v/>
      </c>
      <c r="S361" s="50" t="str">
        <f>IFERROR(INDEX(VaultRank[Rank],MATCH(Table1[[#This Row],[Employer]],VaultRank[EIW Name],0)),"")</f>
        <v/>
      </c>
      <c r="T361" s="50" t="str">
        <f t="array" ref="T361">IFERROR(INDEX(Table2[Summers Matched],MATCH(1,(Table1[[#This Row],[Employer]]=Table2[EIW Name])*(Table1[[#This Row],[City, State]]=Table2[Offices Matched]),0)),"")</f>
        <v/>
      </c>
      <c r="U361" s="52" t="str">
        <f t="shared" si="5"/>
        <v/>
      </c>
      <c r="V361" s="60" t="s">
        <v>744</v>
      </c>
      <c r="W361" s="114">
        <v>42595</v>
      </c>
      <c r="X361"/>
    </row>
    <row r="362" spans="1:24" ht="14.1" customHeight="1">
      <c r="A362" s="45" t="s">
        <v>506</v>
      </c>
      <c r="B362" s="45" t="s">
        <v>364</v>
      </c>
      <c r="C362" s="45" t="s">
        <v>362</v>
      </c>
      <c r="D362" s="45" t="str">
        <f>Table1[[#This Row],[City]]&amp;", "&amp;Table1[[#This Row],[State]]</f>
        <v>New York, NY</v>
      </c>
      <c r="E362" s="49">
        <v>86</v>
      </c>
      <c r="F362" s="50">
        <v>2</v>
      </c>
      <c r="G362" s="50" t="str">
        <f t="array" ref="G362">IFERROR(INDEX(Table2[1st Year],MATCH(1,(Table1[[#This Row],[Employer]]=Table2[EIW Name])*(Table1[[#This Row],[City, State]]=Table2[Offices Matched]),0)),"")</f>
        <v>1st Year: $180K</v>
      </c>
      <c r="H362" s="50">
        <f>_xlfn.IFNA(INDEX(saCAGR[CAGR],MATCH(Table1[[#This Row],[Employer]],saCAGR[EIW Name],0)),"")</f>
        <v>1.0050095364731035</v>
      </c>
      <c r="I362" s="50">
        <f>IFERROR(Table1[[#This Row],[SA CAGR]]*Table1[[#This Row],[Number of Summer 2016 2L SAs]],"")</f>
        <v>2.0100190729462071</v>
      </c>
      <c r="J362" s="50">
        <v>24</v>
      </c>
      <c r="K362" s="51">
        <f>IFERROR(Table1[[#This Row],[Number of Summer 2016 NYU 2L SAs]]/Table1[[#This Row],[Interview Slots]],0)</f>
        <v>0.27906976744186046</v>
      </c>
      <c r="L362" s="51">
        <f>Table1[[#This Row],[Number of Summer 2016 2L SAs]]/Table1[[#This Row],[Interview Slots]]</f>
        <v>2.3255813953488372E-2</v>
      </c>
      <c r="M362" s="51">
        <f>IFERROR(Table1[[#This Row],[Number of Summer 2016 NYU 2L SAs]]/Table1[[#This Row],[Number of Summer 2016 2L SAs]],0)</f>
        <v>12</v>
      </c>
      <c r="N362" s="50" t="str">
        <f>IFERROR(RIGHT(Table1[[#This Row],[1st year]],LEN(Table1[[#This Row],[1st year]])-FIND(":",Table1[[#This Row],[1st year]])-1),"")</f>
        <v>$180K</v>
      </c>
      <c r="O362" s="50" t="str">
        <f t="array" ref="O362">IFERROR(INDEX(Table2[Nth year],MATCH(1,(Table1[[#This Row],[Employer]]=Table2[EIW Name])*(Table1[[#This Row],[City, State]]=Table2[Offices Matched]),0)),"")</f>
        <v>8th Year: $315K</v>
      </c>
      <c r="P362" s="50" t="str">
        <f>IFERROR(RIGHT(Table1[[#This Row],[Nth year]],LEN(Table1[[#This Row],[Nth year]])-FIND(":",Table1[[#This Row],[Nth year]])-1),"")</f>
        <v>$315K</v>
      </c>
      <c r="Q362" s="50" t="str">
        <f t="array" ref="Q362">IFERROR(INDEX(Table2[Am Law 200 PPP Rank ’16],MATCH(1,(Table1[[#This Row],[Employer]]=Table2[EIW Name])*(Table1[[#This Row],[City, State]]=Table2[Offices Matched]),0)),"")</f>
        <v>63: $1.45M</v>
      </c>
      <c r="R362" s="50" t="str">
        <f>IFERROR(LEFT(Table1[[#This Row],[Am Law 200 PPP Rank ’16]],FIND(":",Table1[[#This Row],[Am Law 200 PPP Rank ’16]])-1),"")</f>
        <v>63</v>
      </c>
      <c r="S362" s="50">
        <f>IFERROR(INDEX(VaultRank[Rank],MATCH(Table1[[#This Row],[Employer]],VaultRank[EIW Name],0)),"")</f>
        <v>83</v>
      </c>
      <c r="T362" s="50" t="str">
        <f t="array" ref="T362">IFERROR(INDEX(Table2[Summers Matched],MATCH(1,(Table1[[#This Row],[Employer]]=Table2[EIW Name])*(Table1[[#This Row],[City, State]]=Table2[Offices Matched]),0)),"")</f>
        <v>Yes</v>
      </c>
      <c r="U362" s="52" t="str">
        <f t="shared" si="5"/>
        <v/>
      </c>
      <c r="V362" s="60"/>
      <c r="W362" s="114">
        <v>42594</v>
      </c>
      <c r="X362"/>
    </row>
    <row r="363" spans="1:24" ht="14.1" customHeight="1">
      <c r="A363" s="45" t="s">
        <v>131</v>
      </c>
      <c r="B363" s="45" t="s">
        <v>303</v>
      </c>
      <c r="C363" s="45" t="s">
        <v>304</v>
      </c>
      <c r="D363" s="45" t="str">
        <f>Table1[[#This Row],[City]]&amp;", "&amp;Table1[[#This Row],[State]]</f>
        <v>Chicago, IL</v>
      </c>
      <c r="E363" s="49">
        <v>81</v>
      </c>
      <c r="F363" s="50">
        <v>5</v>
      </c>
      <c r="G363" s="50" t="str">
        <f t="array" ref="G363">IFERROR(INDEX(Table2[1st Year],MATCH(1,(Table1[[#This Row],[Employer]]=Table2[EIW Name])*(Table1[[#This Row],[City, State]]=Table2[Offices Matched]),0)),"")</f>
        <v>1st Year: $180K</v>
      </c>
      <c r="H363" s="50" t="str">
        <f>_xlfn.IFNA(INDEX(saCAGR[CAGR],MATCH(Table1[[#This Row],[Employer]],saCAGR[EIW Name],0)),"")</f>
        <v/>
      </c>
      <c r="I363" s="50" t="str">
        <f>IFERROR(Table1[[#This Row],[SA CAGR]]*Table1[[#This Row],[Number of Summer 2016 2L SAs]],"")</f>
        <v/>
      </c>
      <c r="J363" s="50">
        <v>19</v>
      </c>
      <c r="K363" s="51">
        <f>IFERROR(Table1[[#This Row],[Number of Summer 2016 NYU 2L SAs]]/Table1[[#This Row],[Interview Slots]],0)</f>
        <v>0.23456790123456789</v>
      </c>
      <c r="L363" s="51">
        <f>Table1[[#This Row],[Number of Summer 2016 2L SAs]]/Table1[[#This Row],[Interview Slots]]</f>
        <v>6.1728395061728392E-2</v>
      </c>
      <c r="M363" s="51">
        <f>IFERROR(Table1[[#This Row],[Number of Summer 2016 NYU 2L SAs]]/Table1[[#This Row],[Number of Summer 2016 2L SAs]],0)</f>
        <v>3.8</v>
      </c>
      <c r="N363" s="50" t="str">
        <f>IFERROR(RIGHT(Table1[[#This Row],[1st year]],LEN(Table1[[#This Row],[1st year]])-FIND(":",Table1[[#This Row],[1st year]])-1),"")</f>
        <v>$180K</v>
      </c>
      <c r="O363" s="50" t="str">
        <f t="array" ref="O363">IFERROR(INDEX(Table2[Nth year],MATCH(1,(Table1[[#This Row],[Employer]]=Table2[EIW Name])*(Table1[[#This Row],[City, State]]=Table2[Offices Matched]),0)),"")</f>
        <v>8th Year: $310K</v>
      </c>
      <c r="P363" s="50" t="str">
        <f>IFERROR(RIGHT(Table1[[#This Row],[Nth year]],LEN(Table1[[#This Row],[Nth year]])-FIND(":",Table1[[#This Row],[Nth year]])-1),"")</f>
        <v>$310K</v>
      </c>
      <c r="Q363" s="50" t="str">
        <f t="array" ref="Q363">IFERROR(INDEX(Table2[Am Law 200 PPP Rank ’16],MATCH(1,(Table1[[#This Row],[Employer]]=Table2[EIW Name])*(Table1[[#This Row],[City, State]]=Table2[Offices Matched]),0)),"")</f>
        <v>115: $890K</v>
      </c>
      <c r="R363" s="50" t="str">
        <f>IFERROR(LEFT(Table1[[#This Row],[Am Law 200 PPP Rank ’16]],FIND(":",Table1[[#This Row],[Am Law 200 PPP Rank ’16]])-1),"")</f>
        <v>115</v>
      </c>
      <c r="S363" s="50">
        <f>IFERROR(INDEX(VaultRank[Rank],MATCH(Table1[[#This Row],[Employer]],VaultRank[EIW Name],0)),"")</f>
        <v>84</v>
      </c>
      <c r="T363" s="50" t="str">
        <f t="array" ref="T363">IFERROR(INDEX(Table2[Summers Matched],MATCH(1,(Table1[[#This Row],[Employer]]=Table2[EIW Name])*(Table1[[#This Row],[City, State]]=Table2[Offices Matched]),0)),"")</f>
        <v>TBD</v>
      </c>
      <c r="U363" s="52" t="str">
        <f t="shared" si="5"/>
        <v/>
      </c>
      <c r="V363" s="60"/>
      <c r="W363" s="114">
        <v>42592</v>
      </c>
      <c r="X363"/>
    </row>
    <row r="364" spans="1:24" ht="14.1" customHeight="1">
      <c r="A364" s="61" t="s">
        <v>483</v>
      </c>
      <c r="B364" s="45" t="s">
        <v>484</v>
      </c>
      <c r="C364" s="61" t="s">
        <v>300</v>
      </c>
      <c r="D364" s="61" t="str">
        <f>Table1[[#This Row],[City]]&amp;", "&amp;Table1[[#This Row],[State]]</f>
        <v>Los Angeles - Century City, CA</v>
      </c>
      <c r="E364" s="63">
        <v>8</v>
      </c>
      <c r="F364" s="50">
        <v>11</v>
      </c>
      <c r="G364" s="50" t="str">
        <f t="array" ref="G364">IFERROR(INDEX(Table2[1st Year],MATCH(1,(Table1[[#This Row],[Employer]]=Table2[EIW Name])*(Table1[[#This Row],[City, State]]=Table2[Offices Matched]),0)),"")</f>
        <v/>
      </c>
      <c r="H364" s="50">
        <f>_xlfn.IFNA(INDEX(saCAGR[CAGR],MATCH(Table1[[#This Row],[Employer]],saCAGR[EIW Name],0)),"")</f>
        <v>1.0053416618593545</v>
      </c>
      <c r="I364" s="50">
        <f>IFERROR(Table1[[#This Row],[SA CAGR]]*Table1[[#This Row],[Number of Summer 2016 2L SAs]],"")</f>
        <v>11.058758280452899</v>
      </c>
      <c r="J364" s="50">
        <v>17</v>
      </c>
      <c r="K364" s="51">
        <f>IFERROR(Table1[[#This Row],[Number of Summer 2016 NYU 2L SAs]]/Table1[[#This Row],[Interview Slots]],0)</f>
        <v>2.125</v>
      </c>
      <c r="L364" s="51">
        <f>Table1[[#This Row],[Number of Summer 2016 2L SAs]]/Table1[[#This Row],[Interview Slots]]</f>
        <v>1.375</v>
      </c>
      <c r="M364" s="51">
        <f>IFERROR(Table1[[#This Row],[Number of Summer 2016 NYU 2L SAs]]/Table1[[#This Row],[Number of Summer 2016 2L SAs]],0)</f>
        <v>1.5454545454545454</v>
      </c>
      <c r="N364" s="50" t="str">
        <f>IFERROR(RIGHT(Table1[[#This Row],[1st year]],LEN(Table1[[#This Row],[1st year]])-FIND(":",Table1[[#This Row],[1st year]])-1),"")</f>
        <v/>
      </c>
      <c r="O364" s="50" t="str">
        <f t="array" ref="O364">IFERROR(INDEX(Table2[Nth year],MATCH(1,(Table1[[#This Row],[Employer]]=Table2[EIW Name])*(Table1[[#This Row],[City, State]]=Table2[Offices Matched]),0)),"")</f>
        <v/>
      </c>
      <c r="P364" s="50" t="str">
        <f>IFERROR(RIGHT(Table1[[#This Row],[Nth year]],LEN(Table1[[#This Row],[Nth year]])-FIND(":",Table1[[#This Row],[Nth year]])-1),"")</f>
        <v/>
      </c>
      <c r="Q364" s="50" t="str">
        <f t="array" ref="Q364">IFERROR(INDEX(Table2[Am Law 200 PPP Rank ’16],MATCH(1,(Table1[[#This Row],[Employer]]=Table2[EIW Name])*(Table1[[#This Row],[City, State]]=Table2[Offices Matched]),0)),"")</f>
        <v/>
      </c>
      <c r="R364" s="50" t="str">
        <f>IFERROR(LEFT(Table1[[#This Row],[Am Law 200 PPP Rank ’16]],FIND(":",Table1[[#This Row],[Am Law 200 PPP Rank ’16]])-1),"")</f>
        <v/>
      </c>
      <c r="S364" s="50">
        <f>IFERROR(INDEX(VaultRank[Rank],MATCH(Table1[[#This Row],[Employer]],VaultRank[EIW Name],0)),"")</f>
        <v>26</v>
      </c>
      <c r="T364" s="50" t="str">
        <f t="array" ref="T364">IFERROR(INDEX(Table2[Summers Matched],MATCH(1,(Table1[[#This Row],[Employer]]=Table2[EIW Name])*(Table1[[#This Row],[City, State]]=Table2[Offices Matched]),0)),"")</f>
        <v/>
      </c>
      <c r="U364" s="52" t="str">
        <f t="shared" si="5"/>
        <v/>
      </c>
      <c r="V364" s="60"/>
      <c r="W364" s="114">
        <v>42595</v>
      </c>
      <c r="X364"/>
    </row>
    <row r="365" spans="1:24" ht="14.1" customHeight="1">
      <c r="A365" s="61" t="s">
        <v>483</v>
      </c>
      <c r="B365" s="45" t="s">
        <v>485</v>
      </c>
      <c r="C365" s="61" t="s">
        <v>300</v>
      </c>
      <c r="D365" s="61" t="str">
        <f>Table1[[#This Row],[City]]&amp;", "&amp;Table1[[#This Row],[State]]</f>
        <v>Los Angeles - Downtown, CA</v>
      </c>
      <c r="E365" s="63">
        <v>163</v>
      </c>
      <c r="F365" s="50">
        <v>25</v>
      </c>
      <c r="G365" s="50" t="str">
        <f t="array" ref="G365">IFERROR(INDEX(Table2[1st Year],MATCH(1,(Table1[[#This Row],[Employer]]=Table2[EIW Name])*(Table1[[#This Row],[City, State]]=Table2[Offices Matched]),0)),"")</f>
        <v/>
      </c>
      <c r="H365" s="50">
        <f>_xlfn.IFNA(INDEX(saCAGR[CAGR],MATCH(Table1[[#This Row],[Employer]],saCAGR[EIW Name],0)),"")</f>
        <v>1.0053416618593545</v>
      </c>
      <c r="I365" s="50">
        <f>IFERROR(Table1[[#This Row],[SA CAGR]]*Table1[[#This Row],[Number of Summer 2016 2L SAs]],"")</f>
        <v>25.133541546483862</v>
      </c>
      <c r="J365" s="50">
        <v>22</v>
      </c>
      <c r="K365" s="51">
        <f>IFERROR(Table1[[#This Row],[Number of Summer 2016 NYU 2L SAs]]/Table1[[#This Row],[Interview Slots]],0)</f>
        <v>0.13496932515337423</v>
      </c>
      <c r="L365" s="51">
        <f>Table1[[#This Row],[Number of Summer 2016 2L SAs]]/Table1[[#This Row],[Interview Slots]]</f>
        <v>0.15337423312883436</v>
      </c>
      <c r="M365" s="51">
        <f>IFERROR(Table1[[#This Row],[Number of Summer 2016 NYU 2L SAs]]/Table1[[#This Row],[Number of Summer 2016 2L SAs]],0)</f>
        <v>0.88</v>
      </c>
      <c r="N365" s="50" t="str">
        <f>IFERROR(RIGHT(Table1[[#This Row],[1st year]],LEN(Table1[[#This Row],[1st year]])-FIND(":",Table1[[#This Row],[1st year]])-1),"")</f>
        <v/>
      </c>
      <c r="O365" s="50" t="str">
        <f t="array" ref="O365">IFERROR(INDEX(Table2[Nth year],MATCH(1,(Table1[[#This Row],[Employer]]=Table2[EIW Name])*(Table1[[#This Row],[City, State]]=Table2[Offices Matched]),0)),"")</f>
        <v/>
      </c>
      <c r="P365" s="50" t="str">
        <f>IFERROR(RIGHT(Table1[[#This Row],[Nth year]],LEN(Table1[[#This Row],[Nth year]])-FIND(":",Table1[[#This Row],[Nth year]])-1),"")</f>
        <v/>
      </c>
      <c r="Q365" s="50" t="str">
        <f t="array" ref="Q365">IFERROR(INDEX(Table2[Am Law 200 PPP Rank ’16],MATCH(1,(Table1[[#This Row],[Employer]]=Table2[EIW Name])*(Table1[[#This Row],[City, State]]=Table2[Offices Matched]),0)),"")</f>
        <v/>
      </c>
      <c r="R365" s="50" t="str">
        <f>IFERROR(LEFT(Table1[[#This Row],[Am Law 200 PPP Rank ’16]],FIND(":",Table1[[#This Row],[Am Law 200 PPP Rank ’16]])-1),"")</f>
        <v/>
      </c>
      <c r="S365" s="50">
        <f>IFERROR(INDEX(VaultRank[Rank],MATCH(Table1[[#This Row],[Employer]],VaultRank[EIW Name],0)),"")</f>
        <v>26</v>
      </c>
      <c r="T365" s="50" t="str">
        <f t="array" ref="T365">IFERROR(INDEX(Table2[Summers Matched],MATCH(1,(Table1[[#This Row],[Employer]]=Table2[EIW Name])*(Table1[[#This Row],[City, State]]=Table2[Offices Matched]),0)),"")</f>
        <v/>
      </c>
      <c r="U365" s="52" t="str">
        <f t="shared" si="5"/>
        <v/>
      </c>
      <c r="V365" s="60"/>
      <c r="W365" s="114">
        <v>42595</v>
      </c>
      <c r="X365"/>
    </row>
    <row r="366" spans="1:24" ht="14.1" customHeight="1">
      <c r="A366" s="45" t="s">
        <v>483</v>
      </c>
      <c r="B366" s="45" t="s">
        <v>438</v>
      </c>
      <c r="C366" s="45" t="s">
        <v>300</v>
      </c>
      <c r="D366" s="45" t="str">
        <f>Table1[[#This Row],[City]]&amp;", "&amp;Table1[[#This Row],[State]]</f>
        <v>Newport Beach, CA</v>
      </c>
      <c r="E366" s="49">
        <v>137</v>
      </c>
      <c r="F366" s="50">
        <v>4</v>
      </c>
      <c r="G366" s="50" t="str">
        <f t="array" ref="G366">IFERROR(INDEX(Table2[1st Year],MATCH(1,(Table1[[#This Row],[Employer]]=Table2[EIW Name])*(Table1[[#This Row],[City, State]]=Table2[Offices Matched]),0)),"")</f>
        <v>1st Year: $180K</v>
      </c>
      <c r="H366" s="50">
        <f>_xlfn.IFNA(INDEX(saCAGR[CAGR],MATCH(Table1[[#This Row],[Employer]],saCAGR[EIW Name],0)),"")</f>
        <v>1.0053416618593545</v>
      </c>
      <c r="I366" s="50">
        <f>IFERROR(Table1[[#This Row],[SA CAGR]]*Table1[[#This Row],[Number of Summer 2016 2L SAs]],"")</f>
        <v>4.0213666474374179</v>
      </c>
      <c r="J366" s="50">
        <v>16</v>
      </c>
      <c r="K366" s="51">
        <f>IFERROR(Table1[[#This Row],[Number of Summer 2016 NYU 2L SAs]]/Table1[[#This Row],[Interview Slots]],0)</f>
        <v>0.11678832116788321</v>
      </c>
      <c r="L366" s="51">
        <f>Table1[[#This Row],[Number of Summer 2016 2L SAs]]/Table1[[#This Row],[Interview Slots]]</f>
        <v>2.9197080291970802E-2</v>
      </c>
      <c r="M366" s="51">
        <f>IFERROR(Table1[[#This Row],[Number of Summer 2016 NYU 2L SAs]]/Table1[[#This Row],[Number of Summer 2016 2L SAs]],0)</f>
        <v>4</v>
      </c>
      <c r="N366" s="50" t="str">
        <f>IFERROR(RIGHT(Table1[[#This Row],[1st year]],LEN(Table1[[#This Row],[1st year]])-FIND(":",Table1[[#This Row],[1st year]])-1),"")</f>
        <v>$180K</v>
      </c>
      <c r="O366" s="50" t="str">
        <f t="array" ref="O366">IFERROR(INDEX(Table2[Nth year],MATCH(1,(Table1[[#This Row],[Employer]]=Table2[EIW Name])*(Table1[[#This Row],[City, State]]=Table2[Offices Matched]),0)),"")</f>
        <v>8th Year: $315K</v>
      </c>
      <c r="P366" s="50" t="str">
        <f>IFERROR(RIGHT(Table1[[#This Row],[Nth year]],LEN(Table1[[#This Row],[Nth year]])-FIND(":",Table1[[#This Row],[Nth year]])-1),"")</f>
        <v>$315K</v>
      </c>
      <c r="Q366" s="50" t="str">
        <f t="array" ref="Q366">IFERROR(INDEX(Table2[Am Law 200 PPP Rank ’16],MATCH(1,(Table1[[#This Row],[Employer]]=Table2[EIW Name])*(Table1[[#This Row],[City, State]]=Table2[Offices Matched]),0)),"")</f>
        <v>47: $1.76M</v>
      </c>
      <c r="R366" s="50" t="str">
        <f>IFERROR(LEFT(Table1[[#This Row],[Am Law 200 PPP Rank ’16]],FIND(":",Table1[[#This Row],[Am Law 200 PPP Rank ’16]])-1),"")</f>
        <v>47</v>
      </c>
      <c r="S366" s="50">
        <f>IFERROR(INDEX(VaultRank[Rank],MATCH(Table1[[#This Row],[Employer]],VaultRank[EIW Name],0)),"")</f>
        <v>26</v>
      </c>
      <c r="T366" s="50" t="str">
        <f t="array" ref="T366">IFERROR(INDEX(Table2[Summers Matched],MATCH(1,(Table1[[#This Row],[Employer]]=Table2[EIW Name])*(Table1[[#This Row],[City, State]]=Table2[Offices Matched]),0)),"")</f>
        <v>TBD</v>
      </c>
      <c r="U366" s="52" t="str">
        <f t="shared" si="5"/>
        <v/>
      </c>
      <c r="V366" s="60"/>
      <c r="W366" s="114">
        <v>42595</v>
      </c>
      <c r="X366"/>
    </row>
    <row r="367" spans="1:24" ht="14.1" customHeight="1">
      <c r="A367" s="45" t="s">
        <v>483</v>
      </c>
      <c r="B367" s="45" t="s">
        <v>316</v>
      </c>
      <c r="C367" s="45" t="s">
        <v>300</v>
      </c>
      <c r="D367" s="45" t="str">
        <f>Table1[[#This Row],[City]]&amp;", "&amp;Table1[[#This Row],[State]]</f>
        <v>San Francisco, CA</v>
      </c>
      <c r="E367" s="49">
        <v>118</v>
      </c>
      <c r="F367" s="50">
        <v>11</v>
      </c>
      <c r="G367" s="50" t="str">
        <f t="array" ref="G367">IFERROR(INDEX(Table2[1st Year],MATCH(1,(Table1[[#This Row],[Employer]]=Table2[EIW Name])*(Table1[[#This Row],[City, State]]=Table2[Offices Matched]),0)),"")</f>
        <v>1st Year: $180K</v>
      </c>
      <c r="H367" s="50">
        <f>_xlfn.IFNA(INDEX(saCAGR[CAGR],MATCH(Table1[[#This Row],[Employer]],saCAGR[EIW Name],0)),"")</f>
        <v>1.0053416618593545</v>
      </c>
      <c r="I367" s="50">
        <f>IFERROR(Table1[[#This Row],[SA CAGR]]*Table1[[#This Row],[Number of Summer 2016 2L SAs]],"")</f>
        <v>11.058758280452899</v>
      </c>
      <c r="J367" s="50">
        <v>0</v>
      </c>
      <c r="K367" s="51">
        <f>IFERROR(Table1[[#This Row],[Number of Summer 2016 NYU 2L SAs]]/Table1[[#This Row],[Interview Slots]],0)</f>
        <v>0</v>
      </c>
      <c r="L367" s="51">
        <f>Table1[[#This Row],[Number of Summer 2016 2L SAs]]/Table1[[#This Row],[Interview Slots]]</f>
        <v>9.3220338983050849E-2</v>
      </c>
      <c r="M367" s="51">
        <f>IFERROR(Table1[[#This Row],[Number of Summer 2016 NYU 2L SAs]]/Table1[[#This Row],[Number of Summer 2016 2L SAs]],0)</f>
        <v>0</v>
      </c>
      <c r="N367" s="50" t="str">
        <f>IFERROR(RIGHT(Table1[[#This Row],[1st year]],LEN(Table1[[#This Row],[1st year]])-FIND(":",Table1[[#This Row],[1st year]])-1),"")</f>
        <v>$180K</v>
      </c>
      <c r="O367" s="50" t="str">
        <f t="array" ref="O367">IFERROR(INDEX(Table2[Nth year],MATCH(1,(Table1[[#This Row],[Employer]]=Table2[EIW Name])*(Table1[[#This Row],[City, State]]=Table2[Offices Matched]),0)),"")</f>
        <v>8th Year: $315K</v>
      </c>
      <c r="P367" s="50" t="str">
        <f>IFERROR(RIGHT(Table1[[#This Row],[Nth year]],LEN(Table1[[#This Row],[Nth year]])-FIND(":",Table1[[#This Row],[Nth year]])-1),"")</f>
        <v>$315K</v>
      </c>
      <c r="Q367" s="50" t="str">
        <f t="array" ref="Q367">IFERROR(INDEX(Table2[Am Law 200 PPP Rank ’16],MATCH(1,(Table1[[#This Row],[Employer]]=Table2[EIW Name])*(Table1[[#This Row],[City, State]]=Table2[Offices Matched]),0)),"")</f>
        <v>47: $1.76M</v>
      </c>
      <c r="R367" s="50" t="str">
        <f>IFERROR(LEFT(Table1[[#This Row],[Am Law 200 PPP Rank ’16]],FIND(":",Table1[[#This Row],[Am Law 200 PPP Rank ’16]])-1),"")</f>
        <v>47</v>
      </c>
      <c r="S367" s="50">
        <f>IFERROR(INDEX(VaultRank[Rank],MATCH(Table1[[#This Row],[Employer]],VaultRank[EIW Name],0)),"")</f>
        <v>26</v>
      </c>
      <c r="T367" s="50" t="str">
        <f t="array" ref="T367">IFERROR(INDEX(Table2[Summers Matched],MATCH(1,(Table1[[#This Row],[Employer]]=Table2[EIW Name])*(Table1[[#This Row],[City, State]]=Table2[Offices Matched]),0)),"")</f>
        <v>TBD</v>
      </c>
      <c r="U367" s="52" t="str">
        <f t="shared" si="5"/>
        <v/>
      </c>
      <c r="V367" s="60"/>
      <c r="W367" s="114">
        <v>42595</v>
      </c>
      <c r="X367"/>
    </row>
    <row r="368" spans="1:24" ht="14.1" customHeight="1">
      <c r="A368" s="45" t="s">
        <v>483</v>
      </c>
      <c r="B368" s="45" t="s">
        <v>307</v>
      </c>
      <c r="C368" s="45" t="s">
        <v>300</v>
      </c>
      <c r="D368" s="45" t="str">
        <f>Table1[[#This Row],[City]]&amp;", "&amp;Table1[[#This Row],[State]]</f>
        <v>Silicon Valley, CA</v>
      </c>
      <c r="E368" s="49">
        <v>65</v>
      </c>
      <c r="F368" s="50">
        <v>6</v>
      </c>
      <c r="G368" s="50" t="str">
        <f t="array" ref="G368">IFERROR(INDEX(Table2[1st Year],MATCH(1,(Table1[[#This Row],[Employer]]=Table2[EIW Name])*(Table1[[#This Row],[City, State]]=Table2[Offices Matched]),0)),"")</f>
        <v/>
      </c>
      <c r="H368" s="50">
        <f>_xlfn.IFNA(INDEX(saCAGR[CAGR],MATCH(Table1[[#This Row],[Employer]],saCAGR[EIW Name],0)),"")</f>
        <v>1.0053416618593545</v>
      </c>
      <c r="I368" s="50">
        <f>IFERROR(Table1[[#This Row],[SA CAGR]]*Table1[[#This Row],[Number of Summer 2016 2L SAs]],"")</f>
        <v>6.0320499711561268</v>
      </c>
      <c r="J368" s="50">
        <v>16</v>
      </c>
      <c r="K368" s="51">
        <f>IFERROR(Table1[[#This Row],[Number of Summer 2016 NYU 2L SAs]]/Table1[[#This Row],[Interview Slots]],0)</f>
        <v>0.24615384615384617</v>
      </c>
      <c r="L368" s="51">
        <f>Table1[[#This Row],[Number of Summer 2016 2L SAs]]/Table1[[#This Row],[Interview Slots]]</f>
        <v>9.2307692307692313E-2</v>
      </c>
      <c r="M368" s="51">
        <f>IFERROR(Table1[[#This Row],[Number of Summer 2016 NYU 2L SAs]]/Table1[[#This Row],[Number of Summer 2016 2L SAs]],0)</f>
        <v>2.6666666666666665</v>
      </c>
      <c r="N368" s="50" t="str">
        <f>IFERROR(RIGHT(Table1[[#This Row],[1st year]],LEN(Table1[[#This Row],[1st year]])-FIND(":",Table1[[#This Row],[1st year]])-1),"")</f>
        <v/>
      </c>
      <c r="O368" s="50" t="str">
        <f t="array" ref="O368">IFERROR(INDEX(Table2[Nth year],MATCH(1,(Table1[[#This Row],[Employer]]=Table2[EIW Name])*(Table1[[#This Row],[City, State]]=Table2[Offices Matched]),0)),"")</f>
        <v/>
      </c>
      <c r="P368" s="50" t="str">
        <f>IFERROR(RIGHT(Table1[[#This Row],[Nth year]],LEN(Table1[[#This Row],[Nth year]])-FIND(":",Table1[[#This Row],[Nth year]])-1),"")</f>
        <v/>
      </c>
      <c r="Q368" s="50" t="str">
        <f t="array" ref="Q368">IFERROR(INDEX(Table2[Am Law 200 PPP Rank ’16],MATCH(1,(Table1[[#This Row],[Employer]]=Table2[EIW Name])*(Table1[[#This Row],[City, State]]=Table2[Offices Matched]),0)),"")</f>
        <v/>
      </c>
      <c r="R368" s="50" t="str">
        <f>IFERROR(LEFT(Table1[[#This Row],[Am Law 200 PPP Rank ’16]],FIND(":",Table1[[#This Row],[Am Law 200 PPP Rank ’16]])-1),"")</f>
        <v/>
      </c>
      <c r="S368" s="50">
        <f>IFERROR(INDEX(VaultRank[Rank],MATCH(Table1[[#This Row],[Employer]],VaultRank[EIW Name],0)),"")</f>
        <v>26</v>
      </c>
      <c r="T368" s="50" t="str">
        <f t="array" ref="T368">IFERROR(INDEX(Table2[Summers Matched],MATCH(1,(Table1[[#This Row],[Employer]]=Table2[EIW Name])*(Table1[[#This Row],[City, State]]=Table2[Offices Matched]),0)),"")</f>
        <v/>
      </c>
      <c r="U368" s="52">
        <f t="shared" si="5"/>
        <v>3.6</v>
      </c>
      <c r="V368" s="60"/>
      <c r="W368" s="114">
        <v>42595</v>
      </c>
      <c r="X368"/>
    </row>
    <row r="369" spans="1:24" ht="14.1" customHeight="1">
      <c r="A369" s="45" t="s">
        <v>483</v>
      </c>
      <c r="B369" s="45" t="s">
        <v>301</v>
      </c>
      <c r="C369" s="45" t="s">
        <v>302</v>
      </c>
      <c r="D369" s="45" t="str">
        <f>Table1[[#This Row],[City]]&amp;", "&amp;Table1[[#This Row],[State]]</f>
        <v>Washington, DC</v>
      </c>
      <c r="E369" s="49">
        <v>7</v>
      </c>
      <c r="F369" s="50">
        <v>15</v>
      </c>
      <c r="G369" s="50" t="str">
        <f t="array" ref="G369">IFERROR(INDEX(Table2[1st Year],MATCH(1,(Table1[[#This Row],[Employer]]=Table2[EIW Name])*(Table1[[#This Row],[City, State]]=Table2[Offices Matched]),0)),"")</f>
        <v/>
      </c>
      <c r="H369" s="50">
        <f>_xlfn.IFNA(INDEX(saCAGR[CAGR],MATCH(Table1[[#This Row],[Employer]],saCAGR[EIW Name],0)),"")</f>
        <v>1.0053416618593545</v>
      </c>
      <c r="I369" s="50">
        <f>IFERROR(Table1[[#This Row],[SA CAGR]]*Table1[[#This Row],[Number of Summer 2016 2L SAs]],"")</f>
        <v>15.080124927890317</v>
      </c>
      <c r="J369" s="50">
        <v>1</v>
      </c>
      <c r="K369" s="51">
        <f>IFERROR(Table1[[#This Row],[Number of Summer 2016 NYU 2L SAs]]/Table1[[#This Row],[Interview Slots]],0)</f>
        <v>0.14285714285714285</v>
      </c>
      <c r="L369" s="51">
        <f>Table1[[#This Row],[Number of Summer 2016 2L SAs]]/Table1[[#This Row],[Interview Slots]]</f>
        <v>2.1428571428571428</v>
      </c>
      <c r="M369" s="51">
        <f>IFERROR(Table1[[#This Row],[Number of Summer 2016 NYU 2L SAs]]/Table1[[#This Row],[Number of Summer 2016 2L SAs]],0)</f>
        <v>6.6666666666666666E-2</v>
      </c>
      <c r="N369" s="50" t="str">
        <f>IFERROR(RIGHT(Table1[[#This Row],[1st year]],LEN(Table1[[#This Row],[1st year]])-FIND(":",Table1[[#This Row],[1st year]])-1),"")</f>
        <v/>
      </c>
      <c r="O369" s="50" t="str">
        <f t="array" ref="O369">IFERROR(INDEX(Table2[Nth year],MATCH(1,(Table1[[#This Row],[Employer]]=Table2[EIW Name])*(Table1[[#This Row],[City, State]]=Table2[Offices Matched]),0)),"")</f>
        <v/>
      </c>
      <c r="P369" s="50" t="str">
        <f>IFERROR(RIGHT(Table1[[#This Row],[Nth year]],LEN(Table1[[#This Row],[Nth year]])-FIND(":",Table1[[#This Row],[Nth year]])-1),"")</f>
        <v/>
      </c>
      <c r="Q369" s="50" t="str">
        <f t="array" ref="Q369">IFERROR(INDEX(Table2[Am Law 200 PPP Rank ’16],MATCH(1,(Table1[[#This Row],[Employer]]=Table2[EIW Name])*(Table1[[#This Row],[City, State]]=Table2[Offices Matched]),0)),"")</f>
        <v/>
      </c>
      <c r="R369" s="50" t="str">
        <f>IFERROR(LEFT(Table1[[#This Row],[Am Law 200 PPP Rank ’16]],FIND(":",Table1[[#This Row],[Am Law 200 PPP Rank ’16]])-1),"")</f>
        <v/>
      </c>
      <c r="S369" s="50">
        <f>IFERROR(INDEX(VaultRank[Rank],MATCH(Table1[[#This Row],[Employer]],VaultRank[EIW Name],0)),"")</f>
        <v>26</v>
      </c>
      <c r="T369" s="50" t="str">
        <f t="array" ref="T369">IFERROR(INDEX(Table2[Summers Matched],MATCH(1,(Table1[[#This Row],[Employer]]=Table2[EIW Name])*(Table1[[#This Row],[City, State]]=Table2[Offices Matched]),0)),"")</f>
        <v/>
      </c>
      <c r="U369" s="52" t="str">
        <f t="shared" si="5"/>
        <v/>
      </c>
      <c r="V369" s="60"/>
      <c r="W369" s="114">
        <v>42595</v>
      </c>
      <c r="X369"/>
    </row>
    <row r="370" spans="1:24" ht="14.1" customHeight="1">
      <c r="A370" s="45" t="s">
        <v>448</v>
      </c>
      <c r="B370" s="45" t="s">
        <v>364</v>
      </c>
      <c r="C370" s="45" t="s">
        <v>362</v>
      </c>
      <c r="D370" s="45" t="str">
        <f>Table1[[#This Row],[City]]&amp;", "&amp;Table1[[#This Row],[State]]</f>
        <v>New York, NY</v>
      </c>
      <c r="E370" s="49">
        <v>92</v>
      </c>
      <c r="F370" s="50">
        <v>4</v>
      </c>
      <c r="G370" s="50" t="str">
        <f t="array" ref="G370">IFERROR(INDEX(Table2[1st Year],MATCH(1,(Table1[[#This Row],[Employer]]=Table2[EIW Name])*(Table1[[#This Row],[City, State]]=Table2[Offices Matched]),0)),"")</f>
        <v>1st Year: $180K</v>
      </c>
      <c r="H370" s="50">
        <f>_xlfn.IFNA(INDEX(saCAGR[CAGR],MATCH(Table1[[#This Row],[Employer]],saCAGR[EIW Name],0)),"")</f>
        <v>1.0292680506696286</v>
      </c>
      <c r="I370" s="50">
        <f>IFERROR(Table1[[#This Row],[SA CAGR]]*Table1[[#This Row],[Number of Summer 2016 2L SAs]],"")</f>
        <v>4.1170722026785143</v>
      </c>
      <c r="J370" s="50">
        <v>24</v>
      </c>
      <c r="K370" s="51">
        <f>IFERROR(Table1[[#This Row],[Number of Summer 2016 NYU 2L SAs]]/Table1[[#This Row],[Interview Slots]],0)</f>
        <v>0.2608695652173913</v>
      </c>
      <c r="L370" s="51">
        <f>Table1[[#This Row],[Number of Summer 2016 2L SAs]]/Table1[[#This Row],[Interview Slots]]</f>
        <v>4.3478260869565216E-2</v>
      </c>
      <c r="M370" s="51">
        <f>IFERROR(Table1[[#This Row],[Number of Summer 2016 NYU 2L SAs]]/Table1[[#This Row],[Number of Summer 2016 2L SAs]],0)</f>
        <v>6</v>
      </c>
      <c r="N370" s="50" t="str">
        <f>IFERROR(RIGHT(Table1[[#This Row],[1st year]],LEN(Table1[[#This Row],[1st year]])-FIND(":",Table1[[#This Row],[1st year]])-1),"")</f>
        <v>$180K</v>
      </c>
      <c r="O370" s="50" t="str">
        <f t="array" ref="O370">IFERROR(INDEX(Table2[Nth year],MATCH(1,(Table1[[#This Row],[Employer]]=Table2[EIW Name])*(Table1[[#This Row],[City, State]]=Table2[Offices Matched]),0)),"")</f>
        <v>7th Year: $300K</v>
      </c>
      <c r="P370" s="50" t="str">
        <f>IFERROR(RIGHT(Table1[[#This Row],[Nth year]],LEN(Table1[[#This Row],[Nth year]])-FIND(":",Table1[[#This Row],[Nth year]])-1),"")</f>
        <v>$300K</v>
      </c>
      <c r="Q370" s="50" t="str">
        <f t="array" ref="Q370">IFERROR(INDEX(Table2[Am Law 200 PPP Rank ’16],MATCH(1,(Table1[[#This Row],[Employer]]=Table2[EIW Name])*(Table1[[#This Row],[City, State]]=Table2[Offices Matched]),0)),"")</f>
        <v>60: $1.51M</v>
      </c>
      <c r="R370" s="50" t="str">
        <f>IFERROR(LEFT(Table1[[#This Row],[Am Law 200 PPP Rank ’16]],FIND(":",Table1[[#This Row],[Am Law 200 PPP Rank ’16]])-1),"")</f>
        <v>60</v>
      </c>
      <c r="S370" s="50">
        <f>IFERROR(INDEX(VaultRank[Rank],MATCH(Table1[[#This Row],[Employer]],VaultRank[EIW Name],0)),"")</f>
        <v>85</v>
      </c>
      <c r="T370" s="50" t="str">
        <f t="array" ref="T370">IFERROR(INDEX(Table2[Summers Matched],MATCH(1,(Table1[[#This Row],[Employer]]=Table2[EIW Name])*(Table1[[#This Row],[City, State]]=Table2[Offices Matched]),0)),"")</f>
        <v>Yes</v>
      </c>
      <c r="U370" s="52" t="str">
        <f t="shared" si="5"/>
        <v/>
      </c>
      <c r="V370" s="60"/>
      <c r="W370" s="114">
        <v>42595</v>
      </c>
      <c r="X370"/>
    </row>
    <row r="371" spans="1:24" ht="14.1" customHeight="1">
      <c r="A371" s="45" t="s">
        <v>487</v>
      </c>
      <c r="B371" s="45" t="s">
        <v>316</v>
      </c>
      <c r="C371" s="45" t="s">
        <v>300</v>
      </c>
      <c r="D371" s="45" t="str">
        <f>Table1[[#This Row],[City]]&amp;", "&amp;Table1[[#This Row],[State]]</f>
        <v>San Francisco, CA</v>
      </c>
      <c r="E371" s="49">
        <v>75</v>
      </c>
      <c r="F371" s="50">
        <v>12</v>
      </c>
      <c r="G371" s="50" t="str">
        <f t="array" ref="G371">IFERROR(INDEX(Table2[1st Year],MATCH(1,(Table1[[#This Row],[Employer]]=Table2[EIW Name])*(Table1[[#This Row],[City, State]]=Table2[Offices Matched]),0)),"")</f>
        <v/>
      </c>
      <c r="H371" s="50">
        <f>_xlfn.IFNA(INDEX(saCAGR[CAGR],MATCH(Table1[[#This Row],[Employer]],saCAGR[EIW Name],0)),"")</f>
        <v>1.0171997259548329</v>
      </c>
      <c r="I371" s="50">
        <f>IFERROR(Table1[[#This Row],[SA CAGR]]*Table1[[#This Row],[Number of Summer 2016 2L SAs]],"")</f>
        <v>12.206396711457995</v>
      </c>
      <c r="J371" s="50">
        <v>6</v>
      </c>
      <c r="K371" s="51">
        <f>IFERROR(Table1[[#This Row],[Number of Summer 2016 NYU 2L SAs]]/Table1[[#This Row],[Interview Slots]],0)</f>
        <v>0.08</v>
      </c>
      <c r="L371" s="51">
        <f>Table1[[#This Row],[Number of Summer 2016 2L SAs]]/Table1[[#This Row],[Interview Slots]]</f>
        <v>0.16</v>
      </c>
      <c r="M371" s="51">
        <f>IFERROR(Table1[[#This Row],[Number of Summer 2016 NYU 2L SAs]]/Table1[[#This Row],[Number of Summer 2016 2L SAs]],0)</f>
        <v>0.5</v>
      </c>
      <c r="N371" s="50" t="str">
        <f>IFERROR(RIGHT(Table1[[#This Row],[1st year]],LEN(Table1[[#This Row],[1st year]])-FIND(":",Table1[[#This Row],[1st year]])-1),"")</f>
        <v/>
      </c>
      <c r="O371" s="50" t="str">
        <f t="array" ref="O371">IFERROR(INDEX(Table2[Nth year],MATCH(1,(Table1[[#This Row],[Employer]]=Table2[EIW Name])*(Table1[[#This Row],[City, State]]=Table2[Offices Matched]),0)),"")</f>
        <v/>
      </c>
      <c r="P371" s="50" t="str">
        <f>IFERROR(RIGHT(Table1[[#This Row],[Nth year]],LEN(Table1[[#This Row],[Nth year]])-FIND(":",Table1[[#This Row],[Nth year]])-1),"")</f>
        <v/>
      </c>
      <c r="Q371" s="50" t="str">
        <f t="array" ref="Q371">IFERROR(INDEX(Table2[Am Law 200 PPP Rank ’16],MATCH(1,(Table1[[#This Row],[Employer]]=Table2[EIW Name])*(Table1[[#This Row],[City, State]]=Table2[Offices Matched]),0)),"")</f>
        <v/>
      </c>
      <c r="R371" s="50" t="str">
        <f>IFERROR(LEFT(Table1[[#This Row],[Am Law 200 PPP Rank ’16]],FIND(":",Table1[[#This Row],[Am Law 200 PPP Rank ’16]])-1),"")</f>
        <v/>
      </c>
      <c r="S371" s="50">
        <f>IFERROR(INDEX(VaultRank[Rank],MATCH(Table1[[#This Row],[Employer]],VaultRank[EIW Name],0)),"")</f>
        <v>43</v>
      </c>
      <c r="T371" s="50" t="str">
        <f t="array" ref="T371">IFERROR(INDEX(Table2[Summers Matched],MATCH(1,(Table1[[#This Row],[Employer]]=Table2[EIW Name])*(Table1[[#This Row],[City, State]]=Table2[Offices Matched]),0)),"")</f>
        <v/>
      </c>
      <c r="U371" s="52" t="str">
        <f t="shared" si="5"/>
        <v/>
      </c>
      <c r="V371" s="60"/>
      <c r="W371" s="114">
        <v>42593</v>
      </c>
      <c r="X371"/>
    </row>
    <row r="372" spans="1:24" ht="14.1" customHeight="1">
      <c r="A372" s="45" t="s">
        <v>487</v>
      </c>
      <c r="B372" s="45" t="s">
        <v>307</v>
      </c>
      <c r="C372" s="45" t="s">
        <v>300</v>
      </c>
      <c r="D372" s="45" t="str">
        <f>Table1[[#This Row],[City]]&amp;", "&amp;Table1[[#This Row],[State]]</f>
        <v>Silicon Valley, CA</v>
      </c>
      <c r="E372" s="49">
        <v>45</v>
      </c>
      <c r="F372" s="50">
        <v>6</v>
      </c>
      <c r="G372" s="50" t="str">
        <f t="array" ref="G372">IFERROR(INDEX(Table2[1st Year],MATCH(1,(Table1[[#This Row],[Employer]]=Table2[EIW Name])*(Table1[[#This Row],[City, State]]=Table2[Offices Matched]),0)),"")</f>
        <v/>
      </c>
      <c r="H372" s="50">
        <f>_xlfn.IFNA(INDEX(saCAGR[CAGR],MATCH(Table1[[#This Row],[Employer]],saCAGR[EIW Name],0)),"")</f>
        <v>1.0171997259548329</v>
      </c>
      <c r="I372" s="50">
        <f>IFERROR(Table1[[#This Row],[SA CAGR]]*Table1[[#This Row],[Number of Summer 2016 2L SAs]],"")</f>
        <v>6.1031983557289973</v>
      </c>
      <c r="J372" s="50">
        <v>18</v>
      </c>
      <c r="K372" s="51">
        <f>IFERROR(Table1[[#This Row],[Number of Summer 2016 NYU 2L SAs]]/Table1[[#This Row],[Interview Slots]],0)</f>
        <v>0.4</v>
      </c>
      <c r="L372" s="51">
        <f>Table1[[#This Row],[Number of Summer 2016 2L SAs]]/Table1[[#This Row],[Interview Slots]]</f>
        <v>0.13333333333333333</v>
      </c>
      <c r="M372" s="51">
        <f>IFERROR(Table1[[#This Row],[Number of Summer 2016 NYU 2L SAs]]/Table1[[#This Row],[Number of Summer 2016 2L SAs]],0)</f>
        <v>3</v>
      </c>
      <c r="N372" s="50" t="str">
        <f>IFERROR(RIGHT(Table1[[#This Row],[1st year]],LEN(Table1[[#This Row],[1st year]])-FIND(":",Table1[[#This Row],[1st year]])-1),"")</f>
        <v/>
      </c>
      <c r="O372" s="50" t="str">
        <f t="array" ref="O372">IFERROR(INDEX(Table2[Nth year],MATCH(1,(Table1[[#This Row],[Employer]]=Table2[EIW Name])*(Table1[[#This Row],[City, State]]=Table2[Offices Matched]),0)),"")</f>
        <v/>
      </c>
      <c r="P372" s="50" t="str">
        <f>IFERROR(RIGHT(Table1[[#This Row],[Nth year]],LEN(Table1[[#This Row],[Nth year]])-FIND(":",Table1[[#This Row],[Nth year]])-1),"")</f>
        <v/>
      </c>
      <c r="Q372" s="50" t="str">
        <f t="array" ref="Q372">IFERROR(INDEX(Table2[Am Law 200 PPP Rank ’16],MATCH(1,(Table1[[#This Row],[Employer]]=Table2[EIW Name])*(Table1[[#This Row],[City, State]]=Table2[Offices Matched]),0)),"")</f>
        <v/>
      </c>
      <c r="R372" s="50" t="str">
        <f>IFERROR(LEFT(Table1[[#This Row],[Am Law 200 PPP Rank ’16]],FIND(":",Table1[[#This Row],[Am Law 200 PPP Rank ’16]])-1),"")</f>
        <v/>
      </c>
      <c r="S372" s="50">
        <f>IFERROR(INDEX(VaultRank[Rank],MATCH(Table1[[#This Row],[Employer]],VaultRank[EIW Name],0)),"")</f>
        <v>43</v>
      </c>
      <c r="T372" s="50" t="str">
        <f t="array" ref="T372">IFERROR(INDEX(Table2[Summers Matched],MATCH(1,(Table1[[#This Row],[Employer]]=Table2[EIW Name])*(Table1[[#This Row],[City, State]]=Table2[Offices Matched]),0)),"")</f>
        <v/>
      </c>
      <c r="U372" s="52" t="str">
        <f t="shared" si="5"/>
        <v/>
      </c>
      <c r="V372" s="60"/>
      <c r="W372" s="114">
        <v>42594</v>
      </c>
      <c r="X372"/>
    </row>
    <row r="373" spans="1:24" ht="14.1" customHeight="1">
      <c r="A373" s="45" t="s">
        <v>432</v>
      </c>
      <c r="B373" s="45" t="s">
        <v>364</v>
      </c>
      <c r="C373" s="45" t="s">
        <v>362</v>
      </c>
      <c r="D373" s="45" t="str">
        <f>Table1[[#This Row],[City]]&amp;", "&amp;Table1[[#This Row],[State]]</f>
        <v>New York, NY</v>
      </c>
      <c r="E373" s="49">
        <v>189</v>
      </c>
      <c r="F373" s="50">
        <v>15</v>
      </c>
      <c r="G373" s="50" t="str">
        <f t="array" ref="G373">IFERROR(INDEX(Table2[1st Year],MATCH(1,(Table1[[#This Row],[Employer]]=Table2[EIW Name])*(Table1[[#This Row],[City, State]]=Table2[Offices Matched]),0)),"")</f>
        <v>1st Year: $180K</v>
      </c>
      <c r="H373" s="51" t="str">
        <f>_xlfn.IFNA(INDEX(saCAGR[CAGR],MATCH(Table1[[#This Row],[Employer]],saCAGR[EIW Name],0)),"")</f>
        <v/>
      </c>
      <c r="I373" s="50" t="str">
        <f>IFERROR(Table1[[#This Row],[SA CAGR]]*Table1[[#This Row],[Number of Summer 2016 2L SAs]],"")</f>
        <v/>
      </c>
      <c r="J373" s="50">
        <v>13</v>
      </c>
      <c r="K373" s="51">
        <f>IFERROR(Table1[[#This Row],[Number of Summer 2016 NYU 2L SAs]]/Table1[[#This Row],[Interview Slots]],0)</f>
        <v>6.8783068783068779E-2</v>
      </c>
      <c r="L373" s="51">
        <f>Table1[[#This Row],[Number of Summer 2016 2L SAs]]/Table1[[#This Row],[Interview Slots]]</f>
        <v>7.9365079365079361E-2</v>
      </c>
      <c r="M373" s="51">
        <f>IFERROR(Table1[[#This Row],[Number of Summer 2016 NYU 2L SAs]]/Table1[[#This Row],[Number of Summer 2016 2L SAs]],0)</f>
        <v>0.8666666666666667</v>
      </c>
      <c r="N373" s="50" t="str">
        <f>IFERROR(RIGHT(Table1[[#This Row],[1st year]],LEN(Table1[[#This Row],[1st year]])-FIND(":",Table1[[#This Row],[1st year]])-1),"")</f>
        <v>$180K</v>
      </c>
      <c r="O373" s="50" t="str">
        <f t="array" ref="O373">IFERROR(INDEX(Table2[Nth year],MATCH(1,(Table1[[#This Row],[Employer]]=Table2[EIW Name])*(Table1[[#This Row],[City, State]]=Table2[Offices Matched]),0)),"")</f>
        <v>9th Year: $315K</v>
      </c>
      <c r="P373" s="50" t="str">
        <f>IFERROR(RIGHT(Table1[[#This Row],[Nth year]],LEN(Table1[[#This Row],[Nth year]])-FIND(":",Table1[[#This Row],[Nth year]])-1),"")</f>
        <v>$315K</v>
      </c>
      <c r="Q373" s="50" t="str">
        <f t="array" ref="Q373">IFERROR(INDEX(Table2[Am Law 200 PPP Rank ’16],MATCH(1,(Table1[[#This Row],[Employer]]=Table2[EIW Name])*(Table1[[#This Row],[City, State]]=Table2[Offices Matched]),0)),"")</f>
        <v>35: $1.91M</v>
      </c>
      <c r="R373" s="50" t="str">
        <f>IFERROR(LEFT(Table1[[#This Row],[Am Law 200 PPP Rank ’16]],FIND(":",Table1[[#This Row],[Am Law 200 PPP Rank ’16]])-1),"")</f>
        <v>35</v>
      </c>
      <c r="S373" s="50">
        <f>IFERROR(INDEX(VaultRank[Rank],MATCH(Table1[[#This Row],[Employer]],VaultRank[EIW Name],0)),"")</f>
        <v>86</v>
      </c>
      <c r="T373" s="50" t="str">
        <f t="array" ref="T373">IFERROR(INDEX(Table2[Summers Matched],MATCH(1,(Table1[[#This Row],[Employer]]=Table2[EIW Name])*(Table1[[#This Row],[City, State]]=Table2[Offices Matched]),0)),"")</f>
        <v>Yes</v>
      </c>
      <c r="U373" s="52" t="str">
        <f t="shared" si="5"/>
        <v/>
      </c>
      <c r="V373" s="60"/>
      <c r="W373" s="114">
        <v>42595</v>
      </c>
      <c r="X373"/>
    </row>
    <row r="374" spans="1:24" ht="14.1" customHeight="1">
      <c r="A374" s="45" t="s">
        <v>154</v>
      </c>
      <c r="B374" s="45" t="s">
        <v>299</v>
      </c>
      <c r="C374" s="45" t="s">
        <v>300</v>
      </c>
      <c r="D374" s="45" t="str">
        <f>Table1[[#This Row],[City]]&amp;", "&amp;Table1[[#This Row],[State]]</f>
        <v>Los Angeles, CA</v>
      </c>
      <c r="E374" s="49">
        <v>157</v>
      </c>
      <c r="F374" s="50">
        <v>19</v>
      </c>
      <c r="G374" s="50" t="str">
        <f t="array" ref="G374">IFERROR(INDEX(Table2[1st Year],MATCH(1,(Table1[[#This Row],[Employer]]=Table2[EIW Name])*(Table1[[#This Row],[City, State]]=Table2[Offices Matched]),0)),"")</f>
        <v>1st Year: $180K</v>
      </c>
      <c r="H374" s="50">
        <f>_xlfn.IFNA(INDEX(saCAGR[CAGR],MATCH(Table1[[#This Row],[Employer]],saCAGR[EIW Name],0)),"")</f>
        <v>1.0137917817793485</v>
      </c>
      <c r="I374" s="50">
        <f>IFERROR(Table1[[#This Row],[SA CAGR]]*Table1[[#This Row],[Number of Summer 2016 2L SAs]],"")</f>
        <v>19.262043853807622</v>
      </c>
      <c r="J374" s="50">
        <v>21</v>
      </c>
      <c r="K374" s="51">
        <f>IFERROR(Table1[[#This Row],[Number of Summer 2016 NYU 2L SAs]]/Table1[[#This Row],[Interview Slots]],0)</f>
        <v>0.13375796178343949</v>
      </c>
      <c r="L374" s="51">
        <f>Table1[[#This Row],[Number of Summer 2016 2L SAs]]/Table1[[#This Row],[Interview Slots]]</f>
        <v>0.12101910828025478</v>
      </c>
      <c r="M374" s="51">
        <f>IFERROR(Table1[[#This Row],[Number of Summer 2016 NYU 2L SAs]]/Table1[[#This Row],[Number of Summer 2016 2L SAs]],0)</f>
        <v>1.1052631578947369</v>
      </c>
      <c r="N374" s="50" t="str">
        <f>IFERROR(RIGHT(Table1[[#This Row],[1st year]],LEN(Table1[[#This Row],[1st year]])-FIND(":",Table1[[#This Row],[1st year]])-1),"")</f>
        <v>$180K</v>
      </c>
      <c r="O374" s="50" t="str">
        <f t="array" ref="O374">IFERROR(INDEX(Table2[Nth year],MATCH(1,(Table1[[#This Row],[Employer]]=Table2[EIW Name])*(Table1[[#This Row],[City, State]]=Table2[Offices Matched]),0)),"")</f>
        <v>8th Year: $315K</v>
      </c>
      <c r="P374" s="50" t="str">
        <f>IFERROR(RIGHT(Table1[[#This Row],[Nth year]],LEN(Table1[[#This Row],[Nth year]])-FIND(":",Table1[[#This Row],[Nth year]])-1),"")</f>
        <v>$315K</v>
      </c>
      <c r="Q374" s="50" t="str">
        <f t="array" ref="Q374">IFERROR(INDEX(Table2[Am Law 200 PPP Rank ’16],MATCH(1,(Table1[[#This Row],[Employer]]=Table2[EIW Name])*(Table1[[#This Row],[City, State]]=Table2[Offices Matched]),0)),"")</f>
        <v>23: $2.51</v>
      </c>
      <c r="R374" s="50" t="str">
        <f>IFERROR(LEFT(Table1[[#This Row],[Am Law 200 PPP Rank ’16]],FIND(":",Table1[[#This Row],[Am Law 200 PPP Rank ’16]])-1),"")</f>
        <v>23</v>
      </c>
      <c r="S374" s="50">
        <f>IFERROR(INDEX(VaultRank[Rank],MATCH(Table1[[#This Row],[Employer]],VaultRank[EIW Name],0)),"")</f>
        <v>24</v>
      </c>
      <c r="T374" s="50" t="str">
        <f t="array" ref="T374">IFERROR(INDEX(Table2[Summers Matched],MATCH(1,(Table1[[#This Row],[Employer]]=Table2[EIW Name])*(Table1[[#This Row],[City, State]]=Table2[Offices Matched]),0)),"")</f>
        <v>TBD</v>
      </c>
      <c r="U374" s="52" t="str">
        <f t="shared" si="5"/>
        <v/>
      </c>
      <c r="V374" s="60"/>
      <c r="W374" s="114">
        <v>42592</v>
      </c>
      <c r="X374"/>
    </row>
    <row r="375" spans="1:24" ht="14.1" customHeight="1">
      <c r="A375" s="45" t="s">
        <v>154</v>
      </c>
      <c r="B375" s="45" t="s">
        <v>387</v>
      </c>
      <c r="C375" s="45" t="s">
        <v>300</v>
      </c>
      <c r="D375" s="45" t="str">
        <f>Table1[[#This Row],[City]]&amp;", "&amp;Table1[[#This Row],[State]]</f>
        <v>Orange County, CA</v>
      </c>
      <c r="E375" s="49">
        <v>35</v>
      </c>
      <c r="F375" s="50">
        <v>4</v>
      </c>
      <c r="G375" s="50" t="str">
        <f t="array" ref="G375">IFERROR(INDEX(Table2[1st Year],MATCH(1,(Table1[[#This Row],[Employer]]=Table2[EIW Name])*(Table1[[#This Row],[City, State]]=Table2[Offices Matched]),0)),"")</f>
        <v>1st Year: $180K</v>
      </c>
      <c r="H375" s="50">
        <f>_xlfn.IFNA(INDEX(saCAGR[CAGR],MATCH(Table1[[#This Row],[Employer]],saCAGR[EIW Name],0)),"")</f>
        <v>1.0137917817793485</v>
      </c>
      <c r="I375" s="50">
        <f>IFERROR(Table1[[#This Row],[SA CAGR]]*Table1[[#This Row],[Number of Summer 2016 2L SAs]],"")</f>
        <v>4.0551671271173939</v>
      </c>
      <c r="J375" s="50">
        <v>23</v>
      </c>
      <c r="K375" s="51">
        <f>IFERROR(Table1[[#This Row],[Number of Summer 2016 NYU 2L SAs]]/Table1[[#This Row],[Interview Slots]],0)</f>
        <v>0.65714285714285714</v>
      </c>
      <c r="L375" s="51">
        <f>Table1[[#This Row],[Number of Summer 2016 2L SAs]]/Table1[[#This Row],[Interview Slots]]</f>
        <v>0.11428571428571428</v>
      </c>
      <c r="M375" s="51">
        <f>IFERROR(Table1[[#This Row],[Number of Summer 2016 NYU 2L SAs]]/Table1[[#This Row],[Number of Summer 2016 2L SAs]],0)</f>
        <v>5.75</v>
      </c>
      <c r="N375" s="50" t="str">
        <f>IFERROR(RIGHT(Table1[[#This Row],[1st year]],LEN(Table1[[#This Row],[1st year]])-FIND(":",Table1[[#This Row],[1st year]])-1),"")</f>
        <v>$180K</v>
      </c>
      <c r="O375" s="50" t="str">
        <f t="array" ref="O375">IFERROR(INDEX(Table2[Nth year],MATCH(1,(Table1[[#This Row],[Employer]]=Table2[EIW Name])*(Table1[[#This Row],[City, State]]=Table2[Offices Matched]),0)),"")</f>
        <v>8th Year: $315K</v>
      </c>
      <c r="P375" s="50" t="str">
        <f>IFERROR(RIGHT(Table1[[#This Row],[Nth year]],LEN(Table1[[#This Row],[Nth year]])-FIND(":",Table1[[#This Row],[Nth year]])-1),"")</f>
        <v>$315K</v>
      </c>
      <c r="Q375" s="50" t="str">
        <f t="array" ref="Q375">IFERROR(INDEX(Table2[Am Law 200 PPP Rank ’16],MATCH(1,(Table1[[#This Row],[Employer]]=Table2[EIW Name])*(Table1[[#This Row],[City, State]]=Table2[Offices Matched]),0)),"")</f>
        <v>23: $2.51</v>
      </c>
      <c r="R375" s="50" t="str">
        <f>IFERROR(LEFT(Table1[[#This Row],[Am Law 200 PPP Rank ’16]],FIND(":",Table1[[#This Row],[Am Law 200 PPP Rank ’16]])-1),"")</f>
        <v>23</v>
      </c>
      <c r="S375" s="50">
        <f>IFERROR(INDEX(VaultRank[Rank],MATCH(Table1[[#This Row],[Employer]],VaultRank[EIW Name],0)),"")</f>
        <v>24</v>
      </c>
      <c r="T375" s="50" t="str">
        <f t="array" ref="T375">IFERROR(INDEX(Table2[Summers Matched],MATCH(1,(Table1[[#This Row],[Employer]]=Table2[EIW Name])*(Table1[[#This Row],[City, State]]=Table2[Offices Matched]),0)),"")</f>
        <v>TBD</v>
      </c>
      <c r="U375" s="52" t="str">
        <f t="shared" si="5"/>
        <v/>
      </c>
      <c r="V375" s="60"/>
      <c r="W375" s="114">
        <v>42594</v>
      </c>
      <c r="X375"/>
    </row>
    <row r="376" spans="1:24" ht="14.1" customHeight="1">
      <c r="A376" s="45" t="s">
        <v>154</v>
      </c>
      <c r="B376" s="45" t="s">
        <v>334</v>
      </c>
      <c r="C376" s="45" t="s">
        <v>300</v>
      </c>
      <c r="D376" s="45" t="str">
        <f>Table1[[#This Row],[City]]&amp;", "&amp;Table1[[#This Row],[State]]</f>
        <v>Palo Alto, CA</v>
      </c>
      <c r="E376" s="49">
        <v>43</v>
      </c>
      <c r="F376" s="50">
        <v>7</v>
      </c>
      <c r="G376" s="50" t="str">
        <f t="array" ref="G376">IFERROR(INDEX(Table2[1st Year],MATCH(1,(Table1[[#This Row],[Employer]]=Table2[EIW Name])*(Table1[[#This Row],[City, State]]=Table2[Offices Matched]),0)),"")</f>
        <v>1st Year: $180K</v>
      </c>
      <c r="H376" s="50">
        <f>_xlfn.IFNA(INDEX(saCAGR[CAGR],MATCH(Table1[[#This Row],[Employer]],saCAGR[EIW Name],0)),"")</f>
        <v>1.0137917817793485</v>
      </c>
      <c r="I376" s="50">
        <f>IFERROR(Table1[[#This Row],[SA CAGR]]*Table1[[#This Row],[Number of Summer 2016 2L SAs]],"")</f>
        <v>7.0965424724554396</v>
      </c>
      <c r="J376" s="50">
        <v>9</v>
      </c>
      <c r="K376" s="51">
        <f>IFERROR(Table1[[#This Row],[Number of Summer 2016 NYU 2L SAs]]/Table1[[#This Row],[Interview Slots]],0)</f>
        <v>0.20930232558139536</v>
      </c>
      <c r="L376" s="51">
        <f>Table1[[#This Row],[Number of Summer 2016 2L SAs]]/Table1[[#This Row],[Interview Slots]]</f>
        <v>0.16279069767441862</v>
      </c>
      <c r="M376" s="51">
        <f>IFERROR(Table1[[#This Row],[Number of Summer 2016 NYU 2L SAs]]/Table1[[#This Row],[Number of Summer 2016 2L SAs]],0)</f>
        <v>1.2857142857142858</v>
      </c>
      <c r="N376" s="50" t="str">
        <f>IFERROR(RIGHT(Table1[[#This Row],[1st year]],LEN(Table1[[#This Row],[1st year]])-FIND(":",Table1[[#This Row],[1st year]])-1),"")</f>
        <v>$180K</v>
      </c>
      <c r="O376" s="50" t="str">
        <f t="array" ref="O376">IFERROR(INDEX(Table2[Nth year],MATCH(1,(Table1[[#This Row],[Employer]]=Table2[EIW Name])*(Table1[[#This Row],[City, State]]=Table2[Offices Matched]),0)),"")</f>
        <v>8th Year: $315K</v>
      </c>
      <c r="P376" s="50" t="str">
        <f>IFERROR(RIGHT(Table1[[#This Row],[Nth year]],LEN(Table1[[#This Row],[Nth year]])-FIND(":",Table1[[#This Row],[Nth year]])-1),"")</f>
        <v>$315K</v>
      </c>
      <c r="Q376" s="50" t="str">
        <f t="array" ref="Q376">IFERROR(INDEX(Table2[Am Law 200 PPP Rank ’16],MATCH(1,(Table1[[#This Row],[Employer]]=Table2[EIW Name])*(Table1[[#This Row],[City, State]]=Table2[Offices Matched]),0)),"")</f>
        <v>23: $2.51</v>
      </c>
      <c r="R376" s="50" t="str">
        <f>IFERROR(LEFT(Table1[[#This Row],[Am Law 200 PPP Rank ’16]],FIND(":",Table1[[#This Row],[Am Law 200 PPP Rank ’16]])-1),"")</f>
        <v>23</v>
      </c>
      <c r="S376" s="50">
        <f>IFERROR(INDEX(VaultRank[Rank],MATCH(Table1[[#This Row],[Employer]],VaultRank[EIW Name],0)),"")</f>
        <v>24</v>
      </c>
      <c r="T376" s="50" t="str">
        <f t="array" ref="T376">IFERROR(INDEX(Table2[Summers Matched],MATCH(1,(Table1[[#This Row],[Employer]]=Table2[EIW Name])*(Table1[[#This Row],[City, State]]=Table2[Offices Matched]),0)),"")</f>
        <v>TBD</v>
      </c>
      <c r="U376" s="52" t="str">
        <f t="shared" si="5"/>
        <v/>
      </c>
      <c r="V376" s="60"/>
      <c r="W376" s="114">
        <v>42593</v>
      </c>
      <c r="X376"/>
    </row>
    <row r="377" spans="1:24" ht="14.1" customHeight="1">
      <c r="A377" s="45" t="s">
        <v>154</v>
      </c>
      <c r="B377" s="45" t="s">
        <v>375</v>
      </c>
      <c r="C377" s="45" t="s">
        <v>300</v>
      </c>
      <c r="D377" s="45" t="str">
        <f>Table1[[#This Row],[City]]&amp;", "&amp;Table1[[#This Row],[State]]</f>
        <v>San Diego, CA</v>
      </c>
      <c r="E377" s="49">
        <v>129</v>
      </c>
      <c r="F377" s="50">
        <v>5</v>
      </c>
      <c r="G377" s="50" t="str">
        <f t="array" ref="G377">IFERROR(INDEX(Table2[1st Year],MATCH(1,(Table1[[#This Row],[Employer]]=Table2[EIW Name])*(Table1[[#This Row],[City, State]]=Table2[Offices Matched]),0)),"")</f>
        <v>1st Year: $180K</v>
      </c>
      <c r="H377" s="50">
        <f>_xlfn.IFNA(INDEX(saCAGR[CAGR],MATCH(Table1[[#This Row],[Employer]],saCAGR[EIW Name],0)),"")</f>
        <v>1.0137917817793485</v>
      </c>
      <c r="I377" s="50">
        <f>IFERROR(Table1[[#This Row],[SA CAGR]]*Table1[[#This Row],[Number of Summer 2016 2L SAs]],"")</f>
        <v>5.0689589088967422</v>
      </c>
      <c r="J377" s="50">
        <v>0</v>
      </c>
      <c r="K377" s="51">
        <f>IFERROR(Table1[[#This Row],[Number of Summer 2016 NYU 2L SAs]]/Table1[[#This Row],[Interview Slots]],0)</f>
        <v>0</v>
      </c>
      <c r="L377" s="51">
        <f>Table1[[#This Row],[Number of Summer 2016 2L SAs]]/Table1[[#This Row],[Interview Slots]]</f>
        <v>3.875968992248062E-2</v>
      </c>
      <c r="M377" s="51">
        <f>IFERROR(Table1[[#This Row],[Number of Summer 2016 NYU 2L SAs]]/Table1[[#This Row],[Number of Summer 2016 2L SAs]],0)</f>
        <v>0</v>
      </c>
      <c r="N377" s="50" t="str">
        <f>IFERROR(RIGHT(Table1[[#This Row],[1st year]],LEN(Table1[[#This Row],[1st year]])-FIND(":",Table1[[#This Row],[1st year]])-1),"")</f>
        <v>$180K</v>
      </c>
      <c r="O377" s="50" t="str">
        <f t="array" ref="O377">IFERROR(INDEX(Table2[Nth year],MATCH(1,(Table1[[#This Row],[Employer]]=Table2[EIW Name])*(Table1[[#This Row],[City, State]]=Table2[Offices Matched]),0)),"")</f>
        <v>8th Year: $315K</v>
      </c>
      <c r="P377" s="50" t="str">
        <f>IFERROR(RIGHT(Table1[[#This Row],[Nth year]],LEN(Table1[[#This Row],[Nth year]])-FIND(":",Table1[[#This Row],[Nth year]])-1),"")</f>
        <v>$315K</v>
      </c>
      <c r="Q377" s="50" t="str">
        <f t="array" ref="Q377">IFERROR(INDEX(Table2[Am Law 200 PPP Rank ’16],MATCH(1,(Table1[[#This Row],[Employer]]=Table2[EIW Name])*(Table1[[#This Row],[City, State]]=Table2[Offices Matched]),0)),"")</f>
        <v>23: $2.51</v>
      </c>
      <c r="R377" s="50" t="str">
        <f>IFERROR(LEFT(Table1[[#This Row],[Am Law 200 PPP Rank ’16]],FIND(":",Table1[[#This Row],[Am Law 200 PPP Rank ’16]])-1),"")</f>
        <v>23</v>
      </c>
      <c r="S377" s="50">
        <f>IFERROR(INDEX(VaultRank[Rank],MATCH(Table1[[#This Row],[Employer]],VaultRank[EIW Name],0)),"")</f>
        <v>24</v>
      </c>
      <c r="T377" s="50" t="str">
        <f t="array" ref="T377">IFERROR(INDEX(Table2[Summers Matched],MATCH(1,(Table1[[#This Row],[Employer]]=Table2[EIW Name])*(Table1[[#This Row],[City, State]]=Table2[Offices Matched]),0)),"")</f>
        <v>TBD</v>
      </c>
      <c r="U377" s="52" t="str">
        <f t="shared" si="5"/>
        <v/>
      </c>
      <c r="V377" s="60"/>
      <c r="W377" s="114">
        <v>42594</v>
      </c>
      <c r="X377"/>
    </row>
    <row r="378" spans="1:24" ht="14.1" customHeight="1">
      <c r="A378" s="45" t="s">
        <v>154</v>
      </c>
      <c r="B378" s="45" t="s">
        <v>316</v>
      </c>
      <c r="C378" s="45" t="s">
        <v>300</v>
      </c>
      <c r="D378" s="45" t="str">
        <f>Table1[[#This Row],[City]]&amp;", "&amp;Table1[[#This Row],[State]]</f>
        <v>San Francisco, CA</v>
      </c>
      <c r="E378" s="49">
        <v>20</v>
      </c>
      <c r="F378" s="50">
        <v>6</v>
      </c>
      <c r="G378" s="50" t="str">
        <f t="array" ref="G378">IFERROR(INDEX(Table2[1st Year],MATCH(1,(Table1[[#This Row],[Employer]]=Table2[EIW Name])*(Table1[[#This Row],[City, State]]=Table2[Offices Matched]),0)),"")</f>
        <v>1st Year: $180K</v>
      </c>
      <c r="H378" s="50">
        <f>_xlfn.IFNA(INDEX(saCAGR[CAGR],MATCH(Table1[[#This Row],[Employer]],saCAGR[EIW Name],0)),"")</f>
        <v>1.0137917817793485</v>
      </c>
      <c r="I378" s="50">
        <f>IFERROR(Table1[[#This Row],[SA CAGR]]*Table1[[#This Row],[Number of Summer 2016 2L SAs]],"")</f>
        <v>6.0827506906760913</v>
      </c>
      <c r="J378" s="50">
        <v>17</v>
      </c>
      <c r="K378" s="51">
        <f>IFERROR(Table1[[#This Row],[Number of Summer 2016 NYU 2L SAs]]/Table1[[#This Row],[Interview Slots]],0)</f>
        <v>0.85</v>
      </c>
      <c r="L378" s="51">
        <f>Table1[[#This Row],[Number of Summer 2016 2L SAs]]/Table1[[#This Row],[Interview Slots]]</f>
        <v>0.3</v>
      </c>
      <c r="M378" s="51">
        <f>IFERROR(Table1[[#This Row],[Number of Summer 2016 NYU 2L SAs]]/Table1[[#This Row],[Number of Summer 2016 2L SAs]],0)</f>
        <v>2.8333333333333335</v>
      </c>
      <c r="N378" s="50" t="str">
        <f>IFERROR(RIGHT(Table1[[#This Row],[1st year]],LEN(Table1[[#This Row],[1st year]])-FIND(":",Table1[[#This Row],[1st year]])-1),"")</f>
        <v>$180K</v>
      </c>
      <c r="O378" s="50" t="str">
        <f t="array" ref="O378">IFERROR(INDEX(Table2[Nth year],MATCH(1,(Table1[[#This Row],[Employer]]=Table2[EIW Name])*(Table1[[#This Row],[City, State]]=Table2[Offices Matched]),0)),"")</f>
        <v>8th Year: $315K</v>
      </c>
      <c r="P378" s="50" t="str">
        <f>IFERROR(RIGHT(Table1[[#This Row],[Nth year]],LEN(Table1[[#This Row],[Nth year]])-FIND(":",Table1[[#This Row],[Nth year]])-1),"")</f>
        <v>$315K</v>
      </c>
      <c r="Q378" s="50" t="str">
        <f t="array" ref="Q378">IFERROR(INDEX(Table2[Am Law 200 PPP Rank ’16],MATCH(1,(Table1[[#This Row],[Employer]]=Table2[EIW Name])*(Table1[[#This Row],[City, State]]=Table2[Offices Matched]),0)),"")</f>
        <v>23: $2.51</v>
      </c>
      <c r="R378" s="50" t="str">
        <f>IFERROR(LEFT(Table1[[#This Row],[Am Law 200 PPP Rank ’16]],FIND(":",Table1[[#This Row],[Am Law 200 PPP Rank ’16]])-1),"")</f>
        <v>23</v>
      </c>
      <c r="S378" s="50">
        <f>IFERROR(INDEX(VaultRank[Rank],MATCH(Table1[[#This Row],[Employer]],VaultRank[EIW Name],0)),"")</f>
        <v>24</v>
      </c>
      <c r="T378" s="50" t="str">
        <f t="array" ref="T378">IFERROR(INDEX(Table2[Summers Matched],MATCH(1,(Table1[[#This Row],[Employer]]=Table2[EIW Name])*(Table1[[#This Row],[City, State]]=Table2[Offices Matched]),0)),"")</f>
        <v>TBD</v>
      </c>
      <c r="U378" s="52" t="str">
        <f t="shared" si="5"/>
        <v/>
      </c>
      <c r="V378" s="60"/>
      <c r="W378" s="114">
        <v>42595</v>
      </c>
      <c r="X378"/>
    </row>
    <row r="379" spans="1:24" ht="14.1" customHeight="1">
      <c r="A379" s="45" t="s">
        <v>154</v>
      </c>
      <c r="B379" s="45" t="s">
        <v>301</v>
      </c>
      <c r="C379" s="45" t="s">
        <v>302</v>
      </c>
      <c r="D379" s="45" t="str">
        <f>Table1[[#This Row],[City]]&amp;", "&amp;Table1[[#This Row],[State]]</f>
        <v>Washington, DC</v>
      </c>
      <c r="E379" s="49">
        <v>182</v>
      </c>
      <c r="F379" s="50">
        <v>16</v>
      </c>
      <c r="G379" s="50" t="str">
        <f t="array" ref="G379">IFERROR(INDEX(Table2[1st Year],MATCH(1,(Table1[[#This Row],[Employer]]=Table2[EIW Name])*(Table1[[#This Row],[City, State]]=Table2[Offices Matched]),0)),"")</f>
        <v/>
      </c>
      <c r="H379" s="50">
        <f>_xlfn.IFNA(INDEX(saCAGR[CAGR],MATCH(Table1[[#This Row],[Employer]],saCAGR[EIW Name],0)),"")</f>
        <v>1.0137917817793485</v>
      </c>
      <c r="I379" s="50">
        <f>IFERROR(Table1[[#This Row],[SA CAGR]]*Table1[[#This Row],[Number of Summer 2016 2L SAs]],"")</f>
        <v>16.220668508469576</v>
      </c>
      <c r="J379" s="50">
        <v>15</v>
      </c>
      <c r="K379" s="51">
        <f>IFERROR(Table1[[#This Row],[Number of Summer 2016 NYU 2L SAs]]/Table1[[#This Row],[Interview Slots]],0)</f>
        <v>8.2417582417582416E-2</v>
      </c>
      <c r="L379" s="51">
        <f>Table1[[#This Row],[Number of Summer 2016 2L SAs]]/Table1[[#This Row],[Interview Slots]]</f>
        <v>8.7912087912087919E-2</v>
      </c>
      <c r="M379" s="51">
        <f>IFERROR(Table1[[#This Row],[Number of Summer 2016 NYU 2L SAs]]/Table1[[#This Row],[Number of Summer 2016 2L SAs]],0)</f>
        <v>0.9375</v>
      </c>
      <c r="N379" s="50" t="str">
        <f>IFERROR(RIGHT(Table1[[#This Row],[1st year]],LEN(Table1[[#This Row],[1st year]])-FIND(":",Table1[[#This Row],[1st year]])-1),"")</f>
        <v/>
      </c>
      <c r="O379" s="50" t="str">
        <f t="array" ref="O379">IFERROR(INDEX(Table2[Nth year],MATCH(1,(Table1[[#This Row],[Employer]]=Table2[EIW Name])*(Table1[[#This Row],[City, State]]=Table2[Offices Matched]),0)),"")</f>
        <v/>
      </c>
      <c r="P379" s="50" t="str">
        <f>IFERROR(RIGHT(Table1[[#This Row],[Nth year]],LEN(Table1[[#This Row],[Nth year]])-FIND(":",Table1[[#This Row],[Nth year]])-1),"")</f>
        <v/>
      </c>
      <c r="Q379" s="50" t="str">
        <f t="array" ref="Q379">IFERROR(INDEX(Table2[Am Law 200 PPP Rank ’16],MATCH(1,(Table1[[#This Row],[Employer]]=Table2[EIW Name])*(Table1[[#This Row],[City, State]]=Table2[Offices Matched]),0)),"")</f>
        <v/>
      </c>
      <c r="R379" s="50" t="str">
        <f>IFERROR(LEFT(Table1[[#This Row],[Am Law 200 PPP Rank ’16]],FIND(":",Table1[[#This Row],[Am Law 200 PPP Rank ’16]])-1),"")</f>
        <v/>
      </c>
      <c r="S379" s="50">
        <f>IFERROR(INDEX(VaultRank[Rank],MATCH(Table1[[#This Row],[Employer]],VaultRank[EIW Name],0)),"")</f>
        <v>24</v>
      </c>
      <c r="T379" s="50" t="str">
        <f t="array" ref="T379">IFERROR(INDEX(Table2[Summers Matched],MATCH(1,(Table1[[#This Row],[Employer]]=Table2[EIW Name])*(Table1[[#This Row],[City, State]]=Table2[Offices Matched]),0)),"")</f>
        <v/>
      </c>
      <c r="U379" s="52" t="str">
        <f t="shared" si="5"/>
        <v/>
      </c>
      <c r="V379" s="60"/>
      <c r="W379" s="114">
        <v>42593</v>
      </c>
      <c r="X379"/>
    </row>
    <row r="380" spans="1:24" ht="14.1" customHeight="1">
      <c r="A380" s="45" t="s">
        <v>154</v>
      </c>
      <c r="B380" s="45" t="s">
        <v>308</v>
      </c>
      <c r="C380" s="45" t="s">
        <v>309</v>
      </c>
      <c r="D380" s="45" t="str">
        <f>Table1[[#This Row],[City]]&amp;", "&amp;Table1[[#This Row],[State]]</f>
        <v>Atlanta, GA</v>
      </c>
      <c r="E380" s="49">
        <v>155</v>
      </c>
      <c r="F380" s="50">
        <v>5</v>
      </c>
      <c r="G380" s="50" t="str">
        <f t="array" ref="G380">IFERROR(INDEX(Table2[1st Year],MATCH(1,(Table1[[#This Row],[Employer]]=Table2[EIW Name])*(Table1[[#This Row],[City, State]]=Table2[Offices Matched]),0)),"")</f>
        <v>1st Year: $180K</v>
      </c>
      <c r="H380" s="50">
        <f>_xlfn.IFNA(INDEX(saCAGR[CAGR],MATCH(Table1[[#This Row],[Employer]],saCAGR[EIW Name],0)),"")</f>
        <v>1.0137917817793485</v>
      </c>
      <c r="I380" s="50">
        <f>IFERROR(Table1[[#This Row],[SA CAGR]]*Table1[[#This Row],[Number of Summer 2016 2L SAs]],"")</f>
        <v>5.0689589088967422</v>
      </c>
      <c r="J380" s="50">
        <v>19</v>
      </c>
      <c r="K380" s="51">
        <f>IFERROR(Table1[[#This Row],[Number of Summer 2016 NYU 2L SAs]]/Table1[[#This Row],[Interview Slots]],0)</f>
        <v>0.12258064516129032</v>
      </c>
      <c r="L380" s="51">
        <f>Table1[[#This Row],[Number of Summer 2016 2L SAs]]/Table1[[#This Row],[Interview Slots]]</f>
        <v>3.2258064516129031E-2</v>
      </c>
      <c r="M380" s="51">
        <f>IFERROR(Table1[[#This Row],[Number of Summer 2016 NYU 2L SAs]]/Table1[[#This Row],[Number of Summer 2016 2L SAs]],0)</f>
        <v>3.8</v>
      </c>
      <c r="N380" s="50" t="str">
        <f>IFERROR(RIGHT(Table1[[#This Row],[1st year]],LEN(Table1[[#This Row],[1st year]])-FIND(":",Table1[[#This Row],[1st year]])-1),"")</f>
        <v>$180K</v>
      </c>
      <c r="O380" s="50" t="str">
        <f t="array" ref="O380">IFERROR(INDEX(Table2[Nth year],MATCH(1,(Table1[[#This Row],[Employer]]=Table2[EIW Name])*(Table1[[#This Row],[City, State]]=Table2[Offices Matched]),0)),"")</f>
        <v>8th Year: $315K</v>
      </c>
      <c r="P380" s="50" t="str">
        <f>IFERROR(RIGHT(Table1[[#This Row],[Nth year]],LEN(Table1[[#This Row],[Nth year]])-FIND(":",Table1[[#This Row],[Nth year]])-1),"")</f>
        <v>$315K</v>
      </c>
      <c r="Q380" s="50" t="str">
        <f t="array" ref="Q380">IFERROR(INDEX(Table2[Am Law 200 PPP Rank ’16],MATCH(1,(Table1[[#This Row],[Employer]]=Table2[EIW Name])*(Table1[[#This Row],[City, State]]=Table2[Offices Matched]),0)),"")</f>
        <v>23: $2.51</v>
      </c>
      <c r="R380" s="50" t="str">
        <f>IFERROR(LEFT(Table1[[#This Row],[Am Law 200 PPP Rank ’16]],FIND(":",Table1[[#This Row],[Am Law 200 PPP Rank ’16]])-1),"")</f>
        <v>23</v>
      </c>
      <c r="S380" s="50">
        <f>IFERROR(INDEX(VaultRank[Rank],MATCH(Table1[[#This Row],[Employer]],VaultRank[EIW Name],0)),"")</f>
        <v>24</v>
      </c>
      <c r="T380" s="50" t="str">
        <f t="array" ref="T380">IFERROR(INDEX(Table2[Summers Matched],MATCH(1,(Table1[[#This Row],[Employer]]=Table2[EIW Name])*(Table1[[#This Row],[City, State]]=Table2[Offices Matched]),0)),"")</f>
        <v>TBD</v>
      </c>
      <c r="U380" s="52" t="str">
        <f t="shared" si="5"/>
        <v/>
      </c>
      <c r="V380" s="60"/>
      <c r="W380" s="114">
        <v>42595</v>
      </c>
      <c r="X380"/>
    </row>
    <row r="381" spans="1:24" ht="14.1" customHeight="1">
      <c r="A381" s="45" t="s">
        <v>154</v>
      </c>
      <c r="B381" s="45" t="s">
        <v>331</v>
      </c>
      <c r="C381" s="45" t="s">
        <v>314</v>
      </c>
      <c r="D381" s="45" t="str">
        <f>Table1[[#This Row],[City]]&amp;", "&amp;Table1[[#This Row],[State]]</f>
        <v>Houston, TX</v>
      </c>
      <c r="E381" s="49">
        <v>120</v>
      </c>
      <c r="F381" s="50">
        <v>7</v>
      </c>
      <c r="G381" s="50" t="str">
        <f t="array" ref="G381">IFERROR(INDEX(Table2[1st Year],MATCH(1,(Table1[[#This Row],[Employer]]=Table2[EIW Name])*(Table1[[#This Row],[City, State]]=Table2[Offices Matched]),0)),"")</f>
        <v>1st Year: $180K</v>
      </c>
      <c r="H381" s="50">
        <f>_xlfn.IFNA(INDEX(saCAGR[CAGR],MATCH(Table1[[#This Row],[Employer]],saCAGR[EIW Name],0)),"")</f>
        <v>1.0137917817793485</v>
      </c>
      <c r="I381" s="50">
        <f>IFERROR(Table1[[#This Row],[SA CAGR]]*Table1[[#This Row],[Number of Summer 2016 2L SAs]],"")</f>
        <v>7.0965424724554396</v>
      </c>
      <c r="J381" s="50">
        <v>18</v>
      </c>
      <c r="K381" s="51">
        <f>IFERROR(Table1[[#This Row],[Number of Summer 2016 NYU 2L SAs]]/Table1[[#This Row],[Interview Slots]],0)</f>
        <v>0.15</v>
      </c>
      <c r="L381" s="51">
        <f>Table1[[#This Row],[Number of Summer 2016 2L SAs]]/Table1[[#This Row],[Interview Slots]]</f>
        <v>5.8333333333333334E-2</v>
      </c>
      <c r="M381" s="51">
        <f>IFERROR(Table1[[#This Row],[Number of Summer 2016 NYU 2L SAs]]/Table1[[#This Row],[Number of Summer 2016 2L SAs]],0)</f>
        <v>2.5714285714285716</v>
      </c>
      <c r="N381" s="50" t="str">
        <f>IFERROR(RIGHT(Table1[[#This Row],[1st year]],LEN(Table1[[#This Row],[1st year]])-FIND(":",Table1[[#This Row],[1st year]])-1),"")</f>
        <v>$180K</v>
      </c>
      <c r="O381" s="50" t="str">
        <f t="array" ref="O381">IFERROR(INDEX(Table2[Nth year],MATCH(1,(Table1[[#This Row],[Employer]]=Table2[EIW Name])*(Table1[[#This Row],[City, State]]=Table2[Offices Matched]),0)),"")</f>
        <v>8th Year: $315K</v>
      </c>
      <c r="P381" s="50" t="str">
        <f>IFERROR(RIGHT(Table1[[#This Row],[Nth year]],LEN(Table1[[#This Row],[Nth year]])-FIND(":",Table1[[#This Row],[Nth year]])-1),"")</f>
        <v>$315K</v>
      </c>
      <c r="Q381" s="50" t="str">
        <f t="array" ref="Q381">IFERROR(INDEX(Table2[Am Law 200 PPP Rank ’16],MATCH(1,(Table1[[#This Row],[Employer]]=Table2[EIW Name])*(Table1[[#This Row],[City, State]]=Table2[Offices Matched]),0)),"")</f>
        <v>23: $2.51</v>
      </c>
      <c r="R381" s="50" t="str">
        <f>IFERROR(LEFT(Table1[[#This Row],[Am Law 200 PPP Rank ’16]],FIND(":",Table1[[#This Row],[Am Law 200 PPP Rank ’16]])-1),"")</f>
        <v>23</v>
      </c>
      <c r="S381" s="50">
        <f>IFERROR(INDEX(VaultRank[Rank],MATCH(Table1[[#This Row],[Employer]],VaultRank[EIW Name],0)),"")</f>
        <v>24</v>
      </c>
      <c r="T381" s="50" t="str">
        <f t="array" ref="T381">IFERROR(INDEX(Table2[Summers Matched],MATCH(1,(Table1[[#This Row],[Employer]]=Table2[EIW Name])*(Table1[[#This Row],[City, State]]=Table2[Offices Matched]),0)),"")</f>
        <v>TBD</v>
      </c>
      <c r="U381" s="52" t="str">
        <f t="shared" si="5"/>
        <v/>
      </c>
      <c r="V381" s="60"/>
      <c r="W381" s="114">
        <v>42592</v>
      </c>
      <c r="X381"/>
    </row>
    <row r="382" spans="1:24" ht="14.1" customHeight="1">
      <c r="A382" s="45" t="s">
        <v>460</v>
      </c>
      <c r="B382" s="45" t="s">
        <v>364</v>
      </c>
      <c r="C382" s="45" t="s">
        <v>362</v>
      </c>
      <c r="D382" s="45" t="str">
        <f>Table1[[#This Row],[City]]&amp;", "&amp;Table1[[#This Row],[State]]</f>
        <v>New York, NY</v>
      </c>
      <c r="E382" s="49">
        <v>146</v>
      </c>
      <c r="F382" s="50">
        <v>15</v>
      </c>
      <c r="G382" s="50" t="str">
        <f t="array" ref="G382">IFERROR(INDEX(Table2[1st Year],MATCH(1,(Table1[[#This Row],[Employer]]=Table2[EIW Name])*(Table1[[#This Row],[City, State]]=Table2[Offices Matched]),0)),"")</f>
        <v>1st Year: $180K</v>
      </c>
      <c r="H382" s="51">
        <f>_xlfn.IFNA(INDEX(saCAGR[CAGR],MATCH(Table1[[#This Row],[Employer]],saCAGR[EIW Name],0)),"")</f>
        <v>0.99307150236489694</v>
      </c>
      <c r="I382" s="50">
        <f>IFERROR(Table1[[#This Row],[SA CAGR]]*Table1[[#This Row],[Number of Summer 2016 2L SAs]],"")</f>
        <v>14.896072535473454</v>
      </c>
      <c r="J382" s="50">
        <v>25</v>
      </c>
      <c r="K382" s="51">
        <f>IFERROR(Table1[[#This Row],[Number of Summer 2016 NYU 2L SAs]]/Table1[[#This Row],[Interview Slots]],0)</f>
        <v>0.17123287671232876</v>
      </c>
      <c r="L382" s="51">
        <f>Table1[[#This Row],[Number of Summer 2016 2L SAs]]/Table1[[#This Row],[Interview Slots]]</f>
        <v>0.10273972602739725</v>
      </c>
      <c r="M382" s="51">
        <f>IFERROR(Table1[[#This Row],[Number of Summer 2016 NYU 2L SAs]]/Table1[[#This Row],[Number of Summer 2016 2L SAs]],0)</f>
        <v>1.6666666666666667</v>
      </c>
      <c r="N382" s="50" t="str">
        <f>IFERROR(RIGHT(Table1[[#This Row],[1st year]],LEN(Table1[[#This Row],[1st year]])-FIND(":",Table1[[#This Row],[1st year]])-1),"")</f>
        <v>$180K</v>
      </c>
      <c r="O382" s="50" t="str">
        <f t="array" ref="O382">IFERROR(INDEX(Table2[Nth year],MATCH(1,(Table1[[#This Row],[Employer]]=Table2[EIW Name])*(Table1[[#This Row],[City, State]]=Table2[Offices Matched]),0)),"")</f>
        <v>12th+ Year: $340K</v>
      </c>
      <c r="P382" s="50" t="str">
        <f>IFERROR(RIGHT(Table1[[#This Row],[Nth year]],LEN(Table1[[#This Row],[Nth year]])-FIND(":",Table1[[#This Row],[Nth year]])-1),"")</f>
        <v>$340K</v>
      </c>
      <c r="Q382" s="50" t="str">
        <f t="array" ref="Q382">IFERROR(INDEX(Table2[Am Law 200 PPP Rank ’16],MATCH(1,(Table1[[#This Row],[Employer]]=Table2[EIW Name])*(Table1[[#This Row],[City, State]]=Table2[Offices Matched]),0)),"")</f>
        <v>42: $1.83M</v>
      </c>
      <c r="R382" s="50" t="str">
        <f>IFERROR(LEFT(Table1[[#This Row],[Am Law 200 PPP Rank ’16]],FIND(":",Table1[[#This Row],[Am Law 200 PPP Rank ’16]])-1),"")</f>
        <v>42</v>
      </c>
      <c r="S382" s="50">
        <f>IFERROR(INDEX(VaultRank[Rank],MATCH(Table1[[#This Row],[Employer]],VaultRank[EIW Name],0)),"")</f>
        <v>87</v>
      </c>
      <c r="T382" s="50" t="str">
        <f t="array" ref="T382">IFERROR(INDEX(Table2[Summers Matched],MATCH(1,(Table1[[#This Row],[Employer]]=Table2[EIW Name])*(Table1[[#This Row],[City, State]]=Table2[Offices Matched]),0)),"")</f>
        <v>TBD</v>
      </c>
      <c r="U382" s="52" t="str">
        <f t="shared" si="5"/>
        <v/>
      </c>
      <c r="V382" s="60"/>
      <c r="W382" s="114">
        <v>42594</v>
      </c>
      <c r="X382"/>
    </row>
    <row r="383" spans="1:24" ht="14.1" customHeight="1">
      <c r="A383" s="45" t="s">
        <v>379</v>
      </c>
      <c r="B383" s="45" t="s">
        <v>364</v>
      </c>
      <c r="C383" s="45" t="s">
        <v>362</v>
      </c>
      <c r="D383" s="45" t="str">
        <f>Table1[[#This Row],[City]]&amp;", "&amp;Table1[[#This Row],[State]]</f>
        <v>New York, NY</v>
      </c>
      <c r="E383" s="49">
        <v>13</v>
      </c>
      <c r="F383" s="50">
        <v>3</v>
      </c>
      <c r="G383" s="50" t="str">
        <f t="array" ref="G383">IFERROR(INDEX(Table2[1st Year],MATCH(1,(Table1[[#This Row],[Employer]]=Table2[EIW Name])*(Table1[[#This Row],[City, State]]=Table2[Offices Matched]),0)),"")</f>
        <v/>
      </c>
      <c r="H383" s="50" t="str">
        <f>_xlfn.IFNA(INDEX(saCAGR[CAGR],MATCH(Table1[[#This Row],[Employer]],saCAGR[EIW Name],0)),"")</f>
        <v/>
      </c>
      <c r="I383" s="50" t="str">
        <f>IFERROR(Table1[[#This Row],[SA CAGR]]*Table1[[#This Row],[Number of Summer 2016 2L SAs]],"")</f>
        <v/>
      </c>
      <c r="J383" s="50">
        <v>21</v>
      </c>
      <c r="K383" s="51">
        <f>IFERROR(Table1[[#This Row],[Number of Summer 2016 NYU 2L SAs]]/Table1[[#This Row],[Interview Slots]],0)</f>
        <v>1.6153846153846154</v>
      </c>
      <c r="L383" s="51">
        <f>Table1[[#This Row],[Number of Summer 2016 2L SAs]]/Table1[[#This Row],[Interview Slots]]</f>
        <v>0.23076923076923078</v>
      </c>
      <c r="M383" s="51">
        <f>IFERROR(Table1[[#This Row],[Number of Summer 2016 NYU 2L SAs]]/Table1[[#This Row],[Number of Summer 2016 2L SAs]],0)</f>
        <v>7</v>
      </c>
      <c r="N383" s="50" t="str">
        <f>IFERROR(RIGHT(Table1[[#This Row],[1st year]],LEN(Table1[[#This Row],[1st year]])-FIND(":",Table1[[#This Row],[1st year]])-1),"")</f>
        <v/>
      </c>
      <c r="O383" s="50" t="str">
        <f t="array" ref="O383">IFERROR(INDEX(Table2[Nth year],MATCH(1,(Table1[[#This Row],[Employer]]=Table2[EIW Name])*(Table1[[#This Row],[City, State]]=Table2[Offices Matched]),0)),"")</f>
        <v/>
      </c>
      <c r="P383" s="50" t="str">
        <f>IFERROR(RIGHT(Table1[[#This Row],[Nth year]],LEN(Table1[[#This Row],[Nth year]])-FIND(":",Table1[[#This Row],[Nth year]])-1),"")</f>
        <v/>
      </c>
      <c r="Q383" s="50" t="str">
        <f t="array" ref="Q383">IFERROR(INDEX(Table2[Am Law 200 PPP Rank ’16],MATCH(1,(Table1[[#This Row],[Employer]]=Table2[EIW Name])*(Table1[[#This Row],[City, State]]=Table2[Offices Matched]),0)),"")</f>
        <v/>
      </c>
      <c r="R383" s="50" t="str">
        <f>IFERROR(LEFT(Table1[[#This Row],[Am Law 200 PPP Rank ’16]],FIND(":",Table1[[#This Row],[Am Law 200 PPP Rank ’16]])-1),"")</f>
        <v/>
      </c>
      <c r="S383" s="50">
        <f>IFERROR(INDEX(VaultRank[Rank],MATCH(Table1[[#This Row],[Employer]],VaultRank[EIW Name],0)),"")</f>
        <v>89</v>
      </c>
      <c r="T383" s="50" t="str">
        <f t="array" ref="T383">IFERROR(INDEX(Table2[Summers Matched],MATCH(1,(Table1[[#This Row],[Employer]]=Table2[EIW Name])*(Table1[[#This Row],[City, State]]=Table2[Offices Matched]),0)),"")</f>
        <v/>
      </c>
      <c r="U383" s="52" t="str">
        <f t="shared" si="5"/>
        <v/>
      </c>
      <c r="V383" s="60"/>
      <c r="W383" s="114">
        <v>42592</v>
      </c>
      <c r="X383"/>
    </row>
    <row r="384" spans="1:24" ht="14.1" customHeight="1">
      <c r="A384" s="45" t="s">
        <v>489</v>
      </c>
      <c r="B384" s="45" t="s">
        <v>301</v>
      </c>
      <c r="C384" s="45" t="s">
        <v>302</v>
      </c>
      <c r="D384" s="45" t="str">
        <f>Table1[[#This Row],[City]]&amp;", "&amp;Table1[[#This Row],[State]]</f>
        <v>Washington, DC</v>
      </c>
      <c r="E384" s="49">
        <v>142</v>
      </c>
      <c r="F384" s="50">
        <v>18</v>
      </c>
      <c r="G384" s="50" t="str">
        <f t="array" ref="G384">IFERROR(INDEX(Table2[1st Year],MATCH(1,(Table1[[#This Row],[Employer]]=Table2[EIW Name])*(Table1[[#This Row],[City, State]]=Table2[Offices Matched]),0)),"")</f>
        <v/>
      </c>
      <c r="H384" s="50">
        <f>_xlfn.IFNA(INDEX(saCAGR[CAGR],MATCH(Table1[[#This Row],[Employer]],saCAGR[EIW Name],0)),"")</f>
        <v>1.017438142714215</v>
      </c>
      <c r="I384" s="50">
        <f>IFERROR(Table1[[#This Row],[SA CAGR]]*Table1[[#This Row],[Number of Summer 2016 2L SAs]],"")</f>
        <v>18.313886568855871</v>
      </c>
      <c r="J384" s="50">
        <v>5</v>
      </c>
      <c r="K384" s="51">
        <f>IFERROR(Table1[[#This Row],[Number of Summer 2016 NYU 2L SAs]]/Table1[[#This Row],[Interview Slots]],0)</f>
        <v>3.5211267605633804E-2</v>
      </c>
      <c r="L384" s="51">
        <f>Table1[[#This Row],[Number of Summer 2016 2L SAs]]/Table1[[#This Row],[Interview Slots]]</f>
        <v>0.12676056338028169</v>
      </c>
      <c r="M384" s="51">
        <f>IFERROR(Table1[[#This Row],[Number of Summer 2016 NYU 2L SAs]]/Table1[[#This Row],[Number of Summer 2016 2L SAs]],0)</f>
        <v>0.27777777777777779</v>
      </c>
      <c r="N384" s="50" t="str">
        <f>IFERROR(RIGHT(Table1[[#This Row],[1st year]],LEN(Table1[[#This Row],[1st year]])-FIND(":",Table1[[#This Row],[1st year]])-1),"")</f>
        <v/>
      </c>
      <c r="O384" s="50" t="str">
        <f t="array" ref="O384">IFERROR(INDEX(Table2[Nth year],MATCH(1,(Table1[[#This Row],[Employer]]=Table2[EIW Name])*(Table1[[#This Row],[City, State]]=Table2[Offices Matched]),0)),"")</f>
        <v/>
      </c>
      <c r="P384" s="50" t="str">
        <f>IFERROR(RIGHT(Table1[[#This Row],[Nth year]],LEN(Table1[[#This Row],[Nth year]])-FIND(":",Table1[[#This Row],[Nth year]])-1),"")</f>
        <v/>
      </c>
      <c r="Q384" s="50" t="str">
        <f t="array" ref="Q384">IFERROR(INDEX(Table2[Am Law 200 PPP Rank ’16],MATCH(1,(Table1[[#This Row],[Employer]]=Table2[EIW Name])*(Table1[[#This Row],[City, State]]=Table2[Offices Matched]),0)),"")</f>
        <v/>
      </c>
      <c r="R384" s="50" t="str">
        <f>IFERROR(LEFT(Table1[[#This Row],[Am Law 200 PPP Rank ’16]],FIND(":",Table1[[#This Row],[Am Law 200 PPP Rank ’16]])-1),"")</f>
        <v/>
      </c>
      <c r="S384" s="50">
        <f>IFERROR(INDEX(VaultRank[Rank],MATCH(Table1[[#This Row],[Employer]],VaultRank[EIW Name],0)),"")</f>
        <v>12</v>
      </c>
      <c r="T384" s="50" t="str">
        <f t="array" ref="T384">IFERROR(INDEX(Table2[Summers Matched],MATCH(1,(Table1[[#This Row],[Employer]]=Table2[EIW Name])*(Table1[[#This Row],[City, State]]=Table2[Offices Matched]),0)),"")</f>
        <v/>
      </c>
      <c r="U384" s="52">
        <f t="shared" si="5"/>
        <v>3.4</v>
      </c>
      <c r="V384" s="60"/>
      <c r="W384" s="114">
        <v>42593</v>
      </c>
      <c r="X384"/>
    </row>
    <row r="385" spans="1:24" ht="14.1" customHeight="1">
      <c r="A385" s="61" t="s">
        <v>489</v>
      </c>
      <c r="B385" s="61" t="s">
        <v>492</v>
      </c>
      <c r="C385" s="42" t="s">
        <v>743</v>
      </c>
      <c r="D385" s="42" t="str">
        <f>Table1[[#This Row],[City]]&amp;", "&amp;Table1[[#This Row],[State]]</f>
        <v>London/NY, UK-
International</v>
      </c>
      <c r="E385" s="60">
        <v>60</v>
      </c>
      <c r="F385" s="50">
        <v>1</v>
      </c>
      <c r="G385" s="50" t="str">
        <f t="array" ref="G385">IFERROR(INDEX(Table2[1st Year],MATCH(1,(Table1[[#This Row],[Employer]]=Table2[EIW Name])*(Table1[[#This Row],[City, State]]=Table2[Offices Matched]),0)),"")</f>
        <v/>
      </c>
      <c r="H385" s="50">
        <f>_xlfn.IFNA(INDEX(saCAGR[CAGR],MATCH(Table1[[#This Row],[Employer]],saCAGR[EIW Name],0)),"")</f>
        <v>1.017438142714215</v>
      </c>
      <c r="I385" s="50">
        <f>IFERROR(Table1[[#This Row],[SA CAGR]]*Table1[[#This Row],[Number of Summer 2016 2L SAs]],"")</f>
        <v>1.017438142714215</v>
      </c>
      <c r="J385" s="50">
        <v>13</v>
      </c>
      <c r="K385" s="51">
        <f>IFERROR(Table1[[#This Row],[Number of Summer 2016 NYU 2L SAs]]/Table1[[#This Row],[Interview Slots]],0)</f>
        <v>0.21666666666666667</v>
      </c>
      <c r="L385" s="51">
        <f>Table1[[#This Row],[Number of Summer 2016 2L SAs]]/Table1[[#This Row],[Interview Slots]]</f>
        <v>1.6666666666666666E-2</v>
      </c>
      <c r="M385" s="51">
        <f>IFERROR(Table1[[#This Row],[Number of Summer 2016 NYU 2L SAs]]/Table1[[#This Row],[Number of Summer 2016 2L SAs]],0)</f>
        <v>13</v>
      </c>
      <c r="N385" s="50" t="str">
        <f>IFERROR(RIGHT(Table1[[#This Row],[1st year]],LEN(Table1[[#This Row],[1st year]])-FIND(":",Table1[[#This Row],[1st year]])-1),"")</f>
        <v/>
      </c>
      <c r="O385" s="50" t="str">
        <f t="array" ref="O385">IFERROR(INDEX(Table2[Nth year],MATCH(1,(Table1[[#This Row],[Employer]]=Table2[EIW Name])*(Table1[[#This Row],[City, State]]=Table2[Offices Matched]),0)),"")</f>
        <v/>
      </c>
      <c r="P385" s="50" t="str">
        <f>IFERROR(RIGHT(Table1[[#This Row],[Nth year]],LEN(Table1[[#This Row],[Nth year]])-FIND(":",Table1[[#This Row],[Nth year]])-1),"")</f>
        <v/>
      </c>
      <c r="Q385" s="50" t="str">
        <f t="array" ref="Q385">IFERROR(INDEX(Table2[Am Law 200 PPP Rank ’16],MATCH(1,(Table1[[#This Row],[Employer]]=Table2[EIW Name])*(Table1[[#This Row],[City, State]]=Table2[Offices Matched]),0)),"")</f>
        <v/>
      </c>
      <c r="R385" s="50" t="str">
        <f>IFERROR(LEFT(Table1[[#This Row],[Am Law 200 PPP Rank ’16]],FIND(":",Table1[[#This Row],[Am Law 200 PPP Rank ’16]])-1),"")</f>
        <v/>
      </c>
      <c r="S385" s="50">
        <f>IFERROR(INDEX(VaultRank[Rank],MATCH(Table1[[#This Row],[Employer]],VaultRank[EIW Name],0)),"")</f>
        <v>12</v>
      </c>
      <c r="T385" s="50" t="str">
        <f t="array" ref="T385">IFERROR(INDEX(Table2[Summers Matched],MATCH(1,(Table1[[#This Row],[Employer]]=Table2[EIW Name])*(Table1[[#This Row],[City, State]]=Table2[Offices Matched]),0)),"")</f>
        <v/>
      </c>
      <c r="U385" s="52" t="str">
        <f t="shared" si="5"/>
        <v/>
      </c>
      <c r="V385" s="60"/>
      <c r="W385" s="114">
        <v>42592</v>
      </c>
      <c r="X385"/>
    </row>
    <row r="386" spans="1:24" ht="14.1" customHeight="1">
      <c r="A386" s="61" t="s">
        <v>489</v>
      </c>
      <c r="B386" s="61" t="s">
        <v>490</v>
      </c>
      <c r="C386" s="42" t="s">
        <v>745</v>
      </c>
      <c r="D386" s="42" t="str">
        <f>Table1[[#This Row],[City]]&amp;", "&amp;Table1[[#This Row],[State]]</f>
        <v>Hong Kong/NY, ASIA-
International</v>
      </c>
      <c r="E386" s="60">
        <v>90</v>
      </c>
      <c r="F386" s="50">
        <v>2</v>
      </c>
      <c r="G386" s="50" t="str">
        <f t="array" ref="G386">IFERROR(INDEX(Table2[1st Year],MATCH(1,(Table1[[#This Row],[Employer]]=Table2[EIW Name])*(Table1[[#This Row],[City, State]]=Table2[Offices Matched]),0)),"")</f>
        <v/>
      </c>
      <c r="H386" s="50">
        <f>_xlfn.IFNA(INDEX(saCAGR[CAGR],MATCH(Table1[[#This Row],[Employer]],saCAGR[EIW Name],0)),"")</f>
        <v>1.017438142714215</v>
      </c>
      <c r="I386" s="50">
        <f>IFERROR(Table1[[#This Row],[SA CAGR]]*Table1[[#This Row],[Number of Summer 2016 2L SAs]],"")</f>
        <v>2.0348762854284299</v>
      </c>
      <c r="J386" s="50">
        <v>24</v>
      </c>
      <c r="K386" s="51">
        <f>IFERROR(Table1[[#This Row],[Number of Summer 2016 NYU 2L SAs]]/Table1[[#This Row],[Interview Slots]],0)</f>
        <v>0.26666666666666666</v>
      </c>
      <c r="L386" s="51">
        <f>Table1[[#This Row],[Number of Summer 2016 2L SAs]]/Table1[[#This Row],[Interview Slots]]</f>
        <v>2.2222222222222223E-2</v>
      </c>
      <c r="M386" s="51">
        <f>IFERROR(Table1[[#This Row],[Number of Summer 2016 NYU 2L SAs]]/Table1[[#This Row],[Number of Summer 2016 2L SAs]],0)</f>
        <v>12</v>
      </c>
      <c r="N386" s="50" t="str">
        <f>IFERROR(RIGHT(Table1[[#This Row],[1st year]],LEN(Table1[[#This Row],[1st year]])-FIND(":",Table1[[#This Row],[1st year]])-1),"")</f>
        <v/>
      </c>
      <c r="O386" s="50" t="str">
        <f t="array" ref="O386">IFERROR(INDEX(Table2[Nth year],MATCH(1,(Table1[[#This Row],[Employer]]=Table2[EIW Name])*(Table1[[#This Row],[City, State]]=Table2[Offices Matched]),0)),"")</f>
        <v/>
      </c>
      <c r="P386" s="50" t="str">
        <f>IFERROR(RIGHT(Table1[[#This Row],[Nth year]],LEN(Table1[[#This Row],[Nth year]])-FIND(":",Table1[[#This Row],[Nth year]])-1),"")</f>
        <v/>
      </c>
      <c r="Q386" s="50" t="str">
        <f t="array" ref="Q386">IFERROR(INDEX(Table2[Am Law 200 PPP Rank ’16],MATCH(1,(Table1[[#This Row],[Employer]]=Table2[EIW Name])*(Table1[[#This Row],[City, State]]=Table2[Offices Matched]),0)),"")</f>
        <v/>
      </c>
      <c r="R386" s="50" t="str">
        <f>IFERROR(LEFT(Table1[[#This Row],[Am Law 200 PPP Rank ’16]],FIND(":",Table1[[#This Row],[Am Law 200 PPP Rank ’16]])-1),"")</f>
        <v/>
      </c>
      <c r="S386" s="50">
        <f>IFERROR(INDEX(VaultRank[Rank],MATCH(Table1[[#This Row],[Employer]],VaultRank[EIW Name],0)),"")</f>
        <v>12</v>
      </c>
      <c r="T386" s="50" t="str">
        <f t="array" ref="T386">IFERROR(INDEX(Table2[Summers Matched],MATCH(1,(Table1[[#This Row],[Employer]]=Table2[EIW Name])*(Table1[[#This Row],[City, State]]=Table2[Offices Matched]),0)),"")</f>
        <v/>
      </c>
      <c r="U386" s="52" t="str">
        <f t="shared" ref="U386:U449" si="6">IF(MOD(ROW(),23)=0,3.6,IF(MOD(ROW(),16)=0,3.4,""))</f>
        <v/>
      </c>
      <c r="V386" s="60"/>
      <c r="W386" s="114">
        <v>42592</v>
      </c>
      <c r="X386"/>
    </row>
    <row r="387" spans="1:24" ht="14.1" customHeight="1">
      <c r="A387" s="61" t="s">
        <v>489</v>
      </c>
      <c r="B387" s="61" t="s">
        <v>491</v>
      </c>
      <c r="C387" s="42" t="s">
        <v>745</v>
      </c>
      <c r="D387" s="42" t="str">
        <f>Table1[[#This Row],[City]]&amp;", "&amp;Table1[[#This Row],[State]]</f>
        <v>Tokyo/NY, ASIA-
International</v>
      </c>
      <c r="E387" s="60">
        <v>48</v>
      </c>
      <c r="F387" s="50">
        <v>1</v>
      </c>
      <c r="G387" s="50" t="str">
        <f t="array" ref="G387">IFERROR(INDEX(Table2[1st Year],MATCH(1,(Table1[[#This Row],[Employer]]=Table2[EIW Name])*(Table1[[#This Row],[City, State]]=Table2[Offices Matched]),0)),"")</f>
        <v/>
      </c>
      <c r="H387" s="50">
        <f>_xlfn.IFNA(INDEX(saCAGR[CAGR],MATCH(Table1[[#This Row],[Employer]],saCAGR[EIW Name],0)),"")</f>
        <v>1.017438142714215</v>
      </c>
      <c r="I387" s="50">
        <f>IFERROR(Table1[[#This Row],[SA CAGR]]*Table1[[#This Row],[Number of Summer 2016 2L SAs]],"")</f>
        <v>1.017438142714215</v>
      </c>
      <c r="J387" s="50">
        <v>21</v>
      </c>
      <c r="K387" s="51">
        <f>IFERROR(Table1[[#This Row],[Number of Summer 2016 NYU 2L SAs]]/Table1[[#This Row],[Interview Slots]],0)</f>
        <v>0.4375</v>
      </c>
      <c r="L387" s="51">
        <f>Table1[[#This Row],[Number of Summer 2016 2L SAs]]/Table1[[#This Row],[Interview Slots]]</f>
        <v>2.0833333333333332E-2</v>
      </c>
      <c r="M387" s="51">
        <f>IFERROR(Table1[[#This Row],[Number of Summer 2016 NYU 2L SAs]]/Table1[[#This Row],[Number of Summer 2016 2L SAs]],0)</f>
        <v>21</v>
      </c>
      <c r="N387" s="50" t="str">
        <f>IFERROR(RIGHT(Table1[[#This Row],[1st year]],LEN(Table1[[#This Row],[1st year]])-FIND(":",Table1[[#This Row],[1st year]])-1),"")</f>
        <v/>
      </c>
      <c r="O387" s="50" t="str">
        <f t="array" ref="O387">IFERROR(INDEX(Table2[Nth year],MATCH(1,(Table1[[#This Row],[Employer]]=Table2[EIW Name])*(Table1[[#This Row],[City, State]]=Table2[Offices Matched]),0)),"")</f>
        <v/>
      </c>
      <c r="P387" s="50" t="str">
        <f>IFERROR(RIGHT(Table1[[#This Row],[Nth year]],LEN(Table1[[#This Row],[Nth year]])-FIND(":",Table1[[#This Row],[Nth year]])-1),"")</f>
        <v/>
      </c>
      <c r="Q387" s="50" t="str">
        <f t="array" ref="Q387">IFERROR(INDEX(Table2[Am Law 200 PPP Rank ’16],MATCH(1,(Table1[[#This Row],[Employer]]=Table2[EIW Name])*(Table1[[#This Row],[City, State]]=Table2[Offices Matched]),0)),"")</f>
        <v/>
      </c>
      <c r="R387" s="50" t="str">
        <f>IFERROR(LEFT(Table1[[#This Row],[Am Law 200 PPP Rank ’16]],FIND(":",Table1[[#This Row],[Am Law 200 PPP Rank ’16]])-1),"")</f>
        <v/>
      </c>
      <c r="S387" s="50">
        <f>IFERROR(INDEX(VaultRank[Rank],MATCH(Table1[[#This Row],[Employer]],VaultRank[EIW Name],0)),"")</f>
        <v>12</v>
      </c>
      <c r="T387" s="50" t="str">
        <f t="array" ref="T387">IFERROR(INDEX(Table2[Summers Matched],MATCH(1,(Table1[[#This Row],[Employer]]=Table2[EIW Name])*(Table1[[#This Row],[City, State]]=Table2[Offices Matched]),0)),"")</f>
        <v/>
      </c>
      <c r="U387" s="52" t="str">
        <f t="shared" si="6"/>
        <v/>
      </c>
      <c r="V387" s="60"/>
      <c r="W387" s="114">
        <v>42592</v>
      </c>
      <c r="X387"/>
    </row>
    <row r="388" spans="1:24" ht="14.1" customHeight="1">
      <c r="A388" s="45" t="s">
        <v>493</v>
      </c>
      <c r="B388" s="45" t="s">
        <v>329</v>
      </c>
      <c r="C388" s="45" t="s">
        <v>330</v>
      </c>
      <c r="D388" s="45" t="str">
        <f>Table1[[#This Row],[City]]&amp;", "&amp;Table1[[#This Row],[State]]</f>
        <v>Philadelphia, PA</v>
      </c>
      <c r="E388" s="49">
        <v>193</v>
      </c>
      <c r="F388" s="50">
        <v>10</v>
      </c>
      <c r="G388" s="50" t="str">
        <f t="array" ref="G388">IFERROR(INDEX(Table2[1st Year],MATCH(1,(Table1[[#This Row],[Employer]]=Table2[EIW Name])*(Table1[[#This Row],[City, State]]=Table2[Offices Matched]),0)),"")</f>
        <v/>
      </c>
      <c r="H388" s="50">
        <f>_xlfn.IFNA(INDEX(saCAGR[CAGR],MATCH(Table1[[#This Row],[Employer]],saCAGR[EIW Name],0)),"")</f>
        <v>1.0045496230289779</v>
      </c>
      <c r="I388" s="50">
        <f>IFERROR(Table1[[#This Row],[SA CAGR]]*Table1[[#This Row],[Number of Summer 2016 2L SAs]],"")</f>
        <v>10.045496230289778</v>
      </c>
      <c r="J388" s="50">
        <v>11</v>
      </c>
      <c r="K388" s="51">
        <f>IFERROR(Table1[[#This Row],[Number of Summer 2016 NYU 2L SAs]]/Table1[[#This Row],[Interview Slots]],0)</f>
        <v>5.6994818652849742E-2</v>
      </c>
      <c r="L388" s="51">
        <f>Table1[[#This Row],[Number of Summer 2016 2L SAs]]/Table1[[#This Row],[Interview Slots]]</f>
        <v>5.181347150259067E-2</v>
      </c>
      <c r="M388" s="51">
        <f>IFERROR(Table1[[#This Row],[Number of Summer 2016 NYU 2L SAs]]/Table1[[#This Row],[Number of Summer 2016 2L SAs]],0)</f>
        <v>1.1000000000000001</v>
      </c>
      <c r="N388" s="50" t="str">
        <f>IFERROR(RIGHT(Table1[[#This Row],[1st year]],LEN(Table1[[#This Row],[1st year]])-FIND(":",Table1[[#This Row],[1st year]])-1),"")</f>
        <v/>
      </c>
      <c r="O388" s="50" t="str">
        <f t="array" ref="O388">IFERROR(INDEX(Table2[Nth year],MATCH(1,(Table1[[#This Row],[Employer]]=Table2[EIW Name])*(Table1[[#This Row],[City, State]]=Table2[Offices Matched]),0)),"")</f>
        <v/>
      </c>
      <c r="P388" s="50" t="str">
        <f>IFERROR(RIGHT(Table1[[#This Row],[Nth year]],LEN(Table1[[#This Row],[Nth year]])-FIND(":",Table1[[#This Row],[Nth year]])-1),"")</f>
        <v/>
      </c>
      <c r="Q388" s="50" t="str">
        <f t="array" ref="Q388">IFERROR(INDEX(Table2[Am Law 200 PPP Rank ’16],MATCH(1,(Table1[[#This Row],[Employer]]=Table2[EIW Name])*(Table1[[#This Row],[City, State]]=Table2[Offices Matched]),0)),"")</f>
        <v/>
      </c>
      <c r="R388" s="50" t="str">
        <f>IFERROR(LEFT(Table1[[#This Row],[Am Law 200 PPP Rank ’16]],FIND(":",Table1[[#This Row],[Am Law 200 PPP Rank ’16]])-1),"")</f>
        <v/>
      </c>
      <c r="S388" s="50">
        <f>IFERROR(INDEX(VaultRank[Rank],MATCH(Table1[[#This Row],[Employer]],VaultRank[EIW Name],0)),"")</f>
        <v>92</v>
      </c>
      <c r="T388" s="50" t="str">
        <f t="array" ref="T388">IFERROR(INDEX(Table2[Summers Matched],MATCH(1,(Table1[[#This Row],[Employer]]=Table2[EIW Name])*(Table1[[#This Row],[City, State]]=Table2[Offices Matched]),0)),"")</f>
        <v/>
      </c>
      <c r="U388" s="52" t="str">
        <f t="shared" si="6"/>
        <v/>
      </c>
      <c r="V388" s="60"/>
      <c r="W388" s="114">
        <v>42592</v>
      </c>
      <c r="X388"/>
    </row>
    <row r="389" spans="1:24" ht="14.1" customHeight="1">
      <c r="A389" s="45" t="s">
        <v>469</v>
      </c>
      <c r="B389" s="45" t="s">
        <v>364</v>
      </c>
      <c r="C389" s="45" t="s">
        <v>362</v>
      </c>
      <c r="D389" s="45" t="str">
        <f>Table1[[#This Row],[City]]&amp;", "&amp;Table1[[#This Row],[State]]</f>
        <v>New York, NY</v>
      </c>
      <c r="E389" s="49">
        <v>34</v>
      </c>
      <c r="F389" s="50">
        <v>2</v>
      </c>
      <c r="G389" s="50" t="str">
        <f t="array" ref="G389">IFERROR(INDEX(Table2[1st Year],MATCH(1,(Table1[[#This Row],[Employer]]=Table2[EIW Name])*(Table1[[#This Row],[City, State]]=Table2[Offices Matched]),0)),"")</f>
        <v/>
      </c>
      <c r="H389" s="50" t="str">
        <f>_xlfn.IFNA(INDEX(saCAGR[CAGR],MATCH(Table1[[#This Row],[Employer]],saCAGR[EIW Name],0)),"")</f>
        <v/>
      </c>
      <c r="I389" s="50" t="str">
        <f>IFERROR(Table1[[#This Row],[SA CAGR]]*Table1[[#This Row],[Number of Summer 2016 2L SAs]],"")</f>
        <v/>
      </c>
      <c r="J389" s="50">
        <v>2</v>
      </c>
      <c r="K389" s="51">
        <f>IFERROR(Table1[[#This Row],[Number of Summer 2016 NYU 2L SAs]]/Table1[[#This Row],[Interview Slots]],0)</f>
        <v>5.8823529411764705E-2</v>
      </c>
      <c r="L389" s="51">
        <f>Table1[[#This Row],[Number of Summer 2016 2L SAs]]/Table1[[#This Row],[Interview Slots]]</f>
        <v>5.8823529411764705E-2</v>
      </c>
      <c r="M389" s="51">
        <f>IFERROR(Table1[[#This Row],[Number of Summer 2016 NYU 2L SAs]]/Table1[[#This Row],[Number of Summer 2016 2L SAs]],0)</f>
        <v>1</v>
      </c>
      <c r="N389" s="50" t="str">
        <f>IFERROR(RIGHT(Table1[[#This Row],[1st year]],LEN(Table1[[#This Row],[1st year]])-FIND(":",Table1[[#This Row],[1st year]])-1),"")</f>
        <v/>
      </c>
      <c r="O389" s="50" t="str">
        <f t="array" ref="O389">IFERROR(INDEX(Table2[Nth year],MATCH(1,(Table1[[#This Row],[Employer]]=Table2[EIW Name])*(Table1[[#This Row],[City, State]]=Table2[Offices Matched]),0)),"")</f>
        <v/>
      </c>
      <c r="P389" s="50" t="str">
        <f>IFERROR(RIGHT(Table1[[#This Row],[Nth year]],LEN(Table1[[#This Row],[Nth year]])-FIND(":",Table1[[#This Row],[Nth year]])-1),"")</f>
        <v/>
      </c>
      <c r="Q389" s="50" t="str">
        <f t="array" ref="Q389">IFERROR(INDEX(Table2[Am Law 200 PPP Rank ’16],MATCH(1,(Table1[[#This Row],[Employer]]=Table2[EIW Name])*(Table1[[#This Row],[City, State]]=Table2[Offices Matched]),0)),"")</f>
        <v/>
      </c>
      <c r="R389" s="50" t="str">
        <f>IFERROR(LEFT(Table1[[#This Row],[Am Law 200 PPP Rank ’16]],FIND(":",Table1[[#This Row],[Am Law 200 PPP Rank ’16]])-1),"")</f>
        <v/>
      </c>
      <c r="S389" s="50">
        <f>IFERROR(INDEX(VaultRank[Rank],MATCH(Table1[[#This Row],[Employer]],VaultRank[EIW Name],0)),"")</f>
        <v>91</v>
      </c>
      <c r="T389" s="50" t="str">
        <f t="array" ref="T389">IFERROR(INDEX(Table2[Summers Matched],MATCH(1,(Table1[[#This Row],[Employer]]=Table2[EIW Name])*(Table1[[#This Row],[City, State]]=Table2[Offices Matched]),0)),"")</f>
        <v/>
      </c>
      <c r="U389" s="52" t="str">
        <f t="shared" si="6"/>
        <v/>
      </c>
      <c r="V389" s="60"/>
      <c r="W389" s="114">
        <v>42595</v>
      </c>
      <c r="X389"/>
    </row>
    <row r="390" spans="1:24" ht="14.1" customHeight="1">
      <c r="A390" s="45" t="s">
        <v>351</v>
      </c>
      <c r="B390" s="45" t="s">
        <v>340</v>
      </c>
      <c r="C390" s="45" t="s">
        <v>341</v>
      </c>
      <c r="D390" s="45" t="str">
        <f>Table1[[#This Row],[City]]&amp;", "&amp;Table1[[#This Row],[State]]</f>
        <v>Phoenix, AZ</v>
      </c>
      <c r="E390" s="49">
        <v>88</v>
      </c>
      <c r="F390" s="50">
        <v>3</v>
      </c>
      <c r="G390" s="50" t="str">
        <f t="array" ref="G390">IFERROR(INDEX(Table2[1st Year],MATCH(1,(Table1[[#This Row],[Employer]]=Table2[EIW Name])*(Table1[[#This Row],[City, State]]=Table2[Offices Matched]),0)),"")</f>
        <v/>
      </c>
      <c r="H390" s="50">
        <f>_xlfn.IFNA(INDEX(saCAGR[CAGR],MATCH(Table1[[#This Row],[Employer]],saCAGR[EIW Name],0)),"")</f>
        <v>1.012315227192385</v>
      </c>
      <c r="I390" s="50">
        <f>IFERROR(Table1[[#This Row],[SA CAGR]]*Table1[[#This Row],[Number of Summer 2016 2L SAs]],"")</f>
        <v>3.0369456815771549</v>
      </c>
      <c r="J390" s="50">
        <v>5</v>
      </c>
      <c r="K390" s="51">
        <f>IFERROR(Table1[[#This Row],[Number of Summer 2016 NYU 2L SAs]]/Table1[[#This Row],[Interview Slots]],0)</f>
        <v>5.6818181818181816E-2</v>
      </c>
      <c r="L390" s="51">
        <f>Table1[[#This Row],[Number of Summer 2016 2L SAs]]/Table1[[#This Row],[Interview Slots]]</f>
        <v>3.4090909090909088E-2</v>
      </c>
      <c r="M390" s="51">
        <f>IFERROR(Table1[[#This Row],[Number of Summer 2016 NYU 2L SAs]]/Table1[[#This Row],[Number of Summer 2016 2L SAs]],0)</f>
        <v>1.6666666666666667</v>
      </c>
      <c r="N390" s="50" t="str">
        <f>IFERROR(RIGHT(Table1[[#This Row],[1st year]],LEN(Table1[[#This Row],[1st year]])-FIND(":",Table1[[#This Row],[1st year]])-1),"")</f>
        <v/>
      </c>
      <c r="O390" s="50" t="str">
        <f t="array" ref="O390">IFERROR(INDEX(Table2[Nth year],MATCH(1,(Table1[[#This Row],[Employer]]=Table2[EIW Name])*(Table1[[#This Row],[City, State]]=Table2[Offices Matched]),0)),"")</f>
        <v/>
      </c>
      <c r="P390" s="50" t="str">
        <f>IFERROR(RIGHT(Table1[[#This Row],[Nth year]],LEN(Table1[[#This Row],[Nth year]])-FIND(":",Table1[[#This Row],[Nth year]])-1),"")</f>
        <v/>
      </c>
      <c r="Q390" s="50" t="str">
        <f t="array" ref="Q390">IFERROR(INDEX(Table2[Am Law 200 PPP Rank ’16],MATCH(1,(Table1[[#This Row],[Employer]]=Table2[EIW Name])*(Table1[[#This Row],[City, State]]=Table2[Offices Matched]),0)),"")</f>
        <v/>
      </c>
      <c r="R390" s="50" t="str">
        <f>IFERROR(LEFT(Table1[[#This Row],[Am Law 200 PPP Rank ’16]],FIND(":",Table1[[#This Row],[Am Law 200 PPP Rank ’16]])-1),"")</f>
        <v/>
      </c>
      <c r="S390" s="50">
        <f>IFERROR(INDEX(VaultRank[Rank],MATCH(Table1[[#This Row],[Employer]],VaultRank[EIW Name],0)),"")</f>
        <v>56</v>
      </c>
      <c r="T390" s="50" t="str">
        <f t="array" ref="T390">IFERROR(INDEX(Table2[Summers Matched],MATCH(1,(Table1[[#This Row],[Employer]]=Table2[EIW Name])*(Table1[[#This Row],[City, State]]=Table2[Offices Matched]),0)),"")</f>
        <v/>
      </c>
      <c r="U390" s="52" t="str">
        <f t="shared" si="6"/>
        <v/>
      </c>
      <c r="V390" s="60"/>
      <c r="W390" s="114">
        <v>42595</v>
      </c>
      <c r="X390"/>
    </row>
    <row r="391" spans="1:24" ht="14.1" customHeight="1">
      <c r="A391" s="45" t="s">
        <v>351</v>
      </c>
      <c r="B391" s="45" t="s">
        <v>299</v>
      </c>
      <c r="C391" s="45" t="s">
        <v>300</v>
      </c>
      <c r="D391" s="45" t="str">
        <f>Table1[[#This Row],[City]]&amp;", "&amp;Table1[[#This Row],[State]]</f>
        <v>Los Angeles, CA</v>
      </c>
      <c r="E391" s="49">
        <v>152</v>
      </c>
      <c r="F391" s="50">
        <v>3</v>
      </c>
      <c r="G391" s="50" t="str">
        <f t="array" ref="G391">IFERROR(INDEX(Table2[1st Year],MATCH(1,(Table1[[#This Row],[Employer]]=Table2[EIW Name])*(Table1[[#This Row],[City, State]]=Table2[Offices Matched]),0)),"")</f>
        <v/>
      </c>
      <c r="H391" s="50">
        <f>_xlfn.IFNA(INDEX(saCAGR[CAGR],MATCH(Table1[[#This Row],[Employer]],saCAGR[EIW Name],0)),"")</f>
        <v>1.012315227192385</v>
      </c>
      <c r="I391" s="50">
        <f>IFERROR(Table1[[#This Row],[SA CAGR]]*Table1[[#This Row],[Number of Summer 2016 2L SAs]],"")</f>
        <v>3.0369456815771549</v>
      </c>
      <c r="J391" s="50">
        <v>4</v>
      </c>
      <c r="K391" s="51">
        <f>IFERROR(Table1[[#This Row],[Number of Summer 2016 NYU 2L SAs]]/Table1[[#This Row],[Interview Slots]],0)</f>
        <v>2.6315789473684209E-2</v>
      </c>
      <c r="L391" s="51">
        <f>Table1[[#This Row],[Number of Summer 2016 2L SAs]]/Table1[[#This Row],[Interview Slots]]</f>
        <v>1.9736842105263157E-2</v>
      </c>
      <c r="M391" s="51">
        <f>IFERROR(Table1[[#This Row],[Number of Summer 2016 NYU 2L SAs]]/Table1[[#This Row],[Number of Summer 2016 2L SAs]],0)</f>
        <v>1.3333333333333333</v>
      </c>
      <c r="N391" s="50" t="str">
        <f>IFERROR(RIGHT(Table1[[#This Row],[1st year]],LEN(Table1[[#This Row],[1st year]])-FIND(":",Table1[[#This Row],[1st year]])-1),"")</f>
        <v/>
      </c>
      <c r="O391" s="50" t="str">
        <f t="array" ref="O391">IFERROR(INDEX(Table2[Nth year],MATCH(1,(Table1[[#This Row],[Employer]]=Table2[EIW Name])*(Table1[[#This Row],[City, State]]=Table2[Offices Matched]),0)),"")</f>
        <v/>
      </c>
      <c r="P391" s="50" t="str">
        <f>IFERROR(RIGHT(Table1[[#This Row],[Nth year]],LEN(Table1[[#This Row],[Nth year]])-FIND(":",Table1[[#This Row],[Nth year]])-1),"")</f>
        <v/>
      </c>
      <c r="Q391" s="50" t="str">
        <f t="array" ref="Q391">IFERROR(INDEX(Table2[Am Law 200 PPP Rank ’16],MATCH(1,(Table1[[#This Row],[Employer]]=Table2[EIW Name])*(Table1[[#This Row],[City, State]]=Table2[Offices Matched]),0)),"")</f>
        <v/>
      </c>
      <c r="R391" s="50" t="str">
        <f>IFERROR(LEFT(Table1[[#This Row],[Am Law 200 PPP Rank ’16]],FIND(":",Table1[[#This Row],[Am Law 200 PPP Rank ’16]])-1),"")</f>
        <v/>
      </c>
      <c r="S391" s="50">
        <f>IFERROR(INDEX(VaultRank[Rank],MATCH(Table1[[#This Row],[Employer]],VaultRank[EIW Name],0)),"")</f>
        <v>56</v>
      </c>
      <c r="T391" s="50" t="str">
        <f t="array" ref="T391">IFERROR(INDEX(Table2[Summers Matched],MATCH(1,(Table1[[#This Row],[Employer]]=Table2[EIW Name])*(Table1[[#This Row],[City, State]]=Table2[Offices Matched]),0)),"")</f>
        <v/>
      </c>
      <c r="U391" s="52">
        <f t="shared" si="6"/>
        <v>3.6</v>
      </c>
      <c r="V391" s="60"/>
      <c r="W391" s="114">
        <v>42595</v>
      </c>
      <c r="X391"/>
    </row>
    <row r="392" spans="1:24" ht="14.1" customHeight="1">
      <c r="A392" s="45" t="s">
        <v>351</v>
      </c>
      <c r="B392" s="45" t="s">
        <v>334</v>
      </c>
      <c r="C392" s="45" t="s">
        <v>300</v>
      </c>
      <c r="D392" s="45" t="str">
        <f>Table1[[#This Row],[City]]&amp;", "&amp;Table1[[#This Row],[State]]</f>
        <v>Palo Alto, CA</v>
      </c>
      <c r="E392" s="49">
        <v>7</v>
      </c>
      <c r="F392" s="50">
        <v>6</v>
      </c>
      <c r="G392" s="50" t="str">
        <f t="array" ref="G392">IFERROR(INDEX(Table2[1st Year],MATCH(1,(Table1[[#This Row],[Employer]]=Table2[EIW Name])*(Table1[[#This Row],[City, State]]=Table2[Offices Matched]),0)),"")</f>
        <v/>
      </c>
      <c r="H392" s="50">
        <f>_xlfn.IFNA(INDEX(saCAGR[CAGR],MATCH(Table1[[#This Row],[Employer]],saCAGR[EIW Name],0)),"")</f>
        <v>1.012315227192385</v>
      </c>
      <c r="I392" s="50">
        <f>IFERROR(Table1[[#This Row],[SA CAGR]]*Table1[[#This Row],[Number of Summer 2016 2L SAs]],"")</f>
        <v>6.0738913631543099</v>
      </c>
      <c r="J392" s="50">
        <v>0</v>
      </c>
      <c r="K392" s="51">
        <f>IFERROR(Table1[[#This Row],[Number of Summer 2016 NYU 2L SAs]]/Table1[[#This Row],[Interview Slots]],0)</f>
        <v>0</v>
      </c>
      <c r="L392" s="51">
        <f>Table1[[#This Row],[Number of Summer 2016 2L SAs]]/Table1[[#This Row],[Interview Slots]]</f>
        <v>0.8571428571428571</v>
      </c>
      <c r="M392" s="51">
        <f>IFERROR(Table1[[#This Row],[Number of Summer 2016 NYU 2L SAs]]/Table1[[#This Row],[Number of Summer 2016 2L SAs]],0)</f>
        <v>0</v>
      </c>
      <c r="N392" s="50" t="str">
        <f>IFERROR(RIGHT(Table1[[#This Row],[1st year]],LEN(Table1[[#This Row],[1st year]])-FIND(":",Table1[[#This Row],[1st year]])-1),"")</f>
        <v/>
      </c>
      <c r="O392" s="50" t="str">
        <f t="array" ref="O392">IFERROR(INDEX(Table2[Nth year],MATCH(1,(Table1[[#This Row],[Employer]]=Table2[EIW Name])*(Table1[[#This Row],[City, State]]=Table2[Offices Matched]),0)),"")</f>
        <v/>
      </c>
      <c r="P392" s="50" t="str">
        <f>IFERROR(RIGHT(Table1[[#This Row],[Nth year]],LEN(Table1[[#This Row],[Nth year]])-FIND(":",Table1[[#This Row],[Nth year]])-1),"")</f>
        <v/>
      </c>
      <c r="Q392" s="50" t="str">
        <f t="array" ref="Q392">IFERROR(INDEX(Table2[Am Law 200 PPP Rank ’16],MATCH(1,(Table1[[#This Row],[Employer]]=Table2[EIW Name])*(Table1[[#This Row],[City, State]]=Table2[Offices Matched]),0)),"")</f>
        <v/>
      </c>
      <c r="R392" s="50" t="str">
        <f>IFERROR(LEFT(Table1[[#This Row],[Am Law 200 PPP Rank ’16]],FIND(":",Table1[[#This Row],[Am Law 200 PPP Rank ’16]])-1),"")</f>
        <v/>
      </c>
      <c r="S392" s="50">
        <f>IFERROR(INDEX(VaultRank[Rank],MATCH(Table1[[#This Row],[Employer]],VaultRank[EIW Name],0)),"")</f>
        <v>56</v>
      </c>
      <c r="T392" s="50" t="str">
        <f t="array" ref="T392">IFERROR(INDEX(Table2[Summers Matched],MATCH(1,(Table1[[#This Row],[Employer]]=Table2[EIW Name])*(Table1[[#This Row],[City, State]]=Table2[Offices Matched]),0)),"")</f>
        <v/>
      </c>
      <c r="U392" s="52" t="str">
        <f t="shared" si="6"/>
        <v/>
      </c>
      <c r="V392" s="60"/>
      <c r="W392" s="114">
        <v>42594</v>
      </c>
      <c r="X392"/>
    </row>
    <row r="393" spans="1:24" ht="14.1" customHeight="1">
      <c r="A393" s="45" t="s">
        <v>351</v>
      </c>
      <c r="B393" s="45" t="s">
        <v>375</v>
      </c>
      <c r="C393" s="45" t="s">
        <v>300</v>
      </c>
      <c r="D393" s="45" t="str">
        <f>Table1[[#This Row],[City]]&amp;", "&amp;Table1[[#This Row],[State]]</f>
        <v>San Diego, CA</v>
      </c>
      <c r="E393" s="49">
        <v>165</v>
      </c>
      <c r="F393" s="50">
        <v>1</v>
      </c>
      <c r="G393" s="50" t="str">
        <f t="array" ref="G393">IFERROR(INDEX(Table2[1st Year],MATCH(1,(Table1[[#This Row],[Employer]]=Table2[EIW Name])*(Table1[[#This Row],[City, State]]=Table2[Offices Matched]),0)),"")</f>
        <v/>
      </c>
      <c r="H393" s="50">
        <f>_xlfn.IFNA(INDEX(saCAGR[CAGR],MATCH(Table1[[#This Row],[Employer]],saCAGR[EIW Name],0)),"")</f>
        <v>1.012315227192385</v>
      </c>
      <c r="I393" s="50">
        <f>IFERROR(Table1[[#This Row],[SA CAGR]]*Table1[[#This Row],[Number of Summer 2016 2L SAs]],"")</f>
        <v>1.012315227192385</v>
      </c>
      <c r="J393" s="50">
        <v>23</v>
      </c>
      <c r="K393" s="51">
        <f>IFERROR(Table1[[#This Row],[Number of Summer 2016 NYU 2L SAs]]/Table1[[#This Row],[Interview Slots]],0)</f>
        <v>0.1393939393939394</v>
      </c>
      <c r="L393" s="51">
        <f>Table1[[#This Row],[Number of Summer 2016 2L SAs]]/Table1[[#This Row],[Interview Slots]]</f>
        <v>6.0606060606060606E-3</v>
      </c>
      <c r="M393" s="51">
        <f>IFERROR(Table1[[#This Row],[Number of Summer 2016 NYU 2L SAs]]/Table1[[#This Row],[Number of Summer 2016 2L SAs]],0)</f>
        <v>23</v>
      </c>
      <c r="N393" s="50" t="str">
        <f>IFERROR(RIGHT(Table1[[#This Row],[1st year]],LEN(Table1[[#This Row],[1st year]])-FIND(":",Table1[[#This Row],[1st year]])-1),"")</f>
        <v/>
      </c>
      <c r="O393" s="50" t="str">
        <f t="array" ref="O393">IFERROR(INDEX(Table2[Nth year],MATCH(1,(Table1[[#This Row],[Employer]]=Table2[EIW Name])*(Table1[[#This Row],[City, State]]=Table2[Offices Matched]),0)),"")</f>
        <v/>
      </c>
      <c r="P393" s="50" t="str">
        <f>IFERROR(RIGHT(Table1[[#This Row],[Nth year]],LEN(Table1[[#This Row],[Nth year]])-FIND(":",Table1[[#This Row],[Nth year]])-1),"")</f>
        <v/>
      </c>
      <c r="Q393" s="50" t="str">
        <f t="array" ref="Q393">IFERROR(INDEX(Table2[Am Law 200 PPP Rank ’16],MATCH(1,(Table1[[#This Row],[Employer]]=Table2[EIW Name])*(Table1[[#This Row],[City, State]]=Table2[Offices Matched]),0)),"")</f>
        <v/>
      </c>
      <c r="R393" s="50" t="str">
        <f>IFERROR(LEFT(Table1[[#This Row],[Am Law 200 PPP Rank ’16]],FIND(":",Table1[[#This Row],[Am Law 200 PPP Rank ’16]])-1),"")</f>
        <v/>
      </c>
      <c r="S393" s="50">
        <f>IFERROR(INDEX(VaultRank[Rank],MATCH(Table1[[#This Row],[Employer]],VaultRank[EIW Name],0)),"")</f>
        <v>56</v>
      </c>
      <c r="T393" s="50" t="str">
        <f t="array" ref="T393">IFERROR(INDEX(Table2[Summers Matched],MATCH(1,(Table1[[#This Row],[Employer]]=Table2[EIW Name])*(Table1[[#This Row],[City, State]]=Table2[Offices Matched]),0)),"")</f>
        <v/>
      </c>
      <c r="U393" s="52" t="str">
        <f t="shared" si="6"/>
        <v/>
      </c>
      <c r="V393" s="60"/>
      <c r="W393" s="114">
        <v>42595</v>
      </c>
      <c r="X393"/>
    </row>
    <row r="394" spans="1:24" ht="14.1" customHeight="1">
      <c r="A394" s="45" t="s">
        <v>351</v>
      </c>
      <c r="B394" s="45" t="s">
        <v>316</v>
      </c>
      <c r="C394" s="45" t="s">
        <v>300</v>
      </c>
      <c r="D394" s="45" t="str">
        <f>Table1[[#This Row],[City]]&amp;", "&amp;Table1[[#This Row],[State]]</f>
        <v>San Francisco, CA</v>
      </c>
      <c r="E394" s="49">
        <v>154</v>
      </c>
      <c r="F394" s="50">
        <v>5</v>
      </c>
      <c r="G394" s="50" t="str">
        <f t="array" ref="G394">IFERROR(INDEX(Table2[1st Year],MATCH(1,(Table1[[#This Row],[Employer]]=Table2[EIW Name])*(Table1[[#This Row],[City, State]]=Table2[Offices Matched]),0)),"")</f>
        <v/>
      </c>
      <c r="H394" s="50">
        <f>_xlfn.IFNA(INDEX(saCAGR[CAGR],MATCH(Table1[[#This Row],[Employer]],saCAGR[EIW Name],0)),"")</f>
        <v>1.012315227192385</v>
      </c>
      <c r="I394" s="50">
        <f>IFERROR(Table1[[#This Row],[SA CAGR]]*Table1[[#This Row],[Number of Summer 2016 2L SAs]],"")</f>
        <v>5.0615761359619249</v>
      </c>
      <c r="J394" s="50">
        <v>16</v>
      </c>
      <c r="K394" s="51">
        <f>IFERROR(Table1[[#This Row],[Number of Summer 2016 NYU 2L SAs]]/Table1[[#This Row],[Interview Slots]],0)</f>
        <v>0.1038961038961039</v>
      </c>
      <c r="L394" s="51">
        <f>Table1[[#This Row],[Number of Summer 2016 2L SAs]]/Table1[[#This Row],[Interview Slots]]</f>
        <v>3.2467532467532464E-2</v>
      </c>
      <c r="M394" s="51">
        <f>IFERROR(Table1[[#This Row],[Number of Summer 2016 NYU 2L SAs]]/Table1[[#This Row],[Number of Summer 2016 2L SAs]],0)</f>
        <v>3.2</v>
      </c>
      <c r="N394" s="50" t="str">
        <f>IFERROR(RIGHT(Table1[[#This Row],[1st year]],LEN(Table1[[#This Row],[1st year]])-FIND(":",Table1[[#This Row],[1st year]])-1),"")</f>
        <v/>
      </c>
      <c r="O394" s="50" t="str">
        <f t="array" ref="O394">IFERROR(INDEX(Table2[Nth year],MATCH(1,(Table1[[#This Row],[Employer]]=Table2[EIW Name])*(Table1[[#This Row],[City, State]]=Table2[Offices Matched]),0)),"")</f>
        <v/>
      </c>
      <c r="P394" s="50" t="str">
        <f>IFERROR(RIGHT(Table1[[#This Row],[Nth year]],LEN(Table1[[#This Row],[Nth year]])-FIND(":",Table1[[#This Row],[Nth year]])-1),"")</f>
        <v/>
      </c>
      <c r="Q394" s="50" t="str">
        <f t="array" ref="Q394">IFERROR(INDEX(Table2[Am Law 200 PPP Rank ’16],MATCH(1,(Table1[[#This Row],[Employer]]=Table2[EIW Name])*(Table1[[#This Row],[City, State]]=Table2[Offices Matched]),0)),"")</f>
        <v/>
      </c>
      <c r="R394" s="50" t="str">
        <f>IFERROR(LEFT(Table1[[#This Row],[Am Law 200 PPP Rank ’16]],FIND(":",Table1[[#This Row],[Am Law 200 PPP Rank ’16]])-1),"")</f>
        <v/>
      </c>
      <c r="S394" s="50">
        <f>IFERROR(INDEX(VaultRank[Rank],MATCH(Table1[[#This Row],[Employer]],VaultRank[EIW Name],0)),"")</f>
        <v>56</v>
      </c>
      <c r="T394" s="50" t="str">
        <f t="array" ref="T394">IFERROR(INDEX(Table2[Summers Matched],MATCH(1,(Table1[[#This Row],[Employer]]=Table2[EIW Name])*(Table1[[#This Row],[City, State]]=Table2[Offices Matched]),0)),"")</f>
        <v/>
      </c>
      <c r="U394" s="52" t="str">
        <f t="shared" si="6"/>
        <v/>
      </c>
      <c r="V394" s="60"/>
      <c r="W394" s="114">
        <v>42593</v>
      </c>
      <c r="X394"/>
    </row>
    <row r="395" spans="1:24" ht="14.1" customHeight="1">
      <c r="A395" s="45" t="s">
        <v>351</v>
      </c>
      <c r="B395" s="45" t="s">
        <v>301</v>
      </c>
      <c r="C395" s="45" t="s">
        <v>302</v>
      </c>
      <c r="D395" s="45" t="str">
        <f>Table1[[#This Row],[City]]&amp;", "&amp;Table1[[#This Row],[State]]</f>
        <v>Washington, DC</v>
      </c>
      <c r="E395" s="49">
        <v>42</v>
      </c>
      <c r="F395" s="50">
        <v>6</v>
      </c>
      <c r="G395" s="50" t="str">
        <f t="array" ref="G395">IFERROR(INDEX(Table2[1st Year],MATCH(1,(Table1[[#This Row],[Employer]]=Table2[EIW Name])*(Table1[[#This Row],[City, State]]=Table2[Offices Matched]),0)),"")</f>
        <v/>
      </c>
      <c r="H395" s="50">
        <f>_xlfn.IFNA(INDEX(saCAGR[CAGR],MATCH(Table1[[#This Row],[Employer]],saCAGR[EIW Name],0)),"")</f>
        <v>1.012315227192385</v>
      </c>
      <c r="I395" s="50">
        <f>IFERROR(Table1[[#This Row],[SA CAGR]]*Table1[[#This Row],[Number of Summer 2016 2L SAs]],"")</f>
        <v>6.0738913631543099</v>
      </c>
      <c r="J395" s="50">
        <v>14</v>
      </c>
      <c r="K395" s="51">
        <f>IFERROR(Table1[[#This Row],[Number of Summer 2016 NYU 2L SAs]]/Table1[[#This Row],[Interview Slots]],0)</f>
        <v>0.33333333333333331</v>
      </c>
      <c r="L395" s="51">
        <f>Table1[[#This Row],[Number of Summer 2016 2L SAs]]/Table1[[#This Row],[Interview Slots]]</f>
        <v>0.14285714285714285</v>
      </c>
      <c r="M395" s="51">
        <f>IFERROR(Table1[[#This Row],[Number of Summer 2016 NYU 2L SAs]]/Table1[[#This Row],[Number of Summer 2016 2L SAs]],0)</f>
        <v>2.3333333333333335</v>
      </c>
      <c r="N395" s="50" t="str">
        <f>IFERROR(RIGHT(Table1[[#This Row],[1st year]],LEN(Table1[[#This Row],[1st year]])-FIND(":",Table1[[#This Row],[1st year]])-1),"")</f>
        <v/>
      </c>
      <c r="O395" s="50" t="str">
        <f t="array" ref="O395">IFERROR(INDEX(Table2[Nth year],MATCH(1,(Table1[[#This Row],[Employer]]=Table2[EIW Name])*(Table1[[#This Row],[City, State]]=Table2[Offices Matched]),0)),"")</f>
        <v/>
      </c>
      <c r="P395" s="50" t="str">
        <f>IFERROR(RIGHT(Table1[[#This Row],[Nth year]],LEN(Table1[[#This Row],[Nth year]])-FIND(":",Table1[[#This Row],[Nth year]])-1),"")</f>
        <v/>
      </c>
      <c r="Q395" s="50" t="str">
        <f t="array" ref="Q395">IFERROR(INDEX(Table2[Am Law 200 PPP Rank ’16],MATCH(1,(Table1[[#This Row],[Employer]]=Table2[EIW Name])*(Table1[[#This Row],[City, State]]=Table2[Offices Matched]),0)),"")</f>
        <v/>
      </c>
      <c r="R395" s="50" t="str">
        <f>IFERROR(LEFT(Table1[[#This Row],[Am Law 200 PPP Rank ’16]],FIND(":",Table1[[#This Row],[Am Law 200 PPP Rank ’16]])-1),"")</f>
        <v/>
      </c>
      <c r="S395" s="50">
        <f>IFERROR(INDEX(VaultRank[Rank],MATCH(Table1[[#This Row],[Employer]],VaultRank[EIW Name],0)),"")</f>
        <v>56</v>
      </c>
      <c r="T395" s="50" t="str">
        <f t="array" ref="T395">IFERROR(INDEX(Table2[Summers Matched],MATCH(1,(Table1[[#This Row],[Employer]]=Table2[EIW Name])*(Table1[[#This Row],[City, State]]=Table2[Offices Matched]),0)),"")</f>
        <v/>
      </c>
      <c r="U395" s="52" t="str">
        <f t="shared" si="6"/>
        <v/>
      </c>
      <c r="V395" s="60"/>
      <c r="W395" s="114">
        <v>42592</v>
      </c>
      <c r="X395"/>
    </row>
    <row r="396" spans="1:24" ht="14.1" customHeight="1">
      <c r="A396" s="45" t="s">
        <v>351</v>
      </c>
      <c r="B396" s="45" t="s">
        <v>385</v>
      </c>
      <c r="C396" s="45" t="s">
        <v>386</v>
      </c>
      <c r="D396" s="45" t="str">
        <f>Table1[[#This Row],[City]]&amp;", "&amp;Table1[[#This Row],[State]]</f>
        <v>Portland, OR</v>
      </c>
      <c r="E396" s="49">
        <v>61</v>
      </c>
      <c r="F396" s="50">
        <v>2</v>
      </c>
      <c r="G396" s="50" t="str">
        <f t="array" ref="G396">IFERROR(INDEX(Table2[1st Year],MATCH(1,(Table1[[#This Row],[Employer]]=Table2[EIW Name])*(Table1[[#This Row],[City, State]]=Table2[Offices Matched]),0)),"")</f>
        <v/>
      </c>
      <c r="H396" s="50">
        <f>_xlfn.IFNA(INDEX(saCAGR[CAGR],MATCH(Table1[[#This Row],[Employer]],saCAGR[EIW Name],0)),"")</f>
        <v>1.012315227192385</v>
      </c>
      <c r="I396" s="50">
        <f>IFERROR(Table1[[#This Row],[SA CAGR]]*Table1[[#This Row],[Number of Summer 2016 2L SAs]],"")</f>
        <v>2.02463045438477</v>
      </c>
      <c r="J396" s="50">
        <v>23</v>
      </c>
      <c r="K396" s="51">
        <f>IFERROR(Table1[[#This Row],[Number of Summer 2016 NYU 2L SAs]]/Table1[[#This Row],[Interview Slots]],0)</f>
        <v>0.37704918032786883</v>
      </c>
      <c r="L396" s="51">
        <f>Table1[[#This Row],[Number of Summer 2016 2L SAs]]/Table1[[#This Row],[Interview Slots]]</f>
        <v>3.2786885245901641E-2</v>
      </c>
      <c r="M396" s="51">
        <f>IFERROR(Table1[[#This Row],[Number of Summer 2016 NYU 2L SAs]]/Table1[[#This Row],[Number of Summer 2016 2L SAs]],0)</f>
        <v>11.5</v>
      </c>
      <c r="N396" s="50" t="str">
        <f>IFERROR(RIGHT(Table1[[#This Row],[1st year]],LEN(Table1[[#This Row],[1st year]])-FIND(":",Table1[[#This Row],[1st year]])-1),"")</f>
        <v/>
      </c>
      <c r="O396" s="50" t="str">
        <f t="array" ref="O396">IFERROR(INDEX(Table2[Nth year],MATCH(1,(Table1[[#This Row],[Employer]]=Table2[EIW Name])*(Table1[[#This Row],[City, State]]=Table2[Offices Matched]),0)),"")</f>
        <v/>
      </c>
      <c r="P396" s="50" t="str">
        <f>IFERROR(RIGHT(Table1[[#This Row],[Nth year]],LEN(Table1[[#This Row],[Nth year]])-FIND(":",Table1[[#This Row],[Nth year]])-1),"")</f>
        <v/>
      </c>
      <c r="Q396" s="50" t="str">
        <f t="array" ref="Q396">IFERROR(INDEX(Table2[Am Law 200 PPP Rank ’16],MATCH(1,(Table1[[#This Row],[Employer]]=Table2[EIW Name])*(Table1[[#This Row],[City, State]]=Table2[Offices Matched]),0)),"")</f>
        <v/>
      </c>
      <c r="R396" s="50" t="str">
        <f>IFERROR(LEFT(Table1[[#This Row],[Am Law 200 PPP Rank ’16]],FIND(":",Table1[[#This Row],[Am Law 200 PPP Rank ’16]])-1),"")</f>
        <v/>
      </c>
      <c r="S396" s="50">
        <f>IFERROR(INDEX(VaultRank[Rank],MATCH(Table1[[#This Row],[Employer]],VaultRank[EIW Name],0)),"")</f>
        <v>56</v>
      </c>
      <c r="T396" s="50" t="str">
        <f t="array" ref="T396">IFERROR(INDEX(Table2[Summers Matched],MATCH(1,(Table1[[#This Row],[Employer]]=Table2[EIW Name])*(Table1[[#This Row],[City, State]]=Table2[Offices Matched]),0)),"")</f>
        <v/>
      </c>
      <c r="U396" s="52" t="str">
        <f t="shared" si="6"/>
        <v/>
      </c>
      <c r="V396" s="60"/>
      <c r="W396" s="114">
        <v>42594</v>
      </c>
      <c r="X396"/>
    </row>
    <row r="397" spans="1:24" ht="14.1" customHeight="1">
      <c r="A397" s="45" t="s">
        <v>351</v>
      </c>
      <c r="B397" s="45" t="s">
        <v>332</v>
      </c>
      <c r="C397" s="45" t="s">
        <v>333</v>
      </c>
      <c r="D397" s="45" t="str">
        <f>Table1[[#This Row],[City]]&amp;", "&amp;Table1[[#This Row],[State]]</f>
        <v>Seattle, WA</v>
      </c>
      <c r="E397" s="49">
        <v>69</v>
      </c>
      <c r="F397" s="50">
        <v>14</v>
      </c>
      <c r="G397" s="50" t="str">
        <f t="array" ref="G397">IFERROR(INDEX(Table2[1st Year],MATCH(1,(Table1[[#This Row],[Employer]]=Table2[EIW Name])*(Table1[[#This Row],[City, State]]=Table2[Offices Matched]),0)),"")</f>
        <v/>
      </c>
      <c r="H397" s="50">
        <f>_xlfn.IFNA(INDEX(saCAGR[CAGR],MATCH(Table1[[#This Row],[Employer]],saCAGR[EIW Name],0)),"")</f>
        <v>1.012315227192385</v>
      </c>
      <c r="I397" s="50">
        <f>IFERROR(Table1[[#This Row],[SA CAGR]]*Table1[[#This Row],[Number of Summer 2016 2L SAs]],"")</f>
        <v>14.17241318069339</v>
      </c>
      <c r="J397" s="50">
        <v>7</v>
      </c>
      <c r="K397" s="51">
        <f>IFERROR(Table1[[#This Row],[Number of Summer 2016 NYU 2L SAs]]/Table1[[#This Row],[Interview Slots]],0)</f>
        <v>0.10144927536231885</v>
      </c>
      <c r="L397" s="51">
        <f>Table1[[#This Row],[Number of Summer 2016 2L SAs]]/Table1[[#This Row],[Interview Slots]]</f>
        <v>0.20289855072463769</v>
      </c>
      <c r="M397" s="51">
        <f>IFERROR(Table1[[#This Row],[Number of Summer 2016 NYU 2L SAs]]/Table1[[#This Row],[Number of Summer 2016 2L SAs]],0)</f>
        <v>0.5</v>
      </c>
      <c r="N397" s="50" t="str">
        <f>IFERROR(RIGHT(Table1[[#This Row],[1st year]],LEN(Table1[[#This Row],[1st year]])-FIND(":",Table1[[#This Row],[1st year]])-1),"")</f>
        <v/>
      </c>
      <c r="O397" s="50" t="str">
        <f t="array" ref="O397">IFERROR(INDEX(Table2[Nth year],MATCH(1,(Table1[[#This Row],[Employer]]=Table2[EIW Name])*(Table1[[#This Row],[City, State]]=Table2[Offices Matched]),0)),"")</f>
        <v/>
      </c>
      <c r="P397" s="50" t="str">
        <f>IFERROR(RIGHT(Table1[[#This Row],[Nth year]],LEN(Table1[[#This Row],[Nth year]])-FIND(":",Table1[[#This Row],[Nth year]])-1),"")</f>
        <v/>
      </c>
      <c r="Q397" s="50" t="str">
        <f t="array" ref="Q397">IFERROR(INDEX(Table2[Am Law 200 PPP Rank ’16],MATCH(1,(Table1[[#This Row],[Employer]]=Table2[EIW Name])*(Table1[[#This Row],[City, State]]=Table2[Offices Matched]),0)),"")</f>
        <v/>
      </c>
      <c r="R397" s="50" t="str">
        <f>IFERROR(LEFT(Table1[[#This Row],[Am Law 200 PPP Rank ’16]],FIND(":",Table1[[#This Row],[Am Law 200 PPP Rank ’16]])-1),"")</f>
        <v/>
      </c>
      <c r="S397" s="50">
        <f>IFERROR(INDEX(VaultRank[Rank],MATCH(Table1[[#This Row],[Employer]],VaultRank[EIW Name],0)),"")</f>
        <v>56</v>
      </c>
      <c r="T397" s="50" t="str">
        <f t="array" ref="T397">IFERROR(INDEX(Table2[Summers Matched],MATCH(1,(Table1[[#This Row],[Employer]]=Table2[EIW Name])*(Table1[[#This Row],[City, State]]=Table2[Offices Matched]),0)),"")</f>
        <v/>
      </c>
      <c r="U397" s="52" t="str">
        <f t="shared" si="6"/>
        <v/>
      </c>
      <c r="V397" s="60"/>
      <c r="W397" s="114">
        <v>42595</v>
      </c>
      <c r="X397"/>
    </row>
    <row r="398" spans="1:24" ht="14.1" customHeight="1">
      <c r="A398" s="45" t="s">
        <v>351</v>
      </c>
      <c r="B398" s="45" t="s">
        <v>342</v>
      </c>
      <c r="C398" s="45" t="s">
        <v>343</v>
      </c>
      <c r="D398" s="45" t="str">
        <f>Table1[[#This Row],[City]]&amp;", "&amp;Table1[[#This Row],[State]]</f>
        <v>Denver, CO</v>
      </c>
      <c r="E398" s="49">
        <v>182</v>
      </c>
      <c r="F398" s="50">
        <v>2</v>
      </c>
      <c r="G398" s="50" t="str">
        <f t="array" ref="G398">IFERROR(INDEX(Table2[1st Year],MATCH(1,(Table1[[#This Row],[Employer]]=Table2[EIW Name])*(Table1[[#This Row],[City, State]]=Table2[Offices Matched]),0)),"")</f>
        <v/>
      </c>
      <c r="H398" s="50">
        <f>_xlfn.IFNA(INDEX(saCAGR[CAGR],MATCH(Table1[[#This Row],[Employer]],saCAGR[EIW Name],0)),"")</f>
        <v>1.012315227192385</v>
      </c>
      <c r="I398" s="50">
        <f>IFERROR(Table1[[#This Row],[SA CAGR]]*Table1[[#This Row],[Number of Summer 2016 2L SAs]],"")</f>
        <v>2.02463045438477</v>
      </c>
      <c r="J398" s="50">
        <v>9</v>
      </c>
      <c r="K398" s="51">
        <f>IFERROR(Table1[[#This Row],[Number of Summer 2016 NYU 2L SAs]]/Table1[[#This Row],[Interview Slots]],0)</f>
        <v>4.9450549450549448E-2</v>
      </c>
      <c r="L398" s="51">
        <f>Table1[[#This Row],[Number of Summer 2016 2L SAs]]/Table1[[#This Row],[Interview Slots]]</f>
        <v>1.098901098901099E-2</v>
      </c>
      <c r="M398" s="51">
        <f>IFERROR(Table1[[#This Row],[Number of Summer 2016 NYU 2L SAs]]/Table1[[#This Row],[Number of Summer 2016 2L SAs]],0)</f>
        <v>4.5</v>
      </c>
      <c r="N398" s="50" t="str">
        <f>IFERROR(RIGHT(Table1[[#This Row],[1st year]],LEN(Table1[[#This Row],[1st year]])-FIND(":",Table1[[#This Row],[1st year]])-1),"")</f>
        <v/>
      </c>
      <c r="O398" s="50" t="str">
        <f t="array" ref="O398">IFERROR(INDEX(Table2[Nth year],MATCH(1,(Table1[[#This Row],[Employer]]=Table2[EIW Name])*(Table1[[#This Row],[City, State]]=Table2[Offices Matched]),0)),"")</f>
        <v/>
      </c>
      <c r="P398" s="50" t="str">
        <f>IFERROR(RIGHT(Table1[[#This Row],[Nth year]],LEN(Table1[[#This Row],[Nth year]])-FIND(":",Table1[[#This Row],[Nth year]])-1),"")</f>
        <v/>
      </c>
      <c r="Q398" s="50" t="str">
        <f t="array" ref="Q398">IFERROR(INDEX(Table2[Am Law 200 PPP Rank ’16],MATCH(1,(Table1[[#This Row],[Employer]]=Table2[EIW Name])*(Table1[[#This Row],[City, State]]=Table2[Offices Matched]),0)),"")</f>
        <v/>
      </c>
      <c r="R398" s="50" t="str">
        <f>IFERROR(LEFT(Table1[[#This Row],[Am Law 200 PPP Rank ’16]],FIND(":",Table1[[#This Row],[Am Law 200 PPP Rank ’16]])-1),"")</f>
        <v/>
      </c>
      <c r="S398" s="50">
        <f>IFERROR(INDEX(VaultRank[Rank],MATCH(Table1[[#This Row],[Employer]],VaultRank[EIW Name],0)),"")</f>
        <v>56</v>
      </c>
      <c r="T398" s="50" t="str">
        <f t="array" ref="T398">IFERROR(INDEX(Table2[Summers Matched],MATCH(1,(Table1[[#This Row],[Employer]]=Table2[EIW Name])*(Table1[[#This Row],[City, State]]=Table2[Offices Matched]),0)),"")</f>
        <v/>
      </c>
      <c r="U398" s="52" t="str">
        <f t="shared" si="6"/>
        <v/>
      </c>
      <c r="V398" s="60"/>
      <c r="W398" s="114">
        <v>42594</v>
      </c>
      <c r="X398"/>
    </row>
    <row r="399" spans="1:24" ht="14.1" customHeight="1">
      <c r="A399" s="45" t="s">
        <v>493</v>
      </c>
      <c r="B399" s="45" t="s">
        <v>364</v>
      </c>
      <c r="C399" s="45" t="s">
        <v>362</v>
      </c>
      <c r="D399" s="45" t="str">
        <f>Table1[[#This Row],[City]]&amp;", "&amp;Table1[[#This Row],[State]]</f>
        <v>New York, NY</v>
      </c>
      <c r="E399" s="49">
        <v>193</v>
      </c>
      <c r="F399" s="50">
        <v>2</v>
      </c>
      <c r="G399" s="50" t="str">
        <f t="array" ref="G399">IFERROR(INDEX(Table2[1st Year],MATCH(1,(Table1[[#This Row],[Employer]]=Table2[EIW Name])*(Table1[[#This Row],[City, State]]=Table2[Offices Matched]),0)),"")</f>
        <v/>
      </c>
      <c r="H399" s="50">
        <f>_xlfn.IFNA(INDEX(saCAGR[CAGR],MATCH(Table1[[#This Row],[Employer]],saCAGR[EIW Name],0)),"")</f>
        <v>1.0045496230289779</v>
      </c>
      <c r="I399" s="50">
        <f>IFERROR(Table1[[#This Row],[SA CAGR]]*Table1[[#This Row],[Number of Summer 2016 2L SAs]],"")</f>
        <v>2.0090992460579558</v>
      </c>
      <c r="J399" s="50">
        <v>2</v>
      </c>
      <c r="K399" s="51">
        <f>IFERROR(Table1[[#This Row],[Number of Summer 2016 NYU 2L SAs]]/Table1[[#This Row],[Interview Slots]],0)</f>
        <v>1.0362694300518135E-2</v>
      </c>
      <c r="L399" s="51">
        <f>Table1[[#This Row],[Number of Summer 2016 2L SAs]]/Table1[[#This Row],[Interview Slots]]</f>
        <v>1.0362694300518135E-2</v>
      </c>
      <c r="M399" s="51">
        <f>IFERROR(Table1[[#This Row],[Number of Summer 2016 NYU 2L SAs]]/Table1[[#This Row],[Number of Summer 2016 2L SAs]],0)</f>
        <v>1</v>
      </c>
      <c r="N399" s="50" t="str">
        <f>IFERROR(RIGHT(Table1[[#This Row],[1st year]],LEN(Table1[[#This Row],[1st year]])-FIND(":",Table1[[#This Row],[1st year]])-1),"")</f>
        <v/>
      </c>
      <c r="O399" s="50" t="str">
        <f t="array" ref="O399">IFERROR(INDEX(Table2[Nth year],MATCH(1,(Table1[[#This Row],[Employer]]=Table2[EIW Name])*(Table1[[#This Row],[City, State]]=Table2[Offices Matched]),0)),"")</f>
        <v/>
      </c>
      <c r="P399" s="50" t="str">
        <f>IFERROR(RIGHT(Table1[[#This Row],[Nth year]],LEN(Table1[[#This Row],[Nth year]])-FIND(":",Table1[[#This Row],[Nth year]])-1),"")</f>
        <v/>
      </c>
      <c r="Q399" s="50" t="str">
        <f t="array" ref="Q399">IFERROR(INDEX(Table2[Am Law 200 PPP Rank ’16],MATCH(1,(Table1[[#This Row],[Employer]]=Table2[EIW Name])*(Table1[[#This Row],[City, State]]=Table2[Offices Matched]),0)),"")</f>
        <v/>
      </c>
      <c r="R399" s="50" t="str">
        <f>IFERROR(LEFT(Table1[[#This Row],[Am Law 200 PPP Rank ’16]],FIND(":",Table1[[#This Row],[Am Law 200 PPP Rank ’16]])-1),"")</f>
        <v/>
      </c>
      <c r="S399" s="50">
        <f>IFERROR(INDEX(VaultRank[Rank],MATCH(Table1[[#This Row],[Employer]],VaultRank[EIW Name],0)),"")</f>
        <v>92</v>
      </c>
      <c r="T399" s="50" t="str">
        <f t="array" ref="T399">IFERROR(INDEX(Table2[Summers Matched],MATCH(1,(Table1[[#This Row],[Employer]]=Table2[EIW Name])*(Table1[[#This Row],[City, State]]=Table2[Offices Matched]),0)),"")</f>
        <v/>
      </c>
      <c r="U399" s="52" t="str">
        <f t="shared" si="6"/>
        <v/>
      </c>
      <c r="V399" s="60"/>
      <c r="W399" s="114">
        <v>42595</v>
      </c>
      <c r="X399"/>
    </row>
    <row r="400" spans="1:24" ht="14.1" customHeight="1">
      <c r="A400" s="45" t="s">
        <v>392</v>
      </c>
      <c r="B400" s="45" t="s">
        <v>364</v>
      </c>
      <c r="C400" s="45" t="s">
        <v>362</v>
      </c>
      <c r="D400" s="45" t="str">
        <f>Table1[[#This Row],[City]]&amp;", "&amp;Table1[[#This Row],[State]]</f>
        <v>New York, NY</v>
      </c>
      <c r="E400" s="49">
        <v>49</v>
      </c>
      <c r="F400" s="50">
        <v>3</v>
      </c>
      <c r="G400" s="50" t="str">
        <f t="array" ref="G400">IFERROR(INDEX(Table2[1st Year],MATCH(1,(Table1[[#This Row],[Employer]]=Table2[EIW Name])*(Table1[[#This Row],[City, State]]=Table2[Offices Matched]),0)),"")</f>
        <v/>
      </c>
      <c r="H400" s="50">
        <f>_xlfn.IFNA(INDEX(saCAGR[CAGR],MATCH(Table1[[#This Row],[Employer]],saCAGR[EIW Name],0)),"")</f>
        <v>1.015729134048905</v>
      </c>
      <c r="I400" s="50">
        <f>IFERROR(Table1[[#This Row],[SA CAGR]]*Table1[[#This Row],[Number of Summer 2016 2L SAs]],"")</f>
        <v>3.0471874021467151</v>
      </c>
      <c r="J400" s="50">
        <v>4</v>
      </c>
      <c r="K400" s="51">
        <f>IFERROR(Table1[[#This Row],[Number of Summer 2016 NYU 2L SAs]]/Table1[[#This Row],[Interview Slots]],0)</f>
        <v>8.1632653061224483E-2</v>
      </c>
      <c r="L400" s="51">
        <f>Table1[[#This Row],[Number of Summer 2016 2L SAs]]/Table1[[#This Row],[Interview Slots]]</f>
        <v>6.1224489795918366E-2</v>
      </c>
      <c r="M400" s="51">
        <f>IFERROR(Table1[[#This Row],[Number of Summer 2016 NYU 2L SAs]]/Table1[[#This Row],[Number of Summer 2016 2L SAs]],0)</f>
        <v>1.3333333333333333</v>
      </c>
      <c r="N400" s="50" t="str">
        <f>IFERROR(RIGHT(Table1[[#This Row],[1st year]],LEN(Table1[[#This Row],[1st year]])-FIND(":",Table1[[#This Row],[1st year]])-1),"")</f>
        <v/>
      </c>
      <c r="O400" s="50" t="str">
        <f t="array" ref="O400">IFERROR(INDEX(Table2[Nth year],MATCH(1,(Table1[[#This Row],[Employer]]=Table2[EIW Name])*(Table1[[#This Row],[City, State]]=Table2[Offices Matched]),0)),"")</f>
        <v/>
      </c>
      <c r="P400" s="50" t="str">
        <f>IFERROR(RIGHT(Table1[[#This Row],[Nth year]],LEN(Table1[[#This Row],[Nth year]])-FIND(":",Table1[[#This Row],[Nth year]])-1),"")</f>
        <v/>
      </c>
      <c r="Q400" s="50" t="str">
        <f t="array" ref="Q400">IFERROR(INDEX(Table2[Am Law 200 PPP Rank ’16],MATCH(1,(Table1[[#This Row],[Employer]]=Table2[EIW Name])*(Table1[[#This Row],[City, State]]=Table2[Offices Matched]),0)),"")</f>
        <v/>
      </c>
      <c r="R400" s="50" t="str">
        <f>IFERROR(LEFT(Table1[[#This Row],[Am Law 200 PPP Rank ’16]],FIND(":",Table1[[#This Row],[Am Law 200 PPP Rank ’16]])-1),"")</f>
        <v/>
      </c>
      <c r="S400" s="50">
        <f>IFERROR(INDEX(VaultRank[Rank],MATCH(Table1[[#This Row],[Employer]],VaultRank[EIW Name],0)),"")</f>
        <v>95</v>
      </c>
      <c r="T400" s="50" t="str">
        <f t="array" ref="T400">IFERROR(INDEX(Table2[Summers Matched],MATCH(1,(Table1[[#This Row],[Employer]]=Table2[EIW Name])*(Table1[[#This Row],[City, State]]=Table2[Offices Matched]),0)),"")</f>
        <v/>
      </c>
      <c r="U400" s="52">
        <f t="shared" si="6"/>
        <v>3.4</v>
      </c>
      <c r="V400" s="60"/>
      <c r="W400" s="114">
        <v>42595</v>
      </c>
      <c r="X400"/>
    </row>
    <row r="401" spans="1:24" ht="14.1" customHeight="1">
      <c r="A401" s="45" t="s">
        <v>494</v>
      </c>
      <c r="B401" s="45" t="s">
        <v>299</v>
      </c>
      <c r="C401" s="45" t="s">
        <v>300</v>
      </c>
      <c r="D401" s="45" t="str">
        <f>Table1[[#This Row],[City]]&amp;", "&amp;Table1[[#This Row],[State]]</f>
        <v>Los Angeles, CA</v>
      </c>
      <c r="E401" s="49">
        <v>97</v>
      </c>
      <c r="F401" s="50">
        <v>5</v>
      </c>
      <c r="G401" s="50" t="str">
        <f t="array" ref="G401">IFERROR(INDEX(Table2[1st Year],MATCH(1,(Table1[[#This Row],[Employer]]=Table2[EIW Name])*(Table1[[#This Row],[City, State]]=Table2[Offices Matched]),0)),"")</f>
        <v/>
      </c>
      <c r="H401" s="50">
        <f>_xlfn.IFNA(INDEX(saCAGR[CAGR],MATCH(Table1[[#This Row],[Employer]],saCAGR[EIW Name],0)),"")</f>
        <v>1.0276696143700124</v>
      </c>
      <c r="I401" s="50">
        <f>IFERROR(Table1[[#This Row],[SA CAGR]]*Table1[[#This Row],[Number of Summer 2016 2L SAs]],"")</f>
        <v>5.1383480718500616</v>
      </c>
      <c r="J401" s="50">
        <v>20</v>
      </c>
      <c r="K401" s="51">
        <f>IFERROR(Table1[[#This Row],[Number of Summer 2016 NYU 2L SAs]]/Table1[[#This Row],[Interview Slots]],0)</f>
        <v>0.20618556701030927</v>
      </c>
      <c r="L401" s="51">
        <f>Table1[[#This Row],[Number of Summer 2016 2L SAs]]/Table1[[#This Row],[Interview Slots]]</f>
        <v>5.1546391752577317E-2</v>
      </c>
      <c r="M401" s="51">
        <f>IFERROR(Table1[[#This Row],[Number of Summer 2016 NYU 2L SAs]]/Table1[[#This Row],[Number of Summer 2016 2L SAs]],0)</f>
        <v>4</v>
      </c>
      <c r="N401" s="50" t="str">
        <f>IFERROR(RIGHT(Table1[[#This Row],[1st year]],LEN(Table1[[#This Row],[1st year]])-FIND(":",Table1[[#This Row],[1st year]])-1),"")</f>
        <v/>
      </c>
      <c r="O401" s="50" t="str">
        <f t="array" ref="O401">IFERROR(INDEX(Table2[Nth year],MATCH(1,(Table1[[#This Row],[Employer]]=Table2[EIW Name])*(Table1[[#This Row],[City, State]]=Table2[Offices Matched]),0)),"")</f>
        <v/>
      </c>
      <c r="P401" s="50" t="str">
        <f>IFERROR(RIGHT(Table1[[#This Row],[Nth year]],LEN(Table1[[#This Row],[Nth year]])-FIND(":",Table1[[#This Row],[Nth year]])-1),"")</f>
        <v/>
      </c>
      <c r="Q401" s="50" t="str">
        <f t="array" ref="Q401">IFERROR(INDEX(Table2[Am Law 200 PPP Rank ’16],MATCH(1,(Table1[[#This Row],[Employer]]=Table2[EIW Name])*(Table1[[#This Row],[City, State]]=Table2[Offices Matched]),0)),"")</f>
        <v/>
      </c>
      <c r="R401" s="50" t="str">
        <f>IFERROR(LEFT(Table1[[#This Row],[Am Law 200 PPP Rank ’16]],FIND(":",Table1[[#This Row],[Am Law 200 PPP Rank ’16]])-1),"")</f>
        <v/>
      </c>
      <c r="S401" s="50">
        <f>IFERROR(INDEX(VaultRank[Rank],MATCH(Table1[[#This Row],[Employer]],VaultRank[EIW Name],0)),"")</f>
        <v>61</v>
      </c>
      <c r="T401" s="50" t="str">
        <f t="array" ref="T401">IFERROR(INDEX(Table2[Summers Matched],MATCH(1,(Table1[[#This Row],[Employer]]=Table2[EIW Name])*(Table1[[#This Row],[City, State]]=Table2[Offices Matched]),0)),"")</f>
        <v/>
      </c>
      <c r="U401" s="52" t="str">
        <f t="shared" si="6"/>
        <v/>
      </c>
      <c r="V401" s="60"/>
      <c r="W401" s="114">
        <v>42594</v>
      </c>
      <c r="X401"/>
    </row>
    <row r="402" spans="1:24" ht="14.1" customHeight="1">
      <c r="A402" s="45" t="s">
        <v>494</v>
      </c>
      <c r="B402" s="45" t="s">
        <v>391</v>
      </c>
      <c r="C402" s="45" t="s">
        <v>300</v>
      </c>
      <c r="D402" s="45" t="str">
        <f>Table1[[#This Row],[City]]&amp;", "&amp;Table1[[#This Row],[State]]</f>
        <v>Sacramento, CA</v>
      </c>
      <c r="E402" s="49">
        <v>3</v>
      </c>
      <c r="F402" s="50">
        <v>1</v>
      </c>
      <c r="G402" s="50" t="str">
        <f t="array" ref="G402">IFERROR(INDEX(Table2[1st Year],MATCH(1,(Table1[[#This Row],[Employer]]=Table2[EIW Name])*(Table1[[#This Row],[City, State]]=Table2[Offices Matched]),0)),"")</f>
        <v/>
      </c>
      <c r="H402" s="50">
        <f>_xlfn.IFNA(INDEX(saCAGR[CAGR],MATCH(Table1[[#This Row],[Employer]],saCAGR[EIW Name],0)),"")</f>
        <v>1.0276696143700124</v>
      </c>
      <c r="I402" s="50">
        <f>IFERROR(Table1[[#This Row],[SA CAGR]]*Table1[[#This Row],[Number of Summer 2016 2L SAs]],"")</f>
        <v>1.0276696143700124</v>
      </c>
      <c r="J402" s="50">
        <v>20</v>
      </c>
      <c r="K402" s="51">
        <f>IFERROR(Table1[[#This Row],[Number of Summer 2016 NYU 2L SAs]]/Table1[[#This Row],[Interview Slots]],0)</f>
        <v>6.666666666666667</v>
      </c>
      <c r="L402" s="51">
        <f>Table1[[#This Row],[Number of Summer 2016 2L SAs]]/Table1[[#This Row],[Interview Slots]]</f>
        <v>0.33333333333333331</v>
      </c>
      <c r="M402" s="51">
        <f>IFERROR(Table1[[#This Row],[Number of Summer 2016 NYU 2L SAs]]/Table1[[#This Row],[Number of Summer 2016 2L SAs]],0)</f>
        <v>20</v>
      </c>
      <c r="N402" s="50" t="str">
        <f>IFERROR(RIGHT(Table1[[#This Row],[1st year]],LEN(Table1[[#This Row],[1st year]])-FIND(":",Table1[[#This Row],[1st year]])-1),"")</f>
        <v/>
      </c>
      <c r="O402" s="50" t="str">
        <f t="array" ref="O402">IFERROR(INDEX(Table2[Nth year],MATCH(1,(Table1[[#This Row],[Employer]]=Table2[EIW Name])*(Table1[[#This Row],[City, State]]=Table2[Offices Matched]),0)),"")</f>
        <v/>
      </c>
      <c r="P402" s="50" t="str">
        <f>IFERROR(RIGHT(Table1[[#This Row],[Nth year]],LEN(Table1[[#This Row],[Nth year]])-FIND(":",Table1[[#This Row],[Nth year]])-1),"")</f>
        <v/>
      </c>
      <c r="Q402" s="50" t="str">
        <f t="array" ref="Q402">IFERROR(INDEX(Table2[Am Law 200 PPP Rank ’16],MATCH(1,(Table1[[#This Row],[Employer]]=Table2[EIW Name])*(Table1[[#This Row],[City, State]]=Table2[Offices Matched]),0)),"")</f>
        <v/>
      </c>
      <c r="R402" s="50" t="str">
        <f>IFERROR(LEFT(Table1[[#This Row],[Am Law 200 PPP Rank ’16]],FIND(":",Table1[[#This Row],[Am Law 200 PPP Rank ’16]])-1),"")</f>
        <v/>
      </c>
      <c r="S402" s="50">
        <f>IFERROR(INDEX(VaultRank[Rank],MATCH(Table1[[#This Row],[Employer]],VaultRank[EIW Name],0)),"")</f>
        <v>61</v>
      </c>
      <c r="T402" s="50" t="str">
        <f t="array" ref="T402">IFERROR(INDEX(Table2[Summers Matched],MATCH(1,(Table1[[#This Row],[Employer]]=Table2[EIW Name])*(Table1[[#This Row],[City, State]]=Table2[Offices Matched]),0)),"")</f>
        <v/>
      </c>
      <c r="U402" s="52" t="str">
        <f t="shared" si="6"/>
        <v/>
      </c>
      <c r="V402" s="60"/>
      <c r="W402" s="114">
        <v>42593</v>
      </c>
      <c r="X402"/>
    </row>
    <row r="403" spans="1:24" ht="14.1" customHeight="1">
      <c r="A403" s="61" t="s">
        <v>494</v>
      </c>
      <c r="B403" s="45" t="s">
        <v>495</v>
      </c>
      <c r="C403" s="61" t="s">
        <v>300</v>
      </c>
      <c r="D403" s="61" t="str">
        <f>Table1[[#This Row],[City]]&amp;", "&amp;Table1[[#This Row],[State]]</f>
        <v>San Diego (North County), CA</v>
      </c>
      <c r="E403" s="63">
        <v>7</v>
      </c>
      <c r="F403" s="50">
        <v>3</v>
      </c>
      <c r="G403" s="50" t="str">
        <f t="array" ref="G403">IFERROR(INDEX(Table2[1st Year],MATCH(1,(Table1[[#This Row],[Employer]]=Table2[EIW Name])*(Table1[[#This Row],[City, State]]=Table2[Offices Matched]),0)),"")</f>
        <v/>
      </c>
      <c r="H403" s="50">
        <f>_xlfn.IFNA(INDEX(saCAGR[CAGR],MATCH(Table1[[#This Row],[Employer]],saCAGR[EIW Name],0)),"")</f>
        <v>1.0276696143700124</v>
      </c>
      <c r="I403" s="50">
        <f>IFERROR(Table1[[#This Row],[SA CAGR]]*Table1[[#This Row],[Number of Summer 2016 2L SAs]],"")</f>
        <v>3.0830088431100373</v>
      </c>
      <c r="J403" s="50">
        <v>7</v>
      </c>
      <c r="K403" s="51">
        <f>IFERROR(Table1[[#This Row],[Number of Summer 2016 NYU 2L SAs]]/Table1[[#This Row],[Interview Slots]],0)</f>
        <v>1</v>
      </c>
      <c r="L403" s="51">
        <f>Table1[[#This Row],[Number of Summer 2016 2L SAs]]/Table1[[#This Row],[Interview Slots]]</f>
        <v>0.42857142857142855</v>
      </c>
      <c r="M403" s="51">
        <f>IFERROR(Table1[[#This Row],[Number of Summer 2016 NYU 2L SAs]]/Table1[[#This Row],[Number of Summer 2016 2L SAs]],0)</f>
        <v>2.3333333333333335</v>
      </c>
      <c r="N403" s="50" t="str">
        <f>IFERROR(RIGHT(Table1[[#This Row],[1st year]],LEN(Table1[[#This Row],[1st year]])-FIND(":",Table1[[#This Row],[1st year]])-1),"")</f>
        <v/>
      </c>
      <c r="O403" s="50" t="str">
        <f t="array" ref="O403">IFERROR(INDEX(Table2[Nth year],MATCH(1,(Table1[[#This Row],[Employer]]=Table2[EIW Name])*(Table1[[#This Row],[City, State]]=Table2[Offices Matched]),0)),"")</f>
        <v/>
      </c>
      <c r="P403" s="50" t="str">
        <f>IFERROR(RIGHT(Table1[[#This Row],[Nth year]],LEN(Table1[[#This Row],[Nth year]])-FIND(":",Table1[[#This Row],[Nth year]])-1),"")</f>
        <v/>
      </c>
      <c r="Q403" s="50" t="str">
        <f t="array" ref="Q403">IFERROR(INDEX(Table2[Am Law 200 PPP Rank ’16],MATCH(1,(Table1[[#This Row],[Employer]]=Table2[EIW Name])*(Table1[[#This Row],[City, State]]=Table2[Offices Matched]),0)),"")</f>
        <v/>
      </c>
      <c r="R403" s="50" t="str">
        <f>IFERROR(LEFT(Table1[[#This Row],[Am Law 200 PPP Rank ’16]],FIND(":",Table1[[#This Row],[Am Law 200 PPP Rank ’16]])-1),"")</f>
        <v/>
      </c>
      <c r="S403" s="50">
        <f>IFERROR(INDEX(VaultRank[Rank],MATCH(Table1[[#This Row],[Employer]],VaultRank[EIW Name],0)),"")</f>
        <v>61</v>
      </c>
      <c r="T403" s="50" t="str">
        <f t="array" ref="T403">IFERROR(INDEX(Table2[Summers Matched],MATCH(1,(Table1[[#This Row],[Employer]]=Table2[EIW Name])*(Table1[[#This Row],[City, State]]=Table2[Offices Matched]),0)),"")</f>
        <v/>
      </c>
      <c r="U403" s="52" t="str">
        <f t="shared" si="6"/>
        <v/>
      </c>
      <c r="V403" s="60"/>
      <c r="W403" s="114">
        <v>42594</v>
      </c>
      <c r="X403"/>
    </row>
    <row r="404" spans="1:24" ht="14.1" customHeight="1">
      <c r="A404" s="45" t="s">
        <v>494</v>
      </c>
      <c r="B404" s="45" t="s">
        <v>316</v>
      </c>
      <c r="C404" s="45" t="s">
        <v>300</v>
      </c>
      <c r="D404" s="45" t="str">
        <f>Table1[[#This Row],[City]]&amp;", "&amp;Table1[[#This Row],[State]]</f>
        <v>San Francisco, CA</v>
      </c>
      <c r="E404" s="49">
        <v>146</v>
      </c>
      <c r="F404" s="50">
        <v>10</v>
      </c>
      <c r="G404" s="50" t="str">
        <f t="array" ref="G404">IFERROR(INDEX(Table2[1st Year],MATCH(1,(Table1[[#This Row],[Employer]]=Table2[EIW Name])*(Table1[[#This Row],[City, State]]=Table2[Offices Matched]),0)),"")</f>
        <v/>
      </c>
      <c r="H404" s="50">
        <f>_xlfn.IFNA(INDEX(saCAGR[CAGR],MATCH(Table1[[#This Row],[Employer]],saCAGR[EIW Name],0)),"")</f>
        <v>1.0276696143700124</v>
      </c>
      <c r="I404" s="50">
        <f>IFERROR(Table1[[#This Row],[SA CAGR]]*Table1[[#This Row],[Number of Summer 2016 2L SAs]],"")</f>
        <v>10.276696143700123</v>
      </c>
      <c r="J404" s="50">
        <v>5</v>
      </c>
      <c r="K404" s="51">
        <f>IFERROR(Table1[[#This Row],[Number of Summer 2016 NYU 2L SAs]]/Table1[[#This Row],[Interview Slots]],0)</f>
        <v>3.4246575342465752E-2</v>
      </c>
      <c r="L404" s="51">
        <f>Table1[[#This Row],[Number of Summer 2016 2L SAs]]/Table1[[#This Row],[Interview Slots]]</f>
        <v>6.8493150684931503E-2</v>
      </c>
      <c r="M404" s="51">
        <f>IFERROR(Table1[[#This Row],[Number of Summer 2016 NYU 2L SAs]]/Table1[[#This Row],[Number of Summer 2016 2L SAs]],0)</f>
        <v>0.5</v>
      </c>
      <c r="N404" s="50" t="str">
        <f>IFERROR(RIGHT(Table1[[#This Row],[1st year]],LEN(Table1[[#This Row],[1st year]])-FIND(":",Table1[[#This Row],[1st year]])-1),"")</f>
        <v/>
      </c>
      <c r="O404" s="50" t="str">
        <f t="array" ref="O404">IFERROR(INDEX(Table2[Nth year],MATCH(1,(Table1[[#This Row],[Employer]]=Table2[EIW Name])*(Table1[[#This Row],[City, State]]=Table2[Offices Matched]),0)),"")</f>
        <v/>
      </c>
      <c r="P404" s="50" t="str">
        <f>IFERROR(RIGHT(Table1[[#This Row],[Nth year]],LEN(Table1[[#This Row],[Nth year]])-FIND(":",Table1[[#This Row],[Nth year]])-1),"")</f>
        <v/>
      </c>
      <c r="Q404" s="50" t="str">
        <f t="array" ref="Q404">IFERROR(INDEX(Table2[Am Law 200 PPP Rank ’16],MATCH(1,(Table1[[#This Row],[Employer]]=Table2[EIW Name])*(Table1[[#This Row],[City, State]]=Table2[Offices Matched]),0)),"")</f>
        <v/>
      </c>
      <c r="R404" s="50" t="str">
        <f>IFERROR(LEFT(Table1[[#This Row],[Am Law 200 PPP Rank ’16]],FIND(":",Table1[[#This Row],[Am Law 200 PPP Rank ’16]])-1),"")</f>
        <v/>
      </c>
      <c r="S404" s="50">
        <f>IFERROR(INDEX(VaultRank[Rank],MATCH(Table1[[#This Row],[Employer]],VaultRank[EIW Name],0)),"")</f>
        <v>61</v>
      </c>
      <c r="T404" s="50" t="str">
        <f t="array" ref="T404">IFERROR(INDEX(Table2[Summers Matched],MATCH(1,(Table1[[#This Row],[Employer]]=Table2[EIW Name])*(Table1[[#This Row],[City, State]]=Table2[Offices Matched]),0)),"")</f>
        <v/>
      </c>
      <c r="U404" s="52" t="str">
        <f t="shared" si="6"/>
        <v/>
      </c>
      <c r="V404" s="60"/>
      <c r="W404" s="114">
        <v>42594</v>
      </c>
      <c r="X404"/>
    </row>
    <row r="405" spans="1:24" ht="14.1" customHeight="1">
      <c r="A405" s="45" t="s">
        <v>494</v>
      </c>
      <c r="B405" s="45" t="s">
        <v>307</v>
      </c>
      <c r="C405" s="45" t="s">
        <v>300</v>
      </c>
      <c r="D405" s="45" t="str">
        <f>Table1[[#This Row],[City]]&amp;", "&amp;Table1[[#This Row],[State]]</f>
        <v>Silicon Valley, CA</v>
      </c>
      <c r="E405" s="49">
        <v>145</v>
      </c>
      <c r="F405" s="50">
        <v>2</v>
      </c>
      <c r="G405" s="50" t="str">
        <f t="array" ref="G405">IFERROR(INDEX(Table2[1st Year],MATCH(1,(Table1[[#This Row],[Employer]]=Table2[EIW Name])*(Table1[[#This Row],[City, State]]=Table2[Offices Matched]),0)),"")</f>
        <v/>
      </c>
      <c r="H405" s="50">
        <f>_xlfn.IFNA(INDEX(saCAGR[CAGR],MATCH(Table1[[#This Row],[Employer]],saCAGR[EIW Name],0)),"")</f>
        <v>1.0276696143700124</v>
      </c>
      <c r="I405" s="50">
        <f>IFERROR(Table1[[#This Row],[SA CAGR]]*Table1[[#This Row],[Number of Summer 2016 2L SAs]],"")</f>
        <v>2.0553392287400247</v>
      </c>
      <c r="J405" s="50">
        <v>15</v>
      </c>
      <c r="K405" s="51">
        <f>IFERROR(Table1[[#This Row],[Number of Summer 2016 NYU 2L SAs]]/Table1[[#This Row],[Interview Slots]],0)</f>
        <v>0.10344827586206896</v>
      </c>
      <c r="L405" s="51">
        <f>Table1[[#This Row],[Number of Summer 2016 2L SAs]]/Table1[[#This Row],[Interview Slots]]</f>
        <v>1.3793103448275862E-2</v>
      </c>
      <c r="M405" s="51">
        <f>IFERROR(Table1[[#This Row],[Number of Summer 2016 NYU 2L SAs]]/Table1[[#This Row],[Number of Summer 2016 2L SAs]],0)</f>
        <v>7.5</v>
      </c>
      <c r="N405" s="50" t="str">
        <f>IFERROR(RIGHT(Table1[[#This Row],[1st year]],LEN(Table1[[#This Row],[1st year]])-FIND(":",Table1[[#This Row],[1st year]])-1),"")</f>
        <v/>
      </c>
      <c r="O405" s="50" t="str">
        <f t="array" ref="O405">IFERROR(INDEX(Table2[Nth year],MATCH(1,(Table1[[#This Row],[Employer]]=Table2[EIW Name])*(Table1[[#This Row],[City, State]]=Table2[Offices Matched]),0)),"")</f>
        <v/>
      </c>
      <c r="P405" s="50" t="str">
        <f>IFERROR(RIGHT(Table1[[#This Row],[Nth year]],LEN(Table1[[#This Row],[Nth year]])-FIND(":",Table1[[#This Row],[Nth year]])-1),"")</f>
        <v/>
      </c>
      <c r="Q405" s="50" t="str">
        <f t="array" ref="Q405">IFERROR(INDEX(Table2[Am Law 200 PPP Rank ’16],MATCH(1,(Table1[[#This Row],[Employer]]=Table2[EIW Name])*(Table1[[#This Row],[City, State]]=Table2[Offices Matched]),0)),"")</f>
        <v/>
      </c>
      <c r="R405" s="50" t="str">
        <f>IFERROR(LEFT(Table1[[#This Row],[Am Law 200 PPP Rank ’16]],FIND(":",Table1[[#This Row],[Am Law 200 PPP Rank ’16]])-1),"")</f>
        <v/>
      </c>
      <c r="S405" s="50">
        <f>IFERROR(INDEX(VaultRank[Rank],MATCH(Table1[[#This Row],[Employer]],VaultRank[EIW Name],0)),"")</f>
        <v>61</v>
      </c>
      <c r="T405" s="50" t="str">
        <f t="array" ref="T405">IFERROR(INDEX(Table2[Summers Matched],MATCH(1,(Table1[[#This Row],[Employer]]=Table2[EIW Name])*(Table1[[#This Row],[City, State]]=Table2[Offices Matched]),0)),"")</f>
        <v/>
      </c>
      <c r="U405" s="52" t="str">
        <f t="shared" si="6"/>
        <v/>
      </c>
      <c r="V405" s="60"/>
      <c r="W405" s="114">
        <v>42594</v>
      </c>
      <c r="X405"/>
    </row>
    <row r="406" spans="1:24" ht="14.1" customHeight="1">
      <c r="A406" s="45" t="s">
        <v>494</v>
      </c>
      <c r="B406" s="45" t="s">
        <v>301</v>
      </c>
      <c r="C406" s="45" t="s">
        <v>302</v>
      </c>
      <c r="D406" s="45" t="str">
        <f>Table1[[#This Row],[City]]&amp;", "&amp;Table1[[#This Row],[State]]</f>
        <v>Washington, DC</v>
      </c>
      <c r="E406" s="49">
        <v>54</v>
      </c>
      <c r="F406" s="50">
        <v>6</v>
      </c>
      <c r="G406" s="50" t="str">
        <f t="array" ref="G406">IFERROR(INDEX(Table2[1st Year],MATCH(1,(Table1[[#This Row],[Employer]]=Table2[EIW Name])*(Table1[[#This Row],[City, State]]=Table2[Offices Matched]),0)),"")</f>
        <v/>
      </c>
      <c r="H406" s="50">
        <f>_xlfn.IFNA(INDEX(saCAGR[CAGR],MATCH(Table1[[#This Row],[Employer]],saCAGR[EIW Name],0)),"")</f>
        <v>1.0276696143700124</v>
      </c>
      <c r="I406" s="50">
        <f>IFERROR(Table1[[#This Row],[SA CAGR]]*Table1[[#This Row],[Number of Summer 2016 2L SAs]],"")</f>
        <v>6.1660176862200746</v>
      </c>
      <c r="J406" s="50">
        <v>16</v>
      </c>
      <c r="K406" s="51">
        <f>IFERROR(Table1[[#This Row],[Number of Summer 2016 NYU 2L SAs]]/Table1[[#This Row],[Interview Slots]],0)</f>
        <v>0.29629629629629628</v>
      </c>
      <c r="L406" s="51">
        <f>Table1[[#This Row],[Number of Summer 2016 2L SAs]]/Table1[[#This Row],[Interview Slots]]</f>
        <v>0.1111111111111111</v>
      </c>
      <c r="M406" s="51">
        <f>IFERROR(Table1[[#This Row],[Number of Summer 2016 NYU 2L SAs]]/Table1[[#This Row],[Number of Summer 2016 2L SAs]],0)</f>
        <v>2.6666666666666665</v>
      </c>
      <c r="N406" s="50" t="str">
        <f>IFERROR(RIGHT(Table1[[#This Row],[1st year]],LEN(Table1[[#This Row],[1st year]])-FIND(":",Table1[[#This Row],[1st year]])-1),"")</f>
        <v/>
      </c>
      <c r="O406" s="50" t="str">
        <f t="array" ref="O406">IFERROR(INDEX(Table2[Nth year],MATCH(1,(Table1[[#This Row],[Employer]]=Table2[EIW Name])*(Table1[[#This Row],[City, State]]=Table2[Offices Matched]),0)),"")</f>
        <v/>
      </c>
      <c r="P406" s="50" t="str">
        <f>IFERROR(RIGHT(Table1[[#This Row],[Nth year]],LEN(Table1[[#This Row],[Nth year]])-FIND(":",Table1[[#This Row],[Nth year]])-1),"")</f>
        <v/>
      </c>
      <c r="Q406" s="50" t="str">
        <f t="array" ref="Q406">IFERROR(INDEX(Table2[Am Law 200 PPP Rank ’16],MATCH(1,(Table1[[#This Row],[Employer]]=Table2[EIW Name])*(Table1[[#This Row],[City, State]]=Table2[Offices Matched]),0)),"")</f>
        <v/>
      </c>
      <c r="R406" s="50" t="str">
        <f>IFERROR(LEFT(Table1[[#This Row],[Am Law 200 PPP Rank ’16]],FIND(":",Table1[[#This Row],[Am Law 200 PPP Rank ’16]])-1),"")</f>
        <v/>
      </c>
      <c r="S406" s="50">
        <f>IFERROR(INDEX(VaultRank[Rank],MATCH(Table1[[#This Row],[Employer]],VaultRank[EIW Name],0)),"")</f>
        <v>61</v>
      </c>
      <c r="T406" s="50" t="str">
        <f t="array" ref="T406">IFERROR(INDEX(Table2[Summers Matched],MATCH(1,(Table1[[#This Row],[Employer]]=Table2[EIW Name])*(Table1[[#This Row],[City, State]]=Table2[Offices Matched]),0)),"")</f>
        <v/>
      </c>
      <c r="U406" s="52" t="str">
        <f t="shared" si="6"/>
        <v/>
      </c>
      <c r="V406" s="60"/>
      <c r="W406" s="114">
        <v>42592</v>
      </c>
      <c r="X406"/>
    </row>
    <row r="407" spans="1:24" ht="14.1" customHeight="1">
      <c r="A407" s="45" t="s">
        <v>494</v>
      </c>
      <c r="B407" s="45" t="s">
        <v>331</v>
      </c>
      <c r="C407" s="45" t="s">
        <v>314</v>
      </c>
      <c r="D407" s="45" t="str">
        <f>Table1[[#This Row],[City]]&amp;", "&amp;Table1[[#This Row],[State]]</f>
        <v>Houston, TX</v>
      </c>
      <c r="E407" s="49">
        <v>53</v>
      </c>
      <c r="F407" s="50">
        <v>1</v>
      </c>
      <c r="G407" s="50" t="str">
        <f t="array" ref="G407">IFERROR(INDEX(Table2[1st Year],MATCH(1,(Table1[[#This Row],[Employer]]=Table2[EIW Name])*(Table1[[#This Row],[City, State]]=Table2[Offices Matched]),0)),"")</f>
        <v/>
      </c>
      <c r="H407" s="50">
        <f>_xlfn.IFNA(INDEX(saCAGR[CAGR],MATCH(Table1[[#This Row],[Employer]],saCAGR[EIW Name],0)),"")</f>
        <v>1.0276696143700124</v>
      </c>
      <c r="I407" s="50">
        <f>IFERROR(Table1[[#This Row],[SA CAGR]]*Table1[[#This Row],[Number of Summer 2016 2L SAs]],"")</f>
        <v>1.0276696143700124</v>
      </c>
      <c r="J407" s="50">
        <v>8</v>
      </c>
      <c r="K407" s="51">
        <f>IFERROR(Table1[[#This Row],[Number of Summer 2016 NYU 2L SAs]]/Table1[[#This Row],[Interview Slots]],0)</f>
        <v>0.15094339622641509</v>
      </c>
      <c r="L407" s="51">
        <f>Table1[[#This Row],[Number of Summer 2016 2L SAs]]/Table1[[#This Row],[Interview Slots]]</f>
        <v>1.8867924528301886E-2</v>
      </c>
      <c r="M407" s="51">
        <f>IFERROR(Table1[[#This Row],[Number of Summer 2016 NYU 2L SAs]]/Table1[[#This Row],[Number of Summer 2016 2L SAs]],0)</f>
        <v>8</v>
      </c>
      <c r="N407" s="50" t="str">
        <f>IFERROR(RIGHT(Table1[[#This Row],[1st year]],LEN(Table1[[#This Row],[1st year]])-FIND(":",Table1[[#This Row],[1st year]])-1),"")</f>
        <v/>
      </c>
      <c r="O407" s="50" t="str">
        <f t="array" ref="O407">IFERROR(INDEX(Table2[Nth year],MATCH(1,(Table1[[#This Row],[Employer]]=Table2[EIW Name])*(Table1[[#This Row],[City, State]]=Table2[Offices Matched]),0)),"")</f>
        <v/>
      </c>
      <c r="P407" s="50" t="str">
        <f>IFERROR(RIGHT(Table1[[#This Row],[Nth year]],LEN(Table1[[#This Row],[Nth year]])-FIND(":",Table1[[#This Row],[Nth year]])-1),"")</f>
        <v/>
      </c>
      <c r="Q407" s="50" t="str">
        <f t="array" ref="Q407">IFERROR(INDEX(Table2[Am Law 200 PPP Rank ’16],MATCH(1,(Table1[[#This Row],[Employer]]=Table2[EIW Name])*(Table1[[#This Row],[City, State]]=Table2[Offices Matched]),0)),"")</f>
        <v/>
      </c>
      <c r="R407" s="50" t="str">
        <f>IFERROR(LEFT(Table1[[#This Row],[Am Law 200 PPP Rank ’16]],FIND(":",Table1[[#This Row],[Am Law 200 PPP Rank ’16]])-1),"")</f>
        <v/>
      </c>
      <c r="S407" s="50">
        <f>IFERROR(INDEX(VaultRank[Rank],MATCH(Table1[[#This Row],[Employer]],VaultRank[EIW Name],0)),"")</f>
        <v>61</v>
      </c>
      <c r="T407" s="50" t="str">
        <f t="array" ref="T407">IFERROR(INDEX(Table2[Summers Matched],MATCH(1,(Table1[[#This Row],[Employer]]=Table2[EIW Name])*(Table1[[#This Row],[City, State]]=Table2[Offices Matched]),0)),"")</f>
        <v/>
      </c>
      <c r="U407" s="52" t="str">
        <f t="shared" si="6"/>
        <v/>
      </c>
      <c r="V407" s="60"/>
      <c r="W407" s="114">
        <v>42592</v>
      </c>
      <c r="X407"/>
    </row>
    <row r="408" spans="1:24" ht="14.1" customHeight="1">
      <c r="A408" s="45" t="s">
        <v>494</v>
      </c>
      <c r="B408" s="45" t="s">
        <v>496</v>
      </c>
      <c r="C408" s="45" t="s">
        <v>378</v>
      </c>
      <c r="D408" s="45" t="str">
        <f>Table1[[#This Row],[City]]&amp;", "&amp;Table1[[#This Row],[State]]</f>
        <v>Northern, VA</v>
      </c>
      <c r="E408" s="49">
        <v>183</v>
      </c>
      <c r="F408" s="50">
        <v>1</v>
      </c>
      <c r="G408" s="50" t="str">
        <f t="array" ref="G408">IFERROR(INDEX(Table2[1st Year],MATCH(1,(Table1[[#This Row],[Employer]]=Table2[EIW Name])*(Table1[[#This Row],[City, State]]=Table2[Offices Matched]),0)),"")</f>
        <v/>
      </c>
      <c r="H408" s="50">
        <f>_xlfn.IFNA(INDEX(saCAGR[CAGR],MATCH(Table1[[#This Row],[Employer]],saCAGR[EIW Name],0)),"")</f>
        <v>1.0276696143700124</v>
      </c>
      <c r="I408" s="50">
        <f>IFERROR(Table1[[#This Row],[SA CAGR]]*Table1[[#This Row],[Number of Summer 2016 2L SAs]],"")</f>
        <v>1.0276696143700124</v>
      </c>
      <c r="J408" s="50">
        <v>9</v>
      </c>
      <c r="K408" s="51">
        <f>IFERROR(Table1[[#This Row],[Number of Summer 2016 NYU 2L SAs]]/Table1[[#This Row],[Interview Slots]],0)</f>
        <v>4.9180327868852458E-2</v>
      </c>
      <c r="L408" s="51">
        <f>Table1[[#This Row],[Number of Summer 2016 2L SAs]]/Table1[[#This Row],[Interview Slots]]</f>
        <v>5.4644808743169399E-3</v>
      </c>
      <c r="M408" s="51">
        <f>IFERROR(Table1[[#This Row],[Number of Summer 2016 NYU 2L SAs]]/Table1[[#This Row],[Number of Summer 2016 2L SAs]],0)</f>
        <v>9</v>
      </c>
      <c r="N408" s="50" t="str">
        <f>IFERROR(RIGHT(Table1[[#This Row],[1st year]],LEN(Table1[[#This Row],[1st year]])-FIND(":",Table1[[#This Row],[1st year]])-1),"")</f>
        <v/>
      </c>
      <c r="O408" s="50" t="str">
        <f t="array" ref="O408">IFERROR(INDEX(Table2[Nth year],MATCH(1,(Table1[[#This Row],[Employer]]=Table2[EIW Name])*(Table1[[#This Row],[City, State]]=Table2[Offices Matched]),0)),"")</f>
        <v/>
      </c>
      <c r="P408" s="50" t="str">
        <f>IFERROR(RIGHT(Table1[[#This Row],[Nth year]],LEN(Table1[[#This Row],[Nth year]])-FIND(":",Table1[[#This Row],[Nth year]])-1),"")</f>
        <v/>
      </c>
      <c r="Q408" s="50" t="str">
        <f t="array" ref="Q408">IFERROR(INDEX(Table2[Am Law 200 PPP Rank ’16],MATCH(1,(Table1[[#This Row],[Employer]]=Table2[EIW Name])*(Table1[[#This Row],[City, State]]=Table2[Offices Matched]),0)),"")</f>
        <v/>
      </c>
      <c r="R408" s="50" t="str">
        <f>IFERROR(LEFT(Table1[[#This Row],[Am Law 200 PPP Rank ’16]],FIND(":",Table1[[#This Row],[Am Law 200 PPP Rank ’16]])-1),"")</f>
        <v/>
      </c>
      <c r="S408" s="50">
        <f>IFERROR(INDEX(VaultRank[Rank],MATCH(Table1[[#This Row],[Employer]],VaultRank[EIW Name],0)),"")</f>
        <v>61</v>
      </c>
      <c r="T408" s="50" t="str">
        <f t="array" ref="T408">IFERROR(INDEX(Table2[Summers Matched],MATCH(1,(Table1[[#This Row],[Employer]]=Table2[EIW Name])*(Table1[[#This Row],[City, State]]=Table2[Offices Matched]),0)),"")</f>
        <v/>
      </c>
      <c r="U408" s="52" t="str">
        <f t="shared" si="6"/>
        <v/>
      </c>
      <c r="V408" s="60"/>
      <c r="W408" s="114">
        <v>42593</v>
      </c>
      <c r="X408"/>
    </row>
    <row r="409" spans="1:24" ht="14.1" customHeight="1">
      <c r="A409" s="45" t="s">
        <v>497</v>
      </c>
      <c r="B409" s="45" t="s">
        <v>401</v>
      </c>
      <c r="C409" s="45" t="s">
        <v>402</v>
      </c>
      <c r="D409" s="45" t="str">
        <f>Table1[[#This Row],[City]]&amp;", "&amp;Table1[[#This Row],[State]]</f>
        <v>Wilmington, DE</v>
      </c>
      <c r="E409" s="49">
        <v>92</v>
      </c>
      <c r="F409" s="50">
        <v>11</v>
      </c>
      <c r="G409" s="50" t="str">
        <f t="array" ref="G409">IFERROR(INDEX(Table2[1st Year],MATCH(1,(Table1[[#This Row],[Employer]]=Table2[EIW Name])*(Table1[[#This Row],[City, State]]=Table2[Offices Matched]),0)),"")</f>
        <v/>
      </c>
      <c r="H409" s="50" t="str">
        <f>_xlfn.IFNA(INDEX(saCAGR[CAGR],MATCH(Table1[[#This Row],[Employer]],saCAGR[EIW Name],0)),"")</f>
        <v/>
      </c>
      <c r="I409" s="50" t="str">
        <f>IFERROR(Table1[[#This Row],[SA CAGR]]*Table1[[#This Row],[Number of Summer 2016 2L SAs]],"")</f>
        <v/>
      </c>
      <c r="J409" s="50">
        <v>18</v>
      </c>
      <c r="K409" s="51">
        <f>IFERROR(Table1[[#This Row],[Number of Summer 2016 NYU 2L SAs]]/Table1[[#This Row],[Interview Slots]],0)</f>
        <v>0.19565217391304349</v>
      </c>
      <c r="L409" s="51">
        <f>Table1[[#This Row],[Number of Summer 2016 2L SAs]]/Table1[[#This Row],[Interview Slots]]</f>
        <v>0.11956521739130435</v>
      </c>
      <c r="M409" s="51">
        <f>IFERROR(Table1[[#This Row],[Number of Summer 2016 NYU 2L SAs]]/Table1[[#This Row],[Number of Summer 2016 2L SAs]],0)</f>
        <v>1.6363636363636365</v>
      </c>
      <c r="N409" s="50" t="str">
        <f>IFERROR(RIGHT(Table1[[#This Row],[1st year]],LEN(Table1[[#This Row],[1st year]])-FIND(":",Table1[[#This Row],[1st year]])-1),"")</f>
        <v/>
      </c>
      <c r="O409" s="50" t="str">
        <f t="array" ref="O409">IFERROR(INDEX(Table2[Nth year],MATCH(1,(Table1[[#This Row],[Employer]]=Table2[EIW Name])*(Table1[[#This Row],[City, State]]=Table2[Offices Matched]),0)),"")</f>
        <v/>
      </c>
      <c r="P409" s="50" t="str">
        <f>IFERROR(RIGHT(Table1[[#This Row],[Nth year]],LEN(Table1[[#This Row],[Nth year]])-FIND(":",Table1[[#This Row],[Nth year]])-1),"")</f>
        <v/>
      </c>
      <c r="Q409" s="50" t="str">
        <f t="array" ref="Q409">IFERROR(INDEX(Table2[Am Law 200 PPP Rank ’16],MATCH(1,(Table1[[#This Row],[Employer]]=Table2[EIW Name])*(Table1[[#This Row],[City, State]]=Table2[Offices Matched]),0)),"")</f>
        <v/>
      </c>
      <c r="R409" s="50" t="str">
        <f>IFERROR(LEFT(Table1[[#This Row],[Am Law 200 PPP Rank ’16]],FIND(":",Table1[[#This Row],[Am Law 200 PPP Rank ’16]])-1),"")</f>
        <v/>
      </c>
      <c r="S409" s="50" t="str">
        <f>IFERROR(INDEX(VaultRank[Rank],MATCH(Table1[[#This Row],[Employer]],VaultRank[EIW Name],0)),"")</f>
        <v/>
      </c>
      <c r="T409" s="50" t="str">
        <f t="array" ref="T409">IFERROR(INDEX(Table2[Summers Matched],MATCH(1,(Table1[[#This Row],[Employer]]=Table2[EIW Name])*(Table1[[#This Row],[City, State]]=Table2[Offices Matched]),0)),"")</f>
        <v/>
      </c>
      <c r="U409" s="52" t="str">
        <f t="shared" si="6"/>
        <v/>
      </c>
      <c r="V409" s="60"/>
      <c r="W409" s="114">
        <v>42593</v>
      </c>
      <c r="X409"/>
    </row>
    <row r="410" spans="1:24" ht="14.1" customHeight="1">
      <c r="A410" s="45" t="s">
        <v>174</v>
      </c>
      <c r="B410" s="45" t="s">
        <v>364</v>
      </c>
      <c r="C410" s="45" t="s">
        <v>362</v>
      </c>
      <c r="D410" s="45" t="str">
        <f>Table1[[#This Row],[City]]&amp;", "&amp;Table1[[#This Row],[State]]</f>
        <v>New York, NY</v>
      </c>
      <c r="E410" s="49">
        <v>60</v>
      </c>
      <c r="F410" s="50">
        <v>4</v>
      </c>
      <c r="G410" s="50" t="str">
        <f t="array" ref="G410">IFERROR(INDEX(Table2[1st Year],MATCH(1,(Table1[[#This Row],[Employer]]=Table2[EIW Name])*(Table1[[#This Row],[City, State]]=Table2[Offices Matched]),0)),"")</f>
        <v>1st Year: $180K</v>
      </c>
      <c r="H410" s="50">
        <f>_xlfn.IFNA(INDEX(saCAGR[CAGR],MATCH(Table1[[#This Row],[Employer]],saCAGR[EIW Name],0)),"")</f>
        <v>0.99004034661480111</v>
      </c>
      <c r="I410" s="50">
        <f>IFERROR(Table1[[#This Row],[SA CAGR]]*Table1[[#This Row],[Number of Summer 2016 2L SAs]],"")</f>
        <v>3.9601613864592045</v>
      </c>
      <c r="J410" s="50">
        <v>17</v>
      </c>
      <c r="K410" s="51">
        <f>IFERROR(Table1[[#This Row],[Number of Summer 2016 NYU 2L SAs]]/Table1[[#This Row],[Interview Slots]],0)</f>
        <v>0.28333333333333333</v>
      </c>
      <c r="L410" s="51">
        <f>Table1[[#This Row],[Number of Summer 2016 2L SAs]]/Table1[[#This Row],[Interview Slots]]</f>
        <v>6.6666666666666666E-2</v>
      </c>
      <c r="M410" s="51">
        <f>IFERROR(Table1[[#This Row],[Number of Summer 2016 NYU 2L SAs]]/Table1[[#This Row],[Number of Summer 2016 2L SAs]],0)</f>
        <v>4.25</v>
      </c>
      <c r="N410" s="50" t="str">
        <f>IFERROR(RIGHT(Table1[[#This Row],[1st year]],LEN(Table1[[#This Row],[1st year]])-FIND(":",Table1[[#This Row],[1st year]])-1),"")</f>
        <v>$180K</v>
      </c>
      <c r="O410" s="50" t="str">
        <f t="array" ref="O410">IFERROR(INDEX(Table2[Nth year],MATCH(1,(Table1[[#This Row],[Employer]]=Table2[EIW Name])*(Table1[[#This Row],[City, State]]=Table2[Offices Matched]),0)),"")</f>
        <v>8th Year: $315K</v>
      </c>
      <c r="P410" s="50" t="str">
        <f>IFERROR(RIGHT(Table1[[#This Row],[Nth year]],LEN(Table1[[#This Row],[Nth year]])-FIND(":",Table1[[#This Row],[Nth year]])-1),"")</f>
        <v>$315K</v>
      </c>
      <c r="Q410" s="50" t="str">
        <f t="array" ref="Q410">IFERROR(INDEX(Table2[Am Law 200 PPP Rank ’16],MATCH(1,(Table1[[#This Row],[Employer]]=Table2[EIW Name])*(Table1[[#This Row],[City, State]]=Table2[Offices Matched]),0)),"")</f>
        <v>75: $1.19M</v>
      </c>
      <c r="R410" s="50" t="str">
        <f>IFERROR(LEFT(Table1[[#This Row],[Am Law 200 PPP Rank ’16]],FIND(":",Table1[[#This Row],[Am Law 200 PPP Rank ’16]])-1),"")</f>
        <v>75</v>
      </c>
      <c r="S410" s="50">
        <f>IFERROR(INDEX(VaultRank[Rank],MATCH(Table1[[#This Row],[Employer]],VaultRank[EIW Name],0)),"")</f>
        <v>99</v>
      </c>
      <c r="T410" s="50" t="str">
        <f t="array" ref="T410">IFERROR(INDEX(Table2[Summers Matched],MATCH(1,(Table1[[#This Row],[Employer]]=Table2[EIW Name])*(Table1[[#This Row],[City, State]]=Table2[Offices Matched]),0)),"")</f>
        <v>Yes</v>
      </c>
      <c r="U410" s="52" t="str">
        <f t="shared" si="6"/>
        <v/>
      </c>
      <c r="V410" s="60"/>
      <c r="W410" s="114">
        <v>42593</v>
      </c>
      <c r="X410"/>
    </row>
    <row r="411" spans="1:24" ht="14.1" customHeight="1">
      <c r="A411" s="45" t="s">
        <v>100</v>
      </c>
      <c r="B411" s="45" t="s">
        <v>299</v>
      </c>
      <c r="C411" s="45" t="s">
        <v>300</v>
      </c>
      <c r="D411" s="45" t="str">
        <f>Table1[[#This Row],[City]]&amp;", "&amp;Table1[[#This Row],[State]]</f>
        <v>Los Angeles, CA</v>
      </c>
      <c r="E411" s="49">
        <v>144</v>
      </c>
      <c r="F411" s="50">
        <v>6</v>
      </c>
      <c r="G411" s="50" t="str">
        <f t="array" ref="G411">IFERROR(INDEX(Table2[1st Year],MATCH(1,(Table1[[#This Row],[Employer]]=Table2[EIW Name])*(Table1[[#This Row],[City, State]]=Table2[Offices Matched]),0)),"")</f>
        <v>1st Year: $180K</v>
      </c>
      <c r="H411" s="50">
        <f>_xlfn.IFNA(INDEX(saCAGR[CAGR],MATCH(Table1[[#This Row],[Employer]],saCAGR[EIW Name],0)),"")</f>
        <v>1.0179873824833936</v>
      </c>
      <c r="I411" s="50">
        <f>IFERROR(Table1[[#This Row],[SA CAGR]]*Table1[[#This Row],[Number of Summer 2016 2L SAs]],"")</f>
        <v>6.1079242949003616</v>
      </c>
      <c r="J411" s="50">
        <v>13</v>
      </c>
      <c r="K411" s="51">
        <f>IFERROR(Table1[[#This Row],[Number of Summer 2016 NYU 2L SAs]]/Table1[[#This Row],[Interview Slots]],0)</f>
        <v>9.0277777777777776E-2</v>
      </c>
      <c r="L411" s="51">
        <f>Table1[[#This Row],[Number of Summer 2016 2L SAs]]/Table1[[#This Row],[Interview Slots]]</f>
        <v>4.1666666666666664E-2</v>
      </c>
      <c r="M411" s="51">
        <f>IFERROR(Table1[[#This Row],[Number of Summer 2016 NYU 2L SAs]]/Table1[[#This Row],[Number of Summer 2016 2L SAs]],0)</f>
        <v>2.1666666666666665</v>
      </c>
      <c r="N411" s="50" t="str">
        <f>IFERROR(RIGHT(Table1[[#This Row],[1st year]],LEN(Table1[[#This Row],[1st year]])-FIND(":",Table1[[#This Row],[1st year]])-1),"")</f>
        <v>$180K</v>
      </c>
      <c r="O411" s="50" t="str">
        <f t="array" ref="O411">IFERROR(INDEX(Table2[Nth year],MATCH(1,(Table1[[#This Row],[Employer]]=Table2[EIW Name])*(Table1[[#This Row],[City, State]]=Table2[Offices Matched]),0)),"")</f>
        <v>8th Year: $315K</v>
      </c>
      <c r="P411" s="50" t="str">
        <f>IFERROR(RIGHT(Table1[[#This Row],[Nth year]],LEN(Table1[[#This Row],[Nth year]])-FIND(":",Table1[[#This Row],[Nth year]])-1),"")</f>
        <v>$315K</v>
      </c>
      <c r="Q411" s="50" t="str">
        <f t="array" ref="Q411">IFERROR(INDEX(Table2[Am Law 200 PPP Rank ’16],MATCH(1,(Table1[[#This Row],[Employer]]=Table2[EIW Name])*(Table1[[#This Row],[City, State]]=Table2[Offices Matched]),0)),"")</f>
        <v>27: $2.15M</v>
      </c>
      <c r="R411" s="50" t="str">
        <f>IFERROR(LEFT(Table1[[#This Row],[Am Law 200 PPP Rank ’16]],FIND(":",Table1[[#This Row],[Am Law 200 PPP Rank ’16]])-1),"")</f>
        <v>27</v>
      </c>
      <c r="S411" s="50">
        <f>IFERROR(INDEX(VaultRank[Rank],MATCH(Table1[[#This Row],[Employer]],VaultRank[EIW Name],0)),"")</f>
        <v>30</v>
      </c>
      <c r="T411" s="50" t="str">
        <f t="array" ref="T411">IFERROR(INDEX(Table2[Summers Matched],MATCH(1,(Table1[[#This Row],[Employer]]=Table2[EIW Name])*(Table1[[#This Row],[City, State]]=Table2[Offices Matched]),0)),"")</f>
        <v>Yes</v>
      </c>
      <c r="U411" s="52" t="str">
        <f t="shared" si="6"/>
        <v/>
      </c>
      <c r="V411" s="60"/>
      <c r="W411" s="114">
        <v>42594</v>
      </c>
      <c r="X411"/>
    </row>
    <row r="412" spans="1:24" ht="14.1" customHeight="1">
      <c r="A412" s="45" t="s">
        <v>422</v>
      </c>
      <c r="B412" s="45" t="s">
        <v>364</v>
      </c>
      <c r="C412" s="45" t="s">
        <v>362</v>
      </c>
      <c r="D412" s="45" t="str">
        <f>Table1[[#This Row],[City]]&amp;", "&amp;Table1[[#This Row],[State]]</f>
        <v>New York, NY</v>
      </c>
      <c r="E412" s="49">
        <v>132</v>
      </c>
      <c r="F412" s="50">
        <v>7</v>
      </c>
      <c r="G412" s="50" t="str">
        <f t="array" ref="G412">IFERROR(INDEX(Table2[1st Year],MATCH(1,(Table1[[#This Row],[Employer]]=Table2[EIW Name])*(Table1[[#This Row],[City, State]]=Table2[Offices Matched]),0)),"")</f>
        <v>1st Year: $200K</v>
      </c>
      <c r="H412" s="51" t="str">
        <f>_xlfn.IFNA(INDEX(saCAGR[CAGR],MATCH(Table1[[#This Row],[Employer]],saCAGR[EIW Name],0)),"")</f>
        <v/>
      </c>
      <c r="I412" s="50" t="str">
        <f>IFERROR(Table1[[#This Row],[SA CAGR]]*Table1[[#This Row],[Number of Summer 2016 2L SAs]],"")</f>
        <v/>
      </c>
      <c r="J412" s="50">
        <v>3</v>
      </c>
      <c r="K412" s="51">
        <f>IFERROR(Table1[[#This Row],[Number of Summer 2016 NYU 2L SAs]]/Table1[[#This Row],[Interview Slots]],0)</f>
        <v>2.2727272727272728E-2</v>
      </c>
      <c r="L412" s="51">
        <f>Table1[[#This Row],[Number of Summer 2016 2L SAs]]/Table1[[#This Row],[Interview Slots]]</f>
        <v>5.3030303030303032E-2</v>
      </c>
      <c r="M412" s="51">
        <f>IFERROR(Table1[[#This Row],[Number of Summer 2016 NYU 2L SAs]]/Table1[[#This Row],[Number of Summer 2016 2L SAs]],0)</f>
        <v>0.42857142857142855</v>
      </c>
      <c r="N412" s="50" t="str">
        <f>IFERROR(RIGHT(Table1[[#This Row],[1st year]],LEN(Table1[[#This Row],[1st year]])-FIND(":",Table1[[#This Row],[1st year]])-1),"")</f>
        <v>$200K</v>
      </c>
      <c r="O412" s="50" t="str">
        <f t="array" ref="O412">IFERROR(INDEX(Table2[Nth year],MATCH(1,(Table1[[#This Row],[Employer]]=Table2[EIW Name])*(Table1[[#This Row],[City, State]]=Table2[Offices Matched]),0)),"")</f>
        <v>8th Year: $335K</v>
      </c>
      <c r="P412" s="50" t="str">
        <f>IFERROR(RIGHT(Table1[[#This Row],[Nth year]],LEN(Table1[[#This Row],[Nth year]])-FIND(":",Table1[[#This Row],[Nth year]])-1),"")</f>
        <v>$335K</v>
      </c>
      <c r="Q412" s="50" t="str">
        <f t="array" ref="Q412">IFERROR(INDEX(Table2[Am Law 200 PPP Rank ’16],MATCH(1,(Table1[[#This Row],[Employer]]=Table2[EIW Name])*(Table1[[#This Row],[City, State]]=Table2[Offices Matched]),0)),"")</f>
        <v>N/A</v>
      </c>
      <c r="R412" s="50" t="str">
        <f>IFERROR(LEFT(Table1[[#This Row],[Am Law 200 PPP Rank ’16]],FIND(":",Table1[[#This Row],[Am Law 200 PPP Rank ’16]])-1),"")</f>
        <v/>
      </c>
      <c r="S412" s="50" t="str">
        <f>IFERROR(INDEX(VaultRank[Rank],MATCH(Table1[[#This Row],[Employer]],VaultRank[EIW Name],0)),"")</f>
        <v/>
      </c>
      <c r="T412" s="50" t="str">
        <f t="array" ref="T412">IFERROR(INDEX(Table2[Summers Matched],MATCH(1,(Table1[[#This Row],[Employer]]=Table2[EIW Name])*(Table1[[#This Row],[City, State]]=Table2[Offices Matched]),0)),"")</f>
        <v>Yes</v>
      </c>
      <c r="U412" s="52" t="str">
        <f t="shared" si="6"/>
        <v/>
      </c>
      <c r="V412" s="60"/>
      <c r="W412" s="114">
        <v>42593</v>
      </c>
      <c r="X412"/>
    </row>
    <row r="413" spans="1:24" ht="14.1" customHeight="1">
      <c r="A413" s="45" t="s">
        <v>369</v>
      </c>
      <c r="B413" s="45" t="s">
        <v>364</v>
      </c>
      <c r="C413" s="45" t="s">
        <v>362</v>
      </c>
      <c r="D413" s="45" t="str">
        <f>Table1[[#This Row],[City]]&amp;", "&amp;Table1[[#This Row],[State]]</f>
        <v>New York, NY</v>
      </c>
      <c r="E413" s="49">
        <v>139</v>
      </c>
      <c r="F413" s="50">
        <v>1</v>
      </c>
      <c r="G413" s="50" t="str">
        <f t="array" ref="G413">IFERROR(INDEX(Table2[1st Year],MATCH(1,(Table1[[#This Row],[Employer]]=Table2[EIW Name])*(Table1[[#This Row],[City, State]]=Table2[Offices Matched]),0)),"")</f>
        <v/>
      </c>
      <c r="H413" s="50" t="str">
        <f>_xlfn.IFNA(INDEX(saCAGR[CAGR],MATCH(Table1[[#This Row],[Employer]],saCAGR[EIW Name],0)),"")</f>
        <v/>
      </c>
      <c r="I413" s="50" t="str">
        <f>IFERROR(Table1[[#This Row],[SA CAGR]]*Table1[[#This Row],[Number of Summer 2016 2L SAs]],"")</f>
        <v/>
      </c>
      <c r="J413" s="50">
        <v>21</v>
      </c>
      <c r="K413" s="51">
        <f>IFERROR(Table1[[#This Row],[Number of Summer 2016 NYU 2L SAs]]/Table1[[#This Row],[Interview Slots]],0)</f>
        <v>0.15107913669064749</v>
      </c>
      <c r="L413" s="51">
        <f>Table1[[#This Row],[Number of Summer 2016 2L SAs]]/Table1[[#This Row],[Interview Slots]]</f>
        <v>7.1942446043165471E-3</v>
      </c>
      <c r="M413" s="51">
        <f>IFERROR(Table1[[#This Row],[Number of Summer 2016 NYU 2L SAs]]/Table1[[#This Row],[Number of Summer 2016 2L SAs]],0)</f>
        <v>21</v>
      </c>
      <c r="N413" s="50" t="str">
        <f>IFERROR(RIGHT(Table1[[#This Row],[1st year]],LEN(Table1[[#This Row],[1st year]])-FIND(":",Table1[[#This Row],[1st year]])-1),"")</f>
        <v/>
      </c>
      <c r="O413" s="50" t="str">
        <f t="array" ref="O413">IFERROR(INDEX(Table2[Nth year],MATCH(1,(Table1[[#This Row],[Employer]]=Table2[EIW Name])*(Table1[[#This Row],[City, State]]=Table2[Offices Matched]),0)),"")</f>
        <v/>
      </c>
      <c r="P413" s="50" t="str">
        <f>IFERROR(RIGHT(Table1[[#This Row],[Nth year]],LEN(Table1[[#This Row],[Nth year]])-FIND(":",Table1[[#This Row],[Nth year]])-1),"")</f>
        <v/>
      </c>
      <c r="Q413" s="50" t="str">
        <f t="array" ref="Q413">IFERROR(INDEX(Table2[Am Law 200 PPP Rank ’16],MATCH(1,(Table1[[#This Row],[Employer]]=Table2[EIW Name])*(Table1[[#This Row],[City, State]]=Table2[Offices Matched]),0)),"")</f>
        <v/>
      </c>
      <c r="R413" s="50" t="str">
        <f>IFERROR(LEFT(Table1[[#This Row],[Am Law 200 PPP Rank ’16]],FIND(":",Table1[[#This Row],[Am Law 200 PPP Rank ’16]])-1),"")</f>
        <v/>
      </c>
      <c r="S413" s="50" t="str">
        <f>IFERROR(INDEX(VaultRank[Rank],MATCH(Table1[[#This Row],[Employer]],VaultRank[EIW Name],0)),"")</f>
        <v/>
      </c>
      <c r="T413" s="50" t="str">
        <f t="array" ref="T413">IFERROR(INDEX(Table2[Summers Matched],MATCH(1,(Table1[[#This Row],[Employer]]=Table2[EIW Name])*(Table1[[#This Row],[City, State]]=Table2[Offices Matched]),0)),"")</f>
        <v/>
      </c>
      <c r="U413" s="52" t="str">
        <f t="shared" si="6"/>
        <v/>
      </c>
      <c r="V413" s="60"/>
      <c r="W413" s="114">
        <v>42594</v>
      </c>
      <c r="X413"/>
    </row>
    <row r="414" spans="1:24" ht="14.1" customHeight="1">
      <c r="A414" s="45" t="s">
        <v>388</v>
      </c>
      <c r="B414" s="45" t="s">
        <v>364</v>
      </c>
      <c r="C414" s="45" t="s">
        <v>362</v>
      </c>
      <c r="D414" s="45" t="str">
        <f>Table1[[#This Row],[City]]&amp;", "&amp;Table1[[#This Row],[State]]</f>
        <v>New York, NY</v>
      </c>
      <c r="E414" s="49">
        <v>148</v>
      </c>
      <c r="F414" s="50">
        <v>6</v>
      </c>
      <c r="G414" s="50" t="str">
        <f t="array" ref="G414">IFERROR(INDEX(Table2[1st Year],MATCH(1,(Table1[[#This Row],[Employer]]=Table2[EIW Name])*(Table1[[#This Row],[City, State]]=Table2[Offices Matched]),0)),"")</f>
        <v/>
      </c>
      <c r="H414" s="50" t="str">
        <f>_xlfn.IFNA(INDEX(saCAGR[CAGR],MATCH(Table1[[#This Row],[Employer]],saCAGR[EIW Name],0)),"")</f>
        <v/>
      </c>
      <c r="I414" s="50" t="str">
        <f>IFERROR(Table1[[#This Row],[SA CAGR]]*Table1[[#This Row],[Number of Summer 2016 2L SAs]],"")</f>
        <v/>
      </c>
      <c r="J414" s="50">
        <v>12</v>
      </c>
      <c r="K414" s="51">
        <f>IFERROR(Table1[[#This Row],[Number of Summer 2016 NYU 2L SAs]]/Table1[[#This Row],[Interview Slots]],0)</f>
        <v>8.1081081081081086E-2</v>
      </c>
      <c r="L414" s="51">
        <f>Table1[[#This Row],[Number of Summer 2016 2L SAs]]/Table1[[#This Row],[Interview Slots]]</f>
        <v>4.0540540540540543E-2</v>
      </c>
      <c r="M414" s="51">
        <f>IFERROR(Table1[[#This Row],[Number of Summer 2016 NYU 2L SAs]]/Table1[[#This Row],[Number of Summer 2016 2L SAs]],0)</f>
        <v>2</v>
      </c>
      <c r="N414" s="50" t="str">
        <f>IFERROR(RIGHT(Table1[[#This Row],[1st year]],LEN(Table1[[#This Row],[1st year]])-FIND(":",Table1[[#This Row],[1st year]])-1),"")</f>
        <v/>
      </c>
      <c r="O414" s="50" t="str">
        <f t="array" ref="O414">IFERROR(INDEX(Table2[Nth year],MATCH(1,(Table1[[#This Row],[Employer]]=Table2[EIW Name])*(Table1[[#This Row],[City, State]]=Table2[Offices Matched]),0)),"")</f>
        <v/>
      </c>
      <c r="P414" s="50" t="str">
        <f>IFERROR(RIGHT(Table1[[#This Row],[Nth year]],LEN(Table1[[#This Row],[Nth year]])-FIND(":",Table1[[#This Row],[Nth year]])-1),"")</f>
        <v/>
      </c>
      <c r="Q414" s="50" t="str">
        <f t="array" ref="Q414">IFERROR(INDEX(Table2[Am Law 200 PPP Rank ’16],MATCH(1,(Table1[[#This Row],[Employer]]=Table2[EIW Name])*(Table1[[#This Row],[City, State]]=Table2[Offices Matched]),0)),"")</f>
        <v/>
      </c>
      <c r="R414" s="50" t="str">
        <f>IFERROR(LEFT(Table1[[#This Row],[Am Law 200 PPP Rank ’16]],FIND(":",Table1[[#This Row],[Am Law 200 PPP Rank ’16]])-1),"")</f>
        <v/>
      </c>
      <c r="S414" s="50" t="str">
        <f>IFERROR(INDEX(VaultRank[Rank],MATCH(Table1[[#This Row],[Employer]],VaultRank[EIW Name],0)),"")</f>
        <v/>
      </c>
      <c r="T414" s="50" t="str">
        <f t="array" ref="T414">IFERROR(INDEX(Table2[Summers Matched],MATCH(1,(Table1[[#This Row],[Employer]]=Table2[EIW Name])*(Table1[[#This Row],[City, State]]=Table2[Offices Matched]),0)),"")</f>
        <v/>
      </c>
      <c r="U414" s="52">
        <f t="shared" si="6"/>
        <v>3.6</v>
      </c>
      <c r="V414" s="60"/>
      <c r="W414" s="114">
        <v>42593</v>
      </c>
      <c r="X414"/>
    </row>
    <row r="415" spans="1:24" ht="14.1" customHeight="1">
      <c r="A415" s="45" t="s">
        <v>500</v>
      </c>
      <c r="B415" s="45" t="s">
        <v>319</v>
      </c>
      <c r="C415" s="45" t="s">
        <v>320</v>
      </c>
      <c r="D415" s="45" t="str">
        <f>Table1[[#This Row],[City]]&amp;", "&amp;Table1[[#This Row],[State]]</f>
        <v>Hartford, CT</v>
      </c>
      <c r="E415" s="49">
        <v>166</v>
      </c>
      <c r="F415" s="50">
        <v>3</v>
      </c>
      <c r="G415" s="50" t="str">
        <f t="array" ref="G415">IFERROR(INDEX(Table2[1st Year],MATCH(1,(Table1[[#This Row],[Employer]]=Table2[EIW Name])*(Table1[[#This Row],[City, State]]=Table2[Offices Matched]),0)),"")</f>
        <v/>
      </c>
      <c r="H415" s="50" t="str">
        <f>_xlfn.IFNA(INDEX(saCAGR[CAGR],MATCH(Table1[[#This Row],[Employer]],saCAGR[EIW Name],0)),"")</f>
        <v/>
      </c>
      <c r="I415" s="50" t="str">
        <f>IFERROR(Table1[[#This Row],[SA CAGR]]*Table1[[#This Row],[Number of Summer 2016 2L SAs]],"")</f>
        <v/>
      </c>
      <c r="J415" s="50">
        <v>12</v>
      </c>
      <c r="K415" s="51">
        <f>IFERROR(Table1[[#This Row],[Number of Summer 2016 NYU 2L SAs]]/Table1[[#This Row],[Interview Slots]],0)</f>
        <v>7.2289156626506021E-2</v>
      </c>
      <c r="L415" s="51">
        <f>Table1[[#This Row],[Number of Summer 2016 2L SAs]]/Table1[[#This Row],[Interview Slots]]</f>
        <v>1.8072289156626505E-2</v>
      </c>
      <c r="M415" s="51">
        <f>IFERROR(Table1[[#This Row],[Number of Summer 2016 NYU 2L SAs]]/Table1[[#This Row],[Number of Summer 2016 2L SAs]],0)</f>
        <v>4</v>
      </c>
      <c r="N415" s="50" t="str">
        <f>IFERROR(RIGHT(Table1[[#This Row],[1st year]],LEN(Table1[[#This Row],[1st year]])-FIND(":",Table1[[#This Row],[1st year]])-1),"")</f>
        <v/>
      </c>
      <c r="O415" s="50" t="str">
        <f t="array" ref="O415">IFERROR(INDEX(Table2[Nth year],MATCH(1,(Table1[[#This Row],[Employer]]=Table2[EIW Name])*(Table1[[#This Row],[City, State]]=Table2[Offices Matched]),0)),"")</f>
        <v/>
      </c>
      <c r="P415" s="50" t="str">
        <f>IFERROR(RIGHT(Table1[[#This Row],[Nth year]],LEN(Table1[[#This Row],[Nth year]])-FIND(":",Table1[[#This Row],[Nth year]])-1),"")</f>
        <v/>
      </c>
      <c r="Q415" s="50" t="str">
        <f t="array" ref="Q415">IFERROR(INDEX(Table2[Am Law 200 PPP Rank ’16],MATCH(1,(Table1[[#This Row],[Employer]]=Table2[EIW Name])*(Table1[[#This Row],[City, State]]=Table2[Offices Matched]),0)),"")</f>
        <v/>
      </c>
      <c r="R415" s="50" t="str">
        <f>IFERROR(LEFT(Table1[[#This Row],[Am Law 200 PPP Rank ’16]],FIND(":",Table1[[#This Row],[Am Law 200 PPP Rank ’16]])-1),"")</f>
        <v/>
      </c>
      <c r="S415" s="50" t="str">
        <f>IFERROR(INDEX(VaultRank[Rank],MATCH(Table1[[#This Row],[Employer]],VaultRank[EIW Name],0)),"")</f>
        <v/>
      </c>
      <c r="T415" s="50" t="str">
        <f t="array" ref="T415">IFERROR(INDEX(Table2[Summers Matched],MATCH(1,(Table1[[#This Row],[Employer]]=Table2[EIW Name])*(Table1[[#This Row],[City, State]]=Table2[Offices Matched]),0)),"")</f>
        <v/>
      </c>
      <c r="U415" s="52" t="str">
        <f t="shared" si="6"/>
        <v/>
      </c>
      <c r="V415" s="60"/>
      <c r="W415" s="114">
        <v>42594</v>
      </c>
      <c r="X415"/>
    </row>
    <row r="416" spans="1:24" ht="14.1" customHeight="1">
      <c r="A416" s="45" t="s">
        <v>500</v>
      </c>
      <c r="B416" s="45" t="s">
        <v>501</v>
      </c>
      <c r="C416" s="45" t="s">
        <v>320</v>
      </c>
      <c r="D416" s="45" t="str">
        <f>Table1[[#This Row],[City]]&amp;", "&amp;Table1[[#This Row],[State]]</f>
        <v>Stamford, CT</v>
      </c>
      <c r="E416" s="49">
        <v>51</v>
      </c>
      <c r="F416" s="50">
        <v>2</v>
      </c>
      <c r="G416" s="50" t="str">
        <f t="array" ref="G416">IFERROR(INDEX(Table2[1st Year],MATCH(1,(Table1[[#This Row],[Employer]]=Table2[EIW Name])*(Table1[[#This Row],[City, State]]=Table2[Offices Matched]),0)),"")</f>
        <v/>
      </c>
      <c r="H416" s="50" t="str">
        <f>_xlfn.IFNA(INDEX(saCAGR[CAGR],MATCH(Table1[[#This Row],[Employer]],saCAGR[EIW Name],0)),"")</f>
        <v/>
      </c>
      <c r="I416" s="50" t="str">
        <f>IFERROR(Table1[[#This Row],[SA CAGR]]*Table1[[#This Row],[Number of Summer 2016 2L SAs]],"")</f>
        <v/>
      </c>
      <c r="J416" s="50">
        <v>24</v>
      </c>
      <c r="K416" s="51">
        <f>IFERROR(Table1[[#This Row],[Number of Summer 2016 NYU 2L SAs]]/Table1[[#This Row],[Interview Slots]],0)</f>
        <v>0.47058823529411764</v>
      </c>
      <c r="L416" s="51">
        <f>Table1[[#This Row],[Number of Summer 2016 2L SAs]]/Table1[[#This Row],[Interview Slots]]</f>
        <v>3.9215686274509803E-2</v>
      </c>
      <c r="M416" s="51">
        <f>IFERROR(Table1[[#This Row],[Number of Summer 2016 NYU 2L SAs]]/Table1[[#This Row],[Number of Summer 2016 2L SAs]],0)</f>
        <v>12</v>
      </c>
      <c r="N416" s="50" t="str">
        <f>IFERROR(RIGHT(Table1[[#This Row],[1st year]],LEN(Table1[[#This Row],[1st year]])-FIND(":",Table1[[#This Row],[1st year]])-1),"")</f>
        <v/>
      </c>
      <c r="O416" s="50" t="str">
        <f t="array" ref="O416">IFERROR(INDEX(Table2[Nth year],MATCH(1,(Table1[[#This Row],[Employer]]=Table2[EIW Name])*(Table1[[#This Row],[City, State]]=Table2[Offices Matched]),0)),"")</f>
        <v/>
      </c>
      <c r="P416" s="50" t="str">
        <f>IFERROR(RIGHT(Table1[[#This Row],[Nth year]],LEN(Table1[[#This Row],[Nth year]])-FIND(":",Table1[[#This Row],[Nth year]])-1),"")</f>
        <v/>
      </c>
      <c r="Q416" s="50" t="str">
        <f t="array" ref="Q416">IFERROR(INDEX(Table2[Am Law 200 PPP Rank ’16],MATCH(1,(Table1[[#This Row],[Employer]]=Table2[EIW Name])*(Table1[[#This Row],[City, State]]=Table2[Offices Matched]),0)),"")</f>
        <v/>
      </c>
      <c r="R416" s="50" t="str">
        <f>IFERROR(LEFT(Table1[[#This Row],[Am Law 200 PPP Rank ’16]],FIND(":",Table1[[#This Row],[Am Law 200 PPP Rank ’16]])-1),"")</f>
        <v/>
      </c>
      <c r="S416" s="50" t="str">
        <f>IFERROR(INDEX(VaultRank[Rank],MATCH(Table1[[#This Row],[Employer]],VaultRank[EIW Name],0)),"")</f>
        <v/>
      </c>
      <c r="T416" s="50" t="str">
        <f t="array" ref="T416">IFERROR(INDEX(Table2[Summers Matched],MATCH(1,(Table1[[#This Row],[Employer]]=Table2[EIW Name])*(Table1[[#This Row],[City, State]]=Table2[Offices Matched]),0)),"")</f>
        <v/>
      </c>
      <c r="U416" s="52">
        <f t="shared" si="6"/>
        <v>3.4</v>
      </c>
      <c r="V416" s="60"/>
      <c r="W416" s="114">
        <v>42594</v>
      </c>
      <c r="X416"/>
    </row>
    <row r="417" spans="1:24" ht="14.1" customHeight="1">
      <c r="A417" s="45" t="s">
        <v>500</v>
      </c>
      <c r="B417" s="45" t="s">
        <v>367</v>
      </c>
      <c r="C417" s="45" t="s">
        <v>368</v>
      </c>
      <c r="D417" s="45" t="str">
        <f>Table1[[#This Row],[City]]&amp;", "&amp;Table1[[#This Row],[State]]</f>
        <v>Boston, MA</v>
      </c>
      <c r="E417" s="49">
        <v>81</v>
      </c>
      <c r="F417" s="50">
        <v>1</v>
      </c>
      <c r="G417" s="50" t="str">
        <f t="array" ref="G417">IFERROR(INDEX(Table2[1st Year],MATCH(1,(Table1[[#This Row],[Employer]]=Table2[EIW Name])*(Table1[[#This Row],[City, State]]=Table2[Offices Matched]),0)),"")</f>
        <v/>
      </c>
      <c r="H417" s="50" t="str">
        <f>_xlfn.IFNA(INDEX(saCAGR[CAGR],MATCH(Table1[[#This Row],[Employer]],saCAGR[EIW Name],0)),"")</f>
        <v/>
      </c>
      <c r="I417" s="50" t="str">
        <f>IFERROR(Table1[[#This Row],[SA CAGR]]*Table1[[#This Row],[Number of Summer 2016 2L SAs]],"")</f>
        <v/>
      </c>
      <c r="J417" s="50">
        <v>4</v>
      </c>
      <c r="K417" s="51">
        <f>IFERROR(Table1[[#This Row],[Number of Summer 2016 NYU 2L SAs]]/Table1[[#This Row],[Interview Slots]],0)</f>
        <v>4.9382716049382713E-2</v>
      </c>
      <c r="L417" s="51">
        <f>Table1[[#This Row],[Number of Summer 2016 2L SAs]]/Table1[[#This Row],[Interview Slots]]</f>
        <v>1.2345679012345678E-2</v>
      </c>
      <c r="M417" s="51">
        <f>IFERROR(Table1[[#This Row],[Number of Summer 2016 NYU 2L SAs]]/Table1[[#This Row],[Number of Summer 2016 2L SAs]],0)</f>
        <v>4</v>
      </c>
      <c r="N417" s="50" t="str">
        <f>IFERROR(RIGHT(Table1[[#This Row],[1st year]],LEN(Table1[[#This Row],[1st year]])-FIND(":",Table1[[#This Row],[1st year]])-1),"")</f>
        <v/>
      </c>
      <c r="O417" s="50" t="str">
        <f t="array" ref="O417">IFERROR(INDEX(Table2[Nth year],MATCH(1,(Table1[[#This Row],[Employer]]=Table2[EIW Name])*(Table1[[#This Row],[City, State]]=Table2[Offices Matched]),0)),"")</f>
        <v/>
      </c>
      <c r="P417" s="50" t="str">
        <f>IFERROR(RIGHT(Table1[[#This Row],[Nth year]],LEN(Table1[[#This Row],[Nth year]])-FIND(":",Table1[[#This Row],[Nth year]])-1),"")</f>
        <v/>
      </c>
      <c r="Q417" s="50" t="str">
        <f t="array" ref="Q417">IFERROR(INDEX(Table2[Am Law 200 PPP Rank ’16],MATCH(1,(Table1[[#This Row],[Employer]]=Table2[EIW Name])*(Table1[[#This Row],[City, State]]=Table2[Offices Matched]),0)),"")</f>
        <v/>
      </c>
      <c r="R417" s="50" t="str">
        <f>IFERROR(LEFT(Table1[[#This Row],[Am Law 200 PPP Rank ’16]],FIND(":",Table1[[#This Row],[Am Law 200 PPP Rank ’16]])-1),"")</f>
        <v/>
      </c>
      <c r="S417" s="50" t="str">
        <f>IFERROR(INDEX(VaultRank[Rank],MATCH(Table1[[#This Row],[Employer]],VaultRank[EIW Name],0)),"")</f>
        <v/>
      </c>
      <c r="T417" s="50" t="str">
        <f t="array" ref="T417">IFERROR(INDEX(Table2[Summers Matched],MATCH(1,(Table1[[#This Row],[Employer]]=Table2[EIW Name])*(Table1[[#This Row],[City, State]]=Table2[Offices Matched]),0)),"")</f>
        <v/>
      </c>
      <c r="U417" s="52" t="str">
        <f t="shared" si="6"/>
        <v/>
      </c>
      <c r="V417" s="60"/>
      <c r="W417" s="114">
        <v>42595</v>
      </c>
      <c r="X417"/>
    </row>
    <row r="418" spans="1:24" ht="14.1" customHeight="1">
      <c r="A418" s="45" t="s">
        <v>318</v>
      </c>
      <c r="B418" s="45" t="s">
        <v>364</v>
      </c>
      <c r="C418" s="45" t="s">
        <v>362</v>
      </c>
      <c r="D418" s="45" t="str">
        <f>Table1[[#This Row],[City]]&amp;", "&amp;Table1[[#This Row],[State]]</f>
        <v>New York, NY</v>
      </c>
      <c r="E418" s="49">
        <v>102</v>
      </c>
      <c r="F418" s="50">
        <v>4</v>
      </c>
      <c r="G418" s="50" t="str">
        <f t="array" ref="G418">IFERROR(INDEX(Table2[1st Year],MATCH(1,(Table1[[#This Row],[Employer]]=Table2[EIW Name])*(Table1[[#This Row],[City, State]]=Table2[Offices Matched]),0)),"")</f>
        <v/>
      </c>
      <c r="H418" s="50">
        <f>_xlfn.IFNA(INDEX(saCAGR[CAGR],MATCH(Table1[[#This Row],[Employer]],saCAGR[EIW Name],0)),"")</f>
        <v>1.0129187947249467</v>
      </c>
      <c r="I418" s="50">
        <f>IFERROR(Table1[[#This Row],[SA CAGR]]*Table1[[#This Row],[Number of Summer 2016 2L SAs]],"")</f>
        <v>4.0516751788997869</v>
      </c>
      <c r="J418" s="50">
        <v>6</v>
      </c>
      <c r="K418" s="51">
        <f>IFERROR(Table1[[#This Row],[Number of Summer 2016 NYU 2L SAs]]/Table1[[#This Row],[Interview Slots]],0)</f>
        <v>5.8823529411764705E-2</v>
      </c>
      <c r="L418" s="51">
        <f>Table1[[#This Row],[Number of Summer 2016 2L SAs]]/Table1[[#This Row],[Interview Slots]]</f>
        <v>3.9215686274509803E-2</v>
      </c>
      <c r="M418" s="51">
        <f>IFERROR(Table1[[#This Row],[Number of Summer 2016 NYU 2L SAs]]/Table1[[#This Row],[Number of Summer 2016 2L SAs]],0)</f>
        <v>1.5</v>
      </c>
      <c r="N418" s="50" t="str">
        <f>IFERROR(RIGHT(Table1[[#This Row],[1st year]],LEN(Table1[[#This Row],[1st year]])-FIND(":",Table1[[#This Row],[1st year]])-1),"")</f>
        <v/>
      </c>
      <c r="O418" s="50" t="str">
        <f t="array" ref="O418">IFERROR(INDEX(Table2[Nth year],MATCH(1,(Table1[[#This Row],[Employer]]=Table2[EIW Name])*(Table1[[#This Row],[City, State]]=Table2[Offices Matched]),0)),"")</f>
        <v/>
      </c>
      <c r="P418" s="50" t="str">
        <f>IFERROR(RIGHT(Table1[[#This Row],[Nth year]],LEN(Table1[[#This Row],[Nth year]])-FIND(":",Table1[[#This Row],[Nth year]])-1),"")</f>
        <v/>
      </c>
      <c r="Q418" s="50" t="str">
        <f t="array" ref="Q418">IFERROR(INDEX(Table2[Am Law 200 PPP Rank ’16],MATCH(1,(Table1[[#This Row],[Employer]]=Table2[EIW Name])*(Table1[[#This Row],[City, State]]=Table2[Offices Matched]),0)),"")</f>
        <v/>
      </c>
      <c r="R418" s="50" t="str">
        <f>IFERROR(LEFT(Table1[[#This Row],[Am Law 200 PPP Rank ’16]],FIND(":",Table1[[#This Row],[Am Law 200 PPP Rank ’16]])-1),"")</f>
        <v/>
      </c>
      <c r="S418" s="50" t="str">
        <f>IFERROR(INDEX(VaultRank[Rank],MATCH(Table1[[#This Row],[Employer]],VaultRank[EIW Name],0)),"")</f>
        <v/>
      </c>
      <c r="T418" s="50" t="str">
        <f t="array" ref="T418">IFERROR(INDEX(Table2[Summers Matched],MATCH(1,(Table1[[#This Row],[Employer]]=Table2[EIW Name])*(Table1[[#This Row],[City, State]]=Table2[Offices Matched]),0)),"")</f>
        <v/>
      </c>
      <c r="U418" s="52" t="str">
        <f t="shared" si="6"/>
        <v/>
      </c>
      <c r="V418" s="60"/>
      <c r="W418" s="114">
        <v>42592</v>
      </c>
      <c r="X418"/>
    </row>
    <row r="419" spans="1:24" ht="14.1" customHeight="1">
      <c r="A419" s="45" t="s">
        <v>445</v>
      </c>
      <c r="B419" s="45" t="s">
        <v>364</v>
      </c>
      <c r="C419" s="45" t="s">
        <v>362</v>
      </c>
      <c r="D419" s="45" t="str">
        <f>Table1[[#This Row],[City]]&amp;", "&amp;Table1[[#This Row],[State]]</f>
        <v>New York, NY</v>
      </c>
      <c r="E419" s="49">
        <v>121</v>
      </c>
      <c r="F419" s="50">
        <v>1</v>
      </c>
      <c r="G419" s="50" t="str">
        <f t="array" ref="G419">IFERROR(INDEX(Table2[1st Year],MATCH(1,(Table1[[#This Row],[Employer]]=Table2[EIW Name])*(Table1[[#This Row],[City, State]]=Table2[Offices Matched]),0)),"")</f>
        <v/>
      </c>
      <c r="H419" s="50" t="str">
        <f>_xlfn.IFNA(INDEX(saCAGR[CAGR],MATCH(Table1[[#This Row],[Employer]],saCAGR[EIW Name],0)),"")</f>
        <v/>
      </c>
      <c r="I419" s="50" t="str">
        <f>IFERROR(Table1[[#This Row],[SA CAGR]]*Table1[[#This Row],[Number of Summer 2016 2L SAs]],"")</f>
        <v/>
      </c>
      <c r="J419" s="50">
        <v>22</v>
      </c>
      <c r="K419" s="51">
        <f>IFERROR(Table1[[#This Row],[Number of Summer 2016 NYU 2L SAs]]/Table1[[#This Row],[Interview Slots]],0)</f>
        <v>0.18181818181818182</v>
      </c>
      <c r="L419" s="51">
        <f>Table1[[#This Row],[Number of Summer 2016 2L SAs]]/Table1[[#This Row],[Interview Slots]]</f>
        <v>8.2644628099173556E-3</v>
      </c>
      <c r="M419" s="51">
        <f>IFERROR(Table1[[#This Row],[Number of Summer 2016 NYU 2L SAs]]/Table1[[#This Row],[Number of Summer 2016 2L SAs]],0)</f>
        <v>22</v>
      </c>
      <c r="N419" s="50" t="str">
        <f>IFERROR(RIGHT(Table1[[#This Row],[1st year]],LEN(Table1[[#This Row],[1st year]])-FIND(":",Table1[[#This Row],[1st year]])-1),"")</f>
        <v/>
      </c>
      <c r="O419" s="50" t="str">
        <f t="array" ref="O419">IFERROR(INDEX(Table2[Nth year],MATCH(1,(Table1[[#This Row],[Employer]]=Table2[EIW Name])*(Table1[[#This Row],[City, State]]=Table2[Offices Matched]),0)),"")</f>
        <v/>
      </c>
      <c r="P419" s="50" t="str">
        <f>IFERROR(RIGHT(Table1[[#This Row],[Nth year]],LEN(Table1[[#This Row],[Nth year]])-FIND(":",Table1[[#This Row],[Nth year]])-1),"")</f>
        <v/>
      </c>
      <c r="Q419" s="50" t="str">
        <f t="array" ref="Q419">IFERROR(INDEX(Table2[Am Law 200 PPP Rank ’16],MATCH(1,(Table1[[#This Row],[Employer]]=Table2[EIW Name])*(Table1[[#This Row],[City, State]]=Table2[Offices Matched]),0)),"")</f>
        <v/>
      </c>
      <c r="R419" s="50" t="str">
        <f>IFERROR(LEFT(Table1[[#This Row],[Am Law 200 PPP Rank ’16]],FIND(":",Table1[[#This Row],[Am Law 200 PPP Rank ’16]])-1),"")</f>
        <v/>
      </c>
      <c r="S419" s="50" t="str">
        <f>IFERROR(INDEX(VaultRank[Rank],MATCH(Table1[[#This Row],[Employer]],VaultRank[EIW Name],0)),"")</f>
        <v/>
      </c>
      <c r="T419" s="50" t="str">
        <f t="array" ref="T419">IFERROR(INDEX(Table2[Summers Matched],MATCH(1,(Table1[[#This Row],[Employer]]=Table2[EIW Name])*(Table1[[#This Row],[City, State]]=Table2[Offices Matched]),0)),"")</f>
        <v/>
      </c>
      <c r="U419" s="52" t="str">
        <f t="shared" si="6"/>
        <v/>
      </c>
      <c r="V419" s="60"/>
      <c r="W419" s="114">
        <v>42595</v>
      </c>
      <c r="X419"/>
    </row>
    <row r="420" spans="1:24" ht="14.1" customHeight="1">
      <c r="A420" s="45" t="s">
        <v>171</v>
      </c>
      <c r="B420" s="45" t="s">
        <v>316</v>
      </c>
      <c r="C420" s="45" t="s">
        <v>300</v>
      </c>
      <c r="D420" s="45" t="str">
        <f>Table1[[#This Row],[City]]&amp;", "&amp;Table1[[#This Row],[State]]</f>
        <v>San Francisco, CA</v>
      </c>
      <c r="E420" s="49">
        <v>82</v>
      </c>
      <c r="F420" s="50">
        <v>12</v>
      </c>
      <c r="G420" s="50" t="str">
        <f t="array" ref="G420">IFERROR(INDEX(Table2[1st Year],MATCH(1,(Table1[[#This Row],[Employer]]=Table2[EIW Name])*(Table1[[#This Row],[City, State]]=Table2[Offices Matched]),0)),"")</f>
        <v>1st Year: $180K</v>
      </c>
      <c r="H420" s="50">
        <f>_xlfn.IFNA(INDEX(saCAGR[CAGR],MATCH(Table1[[#This Row],[Employer]],saCAGR[EIW Name],0)),"")</f>
        <v>1.0166994931496538</v>
      </c>
      <c r="I420" s="50">
        <f>IFERROR(Table1[[#This Row],[SA CAGR]]*Table1[[#This Row],[Number of Summer 2016 2L SAs]],"")</f>
        <v>12.200393917795846</v>
      </c>
      <c r="J420" s="50">
        <v>11</v>
      </c>
      <c r="K420" s="51">
        <f>IFERROR(Table1[[#This Row],[Number of Summer 2016 NYU 2L SAs]]/Table1[[#This Row],[Interview Slots]],0)</f>
        <v>0.13414634146341464</v>
      </c>
      <c r="L420" s="51">
        <f>Table1[[#This Row],[Number of Summer 2016 2L SAs]]/Table1[[#This Row],[Interview Slots]]</f>
        <v>0.14634146341463414</v>
      </c>
      <c r="M420" s="51">
        <f>IFERROR(Table1[[#This Row],[Number of Summer 2016 NYU 2L SAs]]/Table1[[#This Row],[Number of Summer 2016 2L SAs]],0)</f>
        <v>0.91666666666666663</v>
      </c>
      <c r="N420" s="50" t="str">
        <f>IFERROR(RIGHT(Table1[[#This Row],[1st year]],LEN(Table1[[#This Row],[1st year]])-FIND(":",Table1[[#This Row],[1st year]])-1),"")</f>
        <v>$180K</v>
      </c>
      <c r="O420" s="50" t="str">
        <f t="array" ref="O420">IFERROR(INDEX(Table2[Nth year],MATCH(1,(Table1[[#This Row],[Employer]]=Table2[EIW Name])*(Table1[[#This Row],[City, State]]=Table2[Offices Matched]),0)),"")</f>
        <v>8th Year: $315K</v>
      </c>
      <c r="P420" s="50" t="str">
        <f>IFERROR(RIGHT(Table1[[#This Row],[Nth year]],LEN(Table1[[#This Row],[Nth year]])-FIND(":",Table1[[#This Row],[Nth year]])-1),"")</f>
        <v>$315K</v>
      </c>
      <c r="Q420" s="50" t="str">
        <f t="array" ref="Q420">IFERROR(INDEX(Table2[Am Law 200 PPP Rank ’16],MATCH(1,(Table1[[#This Row],[Employer]]=Table2[EIW Name])*(Table1[[#This Row],[City, State]]=Table2[Offices Matched]),0)),"")</f>
        <v>31: $2.02M</v>
      </c>
      <c r="R420" s="50" t="str">
        <f>IFERROR(LEFT(Table1[[#This Row],[Am Law 200 PPP Rank ’16]],FIND(":",Table1[[#This Row],[Am Law 200 PPP Rank ’16]])-1),"")</f>
        <v>31</v>
      </c>
      <c r="S420" s="50">
        <f>IFERROR(INDEX(VaultRank[Rank],MATCH(Table1[[#This Row],[Employer]],VaultRank[EIW Name],0)),"")</f>
        <v>21</v>
      </c>
      <c r="T420" s="50" t="str">
        <f t="array" ref="T420">IFERROR(INDEX(Table2[Summers Matched],MATCH(1,(Table1[[#This Row],[Employer]]=Table2[EIW Name])*(Table1[[#This Row],[City, State]]=Table2[Offices Matched]),0)),"")</f>
        <v>Yes</v>
      </c>
      <c r="U420" s="52" t="str">
        <f t="shared" si="6"/>
        <v/>
      </c>
      <c r="V420" s="60"/>
      <c r="W420" s="114">
        <v>42595</v>
      </c>
      <c r="X420"/>
    </row>
    <row r="421" spans="1:24" ht="14.1" customHeight="1">
      <c r="A421" s="45" t="s">
        <v>171</v>
      </c>
      <c r="B421" s="45" t="s">
        <v>307</v>
      </c>
      <c r="C421" s="45" t="s">
        <v>300</v>
      </c>
      <c r="D421" s="45" t="str">
        <f>Table1[[#This Row],[City]]&amp;", "&amp;Table1[[#This Row],[State]]</f>
        <v>Silicon Valley, CA</v>
      </c>
      <c r="E421" s="49">
        <v>15</v>
      </c>
      <c r="F421" s="50">
        <v>3</v>
      </c>
      <c r="G421" s="50" t="str">
        <f t="array" ref="G421">IFERROR(INDEX(Table2[1st Year],MATCH(1,(Table1[[#This Row],[Employer]]=Table2[EIW Name])*(Table1[[#This Row],[City, State]]=Table2[Offices Matched]),0)),"")</f>
        <v/>
      </c>
      <c r="H421" s="50">
        <f>_xlfn.IFNA(INDEX(saCAGR[CAGR],MATCH(Table1[[#This Row],[Employer]],saCAGR[EIW Name],0)),"")</f>
        <v>1.0166994931496538</v>
      </c>
      <c r="I421" s="50">
        <f>IFERROR(Table1[[#This Row],[SA CAGR]]*Table1[[#This Row],[Number of Summer 2016 2L SAs]],"")</f>
        <v>3.0500984794489616</v>
      </c>
      <c r="J421" s="50">
        <v>8</v>
      </c>
      <c r="K421" s="51">
        <f>IFERROR(Table1[[#This Row],[Number of Summer 2016 NYU 2L SAs]]/Table1[[#This Row],[Interview Slots]],0)</f>
        <v>0.53333333333333333</v>
      </c>
      <c r="L421" s="51">
        <f>Table1[[#This Row],[Number of Summer 2016 2L SAs]]/Table1[[#This Row],[Interview Slots]]</f>
        <v>0.2</v>
      </c>
      <c r="M421" s="51">
        <f>IFERROR(Table1[[#This Row],[Number of Summer 2016 NYU 2L SAs]]/Table1[[#This Row],[Number of Summer 2016 2L SAs]],0)</f>
        <v>2.6666666666666665</v>
      </c>
      <c r="N421" s="50" t="str">
        <f>IFERROR(RIGHT(Table1[[#This Row],[1st year]],LEN(Table1[[#This Row],[1st year]])-FIND(":",Table1[[#This Row],[1st year]])-1),"")</f>
        <v/>
      </c>
      <c r="O421" s="50" t="str">
        <f t="array" ref="O421">IFERROR(INDEX(Table2[Nth year],MATCH(1,(Table1[[#This Row],[Employer]]=Table2[EIW Name])*(Table1[[#This Row],[City, State]]=Table2[Offices Matched]),0)),"")</f>
        <v/>
      </c>
      <c r="P421" s="50" t="str">
        <f>IFERROR(RIGHT(Table1[[#This Row],[Nth year]],LEN(Table1[[#This Row],[Nth year]])-FIND(":",Table1[[#This Row],[Nth year]])-1),"")</f>
        <v/>
      </c>
      <c r="Q421" s="50" t="str">
        <f t="array" ref="Q421">IFERROR(INDEX(Table2[Am Law 200 PPP Rank ’16],MATCH(1,(Table1[[#This Row],[Employer]]=Table2[EIW Name])*(Table1[[#This Row],[City, State]]=Table2[Offices Matched]),0)),"")</f>
        <v/>
      </c>
      <c r="R421" s="50" t="str">
        <f>IFERROR(LEFT(Table1[[#This Row],[Am Law 200 PPP Rank ’16]],FIND(":",Table1[[#This Row],[Am Law 200 PPP Rank ’16]])-1),"")</f>
        <v/>
      </c>
      <c r="S421" s="50">
        <f>IFERROR(INDEX(VaultRank[Rank],MATCH(Table1[[#This Row],[Employer]],VaultRank[EIW Name],0)),"")</f>
        <v>21</v>
      </c>
      <c r="T421" s="50" t="str">
        <f t="array" ref="T421">IFERROR(INDEX(Table2[Summers Matched],MATCH(1,(Table1[[#This Row],[Employer]]=Table2[EIW Name])*(Table1[[#This Row],[City, State]]=Table2[Offices Matched]),0)),"")</f>
        <v/>
      </c>
      <c r="U421" s="52" t="str">
        <f t="shared" si="6"/>
        <v/>
      </c>
      <c r="V421" s="60"/>
      <c r="W421" s="114">
        <v>42595</v>
      </c>
      <c r="X421"/>
    </row>
    <row r="422" spans="1:24" ht="14.1" customHeight="1">
      <c r="A422" s="45" t="s">
        <v>171</v>
      </c>
      <c r="B422" s="45" t="s">
        <v>301</v>
      </c>
      <c r="C422" s="45" t="s">
        <v>302</v>
      </c>
      <c r="D422" s="45" t="str">
        <f>Table1[[#This Row],[City]]&amp;", "&amp;Table1[[#This Row],[State]]</f>
        <v>Washington, DC</v>
      </c>
      <c r="E422" s="49">
        <v>132</v>
      </c>
      <c r="F422" s="50">
        <v>12</v>
      </c>
      <c r="G422" s="50" t="str">
        <f t="array" ref="G422">IFERROR(INDEX(Table2[1st Year],MATCH(1,(Table1[[#This Row],[Employer]]=Table2[EIW Name])*(Table1[[#This Row],[City, State]]=Table2[Offices Matched]),0)),"")</f>
        <v/>
      </c>
      <c r="H422" s="50">
        <f>_xlfn.IFNA(INDEX(saCAGR[CAGR],MATCH(Table1[[#This Row],[Employer]],saCAGR[EIW Name],0)),"")</f>
        <v>1.0166994931496538</v>
      </c>
      <c r="I422" s="50">
        <f>IFERROR(Table1[[#This Row],[SA CAGR]]*Table1[[#This Row],[Number of Summer 2016 2L SAs]],"")</f>
        <v>12.200393917795846</v>
      </c>
      <c r="J422" s="50">
        <v>22</v>
      </c>
      <c r="K422" s="51">
        <f>IFERROR(Table1[[#This Row],[Number of Summer 2016 NYU 2L SAs]]/Table1[[#This Row],[Interview Slots]],0)</f>
        <v>0.16666666666666666</v>
      </c>
      <c r="L422" s="51">
        <f>Table1[[#This Row],[Number of Summer 2016 2L SAs]]/Table1[[#This Row],[Interview Slots]]</f>
        <v>9.0909090909090912E-2</v>
      </c>
      <c r="M422" s="51">
        <f>IFERROR(Table1[[#This Row],[Number of Summer 2016 NYU 2L SAs]]/Table1[[#This Row],[Number of Summer 2016 2L SAs]],0)</f>
        <v>1.8333333333333333</v>
      </c>
      <c r="N422" s="50" t="str">
        <f>IFERROR(RIGHT(Table1[[#This Row],[1st year]],LEN(Table1[[#This Row],[1st year]])-FIND(":",Table1[[#This Row],[1st year]])-1),"")</f>
        <v/>
      </c>
      <c r="O422" s="50" t="str">
        <f t="array" ref="O422">IFERROR(INDEX(Table2[Nth year],MATCH(1,(Table1[[#This Row],[Employer]]=Table2[EIW Name])*(Table1[[#This Row],[City, State]]=Table2[Offices Matched]),0)),"")</f>
        <v/>
      </c>
      <c r="P422" s="50" t="str">
        <f>IFERROR(RIGHT(Table1[[#This Row],[Nth year]],LEN(Table1[[#This Row],[Nth year]])-FIND(":",Table1[[#This Row],[Nth year]])-1),"")</f>
        <v/>
      </c>
      <c r="Q422" s="50" t="str">
        <f t="array" ref="Q422">IFERROR(INDEX(Table2[Am Law 200 PPP Rank ’16],MATCH(1,(Table1[[#This Row],[Employer]]=Table2[EIW Name])*(Table1[[#This Row],[City, State]]=Table2[Offices Matched]),0)),"")</f>
        <v/>
      </c>
      <c r="R422" s="50" t="str">
        <f>IFERROR(LEFT(Table1[[#This Row],[Am Law 200 PPP Rank ’16]],FIND(":",Table1[[#This Row],[Am Law 200 PPP Rank ’16]])-1),"")</f>
        <v/>
      </c>
      <c r="S422" s="50">
        <f>IFERROR(INDEX(VaultRank[Rank],MATCH(Table1[[#This Row],[Employer]],VaultRank[EIW Name],0)),"")</f>
        <v>21</v>
      </c>
      <c r="T422" s="50" t="str">
        <f t="array" ref="T422">IFERROR(INDEX(Table2[Summers Matched],MATCH(1,(Table1[[#This Row],[Employer]]=Table2[EIW Name])*(Table1[[#This Row],[City, State]]=Table2[Offices Matched]),0)),"")</f>
        <v/>
      </c>
      <c r="U422" s="52" t="str">
        <f t="shared" si="6"/>
        <v/>
      </c>
      <c r="V422" s="60"/>
      <c r="W422" s="114">
        <v>42592</v>
      </c>
      <c r="X422"/>
    </row>
    <row r="423" spans="1:24" ht="14.1" customHeight="1">
      <c r="A423" s="45" t="s">
        <v>171</v>
      </c>
      <c r="B423" s="45" t="s">
        <v>367</v>
      </c>
      <c r="C423" s="45" t="s">
        <v>368</v>
      </c>
      <c r="D423" s="45" t="str">
        <f>Table1[[#This Row],[City]]&amp;", "&amp;Table1[[#This Row],[State]]</f>
        <v>Boston, MA</v>
      </c>
      <c r="E423" s="49">
        <v>79</v>
      </c>
      <c r="F423" s="50">
        <v>70</v>
      </c>
      <c r="G423" s="50" t="str">
        <f t="array" ref="G423">IFERROR(INDEX(Table2[1st Year],MATCH(1,(Table1[[#This Row],[Employer]]=Table2[EIW Name])*(Table1[[#This Row],[City, State]]=Table2[Offices Matched]),0)),"")</f>
        <v>1st Year: $180K</v>
      </c>
      <c r="H423" s="50">
        <f>_xlfn.IFNA(INDEX(saCAGR[CAGR],MATCH(Table1[[#This Row],[Employer]],saCAGR[EIW Name],0)),"")</f>
        <v>1.0166994931496538</v>
      </c>
      <c r="I423" s="50">
        <f>IFERROR(Table1[[#This Row],[SA CAGR]]*Table1[[#This Row],[Number of Summer 2016 2L SAs]],"")</f>
        <v>71.168964520475768</v>
      </c>
      <c r="J423" s="50">
        <v>4</v>
      </c>
      <c r="K423" s="51">
        <f>IFERROR(Table1[[#This Row],[Number of Summer 2016 NYU 2L SAs]]/Table1[[#This Row],[Interview Slots]],0)</f>
        <v>5.0632911392405063E-2</v>
      </c>
      <c r="L423" s="51">
        <f>Table1[[#This Row],[Number of Summer 2016 2L SAs]]/Table1[[#This Row],[Interview Slots]]</f>
        <v>0.88607594936708856</v>
      </c>
      <c r="M423" s="51">
        <f>IFERROR(Table1[[#This Row],[Number of Summer 2016 NYU 2L SAs]]/Table1[[#This Row],[Number of Summer 2016 2L SAs]],0)</f>
        <v>5.7142857142857141E-2</v>
      </c>
      <c r="N423" s="50" t="str">
        <f>IFERROR(RIGHT(Table1[[#This Row],[1st year]],LEN(Table1[[#This Row],[1st year]])-FIND(":",Table1[[#This Row],[1st year]])-1),"")</f>
        <v>$180K</v>
      </c>
      <c r="O423" s="50" t="str">
        <f t="array" ref="O423">IFERROR(INDEX(Table2[Nth year],MATCH(1,(Table1[[#This Row],[Employer]]=Table2[EIW Name])*(Table1[[#This Row],[City, State]]=Table2[Offices Matched]),0)),"")</f>
        <v>8th Year: $315K</v>
      </c>
      <c r="P423" s="50" t="str">
        <f>IFERROR(RIGHT(Table1[[#This Row],[Nth year]],LEN(Table1[[#This Row],[Nth year]])-FIND(":",Table1[[#This Row],[Nth year]])-1),"")</f>
        <v>$315K</v>
      </c>
      <c r="Q423" s="50" t="str">
        <f t="array" ref="Q423">IFERROR(INDEX(Table2[Am Law 200 PPP Rank ’16],MATCH(1,(Table1[[#This Row],[Employer]]=Table2[EIW Name])*(Table1[[#This Row],[City, State]]=Table2[Offices Matched]),0)),"")</f>
        <v>31: $2.02M</v>
      </c>
      <c r="R423" s="50" t="str">
        <f>IFERROR(LEFT(Table1[[#This Row],[Am Law 200 PPP Rank ’16]],FIND(":",Table1[[#This Row],[Am Law 200 PPP Rank ’16]])-1),"")</f>
        <v>31</v>
      </c>
      <c r="S423" s="50">
        <f>IFERROR(INDEX(VaultRank[Rank],MATCH(Table1[[#This Row],[Employer]],VaultRank[EIW Name],0)),"")</f>
        <v>21</v>
      </c>
      <c r="T423" s="50" t="str">
        <f t="array" ref="T423">IFERROR(INDEX(Table2[Summers Matched],MATCH(1,(Table1[[#This Row],[Employer]]=Table2[EIW Name])*(Table1[[#This Row],[City, State]]=Table2[Offices Matched]),0)),"")</f>
        <v>Yes</v>
      </c>
      <c r="U423" s="52" t="str">
        <f t="shared" si="6"/>
        <v/>
      </c>
      <c r="V423" s="60"/>
      <c r="W423" s="114">
        <v>42593</v>
      </c>
      <c r="X423"/>
    </row>
    <row r="424" spans="1:24" ht="14.1" customHeight="1">
      <c r="A424" s="45" t="s">
        <v>503</v>
      </c>
      <c r="B424" s="45" t="s">
        <v>406</v>
      </c>
      <c r="C424" s="45" t="s">
        <v>300</v>
      </c>
      <c r="D424" s="45" t="str">
        <f>Table1[[#This Row],[City]]&amp;", "&amp;Table1[[#This Row],[State]]</f>
        <v>Costa Mesa, CA</v>
      </c>
      <c r="E424" s="49">
        <v>19</v>
      </c>
      <c r="F424" s="50">
        <v>8</v>
      </c>
      <c r="G424" s="50" t="str">
        <f t="array" ref="G424">IFERROR(INDEX(Table2[1st Year],MATCH(1,(Table1[[#This Row],[Employer]]=Table2[EIW Name])*(Table1[[#This Row],[City, State]]=Table2[Offices Matched]),0)),"")</f>
        <v/>
      </c>
      <c r="H424" s="50" t="str">
        <f>_xlfn.IFNA(INDEX(saCAGR[CAGR],MATCH(Table1[[#This Row],[Employer]],saCAGR[EIW Name],0)),"")</f>
        <v/>
      </c>
      <c r="I424" s="50" t="str">
        <f>IFERROR(Table1[[#This Row],[SA CAGR]]*Table1[[#This Row],[Number of Summer 2016 2L SAs]],"")</f>
        <v/>
      </c>
      <c r="J424" s="50">
        <v>2</v>
      </c>
      <c r="K424" s="51">
        <f>IFERROR(Table1[[#This Row],[Number of Summer 2016 NYU 2L SAs]]/Table1[[#This Row],[Interview Slots]],0)</f>
        <v>0.10526315789473684</v>
      </c>
      <c r="L424" s="51">
        <f>Table1[[#This Row],[Number of Summer 2016 2L SAs]]/Table1[[#This Row],[Interview Slots]]</f>
        <v>0.42105263157894735</v>
      </c>
      <c r="M424" s="51">
        <f>IFERROR(Table1[[#This Row],[Number of Summer 2016 NYU 2L SAs]]/Table1[[#This Row],[Number of Summer 2016 2L SAs]],0)</f>
        <v>0.25</v>
      </c>
      <c r="N424" s="50" t="str">
        <f>IFERROR(RIGHT(Table1[[#This Row],[1st year]],LEN(Table1[[#This Row],[1st year]])-FIND(":",Table1[[#This Row],[1st year]])-1),"")</f>
        <v/>
      </c>
      <c r="O424" s="50" t="str">
        <f t="array" ref="O424">IFERROR(INDEX(Table2[Nth year],MATCH(1,(Table1[[#This Row],[Employer]]=Table2[EIW Name])*(Table1[[#This Row],[City, State]]=Table2[Offices Matched]),0)),"")</f>
        <v/>
      </c>
      <c r="P424" s="50" t="str">
        <f>IFERROR(RIGHT(Table1[[#This Row],[Nth year]],LEN(Table1[[#This Row],[Nth year]])-FIND(":",Table1[[#This Row],[Nth year]])-1),"")</f>
        <v/>
      </c>
      <c r="Q424" s="50" t="str">
        <f t="array" ref="Q424">IFERROR(INDEX(Table2[Am Law 200 PPP Rank ’16],MATCH(1,(Table1[[#This Row],[Employer]]=Table2[EIW Name])*(Table1[[#This Row],[City, State]]=Table2[Offices Matched]),0)),"")</f>
        <v/>
      </c>
      <c r="R424" s="50" t="str">
        <f>IFERROR(LEFT(Table1[[#This Row],[Am Law 200 PPP Rank ’16]],FIND(":",Table1[[#This Row],[Am Law 200 PPP Rank ’16]])-1),"")</f>
        <v/>
      </c>
      <c r="S424" s="50" t="str">
        <f>IFERROR(INDEX(VaultRank[Rank],MATCH(Table1[[#This Row],[Employer]],VaultRank[EIW Name],0)),"")</f>
        <v/>
      </c>
      <c r="T424" s="50" t="str">
        <f t="array" ref="T424">IFERROR(INDEX(Table2[Summers Matched],MATCH(1,(Table1[[#This Row],[Employer]]=Table2[EIW Name])*(Table1[[#This Row],[City, State]]=Table2[Offices Matched]),0)),"")</f>
        <v/>
      </c>
      <c r="U424" s="52" t="str">
        <f t="shared" si="6"/>
        <v/>
      </c>
      <c r="V424" s="60"/>
      <c r="W424" s="114">
        <v>42592</v>
      </c>
      <c r="X424"/>
    </row>
    <row r="425" spans="1:24" ht="14.1" customHeight="1">
      <c r="A425" s="45" t="s">
        <v>470</v>
      </c>
      <c r="B425" s="45" t="s">
        <v>364</v>
      </c>
      <c r="C425" s="45" t="s">
        <v>362</v>
      </c>
      <c r="D425" s="45" t="str">
        <f>Table1[[#This Row],[City]]&amp;", "&amp;Table1[[#This Row],[State]]</f>
        <v>New York, NY</v>
      </c>
      <c r="E425" s="49">
        <v>24</v>
      </c>
      <c r="F425" s="50">
        <v>1</v>
      </c>
      <c r="G425" s="50" t="str">
        <f t="array" ref="G425">IFERROR(INDEX(Table2[1st Year],MATCH(1,(Table1[[#This Row],[Employer]]=Table2[EIW Name])*(Table1[[#This Row],[City, State]]=Table2[Offices Matched]),0)),"")</f>
        <v/>
      </c>
      <c r="H425" s="50" t="str">
        <f>_xlfn.IFNA(INDEX(saCAGR[CAGR],MATCH(Table1[[#This Row],[Employer]],saCAGR[EIW Name],0)),"")</f>
        <v/>
      </c>
      <c r="I425" s="50" t="str">
        <f>IFERROR(Table1[[#This Row],[SA CAGR]]*Table1[[#This Row],[Number of Summer 2016 2L SAs]],"")</f>
        <v/>
      </c>
      <c r="J425" s="50">
        <v>11</v>
      </c>
      <c r="K425" s="51">
        <f>IFERROR(Table1[[#This Row],[Number of Summer 2016 NYU 2L SAs]]/Table1[[#This Row],[Interview Slots]],0)</f>
        <v>0.45833333333333331</v>
      </c>
      <c r="L425" s="51">
        <f>Table1[[#This Row],[Number of Summer 2016 2L SAs]]/Table1[[#This Row],[Interview Slots]]</f>
        <v>4.1666666666666664E-2</v>
      </c>
      <c r="M425" s="51">
        <f>IFERROR(Table1[[#This Row],[Number of Summer 2016 NYU 2L SAs]]/Table1[[#This Row],[Number of Summer 2016 2L SAs]],0)</f>
        <v>11</v>
      </c>
      <c r="N425" s="50" t="str">
        <f>IFERROR(RIGHT(Table1[[#This Row],[1st year]],LEN(Table1[[#This Row],[1st year]])-FIND(":",Table1[[#This Row],[1st year]])-1),"")</f>
        <v/>
      </c>
      <c r="O425" s="50" t="str">
        <f t="array" ref="O425">IFERROR(INDEX(Table2[Nth year],MATCH(1,(Table1[[#This Row],[Employer]]=Table2[EIW Name])*(Table1[[#This Row],[City, State]]=Table2[Offices Matched]),0)),"")</f>
        <v/>
      </c>
      <c r="P425" s="50" t="str">
        <f>IFERROR(RIGHT(Table1[[#This Row],[Nth year]],LEN(Table1[[#This Row],[Nth year]])-FIND(":",Table1[[#This Row],[Nth year]])-1),"")</f>
        <v/>
      </c>
      <c r="Q425" s="50" t="str">
        <f t="array" ref="Q425">IFERROR(INDEX(Table2[Am Law 200 PPP Rank ’16],MATCH(1,(Table1[[#This Row],[Employer]]=Table2[EIW Name])*(Table1[[#This Row],[City, State]]=Table2[Offices Matched]),0)),"")</f>
        <v/>
      </c>
      <c r="R425" s="50" t="str">
        <f>IFERROR(LEFT(Table1[[#This Row],[Am Law 200 PPP Rank ’16]],FIND(":",Table1[[#This Row],[Am Law 200 PPP Rank ’16]])-1),"")</f>
        <v/>
      </c>
      <c r="S425" s="50" t="str">
        <f>IFERROR(INDEX(VaultRank[Rank],MATCH(Table1[[#This Row],[Employer]],VaultRank[EIW Name],0)),"")</f>
        <v/>
      </c>
      <c r="T425" s="50" t="str">
        <f t="array" ref="T425">IFERROR(INDEX(Table2[Summers Matched],MATCH(1,(Table1[[#This Row],[Employer]]=Table2[EIW Name])*(Table1[[#This Row],[City, State]]=Table2[Offices Matched]),0)),"")</f>
        <v/>
      </c>
      <c r="U425" s="52" t="str">
        <f t="shared" si="6"/>
        <v/>
      </c>
      <c r="V425" s="60"/>
      <c r="W425" s="114">
        <v>42595</v>
      </c>
      <c r="X425"/>
    </row>
    <row r="426" spans="1:24" ht="14.1" customHeight="1">
      <c r="A426" s="45" t="s">
        <v>430</v>
      </c>
      <c r="B426" s="45" t="s">
        <v>364</v>
      </c>
      <c r="C426" s="45" t="s">
        <v>362</v>
      </c>
      <c r="D426" s="45" t="str">
        <f>Table1[[#This Row],[City]]&amp;", "&amp;Table1[[#This Row],[State]]</f>
        <v>New York, NY</v>
      </c>
      <c r="E426" s="49">
        <v>84</v>
      </c>
      <c r="F426" s="50">
        <v>4</v>
      </c>
      <c r="G426" s="50" t="str">
        <f t="array" ref="G426">IFERROR(INDEX(Table2[1st Year],MATCH(1,(Table1[[#This Row],[Employer]]=Table2[EIW Name])*(Table1[[#This Row],[City, State]]=Table2[Offices Matched]),0)),"")</f>
        <v/>
      </c>
      <c r="H426" s="50" t="str">
        <f>_xlfn.IFNA(INDEX(saCAGR[CAGR],MATCH(Table1[[#This Row],[Employer]],saCAGR[EIW Name],0)),"")</f>
        <v/>
      </c>
      <c r="I426" s="50" t="str">
        <f>IFERROR(Table1[[#This Row],[SA CAGR]]*Table1[[#This Row],[Number of Summer 2016 2L SAs]],"")</f>
        <v/>
      </c>
      <c r="J426" s="50">
        <v>22</v>
      </c>
      <c r="K426" s="51">
        <f>IFERROR(Table1[[#This Row],[Number of Summer 2016 NYU 2L SAs]]/Table1[[#This Row],[Interview Slots]],0)</f>
        <v>0.26190476190476192</v>
      </c>
      <c r="L426" s="51">
        <f>Table1[[#This Row],[Number of Summer 2016 2L SAs]]/Table1[[#This Row],[Interview Slots]]</f>
        <v>4.7619047619047616E-2</v>
      </c>
      <c r="M426" s="51">
        <f>IFERROR(Table1[[#This Row],[Number of Summer 2016 NYU 2L SAs]]/Table1[[#This Row],[Number of Summer 2016 2L SAs]],0)</f>
        <v>5.5</v>
      </c>
      <c r="N426" s="50" t="str">
        <f>IFERROR(RIGHT(Table1[[#This Row],[1st year]],LEN(Table1[[#This Row],[1st year]])-FIND(":",Table1[[#This Row],[1st year]])-1),"")</f>
        <v/>
      </c>
      <c r="O426" s="50" t="str">
        <f t="array" ref="O426">IFERROR(INDEX(Table2[Nth year],MATCH(1,(Table1[[#This Row],[Employer]]=Table2[EIW Name])*(Table1[[#This Row],[City, State]]=Table2[Offices Matched]),0)),"")</f>
        <v/>
      </c>
      <c r="P426" s="50" t="str">
        <f>IFERROR(RIGHT(Table1[[#This Row],[Nth year]],LEN(Table1[[#This Row],[Nth year]])-FIND(":",Table1[[#This Row],[Nth year]])-1),"")</f>
        <v/>
      </c>
      <c r="Q426" s="50" t="str">
        <f t="array" ref="Q426">IFERROR(INDEX(Table2[Am Law 200 PPP Rank ’16],MATCH(1,(Table1[[#This Row],[Employer]]=Table2[EIW Name])*(Table1[[#This Row],[City, State]]=Table2[Offices Matched]),0)),"")</f>
        <v/>
      </c>
      <c r="R426" s="50" t="str">
        <f>IFERROR(LEFT(Table1[[#This Row],[Am Law 200 PPP Rank ’16]],FIND(":",Table1[[#This Row],[Am Law 200 PPP Rank ’16]])-1),"")</f>
        <v/>
      </c>
      <c r="S426" s="50" t="str">
        <f>IFERROR(INDEX(VaultRank[Rank],MATCH(Table1[[#This Row],[Employer]],VaultRank[EIW Name],0)),"")</f>
        <v/>
      </c>
      <c r="T426" s="50" t="str">
        <f t="array" ref="T426">IFERROR(INDEX(Table2[Summers Matched],MATCH(1,(Table1[[#This Row],[Employer]]=Table2[EIW Name])*(Table1[[#This Row],[City, State]]=Table2[Offices Matched]),0)),"")</f>
        <v/>
      </c>
      <c r="U426" s="52" t="str">
        <f t="shared" si="6"/>
        <v/>
      </c>
      <c r="V426" s="60"/>
      <c r="W426" s="114">
        <v>42593</v>
      </c>
      <c r="X426"/>
    </row>
    <row r="427" spans="1:24" ht="14.1" customHeight="1">
      <c r="A427" s="45" t="s">
        <v>457</v>
      </c>
      <c r="B427" s="45" t="s">
        <v>364</v>
      </c>
      <c r="C427" s="45" t="s">
        <v>362</v>
      </c>
      <c r="D427" s="45" t="str">
        <f>Table1[[#This Row],[City]]&amp;", "&amp;Table1[[#This Row],[State]]</f>
        <v>New York, NY</v>
      </c>
      <c r="E427" s="49">
        <v>137</v>
      </c>
      <c r="F427" s="50">
        <v>6</v>
      </c>
      <c r="G427" s="50" t="str">
        <f t="array" ref="G427">IFERROR(INDEX(Table2[1st Year],MATCH(1,(Table1[[#This Row],[Employer]]=Table2[EIW Name])*(Table1[[#This Row],[City, State]]=Table2[Offices Matched]),0)),"")</f>
        <v/>
      </c>
      <c r="H427" s="51" t="str">
        <f>_xlfn.IFNA(INDEX(saCAGR[CAGR],MATCH(Table1[[#This Row],[Employer]],saCAGR[EIW Name],0)),"")</f>
        <v/>
      </c>
      <c r="I427" s="50" t="str">
        <f>IFERROR(Table1[[#This Row],[SA CAGR]]*Table1[[#This Row],[Number of Summer 2016 2L SAs]],"")</f>
        <v/>
      </c>
      <c r="J427" s="50">
        <v>3</v>
      </c>
      <c r="K427" s="51">
        <f>IFERROR(Table1[[#This Row],[Number of Summer 2016 NYU 2L SAs]]/Table1[[#This Row],[Interview Slots]],0)</f>
        <v>2.1897810218978103E-2</v>
      </c>
      <c r="L427" s="51">
        <f>Table1[[#This Row],[Number of Summer 2016 2L SAs]]/Table1[[#This Row],[Interview Slots]]</f>
        <v>4.3795620437956206E-2</v>
      </c>
      <c r="M427" s="51">
        <f>IFERROR(Table1[[#This Row],[Number of Summer 2016 NYU 2L SAs]]/Table1[[#This Row],[Number of Summer 2016 2L SAs]],0)</f>
        <v>0.5</v>
      </c>
      <c r="N427" s="50" t="str">
        <f>IFERROR(RIGHT(Table1[[#This Row],[1st year]],LEN(Table1[[#This Row],[1st year]])-FIND(":",Table1[[#This Row],[1st year]])-1),"")</f>
        <v/>
      </c>
      <c r="O427" s="50" t="str">
        <f t="array" ref="O427">IFERROR(INDEX(Table2[Nth year],MATCH(1,(Table1[[#This Row],[Employer]]=Table2[EIW Name])*(Table1[[#This Row],[City, State]]=Table2[Offices Matched]),0)),"")</f>
        <v/>
      </c>
      <c r="P427" s="50" t="str">
        <f>IFERROR(RIGHT(Table1[[#This Row],[Nth year]],LEN(Table1[[#This Row],[Nth year]])-FIND(":",Table1[[#This Row],[Nth year]])-1),"")</f>
        <v/>
      </c>
      <c r="Q427" s="50" t="str">
        <f t="array" ref="Q427">IFERROR(INDEX(Table2[Am Law 200 PPP Rank ’16],MATCH(1,(Table1[[#This Row],[Employer]]=Table2[EIW Name])*(Table1[[#This Row],[City, State]]=Table2[Offices Matched]),0)),"")</f>
        <v/>
      </c>
      <c r="R427" s="50" t="str">
        <f>IFERROR(LEFT(Table1[[#This Row],[Am Law 200 PPP Rank ’16]],FIND(":",Table1[[#This Row],[Am Law 200 PPP Rank ’16]])-1),"")</f>
        <v/>
      </c>
      <c r="S427" s="50" t="str">
        <f>IFERROR(INDEX(VaultRank[Rank],MATCH(Table1[[#This Row],[Employer]],VaultRank[EIW Name],0)),"")</f>
        <v/>
      </c>
      <c r="T427" s="50" t="str">
        <f t="array" ref="T427">IFERROR(INDEX(Table2[Summers Matched],MATCH(1,(Table1[[#This Row],[Employer]]=Table2[EIW Name])*(Table1[[#This Row],[City, State]]=Table2[Offices Matched]),0)),"")</f>
        <v/>
      </c>
      <c r="U427" s="52" t="str">
        <f t="shared" si="6"/>
        <v/>
      </c>
      <c r="V427" s="60"/>
      <c r="W427" s="114">
        <v>42595</v>
      </c>
      <c r="X427"/>
    </row>
    <row r="428" spans="1:24" ht="14.1" customHeight="1">
      <c r="A428" s="45" t="s">
        <v>366</v>
      </c>
      <c r="B428" s="45" t="s">
        <v>364</v>
      </c>
      <c r="C428" s="45" t="s">
        <v>362</v>
      </c>
      <c r="D428" s="45" t="str">
        <f>Table1[[#This Row],[City]]&amp;", "&amp;Table1[[#This Row],[State]]</f>
        <v>New York, NY</v>
      </c>
      <c r="E428" s="49">
        <v>186</v>
      </c>
      <c r="F428" s="50">
        <v>2</v>
      </c>
      <c r="G428" s="50" t="str">
        <f t="array" ref="G428">IFERROR(INDEX(Table2[1st Year],MATCH(1,(Table1[[#This Row],[Employer]]=Table2[EIW Name])*(Table1[[#This Row],[City, State]]=Table2[Offices Matched]),0)),"")</f>
        <v/>
      </c>
      <c r="H428" s="50" t="str">
        <f>_xlfn.IFNA(INDEX(saCAGR[CAGR],MATCH(Table1[[#This Row],[Employer]],saCAGR[EIW Name],0)),"")</f>
        <v/>
      </c>
      <c r="I428" s="50" t="str">
        <f>IFERROR(Table1[[#This Row],[SA CAGR]]*Table1[[#This Row],[Number of Summer 2016 2L SAs]],"")</f>
        <v/>
      </c>
      <c r="J428" s="50">
        <v>21</v>
      </c>
      <c r="K428" s="51">
        <f>IFERROR(Table1[[#This Row],[Number of Summer 2016 NYU 2L SAs]]/Table1[[#This Row],[Interview Slots]],0)</f>
        <v>0.11290322580645161</v>
      </c>
      <c r="L428" s="51">
        <f>Table1[[#This Row],[Number of Summer 2016 2L SAs]]/Table1[[#This Row],[Interview Slots]]</f>
        <v>1.0752688172043012E-2</v>
      </c>
      <c r="M428" s="51">
        <f>IFERROR(Table1[[#This Row],[Number of Summer 2016 NYU 2L SAs]]/Table1[[#This Row],[Number of Summer 2016 2L SAs]],0)</f>
        <v>10.5</v>
      </c>
      <c r="N428" s="50" t="str">
        <f>IFERROR(RIGHT(Table1[[#This Row],[1st year]],LEN(Table1[[#This Row],[1st year]])-FIND(":",Table1[[#This Row],[1st year]])-1),"")</f>
        <v/>
      </c>
      <c r="O428" s="50" t="str">
        <f t="array" ref="O428">IFERROR(INDEX(Table2[Nth year],MATCH(1,(Table1[[#This Row],[Employer]]=Table2[EIW Name])*(Table1[[#This Row],[City, State]]=Table2[Offices Matched]),0)),"")</f>
        <v/>
      </c>
      <c r="P428" s="50" t="str">
        <f>IFERROR(RIGHT(Table1[[#This Row],[Nth year]],LEN(Table1[[#This Row],[Nth year]])-FIND(":",Table1[[#This Row],[Nth year]])-1),"")</f>
        <v/>
      </c>
      <c r="Q428" s="50" t="str">
        <f t="array" ref="Q428">IFERROR(INDEX(Table2[Am Law 200 PPP Rank ’16],MATCH(1,(Table1[[#This Row],[Employer]]=Table2[EIW Name])*(Table1[[#This Row],[City, State]]=Table2[Offices Matched]),0)),"")</f>
        <v/>
      </c>
      <c r="R428" s="50" t="str">
        <f>IFERROR(LEFT(Table1[[#This Row],[Am Law 200 PPP Rank ’16]],FIND(":",Table1[[#This Row],[Am Law 200 PPP Rank ’16]])-1),"")</f>
        <v/>
      </c>
      <c r="S428" s="50" t="str">
        <f>IFERROR(INDEX(VaultRank[Rank],MATCH(Table1[[#This Row],[Employer]],VaultRank[EIW Name],0)),"")</f>
        <v/>
      </c>
      <c r="T428" s="50" t="str">
        <f t="array" ref="T428">IFERROR(INDEX(Table2[Summers Matched],MATCH(1,(Table1[[#This Row],[Employer]]=Table2[EIW Name])*(Table1[[#This Row],[City, State]]=Table2[Offices Matched]),0)),"")</f>
        <v/>
      </c>
      <c r="U428" s="52" t="str">
        <f t="shared" si="6"/>
        <v/>
      </c>
      <c r="V428" s="60"/>
      <c r="W428" s="114">
        <v>42592</v>
      </c>
      <c r="X428"/>
    </row>
    <row r="429" spans="1:24" ht="14.1" customHeight="1">
      <c r="A429" s="45" t="s">
        <v>506</v>
      </c>
      <c r="B429" s="45" t="s">
        <v>316</v>
      </c>
      <c r="C429" s="45" t="s">
        <v>300</v>
      </c>
      <c r="D429" s="45" t="str">
        <f>Table1[[#This Row],[City]]&amp;", "&amp;Table1[[#This Row],[State]]</f>
        <v>San Francisco, CA</v>
      </c>
      <c r="E429" s="49">
        <v>61</v>
      </c>
      <c r="F429" s="50">
        <v>3</v>
      </c>
      <c r="G429" s="50" t="str">
        <f t="array" ref="G429">IFERROR(INDEX(Table2[1st Year],MATCH(1,(Table1[[#This Row],[Employer]]=Table2[EIW Name])*(Table1[[#This Row],[City, State]]=Table2[Offices Matched]),0)),"")</f>
        <v>1st Year: $180K</v>
      </c>
      <c r="H429" s="50">
        <f>_xlfn.IFNA(INDEX(saCAGR[CAGR],MATCH(Table1[[#This Row],[Employer]],saCAGR[EIW Name],0)),"")</f>
        <v>1.0050095364731035</v>
      </c>
      <c r="I429" s="50">
        <f>IFERROR(Table1[[#This Row],[SA CAGR]]*Table1[[#This Row],[Number of Summer 2016 2L SAs]],"")</f>
        <v>3.0150286094193106</v>
      </c>
      <c r="J429" s="50">
        <v>4</v>
      </c>
      <c r="K429" s="51">
        <f>IFERROR(Table1[[#This Row],[Number of Summer 2016 NYU 2L SAs]]/Table1[[#This Row],[Interview Slots]],0)</f>
        <v>6.5573770491803282E-2</v>
      </c>
      <c r="L429" s="51">
        <f>Table1[[#This Row],[Number of Summer 2016 2L SAs]]/Table1[[#This Row],[Interview Slots]]</f>
        <v>4.9180327868852458E-2</v>
      </c>
      <c r="M429" s="51">
        <f>IFERROR(Table1[[#This Row],[Number of Summer 2016 NYU 2L SAs]]/Table1[[#This Row],[Number of Summer 2016 2L SAs]],0)</f>
        <v>1.3333333333333333</v>
      </c>
      <c r="N429" s="50" t="str">
        <f>IFERROR(RIGHT(Table1[[#This Row],[1st year]],LEN(Table1[[#This Row],[1st year]])-FIND(":",Table1[[#This Row],[1st year]])-1),"")</f>
        <v>$180K</v>
      </c>
      <c r="O429" s="50" t="str">
        <f t="array" ref="O429">IFERROR(INDEX(Table2[Nth year],MATCH(1,(Table1[[#This Row],[Employer]]=Table2[EIW Name])*(Table1[[#This Row],[City, State]]=Table2[Offices Matched]),0)),"")</f>
        <v>8th Year: $315K</v>
      </c>
      <c r="P429" s="50" t="str">
        <f>IFERROR(RIGHT(Table1[[#This Row],[Nth year]],LEN(Table1[[#This Row],[Nth year]])-FIND(":",Table1[[#This Row],[Nth year]])-1),"")</f>
        <v>$315K</v>
      </c>
      <c r="Q429" s="50" t="str">
        <f t="array" ref="Q429">IFERROR(INDEX(Table2[Am Law 200 PPP Rank ’16],MATCH(1,(Table1[[#This Row],[Employer]]=Table2[EIW Name])*(Table1[[#This Row],[City, State]]=Table2[Offices Matched]),0)),"")</f>
        <v>63: $1.45M</v>
      </c>
      <c r="R429" s="50" t="str">
        <f>IFERROR(LEFT(Table1[[#This Row],[Am Law 200 PPP Rank ’16]],FIND(":",Table1[[#This Row],[Am Law 200 PPP Rank ’16]])-1),"")</f>
        <v>63</v>
      </c>
      <c r="S429" s="50">
        <f>IFERROR(INDEX(VaultRank[Rank],MATCH(Table1[[#This Row],[Employer]],VaultRank[EIW Name],0)),"")</f>
        <v>83</v>
      </c>
      <c r="T429" s="50" t="str">
        <f t="array" ref="T429">IFERROR(INDEX(Table2[Summers Matched],MATCH(1,(Table1[[#This Row],[Employer]]=Table2[EIW Name])*(Table1[[#This Row],[City, State]]=Table2[Offices Matched]),0)),"")</f>
        <v>Yes</v>
      </c>
      <c r="U429" s="52" t="str">
        <f t="shared" si="6"/>
        <v/>
      </c>
      <c r="V429" s="60"/>
      <c r="W429" s="114">
        <v>42592</v>
      </c>
      <c r="X429"/>
    </row>
    <row r="430" spans="1:24" ht="14.1" customHeight="1">
      <c r="A430" s="45" t="s">
        <v>507</v>
      </c>
      <c r="B430" s="45" t="s">
        <v>319</v>
      </c>
      <c r="C430" s="45" t="s">
        <v>320</v>
      </c>
      <c r="D430" s="45" t="str">
        <f>Table1[[#This Row],[City]]&amp;", "&amp;Table1[[#This Row],[State]]</f>
        <v>Hartford, CT</v>
      </c>
      <c r="E430" s="49">
        <v>148</v>
      </c>
      <c r="F430" s="50">
        <v>5</v>
      </c>
      <c r="G430" s="50" t="str">
        <f t="array" ref="G430">IFERROR(INDEX(Table2[1st Year],MATCH(1,(Table1[[#This Row],[Employer]]=Table2[EIW Name])*(Table1[[#This Row],[City, State]]=Table2[Offices Matched]),0)),"")</f>
        <v/>
      </c>
      <c r="H430" s="50" t="str">
        <f>_xlfn.IFNA(INDEX(saCAGR[CAGR],MATCH(Table1[[#This Row],[Employer]],saCAGR[EIW Name],0)),"")</f>
        <v/>
      </c>
      <c r="I430" s="50" t="str">
        <f>IFERROR(Table1[[#This Row],[SA CAGR]]*Table1[[#This Row],[Number of Summer 2016 2L SAs]],"")</f>
        <v/>
      </c>
      <c r="J430" s="50">
        <v>14</v>
      </c>
      <c r="K430" s="51">
        <f>IFERROR(Table1[[#This Row],[Number of Summer 2016 NYU 2L SAs]]/Table1[[#This Row],[Interview Slots]],0)</f>
        <v>9.45945945945946E-2</v>
      </c>
      <c r="L430" s="51">
        <f>Table1[[#This Row],[Number of Summer 2016 2L SAs]]/Table1[[#This Row],[Interview Slots]]</f>
        <v>3.3783783783783786E-2</v>
      </c>
      <c r="M430" s="51">
        <f>IFERROR(Table1[[#This Row],[Number of Summer 2016 NYU 2L SAs]]/Table1[[#This Row],[Number of Summer 2016 2L SAs]],0)</f>
        <v>2.8</v>
      </c>
      <c r="N430" s="50" t="str">
        <f>IFERROR(RIGHT(Table1[[#This Row],[1st year]],LEN(Table1[[#This Row],[1st year]])-FIND(":",Table1[[#This Row],[1st year]])-1),"")</f>
        <v/>
      </c>
      <c r="O430" s="50" t="str">
        <f t="array" ref="O430">IFERROR(INDEX(Table2[Nth year],MATCH(1,(Table1[[#This Row],[Employer]]=Table2[EIW Name])*(Table1[[#This Row],[City, State]]=Table2[Offices Matched]),0)),"")</f>
        <v/>
      </c>
      <c r="P430" s="50" t="str">
        <f>IFERROR(RIGHT(Table1[[#This Row],[Nth year]],LEN(Table1[[#This Row],[Nth year]])-FIND(":",Table1[[#This Row],[Nth year]])-1),"")</f>
        <v/>
      </c>
      <c r="Q430" s="50" t="str">
        <f t="array" ref="Q430">IFERROR(INDEX(Table2[Am Law 200 PPP Rank ’16],MATCH(1,(Table1[[#This Row],[Employer]]=Table2[EIW Name])*(Table1[[#This Row],[City, State]]=Table2[Offices Matched]),0)),"")</f>
        <v/>
      </c>
      <c r="R430" s="50" t="str">
        <f>IFERROR(LEFT(Table1[[#This Row],[Am Law 200 PPP Rank ’16]],FIND(":",Table1[[#This Row],[Am Law 200 PPP Rank ’16]])-1),"")</f>
        <v/>
      </c>
      <c r="S430" s="50" t="str">
        <f>IFERROR(INDEX(VaultRank[Rank],MATCH(Table1[[#This Row],[Employer]],VaultRank[EIW Name],0)),"")</f>
        <v/>
      </c>
      <c r="T430" s="50" t="str">
        <f t="array" ref="T430">IFERROR(INDEX(Table2[Summers Matched],MATCH(1,(Table1[[#This Row],[Employer]]=Table2[EIW Name])*(Table1[[#This Row],[City, State]]=Table2[Offices Matched]),0)),"")</f>
        <v/>
      </c>
      <c r="U430" s="52" t="str">
        <f t="shared" si="6"/>
        <v/>
      </c>
      <c r="V430" s="60"/>
      <c r="W430" s="114">
        <v>42593</v>
      </c>
      <c r="X430"/>
    </row>
    <row r="431" spans="1:24" ht="14.1" customHeight="1">
      <c r="A431" s="45" t="s">
        <v>507</v>
      </c>
      <c r="B431" s="45" t="s">
        <v>501</v>
      </c>
      <c r="C431" s="45" t="s">
        <v>320</v>
      </c>
      <c r="D431" s="45" t="str">
        <f>Table1[[#This Row],[City]]&amp;", "&amp;Table1[[#This Row],[State]]</f>
        <v>Stamford, CT</v>
      </c>
      <c r="E431" s="49">
        <v>80</v>
      </c>
      <c r="F431" s="50">
        <v>1</v>
      </c>
      <c r="G431" s="50" t="str">
        <f t="array" ref="G431">IFERROR(INDEX(Table2[1st Year],MATCH(1,(Table1[[#This Row],[Employer]]=Table2[EIW Name])*(Table1[[#This Row],[City, State]]=Table2[Offices Matched]),0)),"")</f>
        <v/>
      </c>
      <c r="H431" s="50" t="str">
        <f>_xlfn.IFNA(INDEX(saCAGR[CAGR],MATCH(Table1[[#This Row],[Employer]],saCAGR[EIW Name],0)),"")</f>
        <v/>
      </c>
      <c r="I431" s="50" t="str">
        <f>IFERROR(Table1[[#This Row],[SA CAGR]]*Table1[[#This Row],[Number of Summer 2016 2L SAs]],"")</f>
        <v/>
      </c>
      <c r="J431" s="50">
        <v>23</v>
      </c>
      <c r="K431" s="51">
        <f>IFERROR(Table1[[#This Row],[Number of Summer 2016 NYU 2L SAs]]/Table1[[#This Row],[Interview Slots]],0)</f>
        <v>0.28749999999999998</v>
      </c>
      <c r="L431" s="51">
        <f>Table1[[#This Row],[Number of Summer 2016 2L SAs]]/Table1[[#This Row],[Interview Slots]]</f>
        <v>1.2500000000000001E-2</v>
      </c>
      <c r="M431" s="51">
        <f>IFERROR(Table1[[#This Row],[Number of Summer 2016 NYU 2L SAs]]/Table1[[#This Row],[Number of Summer 2016 2L SAs]],0)</f>
        <v>23</v>
      </c>
      <c r="N431" s="50" t="str">
        <f>IFERROR(RIGHT(Table1[[#This Row],[1st year]],LEN(Table1[[#This Row],[1st year]])-FIND(":",Table1[[#This Row],[1st year]])-1),"")</f>
        <v/>
      </c>
      <c r="O431" s="50" t="str">
        <f t="array" ref="O431">IFERROR(INDEX(Table2[Nth year],MATCH(1,(Table1[[#This Row],[Employer]]=Table2[EIW Name])*(Table1[[#This Row],[City, State]]=Table2[Offices Matched]),0)),"")</f>
        <v/>
      </c>
      <c r="P431" s="50" t="str">
        <f>IFERROR(RIGHT(Table1[[#This Row],[Nth year]],LEN(Table1[[#This Row],[Nth year]])-FIND(":",Table1[[#This Row],[Nth year]])-1),"")</f>
        <v/>
      </c>
      <c r="Q431" s="50" t="str">
        <f t="array" ref="Q431">IFERROR(INDEX(Table2[Am Law 200 PPP Rank ’16],MATCH(1,(Table1[[#This Row],[Employer]]=Table2[EIW Name])*(Table1[[#This Row],[City, State]]=Table2[Offices Matched]),0)),"")</f>
        <v/>
      </c>
      <c r="R431" s="50" t="str">
        <f>IFERROR(LEFT(Table1[[#This Row],[Am Law 200 PPP Rank ’16]],FIND(":",Table1[[#This Row],[Am Law 200 PPP Rank ’16]])-1),"")</f>
        <v/>
      </c>
      <c r="S431" s="50" t="str">
        <f>IFERROR(INDEX(VaultRank[Rank],MATCH(Table1[[#This Row],[Employer]],VaultRank[EIW Name],0)),"")</f>
        <v/>
      </c>
      <c r="T431" s="50" t="str">
        <f t="array" ref="T431">IFERROR(INDEX(Table2[Summers Matched],MATCH(1,(Table1[[#This Row],[Employer]]=Table2[EIW Name])*(Table1[[#This Row],[City, State]]=Table2[Offices Matched]),0)),"")</f>
        <v/>
      </c>
      <c r="U431" s="52" t="str">
        <f t="shared" si="6"/>
        <v/>
      </c>
      <c r="V431" s="60"/>
      <c r="W431" s="114">
        <v>42594</v>
      </c>
      <c r="X431"/>
    </row>
    <row r="432" spans="1:24" ht="14.1" customHeight="1">
      <c r="A432" s="45" t="s">
        <v>507</v>
      </c>
      <c r="B432" s="45" t="s">
        <v>301</v>
      </c>
      <c r="C432" s="45" t="s">
        <v>302</v>
      </c>
      <c r="D432" s="45" t="str">
        <f>Table1[[#This Row],[City]]&amp;", "&amp;Table1[[#This Row],[State]]</f>
        <v>Washington, DC</v>
      </c>
      <c r="E432" s="49">
        <v>19</v>
      </c>
      <c r="F432" s="50">
        <v>0</v>
      </c>
      <c r="G432" s="50" t="str">
        <f t="array" ref="G432">IFERROR(INDEX(Table2[1st Year],MATCH(1,(Table1[[#This Row],[Employer]]=Table2[EIW Name])*(Table1[[#This Row],[City, State]]=Table2[Offices Matched]),0)),"")</f>
        <v/>
      </c>
      <c r="H432" s="50" t="str">
        <f>_xlfn.IFNA(INDEX(saCAGR[CAGR],MATCH(Table1[[#This Row],[Employer]],saCAGR[EIW Name],0)),"")</f>
        <v/>
      </c>
      <c r="I432" s="50" t="str">
        <f>IFERROR(Table1[[#This Row],[SA CAGR]]*Table1[[#This Row],[Number of Summer 2016 2L SAs]],"")</f>
        <v/>
      </c>
      <c r="J432" s="50">
        <v>23</v>
      </c>
      <c r="K432" s="51">
        <f>IFERROR(Table1[[#This Row],[Number of Summer 2016 NYU 2L SAs]]/Table1[[#This Row],[Interview Slots]],0)</f>
        <v>1.2105263157894737</v>
      </c>
      <c r="L432" s="51">
        <f>Table1[[#This Row],[Number of Summer 2016 2L SAs]]/Table1[[#This Row],[Interview Slots]]</f>
        <v>0</v>
      </c>
      <c r="M432" s="51">
        <f>IFERROR(Table1[[#This Row],[Number of Summer 2016 NYU 2L SAs]]/Table1[[#This Row],[Number of Summer 2016 2L SAs]],0)</f>
        <v>0</v>
      </c>
      <c r="N432" s="50" t="str">
        <f>IFERROR(RIGHT(Table1[[#This Row],[1st year]],LEN(Table1[[#This Row],[1st year]])-FIND(":",Table1[[#This Row],[1st year]])-1),"")</f>
        <v/>
      </c>
      <c r="O432" s="50" t="str">
        <f t="array" ref="O432">IFERROR(INDEX(Table2[Nth year],MATCH(1,(Table1[[#This Row],[Employer]]=Table2[EIW Name])*(Table1[[#This Row],[City, State]]=Table2[Offices Matched]),0)),"")</f>
        <v/>
      </c>
      <c r="P432" s="50" t="str">
        <f>IFERROR(RIGHT(Table1[[#This Row],[Nth year]],LEN(Table1[[#This Row],[Nth year]])-FIND(":",Table1[[#This Row],[Nth year]])-1),"")</f>
        <v/>
      </c>
      <c r="Q432" s="50" t="str">
        <f t="array" ref="Q432">IFERROR(INDEX(Table2[Am Law 200 PPP Rank ’16],MATCH(1,(Table1[[#This Row],[Employer]]=Table2[EIW Name])*(Table1[[#This Row],[City, State]]=Table2[Offices Matched]),0)),"")</f>
        <v/>
      </c>
      <c r="R432" s="50" t="str">
        <f>IFERROR(LEFT(Table1[[#This Row],[Am Law 200 PPP Rank ’16]],FIND(":",Table1[[#This Row],[Am Law 200 PPP Rank ’16]])-1),"")</f>
        <v/>
      </c>
      <c r="S432" s="50" t="str">
        <f>IFERROR(INDEX(VaultRank[Rank],MATCH(Table1[[#This Row],[Employer]],VaultRank[EIW Name],0)),"")</f>
        <v/>
      </c>
      <c r="T432" s="50" t="str">
        <f t="array" ref="T432">IFERROR(INDEX(Table2[Summers Matched],MATCH(1,(Table1[[#This Row],[Employer]]=Table2[EIW Name])*(Table1[[#This Row],[City, State]]=Table2[Offices Matched]),0)),"")</f>
        <v/>
      </c>
      <c r="U432" s="52">
        <f t="shared" si="6"/>
        <v>3.4</v>
      </c>
      <c r="V432" s="60"/>
      <c r="W432" s="114">
        <v>42593</v>
      </c>
      <c r="X432"/>
    </row>
    <row r="433" spans="1:24" ht="14.1" customHeight="1">
      <c r="A433" s="45" t="s">
        <v>115</v>
      </c>
      <c r="B433" s="45" t="s">
        <v>364</v>
      </c>
      <c r="C433" s="45" t="s">
        <v>362</v>
      </c>
      <c r="D433" s="45" t="str">
        <f>Table1[[#This Row],[City]]&amp;", "&amp;Table1[[#This Row],[State]]</f>
        <v>New York, NY</v>
      </c>
      <c r="E433" s="49">
        <v>148</v>
      </c>
      <c r="F433" s="50">
        <v>3</v>
      </c>
      <c r="G433" s="50" t="str">
        <f t="array" ref="G433">IFERROR(INDEX(Table2[1st Year],MATCH(1,(Table1[[#This Row],[Employer]]=Table2[EIW Name])*(Table1[[#This Row],[City, State]]=Table2[Offices Matched]),0)),"")</f>
        <v>1st Year: $180K</v>
      </c>
      <c r="H433" s="50">
        <f>_xlfn.IFNA(INDEX(saCAGR[CAGR],MATCH(Table1[[#This Row],[Employer]],saCAGR[EIW Name],0)),"")</f>
        <v>0.97678811799247645</v>
      </c>
      <c r="I433" s="50">
        <f>IFERROR(Table1[[#This Row],[SA CAGR]]*Table1[[#This Row],[Number of Summer 2016 2L SAs]],"")</f>
        <v>2.9303643539774296</v>
      </c>
      <c r="J433" s="50">
        <v>11</v>
      </c>
      <c r="K433" s="51">
        <f>IFERROR(Table1[[#This Row],[Number of Summer 2016 NYU 2L SAs]]/Table1[[#This Row],[Interview Slots]],0)</f>
        <v>7.4324324324324328E-2</v>
      </c>
      <c r="L433" s="51">
        <f>Table1[[#This Row],[Number of Summer 2016 2L SAs]]/Table1[[#This Row],[Interview Slots]]</f>
        <v>2.0270270270270271E-2</v>
      </c>
      <c r="M433" s="51">
        <f>IFERROR(Table1[[#This Row],[Number of Summer 2016 NYU 2L SAs]]/Table1[[#This Row],[Number of Summer 2016 2L SAs]],0)</f>
        <v>3.6666666666666665</v>
      </c>
      <c r="N433" s="50" t="str">
        <f>IFERROR(RIGHT(Table1[[#This Row],[1st year]],LEN(Table1[[#This Row],[1st year]])-FIND(":",Table1[[#This Row],[1st year]])-1),"")</f>
        <v>$180K</v>
      </c>
      <c r="O433" s="50" t="str">
        <f t="array" ref="O433">IFERROR(INDEX(Table2[Nth year],MATCH(1,(Table1[[#This Row],[Employer]]=Table2[EIW Name])*(Table1[[#This Row],[City, State]]=Table2[Offices Matched]),0)),"")</f>
        <v>7th Year+: $300K</v>
      </c>
      <c r="P433" s="50" t="str">
        <f>IFERROR(RIGHT(Table1[[#This Row],[Nth year]],LEN(Table1[[#This Row],[Nth year]])-FIND(":",Table1[[#This Row],[Nth year]])-1),"")</f>
        <v>$300K</v>
      </c>
      <c r="Q433" s="50" t="str">
        <f t="array" ref="Q433">IFERROR(INDEX(Table2[Am Law 200 PPP Rank ’16],MATCH(1,(Table1[[#This Row],[Employer]]=Table2[EIW Name])*(Table1[[#This Row],[City, State]]=Table2[Offices Matched]),0)),"")</f>
        <v>67: $1.36M</v>
      </c>
      <c r="R433" s="50" t="str">
        <f>IFERROR(LEFT(Table1[[#This Row],[Am Law 200 PPP Rank ’16]],FIND(":",Table1[[#This Row],[Am Law 200 PPP Rank ’16]])-1),"")</f>
        <v>67</v>
      </c>
      <c r="S433" s="50" t="str">
        <f>IFERROR(INDEX(VaultRank[Rank],MATCH(Table1[[#This Row],[Employer]],VaultRank[EIW Name],0)),"")</f>
        <v/>
      </c>
      <c r="T433" s="50" t="str">
        <f t="array" ref="T433">IFERROR(INDEX(Table2[Summers Matched],MATCH(1,(Table1[[#This Row],[Employer]]=Table2[EIW Name])*(Table1[[#This Row],[City, State]]=Table2[Offices Matched]),0)),"")</f>
        <v>Yes</v>
      </c>
      <c r="U433" s="52" t="str">
        <f t="shared" si="6"/>
        <v/>
      </c>
      <c r="V433" s="60"/>
      <c r="W433" s="114">
        <v>42595</v>
      </c>
      <c r="X433"/>
    </row>
    <row r="434" spans="1:24" ht="14.1" customHeight="1">
      <c r="A434" s="45" t="s">
        <v>96</v>
      </c>
      <c r="B434" s="45" t="s">
        <v>299</v>
      </c>
      <c r="C434" s="45" t="s">
        <v>300</v>
      </c>
      <c r="D434" s="45" t="str">
        <f>Table1[[#This Row],[City]]&amp;", "&amp;Table1[[#This Row],[State]]</f>
        <v>Los Angeles, CA</v>
      </c>
      <c r="E434" s="49">
        <v>58</v>
      </c>
      <c r="F434" s="50">
        <v>21</v>
      </c>
      <c r="G434" s="50" t="str">
        <f t="array" ref="G434">IFERROR(INDEX(Table2[1st Year],MATCH(1,(Table1[[#This Row],[Employer]]=Table2[EIW Name])*(Table1[[#This Row],[City, State]]=Table2[Offices Matched]),0)),"")</f>
        <v>1st Year: $180K</v>
      </c>
      <c r="H434" s="50">
        <f>_xlfn.IFNA(INDEX(saCAGR[CAGR],MATCH(Table1[[#This Row],[Employer]],saCAGR[EIW Name],0)),"")</f>
        <v>1.039722134144117</v>
      </c>
      <c r="I434" s="50">
        <f>IFERROR(Table1[[#This Row],[SA CAGR]]*Table1[[#This Row],[Number of Summer 2016 2L SAs]],"")</f>
        <v>21.834164817026455</v>
      </c>
      <c r="J434" s="50">
        <v>12</v>
      </c>
      <c r="K434" s="51">
        <f>IFERROR(Table1[[#This Row],[Number of Summer 2016 NYU 2L SAs]]/Table1[[#This Row],[Interview Slots]],0)</f>
        <v>0.20689655172413793</v>
      </c>
      <c r="L434" s="51">
        <f>Table1[[#This Row],[Number of Summer 2016 2L SAs]]/Table1[[#This Row],[Interview Slots]]</f>
        <v>0.36206896551724138</v>
      </c>
      <c r="M434" s="51">
        <f>IFERROR(Table1[[#This Row],[Number of Summer 2016 NYU 2L SAs]]/Table1[[#This Row],[Number of Summer 2016 2L SAs]],0)</f>
        <v>0.5714285714285714</v>
      </c>
      <c r="N434" s="50" t="str">
        <f>IFERROR(RIGHT(Table1[[#This Row],[1st year]],LEN(Table1[[#This Row],[1st year]])-FIND(":",Table1[[#This Row],[1st year]])-1),"")</f>
        <v>$180K</v>
      </c>
      <c r="O434" s="50" t="str">
        <f t="array" ref="O434">IFERROR(INDEX(Table2[Nth year],MATCH(1,(Table1[[#This Row],[Employer]]=Table2[EIW Name])*(Table1[[#This Row],[City, State]]=Table2[Offices Matched]),0)),"")</f>
        <v>8th Year: $315K</v>
      </c>
      <c r="P434" s="50" t="str">
        <f>IFERROR(RIGHT(Table1[[#This Row],[Nth year]],LEN(Table1[[#This Row],[Nth year]])-FIND(":",Table1[[#This Row],[Nth year]])-1),"")</f>
        <v>$315K</v>
      </c>
      <c r="Q434" s="50" t="str">
        <f t="array" ref="Q434">IFERROR(INDEX(Table2[Am Law 200 PPP Rank ’16],MATCH(1,(Table1[[#This Row],[Employer]]=Table2[EIW Name])*(Table1[[#This Row],[City, State]]=Table2[Offices Matched]),0)),"")</f>
        <v>28: $2.07M</v>
      </c>
      <c r="R434" s="50" t="str">
        <f>IFERROR(LEFT(Table1[[#This Row],[Am Law 200 PPP Rank ’16]],FIND(":",Table1[[#This Row],[Am Law 200 PPP Rank ’16]])-1),"")</f>
        <v>28</v>
      </c>
      <c r="S434" s="50">
        <f>IFERROR(INDEX(VaultRank[Rank],MATCH(Table1[[#This Row],[Employer]],VaultRank[EIW Name],0)),"")</f>
        <v>14</v>
      </c>
      <c r="T434" s="50" t="str">
        <f t="array" ref="T434">IFERROR(INDEX(Table2[Summers Matched],MATCH(1,(Table1[[#This Row],[Employer]]=Table2[EIW Name])*(Table1[[#This Row],[City, State]]=Table2[Offices Matched]),0)),"")</f>
        <v>Yes</v>
      </c>
      <c r="U434" s="52" t="str">
        <f t="shared" si="6"/>
        <v/>
      </c>
      <c r="V434" s="60"/>
      <c r="W434" s="114">
        <v>42595</v>
      </c>
      <c r="X434"/>
    </row>
    <row r="435" spans="1:24" ht="14.1" customHeight="1">
      <c r="A435" s="45" t="s">
        <v>96</v>
      </c>
      <c r="B435" s="45" t="s">
        <v>301</v>
      </c>
      <c r="C435" s="45" t="s">
        <v>302</v>
      </c>
      <c r="D435" s="45" t="str">
        <f>Table1[[#This Row],[City]]&amp;", "&amp;Table1[[#This Row],[State]]</f>
        <v>Washington, DC</v>
      </c>
      <c r="E435" s="49">
        <v>193</v>
      </c>
      <c r="F435" s="50">
        <v>21</v>
      </c>
      <c r="G435" s="50" t="str">
        <f t="array" ref="G435">IFERROR(INDEX(Table2[1st Year],MATCH(1,(Table1[[#This Row],[Employer]]=Table2[EIW Name])*(Table1[[#This Row],[City, State]]=Table2[Offices Matched]),0)),"")</f>
        <v/>
      </c>
      <c r="H435" s="50">
        <f>_xlfn.IFNA(INDEX(saCAGR[CAGR],MATCH(Table1[[#This Row],[Employer]],saCAGR[EIW Name],0)),"")</f>
        <v>1.039722134144117</v>
      </c>
      <c r="I435" s="50">
        <f>IFERROR(Table1[[#This Row],[SA CAGR]]*Table1[[#This Row],[Number of Summer 2016 2L SAs]],"")</f>
        <v>21.834164817026455</v>
      </c>
      <c r="J435" s="50">
        <v>10</v>
      </c>
      <c r="K435" s="51">
        <f>IFERROR(Table1[[#This Row],[Number of Summer 2016 NYU 2L SAs]]/Table1[[#This Row],[Interview Slots]],0)</f>
        <v>5.181347150259067E-2</v>
      </c>
      <c r="L435" s="51">
        <f>Table1[[#This Row],[Number of Summer 2016 2L SAs]]/Table1[[#This Row],[Interview Slots]]</f>
        <v>0.10880829015544041</v>
      </c>
      <c r="M435" s="51">
        <f>IFERROR(Table1[[#This Row],[Number of Summer 2016 NYU 2L SAs]]/Table1[[#This Row],[Number of Summer 2016 2L SAs]],0)</f>
        <v>0.47619047619047616</v>
      </c>
      <c r="N435" s="50" t="str">
        <f>IFERROR(RIGHT(Table1[[#This Row],[1st year]],LEN(Table1[[#This Row],[1st year]])-FIND(":",Table1[[#This Row],[1st year]])-1),"")</f>
        <v/>
      </c>
      <c r="O435" s="50" t="str">
        <f t="array" ref="O435">IFERROR(INDEX(Table2[Nth year],MATCH(1,(Table1[[#This Row],[Employer]]=Table2[EIW Name])*(Table1[[#This Row],[City, State]]=Table2[Offices Matched]),0)),"")</f>
        <v/>
      </c>
      <c r="P435" s="50" t="str">
        <f>IFERROR(RIGHT(Table1[[#This Row],[Nth year]],LEN(Table1[[#This Row],[Nth year]])-FIND(":",Table1[[#This Row],[Nth year]])-1),"")</f>
        <v/>
      </c>
      <c r="Q435" s="50" t="str">
        <f t="array" ref="Q435">IFERROR(INDEX(Table2[Am Law 200 PPP Rank ’16],MATCH(1,(Table1[[#This Row],[Employer]]=Table2[EIW Name])*(Table1[[#This Row],[City, State]]=Table2[Offices Matched]),0)),"")</f>
        <v/>
      </c>
      <c r="R435" s="50" t="str">
        <f>IFERROR(LEFT(Table1[[#This Row],[Am Law 200 PPP Rank ’16]],FIND(":",Table1[[#This Row],[Am Law 200 PPP Rank ’16]])-1),"")</f>
        <v/>
      </c>
      <c r="S435" s="50">
        <f>IFERROR(INDEX(VaultRank[Rank],MATCH(Table1[[#This Row],[Employer]],VaultRank[EIW Name],0)),"")</f>
        <v>14</v>
      </c>
      <c r="T435" s="50" t="str">
        <f t="array" ref="T435">IFERROR(INDEX(Table2[Summers Matched],MATCH(1,(Table1[[#This Row],[Employer]]=Table2[EIW Name])*(Table1[[#This Row],[City, State]]=Table2[Offices Matched]),0)),"")</f>
        <v/>
      </c>
      <c r="U435" s="52" t="str">
        <f t="shared" si="6"/>
        <v/>
      </c>
      <c r="V435" s="60"/>
      <c r="W435" s="114">
        <v>42592</v>
      </c>
      <c r="X435"/>
    </row>
    <row r="436" spans="1:24" ht="14.1" customHeight="1">
      <c r="A436" s="45" t="s">
        <v>305</v>
      </c>
      <c r="B436" s="45" t="s">
        <v>364</v>
      </c>
      <c r="C436" s="45" t="s">
        <v>362</v>
      </c>
      <c r="D436" s="45" t="str">
        <f>Table1[[#This Row],[City]]&amp;", "&amp;Table1[[#This Row],[State]]</f>
        <v>New York, NY</v>
      </c>
      <c r="E436" s="49">
        <v>138</v>
      </c>
      <c r="F436" s="50">
        <v>2</v>
      </c>
      <c r="G436" s="50" t="str">
        <f t="array" ref="G436">IFERROR(INDEX(Table2[1st Year],MATCH(1,(Table1[[#This Row],[Employer]]=Table2[EIW Name])*(Table1[[#This Row],[City, State]]=Table2[Offices Matched]),0)),"")</f>
        <v/>
      </c>
      <c r="H436" s="50">
        <f>_xlfn.IFNA(INDEX(saCAGR[CAGR],MATCH(Table1[[#This Row],[Employer]],saCAGR[EIW Name],0)),"")</f>
        <v>1.0039475842332735</v>
      </c>
      <c r="I436" s="50">
        <f>IFERROR(Table1[[#This Row],[SA CAGR]]*Table1[[#This Row],[Number of Summer 2016 2L SAs]],"")</f>
        <v>2.0078951684665469</v>
      </c>
      <c r="J436" s="50">
        <v>4</v>
      </c>
      <c r="K436" s="51">
        <f>IFERROR(Table1[[#This Row],[Number of Summer 2016 NYU 2L SAs]]/Table1[[#This Row],[Interview Slots]],0)</f>
        <v>2.8985507246376812E-2</v>
      </c>
      <c r="L436" s="51">
        <f>Table1[[#This Row],[Number of Summer 2016 2L SAs]]/Table1[[#This Row],[Interview Slots]]</f>
        <v>1.4492753623188406E-2</v>
      </c>
      <c r="M436" s="51">
        <f>IFERROR(Table1[[#This Row],[Number of Summer 2016 NYU 2L SAs]]/Table1[[#This Row],[Number of Summer 2016 2L SAs]],0)</f>
        <v>2</v>
      </c>
      <c r="N436" s="50" t="str">
        <f>IFERROR(RIGHT(Table1[[#This Row],[1st year]],LEN(Table1[[#This Row],[1st year]])-FIND(":",Table1[[#This Row],[1st year]])-1),"")</f>
        <v/>
      </c>
      <c r="O436" s="50" t="str">
        <f t="array" ref="O436">IFERROR(INDEX(Table2[Nth year],MATCH(1,(Table1[[#This Row],[Employer]]=Table2[EIW Name])*(Table1[[#This Row],[City, State]]=Table2[Offices Matched]),0)),"")</f>
        <v/>
      </c>
      <c r="P436" s="50" t="str">
        <f>IFERROR(RIGHT(Table1[[#This Row],[Nth year]],LEN(Table1[[#This Row],[Nth year]])-FIND(":",Table1[[#This Row],[Nth year]])-1),"")</f>
        <v/>
      </c>
      <c r="Q436" s="50" t="str">
        <f t="array" ref="Q436">IFERROR(INDEX(Table2[Am Law 200 PPP Rank ’16],MATCH(1,(Table1[[#This Row],[Employer]]=Table2[EIW Name])*(Table1[[#This Row],[City, State]]=Table2[Offices Matched]),0)),"")</f>
        <v/>
      </c>
      <c r="R436" s="50" t="str">
        <f>IFERROR(LEFT(Table1[[#This Row],[Am Law 200 PPP Rank ’16]],FIND(":",Table1[[#This Row],[Am Law 200 PPP Rank ’16]])-1),"")</f>
        <v/>
      </c>
      <c r="S436" s="50" t="str">
        <f>IFERROR(INDEX(VaultRank[Rank],MATCH(Table1[[#This Row],[Employer]],VaultRank[EIW Name],0)),"")</f>
        <v/>
      </c>
      <c r="T436" s="50" t="str">
        <f t="array" ref="T436">IFERROR(INDEX(Table2[Summers Matched],MATCH(1,(Table1[[#This Row],[Employer]]=Table2[EIW Name])*(Table1[[#This Row],[City, State]]=Table2[Offices Matched]),0)),"")</f>
        <v/>
      </c>
      <c r="U436" s="52" t="str">
        <f t="shared" si="6"/>
        <v/>
      </c>
      <c r="V436" s="60"/>
      <c r="W436" s="114">
        <v>42594</v>
      </c>
      <c r="X436"/>
    </row>
    <row r="437" spans="1:24" ht="14.1" customHeight="1">
      <c r="A437" s="45" t="s">
        <v>508</v>
      </c>
      <c r="B437" s="45" t="s">
        <v>299</v>
      </c>
      <c r="C437" s="45" t="s">
        <v>300</v>
      </c>
      <c r="D437" s="45" t="str">
        <f>Table1[[#This Row],[City]]&amp;", "&amp;Table1[[#This Row],[State]]</f>
        <v>Los Angeles, CA</v>
      </c>
      <c r="E437" s="49">
        <v>98</v>
      </c>
      <c r="F437" s="50">
        <v>3</v>
      </c>
      <c r="G437" s="50" t="str">
        <f t="array" ref="G437">IFERROR(INDEX(Table2[1st Year],MATCH(1,(Table1[[#This Row],[Employer]]=Table2[EIW Name])*(Table1[[#This Row],[City, State]]=Table2[Offices Matched]),0)),"")</f>
        <v>1st Year: $180K</v>
      </c>
      <c r="H437" s="50">
        <f>_xlfn.IFNA(INDEX(saCAGR[CAGR],MATCH(Table1[[#This Row],[Employer]],saCAGR[EIW Name],0)),"")</f>
        <v>1.0197506397513165</v>
      </c>
      <c r="I437" s="50">
        <f>IFERROR(Table1[[#This Row],[SA CAGR]]*Table1[[#This Row],[Number of Summer 2016 2L SAs]],"")</f>
        <v>3.0592519192539496</v>
      </c>
      <c r="J437" s="50">
        <v>2</v>
      </c>
      <c r="K437" s="51">
        <f>IFERROR(Table1[[#This Row],[Number of Summer 2016 NYU 2L SAs]]/Table1[[#This Row],[Interview Slots]],0)</f>
        <v>2.0408163265306121E-2</v>
      </c>
      <c r="L437" s="51">
        <f>Table1[[#This Row],[Number of Summer 2016 2L SAs]]/Table1[[#This Row],[Interview Slots]]</f>
        <v>3.0612244897959183E-2</v>
      </c>
      <c r="M437" s="51">
        <f>IFERROR(Table1[[#This Row],[Number of Summer 2016 NYU 2L SAs]]/Table1[[#This Row],[Number of Summer 2016 2L SAs]],0)</f>
        <v>0.66666666666666663</v>
      </c>
      <c r="N437" s="50" t="str">
        <f>IFERROR(RIGHT(Table1[[#This Row],[1st year]],LEN(Table1[[#This Row],[1st year]])-FIND(":",Table1[[#This Row],[1st year]])-1),"")</f>
        <v>$180K</v>
      </c>
      <c r="O437" s="50" t="str">
        <f t="array" ref="O437">IFERROR(INDEX(Table2[Nth year],MATCH(1,(Table1[[#This Row],[Employer]]=Table2[EIW Name])*(Table1[[#This Row],[City, State]]=Table2[Offices Matched]),0)),"")</f>
        <v>8th Year: $315K</v>
      </c>
      <c r="P437" s="50" t="str">
        <f>IFERROR(RIGHT(Table1[[#This Row],[Nth year]],LEN(Table1[[#This Row],[Nth year]])-FIND(":",Table1[[#This Row],[Nth year]])-1),"")</f>
        <v>$315K</v>
      </c>
      <c r="Q437" s="50" t="str">
        <f t="array" ref="Q437">IFERROR(INDEX(Table2[Am Law 200 PPP Rank ’16],MATCH(1,(Table1[[#This Row],[Employer]]=Table2[EIW Name])*(Table1[[#This Row],[City, State]]=Table2[Offices Matched]),0)),"")</f>
        <v>7: $3.47M</v>
      </c>
      <c r="R437" s="50" t="str">
        <f>IFERROR(LEFT(Table1[[#This Row],[Am Law 200 PPP Rank ’16]],FIND(":",Table1[[#This Row],[Am Law 200 PPP Rank ’16]])-1),"")</f>
        <v>7</v>
      </c>
      <c r="S437" s="50">
        <f>IFERROR(INDEX(VaultRank[Rank],MATCH(Table1[[#This Row],[Employer]],VaultRank[EIW Name],0)),"")</f>
        <v>6</v>
      </c>
      <c r="T437" s="50" t="str">
        <f t="array" ref="T437">IFERROR(INDEX(Table2[Summers Matched],MATCH(1,(Table1[[#This Row],[Employer]]=Table2[EIW Name])*(Table1[[#This Row],[City, State]]=Table2[Offices Matched]),0)),"")</f>
        <v>Yes</v>
      </c>
      <c r="U437" s="52">
        <f t="shared" si="6"/>
        <v>3.6</v>
      </c>
      <c r="V437" s="60"/>
      <c r="W437" s="114">
        <v>42594</v>
      </c>
      <c r="X437"/>
    </row>
    <row r="438" spans="1:24" ht="14.1" customHeight="1">
      <c r="A438" s="45" t="s">
        <v>508</v>
      </c>
      <c r="B438" s="45" t="s">
        <v>334</v>
      </c>
      <c r="C438" s="45" t="s">
        <v>300</v>
      </c>
      <c r="D438" s="45" t="str">
        <f>Table1[[#This Row],[City]]&amp;", "&amp;Table1[[#This Row],[State]]</f>
        <v>Palo Alto, CA</v>
      </c>
      <c r="E438" s="49">
        <v>83</v>
      </c>
      <c r="F438" s="50">
        <v>14</v>
      </c>
      <c r="G438" s="50" t="str">
        <f t="array" ref="G438">IFERROR(INDEX(Table2[1st Year],MATCH(1,(Table1[[#This Row],[Employer]]=Table2[EIW Name])*(Table1[[#This Row],[City, State]]=Table2[Offices Matched]),0)),"")</f>
        <v>1st Year: $180K</v>
      </c>
      <c r="H438" s="50">
        <f>_xlfn.IFNA(INDEX(saCAGR[CAGR],MATCH(Table1[[#This Row],[Employer]],saCAGR[EIW Name],0)),"")</f>
        <v>1.0197506397513165</v>
      </c>
      <c r="I438" s="50">
        <f>IFERROR(Table1[[#This Row],[SA CAGR]]*Table1[[#This Row],[Number of Summer 2016 2L SAs]],"")</f>
        <v>14.27650895651843</v>
      </c>
      <c r="J438" s="50">
        <v>9</v>
      </c>
      <c r="K438" s="51">
        <f>IFERROR(Table1[[#This Row],[Number of Summer 2016 NYU 2L SAs]]/Table1[[#This Row],[Interview Slots]],0)</f>
        <v>0.10843373493975904</v>
      </c>
      <c r="L438" s="51">
        <f>Table1[[#This Row],[Number of Summer 2016 2L SAs]]/Table1[[#This Row],[Interview Slots]]</f>
        <v>0.16867469879518071</v>
      </c>
      <c r="M438" s="51">
        <f>IFERROR(Table1[[#This Row],[Number of Summer 2016 NYU 2L SAs]]/Table1[[#This Row],[Number of Summer 2016 2L SAs]],0)</f>
        <v>0.6428571428571429</v>
      </c>
      <c r="N438" s="50" t="str">
        <f>IFERROR(RIGHT(Table1[[#This Row],[1st year]],LEN(Table1[[#This Row],[1st year]])-FIND(":",Table1[[#This Row],[1st year]])-1),"")</f>
        <v>$180K</v>
      </c>
      <c r="O438" s="50" t="str">
        <f t="array" ref="O438">IFERROR(INDEX(Table2[Nth year],MATCH(1,(Table1[[#This Row],[Employer]]=Table2[EIW Name])*(Table1[[#This Row],[City, State]]=Table2[Offices Matched]),0)),"")</f>
        <v>8th Year: $315K</v>
      </c>
      <c r="P438" s="50" t="str">
        <f>IFERROR(RIGHT(Table1[[#This Row],[Nth year]],LEN(Table1[[#This Row],[Nth year]])-FIND(":",Table1[[#This Row],[Nth year]])-1),"")</f>
        <v>$315K</v>
      </c>
      <c r="Q438" s="50" t="str">
        <f t="array" ref="Q438">IFERROR(INDEX(Table2[Am Law 200 PPP Rank ’16],MATCH(1,(Table1[[#This Row],[Employer]]=Table2[EIW Name])*(Table1[[#This Row],[City, State]]=Table2[Offices Matched]),0)),"")</f>
        <v>7: $3.47M</v>
      </c>
      <c r="R438" s="50" t="str">
        <f>IFERROR(LEFT(Table1[[#This Row],[Am Law 200 PPP Rank ’16]],FIND(":",Table1[[#This Row],[Am Law 200 PPP Rank ’16]])-1),"")</f>
        <v>7</v>
      </c>
      <c r="S438" s="50">
        <f>IFERROR(INDEX(VaultRank[Rank],MATCH(Table1[[#This Row],[Employer]],VaultRank[EIW Name],0)),"")</f>
        <v>6</v>
      </c>
      <c r="T438" s="50" t="str">
        <f t="array" ref="T438">IFERROR(INDEX(Table2[Summers Matched],MATCH(1,(Table1[[#This Row],[Employer]]=Table2[EIW Name])*(Table1[[#This Row],[City, State]]=Table2[Offices Matched]),0)),"")</f>
        <v>Yes</v>
      </c>
      <c r="U438" s="52" t="str">
        <f t="shared" si="6"/>
        <v/>
      </c>
      <c r="V438" s="60"/>
      <c r="W438" s="114">
        <v>42594</v>
      </c>
      <c r="X438"/>
    </row>
    <row r="439" spans="1:24" ht="14.1" customHeight="1">
      <c r="A439" s="45" t="s">
        <v>508</v>
      </c>
      <c r="B439" s="45" t="s">
        <v>301</v>
      </c>
      <c r="C439" s="45" t="s">
        <v>302</v>
      </c>
      <c r="D439" s="45" t="str">
        <f>Table1[[#This Row],[City]]&amp;", "&amp;Table1[[#This Row],[State]]</f>
        <v>Washington, DC</v>
      </c>
      <c r="E439" s="49">
        <v>186</v>
      </c>
      <c r="F439" s="50">
        <v>7</v>
      </c>
      <c r="G439" s="50" t="str">
        <f t="array" ref="G439">IFERROR(INDEX(Table2[1st Year],MATCH(1,(Table1[[#This Row],[Employer]]=Table2[EIW Name])*(Table1[[#This Row],[City, State]]=Table2[Offices Matched]),0)),"")</f>
        <v/>
      </c>
      <c r="H439" s="50">
        <f>_xlfn.IFNA(INDEX(saCAGR[CAGR],MATCH(Table1[[#This Row],[Employer]],saCAGR[EIW Name],0)),"")</f>
        <v>1.0197506397513165</v>
      </c>
      <c r="I439" s="50">
        <f>IFERROR(Table1[[#This Row],[SA CAGR]]*Table1[[#This Row],[Number of Summer 2016 2L SAs]],"")</f>
        <v>7.1382544782592152</v>
      </c>
      <c r="J439" s="50">
        <v>3</v>
      </c>
      <c r="K439" s="51">
        <f>IFERROR(Table1[[#This Row],[Number of Summer 2016 NYU 2L SAs]]/Table1[[#This Row],[Interview Slots]],0)</f>
        <v>1.6129032258064516E-2</v>
      </c>
      <c r="L439" s="51">
        <f>Table1[[#This Row],[Number of Summer 2016 2L SAs]]/Table1[[#This Row],[Interview Slots]]</f>
        <v>3.7634408602150539E-2</v>
      </c>
      <c r="M439" s="51">
        <f>IFERROR(Table1[[#This Row],[Number of Summer 2016 NYU 2L SAs]]/Table1[[#This Row],[Number of Summer 2016 2L SAs]],0)</f>
        <v>0.42857142857142855</v>
      </c>
      <c r="N439" s="50" t="str">
        <f>IFERROR(RIGHT(Table1[[#This Row],[1st year]],LEN(Table1[[#This Row],[1st year]])-FIND(":",Table1[[#This Row],[1st year]])-1),"")</f>
        <v/>
      </c>
      <c r="O439" s="50" t="str">
        <f t="array" ref="O439">IFERROR(INDEX(Table2[Nth year],MATCH(1,(Table1[[#This Row],[Employer]]=Table2[EIW Name])*(Table1[[#This Row],[City, State]]=Table2[Offices Matched]),0)),"")</f>
        <v/>
      </c>
      <c r="P439" s="50" t="str">
        <f>IFERROR(RIGHT(Table1[[#This Row],[Nth year]],LEN(Table1[[#This Row],[Nth year]])-FIND(":",Table1[[#This Row],[Nth year]])-1),"")</f>
        <v/>
      </c>
      <c r="Q439" s="50" t="str">
        <f t="array" ref="Q439">IFERROR(INDEX(Table2[Am Law 200 PPP Rank ’16],MATCH(1,(Table1[[#This Row],[Employer]]=Table2[EIW Name])*(Table1[[#This Row],[City, State]]=Table2[Offices Matched]),0)),"")</f>
        <v/>
      </c>
      <c r="R439" s="50" t="str">
        <f>IFERROR(LEFT(Table1[[#This Row],[Am Law 200 PPP Rank ’16]],FIND(":",Table1[[#This Row],[Am Law 200 PPP Rank ’16]])-1),"")</f>
        <v/>
      </c>
      <c r="S439" s="50">
        <f>IFERROR(INDEX(VaultRank[Rank],MATCH(Table1[[#This Row],[Employer]],VaultRank[EIW Name],0)),"")</f>
        <v>6</v>
      </c>
      <c r="T439" s="50" t="str">
        <f t="array" ref="T439">IFERROR(INDEX(Table2[Summers Matched],MATCH(1,(Table1[[#This Row],[Employer]]=Table2[EIW Name])*(Table1[[#This Row],[City, State]]=Table2[Offices Matched]),0)),"")</f>
        <v/>
      </c>
      <c r="U439" s="52" t="str">
        <f t="shared" si="6"/>
        <v/>
      </c>
      <c r="V439" s="60"/>
      <c r="W439" s="114">
        <v>42593</v>
      </c>
      <c r="X439"/>
    </row>
    <row r="440" spans="1:24" ht="14.1" customHeight="1">
      <c r="A440" s="45" t="s">
        <v>508</v>
      </c>
      <c r="B440" s="45" t="s">
        <v>331</v>
      </c>
      <c r="C440" s="45" t="s">
        <v>314</v>
      </c>
      <c r="D440" s="45" t="str">
        <f>Table1[[#This Row],[City]]&amp;", "&amp;Table1[[#This Row],[State]]</f>
        <v>Houston, TX</v>
      </c>
      <c r="E440" s="49">
        <v>116</v>
      </c>
      <c r="F440" s="50">
        <v>4</v>
      </c>
      <c r="G440" s="50" t="str">
        <f t="array" ref="G440">IFERROR(INDEX(Table2[1st Year],MATCH(1,(Table1[[#This Row],[Employer]]=Table2[EIW Name])*(Table1[[#This Row],[City, State]]=Table2[Offices Matched]),0)),"")</f>
        <v>1st Year: $180K</v>
      </c>
      <c r="H440" s="50">
        <f>_xlfn.IFNA(INDEX(saCAGR[CAGR],MATCH(Table1[[#This Row],[Employer]],saCAGR[EIW Name],0)),"")</f>
        <v>1.0197506397513165</v>
      </c>
      <c r="I440" s="50">
        <f>IFERROR(Table1[[#This Row],[SA CAGR]]*Table1[[#This Row],[Number of Summer 2016 2L SAs]],"")</f>
        <v>4.0790025590052661</v>
      </c>
      <c r="J440" s="50">
        <v>11</v>
      </c>
      <c r="K440" s="51">
        <f>IFERROR(Table1[[#This Row],[Number of Summer 2016 NYU 2L SAs]]/Table1[[#This Row],[Interview Slots]],0)</f>
        <v>9.4827586206896547E-2</v>
      </c>
      <c r="L440" s="51">
        <f>Table1[[#This Row],[Number of Summer 2016 2L SAs]]/Table1[[#This Row],[Interview Slots]]</f>
        <v>3.4482758620689655E-2</v>
      </c>
      <c r="M440" s="51">
        <f>IFERROR(Table1[[#This Row],[Number of Summer 2016 NYU 2L SAs]]/Table1[[#This Row],[Number of Summer 2016 2L SAs]],0)</f>
        <v>2.75</v>
      </c>
      <c r="N440" s="50" t="str">
        <f>IFERROR(RIGHT(Table1[[#This Row],[1st year]],LEN(Table1[[#This Row],[1st year]])-FIND(":",Table1[[#This Row],[1st year]])-1),"")</f>
        <v>$180K</v>
      </c>
      <c r="O440" s="50" t="str">
        <f t="array" ref="O440">IFERROR(INDEX(Table2[Nth year],MATCH(1,(Table1[[#This Row],[Employer]]=Table2[EIW Name])*(Table1[[#This Row],[City, State]]=Table2[Offices Matched]),0)),"")</f>
        <v>8th Year: $315K</v>
      </c>
      <c r="P440" s="50" t="str">
        <f>IFERROR(RIGHT(Table1[[#This Row],[Nth year]],LEN(Table1[[#This Row],[Nth year]])-FIND(":",Table1[[#This Row],[Nth year]])-1),"")</f>
        <v>$315K</v>
      </c>
      <c r="Q440" s="50" t="str">
        <f t="array" ref="Q440">IFERROR(INDEX(Table2[Am Law 200 PPP Rank ’16],MATCH(1,(Table1[[#This Row],[Employer]]=Table2[EIW Name])*(Table1[[#This Row],[City, State]]=Table2[Offices Matched]),0)),"")</f>
        <v>7: $3.47M</v>
      </c>
      <c r="R440" s="50" t="str">
        <f>IFERROR(LEFT(Table1[[#This Row],[Am Law 200 PPP Rank ’16]],FIND(":",Table1[[#This Row],[Am Law 200 PPP Rank ’16]])-1),"")</f>
        <v>7</v>
      </c>
      <c r="S440" s="50">
        <f>IFERROR(INDEX(VaultRank[Rank],MATCH(Table1[[#This Row],[Employer]],VaultRank[EIW Name],0)),"")</f>
        <v>6</v>
      </c>
      <c r="T440" s="50" t="str">
        <f t="array" ref="T440">IFERROR(INDEX(Table2[Summers Matched],MATCH(1,(Table1[[#This Row],[Employer]]=Table2[EIW Name])*(Table1[[#This Row],[City, State]]=Table2[Offices Matched]),0)),"")</f>
        <v>Yes</v>
      </c>
      <c r="U440" s="52" t="str">
        <f t="shared" si="6"/>
        <v/>
      </c>
      <c r="V440" s="60"/>
      <c r="W440" s="114">
        <v>42592</v>
      </c>
      <c r="X440"/>
    </row>
    <row r="441" spans="1:24" ht="14.1" customHeight="1">
      <c r="A441" s="61" t="s">
        <v>508</v>
      </c>
      <c r="B441" s="61" t="s">
        <v>306</v>
      </c>
      <c r="C441" s="42" t="s">
        <v>743</v>
      </c>
      <c r="D441" s="42" t="str">
        <f>Table1[[#This Row],[City]]&amp;", "&amp;Table1[[#This Row],[State]]</f>
        <v>London, UK-
International</v>
      </c>
      <c r="E441" s="60">
        <v>143</v>
      </c>
      <c r="F441" s="50">
        <v>3</v>
      </c>
      <c r="G441" s="50" t="str">
        <f t="array" ref="G441">IFERROR(INDEX(Table2[1st Year],MATCH(1,(Table1[[#This Row],[Employer]]=Table2[EIW Name])*(Table1[[#This Row],[City, State]]=Table2[Offices Matched]),0)),"")</f>
        <v/>
      </c>
      <c r="H441" s="50">
        <f>_xlfn.IFNA(INDEX(saCAGR[CAGR],MATCH(Table1[[#This Row],[Employer]],saCAGR[EIW Name],0)),"")</f>
        <v>1.0197506397513165</v>
      </c>
      <c r="I441" s="50">
        <f>IFERROR(Table1[[#This Row],[SA CAGR]]*Table1[[#This Row],[Number of Summer 2016 2L SAs]],"")</f>
        <v>3.0592519192539496</v>
      </c>
      <c r="J441" s="50">
        <v>1</v>
      </c>
      <c r="K441" s="51">
        <f>IFERROR(Table1[[#This Row],[Number of Summer 2016 NYU 2L SAs]]/Table1[[#This Row],[Interview Slots]],0)</f>
        <v>6.993006993006993E-3</v>
      </c>
      <c r="L441" s="51">
        <f>Table1[[#This Row],[Number of Summer 2016 2L SAs]]/Table1[[#This Row],[Interview Slots]]</f>
        <v>2.097902097902098E-2</v>
      </c>
      <c r="M441" s="51">
        <f>IFERROR(Table1[[#This Row],[Number of Summer 2016 NYU 2L SAs]]/Table1[[#This Row],[Number of Summer 2016 2L SAs]],0)</f>
        <v>0.33333333333333331</v>
      </c>
      <c r="N441" s="50" t="str">
        <f>IFERROR(RIGHT(Table1[[#This Row],[1st year]],LEN(Table1[[#This Row],[1st year]])-FIND(":",Table1[[#This Row],[1st year]])-1),"")</f>
        <v/>
      </c>
      <c r="O441" s="50" t="str">
        <f t="array" ref="O441">IFERROR(INDEX(Table2[Nth year],MATCH(1,(Table1[[#This Row],[Employer]]=Table2[EIW Name])*(Table1[[#This Row],[City, State]]=Table2[Offices Matched]),0)),"")</f>
        <v/>
      </c>
      <c r="P441" s="50" t="str">
        <f>IFERROR(RIGHT(Table1[[#This Row],[Nth year]],LEN(Table1[[#This Row],[Nth year]])-FIND(":",Table1[[#This Row],[Nth year]])-1),"")</f>
        <v/>
      </c>
      <c r="Q441" s="50" t="str">
        <f t="array" ref="Q441">IFERROR(INDEX(Table2[Am Law 200 PPP Rank ’16],MATCH(1,(Table1[[#This Row],[Employer]]=Table2[EIW Name])*(Table1[[#This Row],[City, State]]=Table2[Offices Matched]),0)),"")</f>
        <v/>
      </c>
      <c r="R441" s="50" t="str">
        <f>IFERROR(LEFT(Table1[[#This Row],[Am Law 200 PPP Rank ’16]],FIND(":",Table1[[#This Row],[Am Law 200 PPP Rank ’16]])-1),"")</f>
        <v/>
      </c>
      <c r="S441" s="50">
        <f>IFERROR(INDEX(VaultRank[Rank],MATCH(Table1[[#This Row],[Employer]],VaultRank[EIW Name],0)),"")</f>
        <v>6</v>
      </c>
      <c r="T441" s="50" t="str">
        <f t="array" ref="T441">IFERROR(INDEX(Table2[Summers Matched],MATCH(1,(Table1[[#This Row],[Employer]]=Table2[EIW Name])*(Table1[[#This Row],[City, State]]=Table2[Offices Matched]),0)),"")</f>
        <v/>
      </c>
      <c r="U441" s="52" t="str">
        <f t="shared" si="6"/>
        <v/>
      </c>
      <c r="V441" s="60"/>
      <c r="W441" s="114">
        <v>42594</v>
      </c>
      <c r="X441"/>
    </row>
    <row r="442" spans="1:24" ht="14.1" customHeight="1">
      <c r="A442" s="45" t="s">
        <v>508</v>
      </c>
      <c r="B442" s="45"/>
      <c r="C442" s="45"/>
      <c r="D442" s="46" t="s">
        <v>605</v>
      </c>
      <c r="E442" s="62">
        <v>122</v>
      </c>
      <c r="F442" s="50"/>
      <c r="G442" s="50" t="str">
        <f t="array" ref="G442">IFERROR(INDEX(Table2[1st Year],MATCH(1,(Table1[[#This Row],[Employer]]=Table2[EIW Name])*(Table1[[#This Row],[City, State]]=Table2[Offices Matched]),0)),"")</f>
        <v/>
      </c>
      <c r="H442" s="50">
        <f>_xlfn.IFNA(INDEX(saCAGR[CAGR],MATCH(Table1[[#This Row],[Employer]],saCAGR[EIW Name],0)),"")</f>
        <v>1.0197506397513165</v>
      </c>
      <c r="I442" s="50">
        <f>IFERROR(Table1[[#This Row],[SA CAGR]]*Table1[[#This Row],[Number of Summer 2016 2L SAs]],"")</f>
        <v>0</v>
      </c>
      <c r="J442" s="50">
        <v>8</v>
      </c>
      <c r="K442" s="51">
        <f>IFERROR(Table1[[#This Row],[Number of Summer 2016 NYU 2L SAs]]/Table1[[#This Row],[Interview Slots]],0)</f>
        <v>6.5573770491803282E-2</v>
      </c>
      <c r="L442" s="51">
        <f>Table1[[#This Row],[Number of Summer 2016 2L SAs]]/Table1[[#This Row],[Interview Slots]]</f>
        <v>0</v>
      </c>
      <c r="M442" s="51">
        <f>IFERROR(Table1[[#This Row],[Number of Summer 2016 NYU 2L SAs]]/Table1[[#This Row],[Number of Summer 2016 2L SAs]],0)</f>
        <v>0</v>
      </c>
      <c r="N442" s="50" t="str">
        <f>IFERROR(RIGHT(Table1[[#This Row],[1st year]],LEN(Table1[[#This Row],[1st year]])-FIND(":",Table1[[#This Row],[1st year]])-1),"")</f>
        <v/>
      </c>
      <c r="O442" s="50" t="str">
        <f t="array" ref="O442">IFERROR(INDEX(Table2[Nth year],MATCH(1,(Table1[[#This Row],[Employer]]=Table2[EIW Name])*(Table1[[#This Row],[City, State]]=Table2[Offices Matched]),0)),"")</f>
        <v/>
      </c>
      <c r="P442" s="50" t="str">
        <f>IFERROR(RIGHT(Table1[[#This Row],[Nth year]],LEN(Table1[[#This Row],[Nth year]])-FIND(":",Table1[[#This Row],[Nth year]])-1),"")</f>
        <v/>
      </c>
      <c r="Q442" s="50" t="str">
        <f t="array" ref="Q442">IFERROR(INDEX(Table2[Am Law 200 PPP Rank ’16],MATCH(1,(Table1[[#This Row],[Employer]]=Table2[EIW Name])*(Table1[[#This Row],[City, State]]=Table2[Offices Matched]),0)),"")</f>
        <v/>
      </c>
      <c r="R442" s="50" t="str">
        <f>IFERROR(LEFT(Table1[[#This Row],[Am Law 200 PPP Rank ’16]],FIND(":",Table1[[#This Row],[Am Law 200 PPP Rank ’16]])-1),"")</f>
        <v/>
      </c>
      <c r="S442" s="50">
        <f>IFERROR(INDEX(VaultRank[Rank],MATCH(Table1[[#This Row],[Employer]],VaultRank[EIW Name],0)),"")</f>
        <v>6</v>
      </c>
      <c r="T442" s="50" t="str">
        <f t="array" ref="T442">IFERROR(INDEX(Table2[Summers Matched],MATCH(1,(Table1[[#This Row],[Employer]]=Table2[EIW Name])*(Table1[[#This Row],[City, State]]=Table2[Offices Matched]),0)),"")</f>
        <v/>
      </c>
      <c r="U442" s="52" t="str">
        <f t="shared" si="6"/>
        <v/>
      </c>
      <c r="V442" s="60"/>
      <c r="W442" s="114">
        <v>42595</v>
      </c>
      <c r="X442"/>
    </row>
    <row r="443" spans="1:24" ht="14.1" customHeight="1">
      <c r="A443" s="45" t="s">
        <v>508</v>
      </c>
      <c r="B443" s="45"/>
      <c r="C443" s="45"/>
      <c r="D443" s="46" t="s">
        <v>606</v>
      </c>
      <c r="E443" s="62">
        <v>189</v>
      </c>
      <c r="F443" s="50"/>
      <c r="G443" s="50" t="str">
        <f t="array" ref="G443">IFERROR(INDEX(Table2[1st Year],MATCH(1,(Table1[[#This Row],[Employer]]=Table2[EIW Name])*(Table1[[#This Row],[City, State]]=Table2[Offices Matched]),0)),"")</f>
        <v/>
      </c>
      <c r="H443" s="50">
        <f>_xlfn.IFNA(INDEX(saCAGR[CAGR],MATCH(Table1[[#This Row],[Employer]],saCAGR[EIW Name],0)),"")</f>
        <v>1.0197506397513165</v>
      </c>
      <c r="I443" s="50">
        <f>IFERROR(Table1[[#This Row],[SA CAGR]]*Table1[[#This Row],[Number of Summer 2016 2L SAs]],"")</f>
        <v>0</v>
      </c>
      <c r="J443" s="50">
        <v>19</v>
      </c>
      <c r="K443" s="51">
        <f>IFERROR(Table1[[#This Row],[Number of Summer 2016 NYU 2L SAs]]/Table1[[#This Row],[Interview Slots]],0)</f>
        <v>0.10052910052910052</v>
      </c>
      <c r="L443" s="51">
        <f>Table1[[#This Row],[Number of Summer 2016 2L SAs]]/Table1[[#This Row],[Interview Slots]]</f>
        <v>0</v>
      </c>
      <c r="M443" s="51">
        <f>IFERROR(Table1[[#This Row],[Number of Summer 2016 NYU 2L SAs]]/Table1[[#This Row],[Number of Summer 2016 2L SAs]],0)</f>
        <v>0</v>
      </c>
      <c r="N443" s="50" t="str">
        <f>IFERROR(RIGHT(Table1[[#This Row],[1st year]],LEN(Table1[[#This Row],[1st year]])-FIND(":",Table1[[#This Row],[1st year]])-1),"")</f>
        <v/>
      </c>
      <c r="O443" s="50" t="str">
        <f t="array" ref="O443">IFERROR(INDEX(Table2[Nth year],MATCH(1,(Table1[[#This Row],[Employer]]=Table2[EIW Name])*(Table1[[#This Row],[City, State]]=Table2[Offices Matched]),0)),"")</f>
        <v/>
      </c>
      <c r="P443" s="50" t="str">
        <f>IFERROR(RIGHT(Table1[[#This Row],[Nth year]],LEN(Table1[[#This Row],[Nth year]])-FIND(":",Table1[[#This Row],[Nth year]])-1),"")</f>
        <v/>
      </c>
      <c r="Q443" s="50" t="str">
        <f t="array" ref="Q443">IFERROR(INDEX(Table2[Am Law 200 PPP Rank ’16],MATCH(1,(Table1[[#This Row],[Employer]]=Table2[EIW Name])*(Table1[[#This Row],[City, State]]=Table2[Offices Matched]),0)),"")</f>
        <v/>
      </c>
      <c r="R443" s="50" t="str">
        <f>IFERROR(LEFT(Table1[[#This Row],[Am Law 200 PPP Rank ’16]],FIND(":",Table1[[#This Row],[Am Law 200 PPP Rank ’16]])-1),"")</f>
        <v/>
      </c>
      <c r="S443" s="50">
        <f>IFERROR(INDEX(VaultRank[Rank],MATCH(Table1[[#This Row],[Employer]],VaultRank[EIW Name],0)),"")</f>
        <v>6</v>
      </c>
      <c r="T443" s="50" t="str">
        <f t="array" ref="T443">IFERROR(INDEX(Table2[Summers Matched],MATCH(1,(Table1[[#This Row],[Employer]]=Table2[EIW Name])*(Table1[[#This Row],[City, State]]=Table2[Offices Matched]),0)),"")</f>
        <v/>
      </c>
      <c r="U443" s="52" t="str">
        <f t="shared" si="6"/>
        <v/>
      </c>
      <c r="V443" s="60"/>
      <c r="W443" s="114">
        <v>42592</v>
      </c>
      <c r="X443"/>
    </row>
    <row r="444" spans="1:24" ht="14.1" customHeight="1">
      <c r="A444" s="45" t="s">
        <v>508</v>
      </c>
      <c r="B444" s="45"/>
      <c r="C444" s="45"/>
      <c r="D444" s="46" t="s">
        <v>607</v>
      </c>
      <c r="E444" s="62">
        <v>163</v>
      </c>
      <c r="F444" s="50"/>
      <c r="G444" s="50" t="str">
        <f t="array" ref="G444">IFERROR(INDEX(Table2[1st Year],MATCH(1,(Table1[[#This Row],[Employer]]=Table2[EIW Name])*(Table1[[#This Row],[City, State]]=Table2[Offices Matched]),0)),"")</f>
        <v/>
      </c>
      <c r="H444" s="50">
        <f>_xlfn.IFNA(INDEX(saCAGR[CAGR],MATCH(Table1[[#This Row],[Employer]],saCAGR[EIW Name],0)),"")</f>
        <v>1.0197506397513165</v>
      </c>
      <c r="I444" s="50">
        <f>IFERROR(Table1[[#This Row],[SA CAGR]]*Table1[[#This Row],[Number of Summer 2016 2L SAs]],"")</f>
        <v>0</v>
      </c>
      <c r="J444" s="50">
        <v>10</v>
      </c>
      <c r="K444" s="51">
        <f>IFERROR(Table1[[#This Row],[Number of Summer 2016 NYU 2L SAs]]/Table1[[#This Row],[Interview Slots]],0)</f>
        <v>6.1349693251533742E-2</v>
      </c>
      <c r="L444" s="51">
        <f>Table1[[#This Row],[Number of Summer 2016 2L SAs]]/Table1[[#This Row],[Interview Slots]]</f>
        <v>0</v>
      </c>
      <c r="M444" s="51">
        <f>IFERROR(Table1[[#This Row],[Number of Summer 2016 NYU 2L SAs]]/Table1[[#This Row],[Number of Summer 2016 2L SAs]],0)</f>
        <v>0</v>
      </c>
      <c r="N444" s="50" t="str">
        <f>IFERROR(RIGHT(Table1[[#This Row],[1st year]],LEN(Table1[[#This Row],[1st year]])-FIND(":",Table1[[#This Row],[1st year]])-1),"")</f>
        <v/>
      </c>
      <c r="O444" s="50" t="str">
        <f t="array" ref="O444">IFERROR(INDEX(Table2[Nth year],MATCH(1,(Table1[[#This Row],[Employer]]=Table2[EIW Name])*(Table1[[#This Row],[City, State]]=Table2[Offices Matched]),0)),"")</f>
        <v/>
      </c>
      <c r="P444" s="50" t="str">
        <f>IFERROR(RIGHT(Table1[[#This Row],[Nth year]],LEN(Table1[[#This Row],[Nth year]])-FIND(":",Table1[[#This Row],[Nth year]])-1),"")</f>
        <v/>
      </c>
      <c r="Q444" s="50" t="str">
        <f t="array" ref="Q444">IFERROR(INDEX(Table2[Am Law 200 PPP Rank ’16],MATCH(1,(Table1[[#This Row],[Employer]]=Table2[EIW Name])*(Table1[[#This Row],[City, State]]=Table2[Offices Matched]),0)),"")</f>
        <v/>
      </c>
      <c r="R444" s="50" t="str">
        <f>IFERROR(LEFT(Table1[[#This Row],[Am Law 200 PPP Rank ’16]],FIND(":",Table1[[#This Row],[Am Law 200 PPP Rank ’16]])-1),"")</f>
        <v/>
      </c>
      <c r="S444" s="50">
        <f>IFERROR(INDEX(VaultRank[Rank],MATCH(Table1[[#This Row],[Employer]],VaultRank[EIW Name],0)),"")</f>
        <v>6</v>
      </c>
      <c r="T444" s="50" t="str">
        <f t="array" ref="T444">IFERROR(INDEX(Table2[Summers Matched],MATCH(1,(Table1[[#This Row],[Employer]]=Table2[EIW Name])*(Table1[[#This Row],[City, State]]=Table2[Offices Matched]),0)),"")</f>
        <v/>
      </c>
      <c r="U444" s="52" t="str">
        <f t="shared" si="6"/>
        <v/>
      </c>
      <c r="V444" s="60"/>
      <c r="W444" s="114">
        <v>42593</v>
      </c>
      <c r="X444"/>
    </row>
    <row r="445" spans="1:24" ht="14.1" customHeight="1">
      <c r="A445" s="45" t="s">
        <v>305</v>
      </c>
      <c r="B445" s="45" t="s">
        <v>303</v>
      </c>
      <c r="C445" s="45" t="s">
        <v>304</v>
      </c>
      <c r="D445" s="45" t="str">
        <f>Table1[[#This Row],[City]]&amp;", "&amp;Table1[[#This Row],[State]]</f>
        <v>Chicago, IL</v>
      </c>
      <c r="E445" s="49">
        <v>170</v>
      </c>
      <c r="F445" s="50">
        <v>2</v>
      </c>
      <c r="G445" s="50" t="str">
        <f t="array" ref="G445">IFERROR(INDEX(Table2[1st Year],MATCH(1,(Table1[[#This Row],[Employer]]=Table2[EIW Name])*(Table1[[#This Row],[City, State]]=Table2[Offices Matched]),0)),"")</f>
        <v/>
      </c>
      <c r="H445" s="50">
        <f>_xlfn.IFNA(INDEX(saCAGR[CAGR],MATCH(Table1[[#This Row],[Employer]],saCAGR[EIW Name],0)),"")</f>
        <v>1.0039475842332735</v>
      </c>
      <c r="I445" s="50">
        <f>IFERROR(Table1[[#This Row],[SA CAGR]]*Table1[[#This Row],[Number of Summer 2016 2L SAs]],"")</f>
        <v>2.0078951684665469</v>
      </c>
      <c r="J445" s="50">
        <v>13</v>
      </c>
      <c r="K445" s="51">
        <f>IFERROR(Table1[[#This Row],[Number of Summer 2016 NYU 2L SAs]]/Table1[[#This Row],[Interview Slots]],0)</f>
        <v>7.6470588235294124E-2</v>
      </c>
      <c r="L445" s="51">
        <f>Table1[[#This Row],[Number of Summer 2016 2L SAs]]/Table1[[#This Row],[Interview Slots]]</f>
        <v>1.1764705882352941E-2</v>
      </c>
      <c r="M445" s="51">
        <f>IFERROR(Table1[[#This Row],[Number of Summer 2016 NYU 2L SAs]]/Table1[[#This Row],[Number of Summer 2016 2L SAs]],0)</f>
        <v>6.5</v>
      </c>
      <c r="N445" s="50" t="str">
        <f>IFERROR(RIGHT(Table1[[#This Row],[1st year]],LEN(Table1[[#This Row],[1st year]])-FIND(":",Table1[[#This Row],[1st year]])-1),"")</f>
        <v/>
      </c>
      <c r="O445" s="50" t="str">
        <f t="array" ref="O445">IFERROR(INDEX(Table2[Nth year],MATCH(1,(Table1[[#This Row],[Employer]]=Table2[EIW Name])*(Table1[[#This Row],[City, State]]=Table2[Offices Matched]),0)),"")</f>
        <v/>
      </c>
      <c r="P445" s="50" t="str">
        <f>IFERROR(RIGHT(Table1[[#This Row],[Nth year]],LEN(Table1[[#This Row],[Nth year]])-FIND(":",Table1[[#This Row],[Nth year]])-1),"")</f>
        <v/>
      </c>
      <c r="Q445" s="50" t="str">
        <f t="array" ref="Q445">IFERROR(INDEX(Table2[Am Law 200 PPP Rank ’16],MATCH(1,(Table1[[#This Row],[Employer]]=Table2[EIW Name])*(Table1[[#This Row],[City, State]]=Table2[Offices Matched]),0)),"")</f>
        <v/>
      </c>
      <c r="R445" s="50" t="str">
        <f>IFERROR(LEFT(Table1[[#This Row],[Am Law 200 PPP Rank ’16]],FIND(":",Table1[[#This Row],[Am Law 200 PPP Rank ’16]])-1),"")</f>
        <v/>
      </c>
      <c r="S445" s="50" t="str">
        <f>IFERROR(INDEX(VaultRank[Rank],MATCH(Table1[[#This Row],[Employer]],VaultRank[EIW Name],0)),"")</f>
        <v/>
      </c>
      <c r="T445" s="50" t="str">
        <f t="array" ref="T445">IFERROR(INDEX(Table2[Summers Matched],MATCH(1,(Table1[[#This Row],[Employer]]=Table2[EIW Name])*(Table1[[#This Row],[City, State]]=Table2[Offices Matched]),0)),"")</f>
        <v/>
      </c>
      <c r="U445" s="52" t="str">
        <f t="shared" si="6"/>
        <v/>
      </c>
      <c r="V445" s="60"/>
      <c r="W445" s="114">
        <v>42594</v>
      </c>
      <c r="X445"/>
    </row>
    <row r="446" spans="1:24" ht="14.1" customHeight="1">
      <c r="A446" s="45" t="s">
        <v>396</v>
      </c>
      <c r="B446" s="45" t="s">
        <v>364</v>
      </c>
      <c r="C446" s="45" t="s">
        <v>362</v>
      </c>
      <c r="D446" s="45" t="str">
        <f>Table1[[#This Row],[City]]&amp;", "&amp;Table1[[#This Row],[State]]</f>
        <v>New York, NY</v>
      </c>
      <c r="E446" s="49">
        <v>144</v>
      </c>
      <c r="F446" s="50">
        <v>3</v>
      </c>
      <c r="G446" s="50" t="str">
        <f t="array" ref="G446">IFERROR(INDEX(Table2[1st Year],MATCH(1,(Table1[[#This Row],[Employer]]=Table2[EIW Name])*(Table1[[#This Row],[City, State]]=Table2[Offices Matched]),0)),"")</f>
        <v/>
      </c>
      <c r="H446" s="50">
        <f>_xlfn.IFNA(INDEX(saCAGR[CAGR],MATCH(Table1[[#This Row],[Employer]],saCAGR[EIW Name],0)),"")</f>
        <v>1.0028071733353205</v>
      </c>
      <c r="I446" s="50">
        <f>IFERROR(Table1[[#This Row],[SA CAGR]]*Table1[[#This Row],[Number of Summer 2016 2L SAs]],"")</f>
        <v>3.0084215200059616</v>
      </c>
      <c r="J446" s="50">
        <v>24</v>
      </c>
      <c r="K446" s="51">
        <f>IFERROR(Table1[[#This Row],[Number of Summer 2016 NYU 2L SAs]]/Table1[[#This Row],[Interview Slots]],0)</f>
        <v>0.16666666666666666</v>
      </c>
      <c r="L446" s="51">
        <f>Table1[[#This Row],[Number of Summer 2016 2L SAs]]/Table1[[#This Row],[Interview Slots]]</f>
        <v>2.0833333333333332E-2</v>
      </c>
      <c r="M446" s="51">
        <f>IFERROR(Table1[[#This Row],[Number of Summer 2016 NYU 2L SAs]]/Table1[[#This Row],[Number of Summer 2016 2L SAs]],0)</f>
        <v>8</v>
      </c>
      <c r="N446" s="50" t="str">
        <f>IFERROR(RIGHT(Table1[[#This Row],[1st year]],LEN(Table1[[#This Row],[1st year]])-FIND(":",Table1[[#This Row],[1st year]])-1),"")</f>
        <v/>
      </c>
      <c r="O446" s="50" t="str">
        <f t="array" ref="O446">IFERROR(INDEX(Table2[Nth year],MATCH(1,(Table1[[#This Row],[Employer]]=Table2[EIW Name])*(Table1[[#This Row],[City, State]]=Table2[Offices Matched]),0)),"")</f>
        <v/>
      </c>
      <c r="P446" s="50" t="str">
        <f>IFERROR(RIGHT(Table1[[#This Row],[Nth year]],LEN(Table1[[#This Row],[Nth year]])-FIND(":",Table1[[#This Row],[Nth year]])-1),"")</f>
        <v/>
      </c>
      <c r="Q446" s="50" t="str">
        <f t="array" ref="Q446">IFERROR(INDEX(Table2[Am Law 200 PPP Rank ’16],MATCH(1,(Table1[[#This Row],[Employer]]=Table2[EIW Name])*(Table1[[#This Row],[City, State]]=Table2[Offices Matched]),0)),"")</f>
        <v/>
      </c>
      <c r="R446" s="50" t="str">
        <f>IFERROR(LEFT(Table1[[#This Row],[Am Law 200 PPP Rank ’16]],FIND(":",Table1[[#This Row],[Am Law 200 PPP Rank ’16]])-1),"")</f>
        <v/>
      </c>
      <c r="S446" s="50" t="str">
        <f>IFERROR(INDEX(VaultRank[Rank],MATCH(Table1[[#This Row],[Employer]],VaultRank[EIW Name],0)),"")</f>
        <v/>
      </c>
      <c r="T446" s="50" t="str">
        <f t="array" ref="T446">IFERROR(INDEX(Table2[Summers Matched],MATCH(1,(Table1[[#This Row],[Employer]]=Table2[EIW Name])*(Table1[[#This Row],[City, State]]=Table2[Offices Matched]),0)),"")</f>
        <v/>
      </c>
      <c r="U446" s="52" t="str">
        <f t="shared" si="6"/>
        <v/>
      </c>
      <c r="V446" s="60"/>
      <c r="W446" s="114">
        <v>42593</v>
      </c>
      <c r="X446"/>
    </row>
    <row r="447" spans="1:24" ht="14.1" customHeight="1">
      <c r="A447" s="45" t="s">
        <v>510</v>
      </c>
      <c r="B447" s="45" t="s">
        <v>299</v>
      </c>
      <c r="C447" s="45" t="s">
        <v>300</v>
      </c>
      <c r="D447" s="45" t="str">
        <f>Table1[[#This Row],[City]]&amp;", "&amp;Table1[[#This Row],[State]]</f>
        <v>Los Angeles, CA</v>
      </c>
      <c r="E447" s="49">
        <v>135</v>
      </c>
      <c r="F447" s="50">
        <v>20</v>
      </c>
      <c r="G447" s="50" t="str">
        <f t="array" ref="G447">IFERROR(INDEX(Table2[1st Year],MATCH(1,(Table1[[#This Row],[Employer]]=Table2[EIW Name])*(Table1[[#This Row],[City, State]]=Table2[Offices Matched]),0)),"")</f>
        <v/>
      </c>
      <c r="H447" s="50" t="str">
        <f>_xlfn.IFNA(INDEX(saCAGR[CAGR],MATCH(Table1[[#This Row],[Employer]],saCAGR[EIW Name],0)),"")</f>
        <v/>
      </c>
      <c r="I447" s="50" t="str">
        <f>IFERROR(Table1[[#This Row],[SA CAGR]]*Table1[[#This Row],[Number of Summer 2016 2L SAs]],"")</f>
        <v/>
      </c>
      <c r="J447" s="50">
        <v>7</v>
      </c>
      <c r="K447" s="51">
        <f>IFERROR(Table1[[#This Row],[Number of Summer 2016 NYU 2L SAs]]/Table1[[#This Row],[Interview Slots]],0)</f>
        <v>5.185185185185185E-2</v>
      </c>
      <c r="L447" s="51">
        <f>Table1[[#This Row],[Number of Summer 2016 2L SAs]]/Table1[[#This Row],[Interview Slots]]</f>
        <v>0.14814814814814814</v>
      </c>
      <c r="M447" s="51">
        <f>IFERROR(Table1[[#This Row],[Number of Summer 2016 NYU 2L SAs]]/Table1[[#This Row],[Number of Summer 2016 2L SAs]],0)</f>
        <v>0.35</v>
      </c>
      <c r="N447" s="50" t="str">
        <f>IFERROR(RIGHT(Table1[[#This Row],[1st year]],LEN(Table1[[#This Row],[1st year]])-FIND(":",Table1[[#This Row],[1st year]])-1),"")</f>
        <v/>
      </c>
      <c r="O447" s="50" t="str">
        <f t="array" ref="O447">IFERROR(INDEX(Table2[Nth year],MATCH(1,(Table1[[#This Row],[Employer]]=Table2[EIW Name])*(Table1[[#This Row],[City, State]]=Table2[Offices Matched]),0)),"")</f>
        <v/>
      </c>
      <c r="P447" s="50" t="str">
        <f>IFERROR(RIGHT(Table1[[#This Row],[Nth year]],LEN(Table1[[#This Row],[Nth year]])-FIND(":",Table1[[#This Row],[Nth year]])-1),"")</f>
        <v/>
      </c>
      <c r="Q447" s="50" t="str">
        <f t="array" ref="Q447">IFERROR(INDEX(Table2[Am Law 200 PPP Rank ’16],MATCH(1,(Table1[[#This Row],[Employer]]=Table2[EIW Name])*(Table1[[#This Row],[City, State]]=Table2[Offices Matched]),0)),"")</f>
        <v/>
      </c>
      <c r="R447" s="50" t="str">
        <f>IFERROR(LEFT(Table1[[#This Row],[Am Law 200 PPP Rank ’16]],FIND(":",Table1[[#This Row],[Am Law 200 PPP Rank ’16]])-1),"")</f>
        <v/>
      </c>
      <c r="S447" s="50" t="str">
        <f>IFERROR(INDEX(VaultRank[Rank],MATCH(Table1[[#This Row],[Employer]],VaultRank[EIW Name],0)),"")</f>
        <v/>
      </c>
      <c r="T447" s="50" t="str">
        <f t="array" ref="T447">IFERROR(INDEX(Table2[Summers Matched],MATCH(1,(Table1[[#This Row],[Employer]]=Table2[EIW Name])*(Table1[[#This Row],[City, State]]=Table2[Offices Matched]),0)),"")</f>
        <v/>
      </c>
      <c r="U447" s="52" t="str">
        <f t="shared" si="6"/>
        <v/>
      </c>
      <c r="V447" s="60"/>
      <c r="W447" s="114">
        <v>42594</v>
      </c>
      <c r="X447"/>
    </row>
    <row r="448" spans="1:24" ht="14.1" customHeight="1">
      <c r="A448" s="45" t="s">
        <v>510</v>
      </c>
      <c r="B448" s="45" t="s">
        <v>401</v>
      </c>
      <c r="C448" s="45" t="s">
        <v>402</v>
      </c>
      <c r="D448" s="45" t="str">
        <f>Table1[[#This Row],[City]]&amp;", "&amp;Table1[[#This Row],[State]]</f>
        <v>Wilmington, DE</v>
      </c>
      <c r="E448" s="49">
        <v>136</v>
      </c>
      <c r="F448" s="50">
        <v>12</v>
      </c>
      <c r="G448" s="50" t="str">
        <f t="array" ref="G448">IFERROR(INDEX(Table2[1st Year],MATCH(1,(Table1[[#This Row],[Employer]]=Table2[EIW Name])*(Table1[[#This Row],[City, State]]=Table2[Offices Matched]),0)),"")</f>
        <v/>
      </c>
      <c r="H448" s="50" t="str">
        <f>_xlfn.IFNA(INDEX(saCAGR[CAGR],MATCH(Table1[[#This Row],[Employer]],saCAGR[EIW Name],0)),"")</f>
        <v/>
      </c>
      <c r="I448" s="50" t="str">
        <f>IFERROR(Table1[[#This Row],[SA CAGR]]*Table1[[#This Row],[Number of Summer 2016 2L SAs]],"")</f>
        <v/>
      </c>
      <c r="J448" s="50">
        <v>6</v>
      </c>
      <c r="K448" s="51">
        <f>IFERROR(Table1[[#This Row],[Number of Summer 2016 NYU 2L SAs]]/Table1[[#This Row],[Interview Slots]],0)</f>
        <v>4.4117647058823532E-2</v>
      </c>
      <c r="L448" s="51">
        <f>Table1[[#This Row],[Number of Summer 2016 2L SAs]]/Table1[[#This Row],[Interview Slots]]</f>
        <v>8.8235294117647065E-2</v>
      </c>
      <c r="M448" s="51">
        <f>IFERROR(Table1[[#This Row],[Number of Summer 2016 NYU 2L SAs]]/Table1[[#This Row],[Number of Summer 2016 2L SAs]],0)</f>
        <v>0.5</v>
      </c>
      <c r="N448" s="50" t="str">
        <f>IFERROR(RIGHT(Table1[[#This Row],[1st year]],LEN(Table1[[#This Row],[1st year]])-FIND(":",Table1[[#This Row],[1st year]])-1),"")</f>
        <v/>
      </c>
      <c r="O448" s="50" t="str">
        <f t="array" ref="O448">IFERROR(INDEX(Table2[Nth year],MATCH(1,(Table1[[#This Row],[Employer]]=Table2[EIW Name])*(Table1[[#This Row],[City, State]]=Table2[Offices Matched]),0)),"")</f>
        <v/>
      </c>
      <c r="P448" s="50" t="str">
        <f>IFERROR(RIGHT(Table1[[#This Row],[Nth year]],LEN(Table1[[#This Row],[Nth year]])-FIND(":",Table1[[#This Row],[Nth year]])-1),"")</f>
        <v/>
      </c>
      <c r="Q448" s="50" t="str">
        <f t="array" ref="Q448">IFERROR(INDEX(Table2[Am Law 200 PPP Rank ’16],MATCH(1,(Table1[[#This Row],[Employer]]=Table2[EIW Name])*(Table1[[#This Row],[City, State]]=Table2[Offices Matched]),0)),"")</f>
        <v/>
      </c>
      <c r="R448" s="50" t="str">
        <f>IFERROR(LEFT(Table1[[#This Row],[Am Law 200 PPP Rank ’16]],FIND(":",Table1[[#This Row],[Am Law 200 PPP Rank ’16]])-1),"")</f>
        <v/>
      </c>
      <c r="S448" s="50" t="str">
        <f>IFERROR(INDEX(VaultRank[Rank],MATCH(Table1[[#This Row],[Employer]],VaultRank[EIW Name],0)),"")</f>
        <v/>
      </c>
      <c r="T448" s="50" t="str">
        <f t="array" ref="T448">IFERROR(INDEX(Table2[Summers Matched],MATCH(1,(Table1[[#This Row],[Employer]]=Table2[EIW Name])*(Table1[[#This Row],[City, State]]=Table2[Offices Matched]),0)),"")</f>
        <v/>
      </c>
      <c r="U448" s="52">
        <f t="shared" si="6"/>
        <v>3.4</v>
      </c>
      <c r="V448" s="60"/>
      <c r="W448" s="114">
        <v>42595</v>
      </c>
      <c r="X448"/>
    </row>
    <row r="449" spans="1:24" ht="14.1" customHeight="1">
      <c r="A449" s="61" t="s">
        <v>510</v>
      </c>
      <c r="B449" s="61" t="s">
        <v>451</v>
      </c>
      <c r="C449" s="45" t="s">
        <v>452</v>
      </c>
      <c r="D449" s="45" t="str">
        <f>Table1[[#This Row],[City]]&amp;", "&amp;Table1[[#This Row],[State]]</f>
        <v>Hong Kong, Japan- International</v>
      </c>
      <c r="E449" s="49">
        <v>45</v>
      </c>
      <c r="F449" s="50">
        <v>3</v>
      </c>
      <c r="G449" s="50" t="str">
        <f t="array" ref="G449">IFERROR(INDEX(Table2[1st Year],MATCH(1,(Table1[[#This Row],[Employer]]=Table2[EIW Name])*(Table1[[#This Row],[City, State]]=Table2[Offices Matched]),0)),"")</f>
        <v/>
      </c>
      <c r="H449" s="50" t="str">
        <f>_xlfn.IFNA(INDEX(saCAGR[CAGR],MATCH(Table1[[#This Row],[Employer]],saCAGR[EIW Name],0)),"")</f>
        <v/>
      </c>
      <c r="I449" s="50" t="str">
        <f>IFERROR(Table1[[#This Row],[SA CAGR]]*Table1[[#This Row],[Number of Summer 2016 2L SAs]],"")</f>
        <v/>
      </c>
      <c r="J449" s="50">
        <v>2</v>
      </c>
      <c r="K449" s="51">
        <f>IFERROR(Table1[[#This Row],[Number of Summer 2016 NYU 2L SAs]]/Table1[[#This Row],[Interview Slots]],0)</f>
        <v>4.4444444444444446E-2</v>
      </c>
      <c r="L449" s="51">
        <f>Table1[[#This Row],[Number of Summer 2016 2L SAs]]/Table1[[#This Row],[Interview Slots]]</f>
        <v>6.6666666666666666E-2</v>
      </c>
      <c r="M449" s="51">
        <f>IFERROR(Table1[[#This Row],[Number of Summer 2016 NYU 2L SAs]]/Table1[[#This Row],[Number of Summer 2016 2L SAs]],0)</f>
        <v>0.66666666666666663</v>
      </c>
      <c r="N449" s="50" t="str">
        <f>IFERROR(RIGHT(Table1[[#This Row],[1st year]],LEN(Table1[[#This Row],[1st year]])-FIND(":",Table1[[#This Row],[1st year]])-1),"")</f>
        <v/>
      </c>
      <c r="O449" s="50" t="str">
        <f t="array" ref="O449">IFERROR(INDEX(Table2[Nth year],MATCH(1,(Table1[[#This Row],[Employer]]=Table2[EIW Name])*(Table1[[#This Row],[City, State]]=Table2[Offices Matched]),0)),"")</f>
        <v/>
      </c>
      <c r="P449" s="50" t="str">
        <f>IFERROR(RIGHT(Table1[[#This Row],[Nth year]],LEN(Table1[[#This Row],[Nth year]])-FIND(":",Table1[[#This Row],[Nth year]])-1),"")</f>
        <v/>
      </c>
      <c r="Q449" s="50" t="str">
        <f t="array" ref="Q449">IFERROR(INDEX(Table2[Am Law 200 PPP Rank ’16],MATCH(1,(Table1[[#This Row],[Employer]]=Table2[EIW Name])*(Table1[[#This Row],[City, State]]=Table2[Offices Matched]),0)),"")</f>
        <v/>
      </c>
      <c r="R449" s="50" t="str">
        <f>IFERROR(LEFT(Table1[[#This Row],[Am Law 200 PPP Rank ’16]],FIND(":",Table1[[#This Row],[Am Law 200 PPP Rank ’16]])-1),"")</f>
        <v/>
      </c>
      <c r="S449" s="50" t="str">
        <f>IFERROR(INDEX(VaultRank[Rank],MATCH(Table1[[#This Row],[Employer]],VaultRank[EIW Name],0)),"")</f>
        <v/>
      </c>
      <c r="T449" s="50" t="str">
        <f t="array" ref="T449">IFERROR(INDEX(Table2[Summers Matched],MATCH(1,(Table1[[#This Row],[Employer]]=Table2[EIW Name])*(Table1[[#This Row],[City, State]]=Table2[Offices Matched]),0)),"")</f>
        <v/>
      </c>
      <c r="U449" s="52" t="str">
        <f t="shared" si="6"/>
        <v/>
      </c>
      <c r="V449" s="60"/>
      <c r="W449" s="114">
        <v>42594</v>
      </c>
      <c r="X449"/>
    </row>
    <row r="450" spans="1:24" ht="14.1" customHeight="1">
      <c r="A450" s="45" t="s">
        <v>510</v>
      </c>
      <c r="B450" s="45" t="s">
        <v>367</v>
      </c>
      <c r="C450" s="45" t="s">
        <v>368</v>
      </c>
      <c r="D450" s="45" t="str">
        <f>Table1[[#This Row],[City]]&amp;", "&amp;Table1[[#This Row],[State]]</f>
        <v>Boston, MA</v>
      </c>
      <c r="E450" s="49">
        <v>190</v>
      </c>
      <c r="F450" s="50">
        <v>7</v>
      </c>
      <c r="G450" s="50" t="str">
        <f t="array" ref="G450">IFERROR(INDEX(Table2[1st Year],MATCH(1,(Table1[[#This Row],[Employer]]=Table2[EIW Name])*(Table1[[#This Row],[City, State]]=Table2[Offices Matched]),0)),"")</f>
        <v/>
      </c>
      <c r="H450" s="50" t="str">
        <f>_xlfn.IFNA(INDEX(saCAGR[CAGR],MATCH(Table1[[#This Row],[Employer]],saCAGR[EIW Name],0)),"")</f>
        <v/>
      </c>
      <c r="I450" s="50" t="str">
        <f>IFERROR(Table1[[#This Row],[SA CAGR]]*Table1[[#This Row],[Number of Summer 2016 2L SAs]],"")</f>
        <v/>
      </c>
      <c r="J450" s="50">
        <v>24</v>
      </c>
      <c r="K450" s="51">
        <f>IFERROR(Table1[[#This Row],[Number of Summer 2016 NYU 2L SAs]]/Table1[[#This Row],[Interview Slots]],0)</f>
        <v>0.12631578947368421</v>
      </c>
      <c r="L450" s="51">
        <f>Table1[[#This Row],[Number of Summer 2016 2L SAs]]/Table1[[#This Row],[Interview Slots]]</f>
        <v>3.6842105263157891E-2</v>
      </c>
      <c r="M450" s="51">
        <f>IFERROR(Table1[[#This Row],[Number of Summer 2016 NYU 2L SAs]]/Table1[[#This Row],[Number of Summer 2016 2L SAs]],0)</f>
        <v>3.4285714285714284</v>
      </c>
      <c r="N450" s="50" t="str">
        <f>IFERROR(RIGHT(Table1[[#This Row],[1st year]],LEN(Table1[[#This Row],[1st year]])-FIND(":",Table1[[#This Row],[1st year]])-1),"")</f>
        <v/>
      </c>
      <c r="O450" s="50" t="str">
        <f t="array" ref="O450">IFERROR(INDEX(Table2[Nth year],MATCH(1,(Table1[[#This Row],[Employer]]=Table2[EIW Name])*(Table1[[#This Row],[City, State]]=Table2[Offices Matched]),0)),"")</f>
        <v/>
      </c>
      <c r="P450" s="50" t="str">
        <f>IFERROR(RIGHT(Table1[[#This Row],[Nth year]],LEN(Table1[[#This Row],[Nth year]])-FIND(":",Table1[[#This Row],[Nth year]])-1),"")</f>
        <v/>
      </c>
      <c r="Q450" s="50" t="str">
        <f t="array" ref="Q450">IFERROR(INDEX(Table2[Am Law 200 PPP Rank ’16],MATCH(1,(Table1[[#This Row],[Employer]]=Table2[EIW Name])*(Table1[[#This Row],[City, State]]=Table2[Offices Matched]),0)),"")</f>
        <v/>
      </c>
      <c r="R450" s="50" t="str">
        <f>IFERROR(LEFT(Table1[[#This Row],[Am Law 200 PPP Rank ’16]],FIND(":",Table1[[#This Row],[Am Law 200 PPP Rank ’16]])-1),"")</f>
        <v/>
      </c>
      <c r="S450" s="50" t="str">
        <f>IFERROR(INDEX(VaultRank[Rank],MATCH(Table1[[#This Row],[Employer]],VaultRank[EIW Name],0)),"")</f>
        <v/>
      </c>
      <c r="T450" s="50" t="str">
        <f t="array" ref="T450">IFERROR(INDEX(Table2[Summers Matched],MATCH(1,(Table1[[#This Row],[Employer]]=Table2[EIW Name])*(Table1[[#This Row],[City, State]]=Table2[Offices Matched]),0)),"")</f>
        <v/>
      </c>
      <c r="U450" s="52" t="str">
        <f t="shared" ref="U450:U511" si="7">IF(MOD(ROW(),23)=0,3.6,IF(MOD(ROW(),16)=0,3.4,""))</f>
        <v/>
      </c>
      <c r="V450" s="60"/>
      <c r="W450" s="114">
        <v>42592</v>
      </c>
      <c r="X450"/>
    </row>
    <row r="451" spans="1:24" ht="14.1" customHeight="1">
      <c r="A451" s="61" t="s">
        <v>510</v>
      </c>
      <c r="B451" s="61" t="s">
        <v>306</v>
      </c>
      <c r="C451" s="42" t="s">
        <v>743</v>
      </c>
      <c r="D451" s="42" t="str">
        <f>Table1[[#This Row],[City]]&amp;", "&amp;Table1[[#This Row],[State]]</f>
        <v>London, UK-
International</v>
      </c>
      <c r="E451" s="60">
        <v>91</v>
      </c>
      <c r="F451" s="50">
        <v>6</v>
      </c>
      <c r="G451" s="50" t="str">
        <f t="array" ref="G451">IFERROR(INDEX(Table2[1st Year],MATCH(1,(Table1[[#This Row],[Employer]]=Table2[EIW Name])*(Table1[[#This Row],[City, State]]=Table2[Offices Matched]),0)),"")</f>
        <v/>
      </c>
      <c r="H451" s="50" t="str">
        <f>_xlfn.IFNA(INDEX(saCAGR[CAGR],MATCH(Table1[[#This Row],[Employer]],saCAGR[EIW Name],0)),"")</f>
        <v/>
      </c>
      <c r="I451" s="50" t="str">
        <f>IFERROR(Table1[[#This Row],[SA CAGR]]*Table1[[#This Row],[Number of Summer 2016 2L SAs]],"")</f>
        <v/>
      </c>
      <c r="J451" s="50">
        <v>11</v>
      </c>
      <c r="K451" s="51">
        <f>IFERROR(Table1[[#This Row],[Number of Summer 2016 NYU 2L SAs]]/Table1[[#This Row],[Interview Slots]],0)</f>
        <v>0.12087912087912088</v>
      </c>
      <c r="L451" s="51">
        <f>Table1[[#This Row],[Number of Summer 2016 2L SAs]]/Table1[[#This Row],[Interview Slots]]</f>
        <v>6.5934065934065936E-2</v>
      </c>
      <c r="M451" s="51">
        <f>IFERROR(Table1[[#This Row],[Number of Summer 2016 NYU 2L SAs]]/Table1[[#This Row],[Number of Summer 2016 2L SAs]],0)</f>
        <v>1.8333333333333333</v>
      </c>
      <c r="N451" s="50" t="str">
        <f>IFERROR(RIGHT(Table1[[#This Row],[1st year]],LEN(Table1[[#This Row],[1st year]])-FIND(":",Table1[[#This Row],[1st year]])-1),"")</f>
        <v/>
      </c>
      <c r="O451" s="50" t="str">
        <f t="array" ref="O451">IFERROR(INDEX(Table2[Nth year],MATCH(1,(Table1[[#This Row],[Employer]]=Table2[EIW Name])*(Table1[[#This Row],[City, State]]=Table2[Offices Matched]),0)),"")</f>
        <v/>
      </c>
      <c r="P451" s="50" t="str">
        <f>IFERROR(RIGHT(Table1[[#This Row],[Nth year]],LEN(Table1[[#This Row],[Nth year]])-FIND(":",Table1[[#This Row],[Nth year]])-1),"")</f>
        <v/>
      </c>
      <c r="Q451" s="50" t="str">
        <f t="array" ref="Q451">IFERROR(INDEX(Table2[Am Law 200 PPP Rank ’16],MATCH(1,(Table1[[#This Row],[Employer]]=Table2[EIW Name])*(Table1[[#This Row],[City, State]]=Table2[Offices Matched]),0)),"")</f>
        <v/>
      </c>
      <c r="R451" s="50" t="str">
        <f>IFERROR(LEFT(Table1[[#This Row],[Am Law 200 PPP Rank ’16]],FIND(":",Table1[[#This Row],[Am Law 200 PPP Rank ’16]])-1),"")</f>
        <v/>
      </c>
      <c r="S451" s="50" t="str">
        <f>IFERROR(INDEX(VaultRank[Rank],MATCH(Table1[[#This Row],[Employer]],VaultRank[EIW Name],0)),"")</f>
        <v/>
      </c>
      <c r="T451" s="50" t="str">
        <f t="array" ref="T451">IFERROR(INDEX(Table2[Summers Matched],MATCH(1,(Table1[[#This Row],[Employer]]=Table2[EIW Name])*(Table1[[#This Row],[City, State]]=Table2[Offices Matched]),0)),"")</f>
        <v/>
      </c>
      <c r="U451" s="52" t="str">
        <f t="shared" si="7"/>
        <v/>
      </c>
      <c r="V451" s="60"/>
      <c r="W451" s="114">
        <v>42593</v>
      </c>
      <c r="X451"/>
    </row>
    <row r="452" spans="1:24" ht="14.1" customHeight="1">
      <c r="A452" s="45" t="s">
        <v>511</v>
      </c>
      <c r="B452" s="45" t="s">
        <v>334</v>
      </c>
      <c r="C452" s="45" t="s">
        <v>300</v>
      </c>
      <c r="D452" s="45" t="str">
        <f>Table1[[#This Row],[City]]&amp;", "&amp;Table1[[#This Row],[State]]</f>
        <v>Palo Alto, CA</v>
      </c>
      <c r="E452" s="49">
        <v>127</v>
      </c>
      <c r="F452" s="50">
        <v>9</v>
      </c>
      <c r="G452" s="50" t="str">
        <f t="array" ref="G452">IFERROR(INDEX(Table2[1st Year],MATCH(1,(Table1[[#This Row],[Employer]]=Table2[EIW Name])*(Table1[[#This Row],[City, State]]=Table2[Offices Matched]),0)),"")</f>
        <v>1st Year: $180K</v>
      </c>
      <c r="H452" s="50">
        <f>_xlfn.IFNA(INDEX(saCAGR[CAGR],MATCH(Table1[[#This Row],[Employer]],saCAGR[EIW Name],0)),"")</f>
        <v>1.0298448504193451</v>
      </c>
      <c r="I452" s="50">
        <f>IFERROR(Table1[[#This Row],[SA CAGR]]*Table1[[#This Row],[Number of Summer 2016 2L SAs]],"")</f>
        <v>9.2686036537741057</v>
      </c>
      <c r="J452" s="50">
        <v>12</v>
      </c>
      <c r="K452" s="51">
        <f>IFERROR(Table1[[#This Row],[Number of Summer 2016 NYU 2L SAs]]/Table1[[#This Row],[Interview Slots]],0)</f>
        <v>9.4488188976377951E-2</v>
      </c>
      <c r="L452" s="51">
        <f>Table1[[#This Row],[Number of Summer 2016 2L SAs]]/Table1[[#This Row],[Interview Slots]]</f>
        <v>7.0866141732283464E-2</v>
      </c>
      <c r="M452" s="51">
        <f>IFERROR(Table1[[#This Row],[Number of Summer 2016 NYU 2L SAs]]/Table1[[#This Row],[Number of Summer 2016 2L SAs]],0)</f>
        <v>1.3333333333333333</v>
      </c>
      <c r="N452" s="50" t="str">
        <f>IFERROR(RIGHT(Table1[[#This Row],[1st year]],LEN(Table1[[#This Row],[1st year]])-FIND(":",Table1[[#This Row],[1st year]])-1),"")</f>
        <v>$180K</v>
      </c>
      <c r="O452" s="50" t="str">
        <f t="array" ref="O452">IFERROR(INDEX(Table2[Nth year],MATCH(1,(Table1[[#This Row],[Employer]]=Table2[EIW Name])*(Table1[[#This Row],[City, State]]=Table2[Offices Matched]),0)),"")</f>
        <v>8th Year: $315K</v>
      </c>
      <c r="P452" s="50" t="str">
        <f>IFERROR(RIGHT(Table1[[#This Row],[Nth year]],LEN(Table1[[#This Row],[Nth year]])-FIND(":",Table1[[#This Row],[Nth year]])-1),"")</f>
        <v>$315K</v>
      </c>
      <c r="Q452" s="50" t="str">
        <f t="array" ref="Q452">IFERROR(INDEX(Table2[Am Law 200 PPP Rank ’16],MATCH(1,(Table1[[#This Row],[Employer]]=Table2[EIW Name])*(Table1[[#This Row],[City, State]]=Table2[Offices Matched]),0)),"")</f>
        <v>12: $3.13M</v>
      </c>
      <c r="R452" s="50" t="str">
        <f>IFERROR(LEFT(Table1[[#This Row],[Am Law 200 PPP Rank ’16]],FIND(":",Table1[[#This Row],[Am Law 200 PPP Rank ’16]])-1),"")</f>
        <v>12</v>
      </c>
      <c r="S452" s="50">
        <f>IFERROR(INDEX(VaultRank[Rank],MATCH(Table1[[#This Row],[Employer]],VaultRank[EIW Name],0)),"")</f>
        <v>3</v>
      </c>
      <c r="T452" s="50" t="str">
        <f t="array" ref="T452">IFERROR(INDEX(Table2[Summers Matched],MATCH(1,(Table1[[#This Row],[Employer]]=Table2[EIW Name])*(Table1[[#This Row],[City, State]]=Table2[Offices Matched]),0)),"")</f>
        <v>Yes</v>
      </c>
      <c r="U452" s="52" t="str">
        <f t="shared" si="7"/>
        <v/>
      </c>
      <c r="V452" s="60"/>
      <c r="W452" s="114">
        <v>42592</v>
      </c>
      <c r="X452"/>
    </row>
    <row r="453" spans="1:24" ht="14.1" customHeight="1">
      <c r="A453" s="45" t="s">
        <v>512</v>
      </c>
      <c r="B453" s="61" t="s">
        <v>337</v>
      </c>
      <c r="C453" s="61" t="s">
        <v>324</v>
      </c>
      <c r="D453" s="61" t="str">
        <f>Table1[[#This Row],[City]]&amp;", "&amp;Table1[[#This Row],[State]]</f>
        <v>Miami, FL</v>
      </c>
      <c r="E453" s="63">
        <v>148</v>
      </c>
      <c r="F453" s="67">
        <v>1</v>
      </c>
      <c r="G453" s="67" t="str">
        <f t="array" ref="G453">IFERROR(INDEX(Table2[1st Year],MATCH(1,(Table1[[#This Row],[Employer]]=Table2[EIW Name])*(Table1[[#This Row],[City, State]]=Table2[Offices Matched]),0)),"")</f>
        <v/>
      </c>
      <c r="H453" s="67" t="str">
        <f>_xlfn.IFNA(INDEX(saCAGR[CAGR],MATCH(Table1[[#This Row],[Employer]],saCAGR[EIW Name],0)),"")</f>
        <v/>
      </c>
      <c r="I453" s="67" t="str">
        <f>IFERROR(Table1[[#This Row],[SA CAGR]]*Table1[[#This Row],[Number of Summer 2016 2L SAs]],"")</f>
        <v/>
      </c>
      <c r="J453" s="67">
        <v>18</v>
      </c>
      <c r="K453" s="68">
        <f>IFERROR(Table1[[#This Row],[Number of Summer 2016 NYU 2L SAs]]/Table1[[#This Row],[Interview Slots]],0)</f>
        <v>0.12162162162162163</v>
      </c>
      <c r="L453" s="68">
        <f>Table1[[#This Row],[Number of Summer 2016 2L SAs]]/Table1[[#This Row],[Interview Slots]]</f>
        <v>6.7567567567567571E-3</v>
      </c>
      <c r="M453" s="68">
        <f>IFERROR(Table1[[#This Row],[Number of Summer 2016 NYU 2L SAs]]/Table1[[#This Row],[Number of Summer 2016 2L SAs]],0)</f>
        <v>18</v>
      </c>
      <c r="N453" s="67" t="str">
        <f>IFERROR(RIGHT(Table1[[#This Row],[1st year]],LEN(Table1[[#This Row],[1st year]])-FIND(":",Table1[[#This Row],[1st year]])-1),"")</f>
        <v/>
      </c>
      <c r="O453" s="67" t="str">
        <f t="array" ref="O453">IFERROR(INDEX(Table2[Nth year],MATCH(1,(Table1[[#This Row],[Employer]]=Table2[EIW Name])*(Table1[[#This Row],[City, State]]=Table2[Offices Matched]),0)),"")</f>
        <v/>
      </c>
      <c r="P453" s="67" t="str">
        <f>IFERROR(RIGHT(Table1[[#This Row],[Nth year]],LEN(Table1[[#This Row],[Nth year]])-FIND(":",Table1[[#This Row],[Nth year]])-1),"")</f>
        <v/>
      </c>
      <c r="Q453" s="67" t="str">
        <f t="array" ref="Q453">IFERROR(INDEX(Table2[Am Law 200 PPP Rank ’16],MATCH(1,(Table1[[#This Row],[Employer]]=Table2[EIW Name])*(Table1[[#This Row],[City, State]]=Table2[Offices Matched]),0)),"")</f>
        <v/>
      </c>
      <c r="R453" s="67" t="str">
        <f>IFERROR(LEFT(Table1[[#This Row],[Am Law 200 PPP Rank ’16]],FIND(":",Table1[[#This Row],[Am Law 200 PPP Rank ’16]])-1),"")</f>
        <v/>
      </c>
      <c r="S453" s="67" t="str">
        <f>IFERROR(INDEX(VaultRank[Rank],MATCH(Table1[[#This Row],[Employer]],VaultRank[EIW Name],0)),"")</f>
        <v/>
      </c>
      <c r="T453" s="67" t="str">
        <f t="array" ref="T453">IFERROR(INDEX(Table2[Summers Matched],MATCH(1,(Table1[[#This Row],[Employer]]=Table2[EIW Name])*(Table1[[#This Row],[City, State]]=Table2[Offices Matched]),0)),"")</f>
        <v/>
      </c>
      <c r="U453" s="69" t="str">
        <f t="shared" si="7"/>
        <v/>
      </c>
      <c r="V453" s="60"/>
      <c r="W453" s="114">
        <v>42595</v>
      </c>
      <c r="X453"/>
    </row>
    <row r="454" spans="1:24" ht="14.1" customHeight="1">
      <c r="A454" s="45" t="s">
        <v>513</v>
      </c>
      <c r="B454" s="45" t="s">
        <v>301</v>
      </c>
      <c r="C454" s="45" t="s">
        <v>302</v>
      </c>
      <c r="D454" s="45" t="str">
        <f>Table1[[#This Row],[City]]&amp;", "&amp;Table1[[#This Row],[State]]</f>
        <v>Washington, DC</v>
      </c>
      <c r="E454" s="49">
        <v>123</v>
      </c>
      <c r="F454" s="50">
        <v>16</v>
      </c>
      <c r="G454" s="50" t="str">
        <f t="array" ref="G454">IFERROR(INDEX(Table2[1st Year],MATCH(1,(Table1[[#This Row],[Employer]]=Table2[EIW Name])*(Table1[[#This Row],[City, State]]=Table2[Offices Matched]),0)),"")</f>
        <v/>
      </c>
      <c r="H454" s="50" t="str">
        <f>_xlfn.IFNA(INDEX(saCAGR[CAGR],MATCH(Table1[[#This Row],[Employer]],saCAGR[EIW Name],0)),"")</f>
        <v/>
      </c>
      <c r="I454" s="50" t="str">
        <f>IFERROR(Table1[[#This Row],[SA CAGR]]*Table1[[#This Row],[Number of Summer 2016 2L SAs]],"")</f>
        <v/>
      </c>
      <c r="J454" s="50">
        <v>7</v>
      </c>
      <c r="K454" s="51">
        <f>IFERROR(Table1[[#This Row],[Number of Summer 2016 NYU 2L SAs]]/Table1[[#This Row],[Interview Slots]],0)</f>
        <v>5.6910569105691054E-2</v>
      </c>
      <c r="L454" s="51">
        <f>Table1[[#This Row],[Number of Summer 2016 2L SAs]]/Table1[[#This Row],[Interview Slots]]</f>
        <v>0.13008130081300814</v>
      </c>
      <c r="M454" s="51">
        <f>IFERROR(Table1[[#This Row],[Number of Summer 2016 NYU 2L SAs]]/Table1[[#This Row],[Number of Summer 2016 2L SAs]],0)</f>
        <v>0.4375</v>
      </c>
      <c r="N454" s="50" t="str">
        <f>IFERROR(RIGHT(Table1[[#This Row],[1st year]],LEN(Table1[[#This Row],[1st year]])-FIND(":",Table1[[#This Row],[1st year]])-1),"")</f>
        <v/>
      </c>
      <c r="O454" s="50" t="str">
        <f t="array" ref="O454">IFERROR(INDEX(Table2[Nth year],MATCH(1,(Table1[[#This Row],[Employer]]=Table2[EIW Name])*(Table1[[#This Row],[City, State]]=Table2[Offices Matched]),0)),"")</f>
        <v/>
      </c>
      <c r="P454" s="50" t="str">
        <f>IFERROR(RIGHT(Table1[[#This Row],[Nth year]],LEN(Table1[[#This Row],[Nth year]])-FIND(":",Table1[[#This Row],[Nth year]])-1),"")</f>
        <v/>
      </c>
      <c r="Q454" s="50" t="str">
        <f t="array" ref="Q454">IFERROR(INDEX(Table2[Am Law 200 PPP Rank ’16],MATCH(1,(Table1[[#This Row],[Employer]]=Table2[EIW Name])*(Table1[[#This Row],[City, State]]=Table2[Offices Matched]),0)),"")</f>
        <v/>
      </c>
      <c r="R454" s="50" t="str">
        <f>IFERROR(LEFT(Table1[[#This Row],[Am Law 200 PPP Rank ’16]],FIND(":",Table1[[#This Row],[Am Law 200 PPP Rank ’16]])-1),"")</f>
        <v/>
      </c>
      <c r="S454" s="50">
        <f>IFERROR(INDEX(VaultRank[Rank],MATCH(Table1[[#This Row],[Employer]],VaultRank[EIW Name],0)),"")</f>
        <v>74</v>
      </c>
      <c r="T454" s="50" t="str">
        <f t="array" ref="T454">IFERROR(INDEX(Table2[Summers Matched],MATCH(1,(Table1[[#This Row],[Employer]]=Table2[EIW Name])*(Table1[[#This Row],[City, State]]=Table2[Offices Matched]),0)),"")</f>
        <v/>
      </c>
      <c r="U454" s="52" t="str">
        <f t="shared" si="7"/>
        <v/>
      </c>
      <c r="V454" s="60"/>
      <c r="W454" s="114">
        <v>42594</v>
      </c>
      <c r="X454"/>
    </row>
    <row r="455" spans="1:24" ht="14.1" customHeight="1">
      <c r="A455" s="45" t="s">
        <v>425</v>
      </c>
      <c r="B455" s="61" t="s">
        <v>364</v>
      </c>
      <c r="C455" s="61" t="s">
        <v>362</v>
      </c>
      <c r="D455" s="61" t="str">
        <f>Table1[[#This Row],[City]]&amp;", "&amp;Table1[[#This Row],[State]]</f>
        <v>New York, NY</v>
      </c>
      <c r="E455" s="63">
        <v>173</v>
      </c>
      <c r="F455" s="50">
        <v>5</v>
      </c>
      <c r="G455" s="50" t="str">
        <f t="array" ref="G455">IFERROR(INDEX(Table2[1st Year],MATCH(1,(Table1[[#This Row],[Employer]]=Table2[EIW Name])*(Table1[[#This Row],[City, State]]=Table2[Offices Matched]),0)),"")</f>
        <v>1st Year: $180K</v>
      </c>
      <c r="H455" s="50" t="str">
        <f>_xlfn.IFNA(INDEX(saCAGR[CAGR],MATCH(Table1[[#This Row],[Employer]],saCAGR[EIW Name],0)),"")</f>
        <v/>
      </c>
      <c r="I455" s="50" t="str">
        <f>IFERROR(Table1[[#This Row],[SA CAGR]]*Table1[[#This Row],[Number of Summer 2016 2L SAs]],"")</f>
        <v/>
      </c>
      <c r="J455" s="50">
        <v>21</v>
      </c>
      <c r="K455" s="51">
        <f>IFERROR(Table1[[#This Row],[Number of Summer 2016 NYU 2L SAs]]/Table1[[#This Row],[Interview Slots]],0)</f>
        <v>0.12138728323699421</v>
      </c>
      <c r="L455" s="51">
        <f>Table1[[#This Row],[Number of Summer 2016 2L SAs]]/Table1[[#This Row],[Interview Slots]]</f>
        <v>2.8901734104046242E-2</v>
      </c>
      <c r="M455" s="51">
        <f>IFERROR(Table1[[#This Row],[Number of Summer 2016 NYU 2L SAs]]/Table1[[#This Row],[Number of Summer 2016 2L SAs]],0)</f>
        <v>4.2</v>
      </c>
      <c r="N455" s="50" t="str">
        <f>IFERROR(RIGHT(Table1[[#This Row],[1st year]],LEN(Table1[[#This Row],[1st year]])-FIND(":",Table1[[#This Row],[1st year]])-1),"")</f>
        <v>$180K</v>
      </c>
      <c r="O455" s="50" t="str">
        <f t="array" ref="O455">IFERROR(INDEX(Table2[Nth year],MATCH(1,(Table1[[#This Row],[Employer]]=Table2[EIW Name])*(Table1[[#This Row],[City, State]]=Table2[Offices Matched]),0)),"")</f>
        <v>8th Year: $315K</v>
      </c>
      <c r="P455" s="50" t="str">
        <f>IFERROR(RIGHT(Table1[[#This Row],[Nth year]],LEN(Table1[[#This Row],[Nth year]])-FIND(":",Table1[[#This Row],[Nth year]])-1),"")</f>
        <v>$315K</v>
      </c>
      <c r="Q455" s="50" t="str">
        <f t="array" ref="Q455">IFERROR(INDEX(Table2[Am Law 200 PPP Rank ’16],MATCH(1,(Table1[[#This Row],[Employer]]=Table2[EIW Name])*(Table1[[#This Row],[City, State]]=Table2[Offices Matched]),0)),"")</f>
        <v>N/A</v>
      </c>
      <c r="R455" s="50" t="str">
        <f>IFERROR(LEFT(Table1[[#This Row],[Am Law 200 PPP Rank ’16]],FIND(":",Table1[[#This Row],[Am Law 200 PPP Rank ’16]])-1),"")</f>
        <v/>
      </c>
      <c r="S455" s="50" t="str">
        <f>IFERROR(INDEX(VaultRank[Rank],MATCH(Table1[[#This Row],[Employer]],VaultRank[EIW Name],0)),"")</f>
        <v/>
      </c>
      <c r="T455" s="50" t="str">
        <f t="array" ref="T455">IFERROR(INDEX(Table2[Summers Matched],MATCH(1,(Table1[[#This Row],[Employer]]=Table2[EIW Name])*(Table1[[#This Row],[City, State]]=Table2[Offices Matched]),0)),"")</f>
        <v>Yes</v>
      </c>
      <c r="U455" s="52" t="str">
        <f t="shared" si="7"/>
        <v/>
      </c>
      <c r="V455" s="60"/>
      <c r="W455" s="114">
        <v>42595</v>
      </c>
      <c r="X455"/>
    </row>
    <row r="456" spans="1:24" ht="14.1" customHeight="1">
      <c r="A456" s="45" t="s">
        <v>405</v>
      </c>
      <c r="B456" s="45" t="s">
        <v>364</v>
      </c>
      <c r="C456" s="45" t="s">
        <v>362</v>
      </c>
      <c r="D456" s="45" t="str">
        <f>Table1[[#This Row],[City]]&amp;", "&amp;Table1[[#This Row],[State]]</f>
        <v>New York, NY</v>
      </c>
      <c r="E456" s="49">
        <v>127</v>
      </c>
      <c r="F456" s="50">
        <v>9</v>
      </c>
      <c r="G456" s="50" t="str">
        <f t="array" ref="G456">IFERROR(INDEX(Table2[1st Year],MATCH(1,(Table1[[#This Row],[Employer]]=Table2[EIW Name])*(Table1[[#This Row],[City, State]]=Table2[Offices Matched]),0)),"")</f>
        <v/>
      </c>
      <c r="H456" s="51">
        <f>_xlfn.IFNA(INDEX(saCAGR[CAGR],MATCH(Table1[[#This Row],[Employer]],saCAGR[EIW Name],0)),"")</f>
        <v>0.97068529427179606</v>
      </c>
      <c r="I456" s="50">
        <f>IFERROR(Table1[[#This Row],[SA CAGR]]*Table1[[#This Row],[Number of Summer 2016 2L SAs]],"")</f>
        <v>8.7361676484461643</v>
      </c>
      <c r="J456" s="50">
        <v>5</v>
      </c>
      <c r="K456" s="51">
        <f>IFERROR(Table1[[#This Row],[Number of Summer 2016 NYU 2L SAs]]/Table1[[#This Row],[Interview Slots]],0)</f>
        <v>3.937007874015748E-2</v>
      </c>
      <c r="L456" s="51">
        <f>Table1[[#This Row],[Number of Summer 2016 2L SAs]]/Table1[[#This Row],[Interview Slots]]</f>
        <v>7.0866141732283464E-2</v>
      </c>
      <c r="M456" s="51">
        <f>IFERROR(Table1[[#This Row],[Number of Summer 2016 NYU 2L SAs]]/Table1[[#This Row],[Number of Summer 2016 2L SAs]],0)</f>
        <v>0.55555555555555558</v>
      </c>
      <c r="N456" s="50" t="str">
        <f>IFERROR(RIGHT(Table1[[#This Row],[1st year]],LEN(Table1[[#This Row],[1st year]])-FIND(":",Table1[[#This Row],[1st year]])-1),"")</f>
        <v/>
      </c>
      <c r="O456" s="50" t="str">
        <f t="array" ref="O456">IFERROR(INDEX(Table2[Nth year],MATCH(1,(Table1[[#This Row],[Employer]]=Table2[EIW Name])*(Table1[[#This Row],[City, State]]=Table2[Offices Matched]),0)),"")</f>
        <v/>
      </c>
      <c r="P456" s="50" t="str">
        <f>IFERROR(RIGHT(Table1[[#This Row],[Nth year]],LEN(Table1[[#This Row],[Nth year]])-FIND(":",Table1[[#This Row],[Nth year]])-1),"")</f>
        <v/>
      </c>
      <c r="Q456" s="50" t="str">
        <f t="array" ref="Q456">IFERROR(INDEX(Table2[Am Law 200 PPP Rank ’16],MATCH(1,(Table1[[#This Row],[Employer]]=Table2[EIW Name])*(Table1[[#This Row],[City, State]]=Table2[Offices Matched]),0)),"")</f>
        <v/>
      </c>
      <c r="R456" s="50" t="str">
        <f>IFERROR(LEFT(Table1[[#This Row],[Am Law 200 PPP Rank ’16]],FIND(":",Table1[[#This Row],[Am Law 200 PPP Rank ’16]])-1),"")</f>
        <v/>
      </c>
      <c r="S456" s="50" t="str">
        <f>IFERROR(INDEX(VaultRank[Rank],MATCH(Table1[[#This Row],[Employer]],VaultRank[EIW Name],0)),"")</f>
        <v/>
      </c>
      <c r="T456" s="50" t="str">
        <f t="array" ref="T456">IFERROR(INDEX(Table2[Summers Matched],MATCH(1,(Table1[[#This Row],[Employer]]=Table2[EIW Name])*(Table1[[#This Row],[City, State]]=Table2[Offices Matched]),0)),"")</f>
        <v/>
      </c>
      <c r="U456" s="52" t="str">
        <f t="shared" si="7"/>
        <v/>
      </c>
      <c r="V456" s="60"/>
      <c r="W456" s="114">
        <v>42593</v>
      </c>
      <c r="X456"/>
    </row>
    <row r="457" spans="1:24" ht="14.1" customHeight="1">
      <c r="A457" s="45" t="s">
        <v>59</v>
      </c>
      <c r="B457" s="45" t="s">
        <v>299</v>
      </c>
      <c r="C457" s="45" t="s">
        <v>300</v>
      </c>
      <c r="D457" s="45" t="str">
        <f>Table1[[#This Row],[City]]&amp;", "&amp;Table1[[#This Row],[State]]</f>
        <v>Los Angeles, CA</v>
      </c>
      <c r="E457" s="49">
        <v>84</v>
      </c>
      <c r="F457" s="50">
        <v>8</v>
      </c>
      <c r="G457" s="50" t="str">
        <f t="array" ref="G457">IFERROR(INDEX(Table2[1st Year],MATCH(1,(Table1[[#This Row],[Employer]]=Table2[EIW Name])*(Table1[[#This Row],[City, State]]=Table2[Offices Matched]),0)),"")</f>
        <v>1st Year: $180K</v>
      </c>
      <c r="H457" s="50">
        <f>_xlfn.IFNA(INDEX(saCAGR[CAGR],MATCH(Table1[[#This Row],[Employer]],saCAGR[EIW Name],0)),"")</f>
        <v>1.0185825422982304</v>
      </c>
      <c r="I457" s="50">
        <f>IFERROR(Table1[[#This Row],[SA CAGR]]*Table1[[#This Row],[Number of Summer 2016 2L SAs]],"")</f>
        <v>8.1486603383858434</v>
      </c>
      <c r="J457" s="50">
        <v>11</v>
      </c>
      <c r="K457" s="51">
        <f>IFERROR(Table1[[#This Row],[Number of Summer 2016 NYU 2L SAs]]/Table1[[#This Row],[Interview Slots]],0)</f>
        <v>0.13095238095238096</v>
      </c>
      <c r="L457" s="51">
        <f>Table1[[#This Row],[Number of Summer 2016 2L SAs]]/Table1[[#This Row],[Interview Slots]]</f>
        <v>9.5238095238095233E-2</v>
      </c>
      <c r="M457" s="51">
        <f>IFERROR(Table1[[#This Row],[Number of Summer 2016 NYU 2L SAs]]/Table1[[#This Row],[Number of Summer 2016 2L SAs]],0)</f>
        <v>1.375</v>
      </c>
      <c r="N457" s="50" t="str">
        <f>IFERROR(RIGHT(Table1[[#This Row],[1st year]],LEN(Table1[[#This Row],[1st year]])-FIND(":",Table1[[#This Row],[1st year]])-1),"")</f>
        <v>$180K</v>
      </c>
      <c r="O457" s="50" t="str">
        <f t="array" ref="O457">IFERROR(INDEX(Table2[Nth year],MATCH(1,(Table1[[#This Row],[Employer]]=Table2[EIW Name])*(Table1[[#This Row],[City, State]]=Table2[Offices Matched]),0)),"")</f>
        <v>9th Year: $345K</v>
      </c>
      <c r="P457" s="50" t="str">
        <f>IFERROR(RIGHT(Table1[[#This Row],[Nth year]],LEN(Table1[[#This Row],[Nth year]])-FIND(":",Table1[[#This Row],[Nth year]])-1),"")</f>
        <v>$345K</v>
      </c>
      <c r="Q457" s="50" t="str">
        <f t="array" ref="Q457">IFERROR(INDEX(Table2[Am Law 200 PPP Rank ’16],MATCH(1,(Table1[[#This Row],[Employer]]=Table2[EIW Name])*(Table1[[#This Row],[City, State]]=Table2[Offices Matched]),0)),"")</f>
        <v>4: $3.87M</v>
      </c>
      <c r="R457" s="50" t="str">
        <f>IFERROR(LEFT(Table1[[#This Row],[Am Law 200 PPP Rank ’16]],FIND(":",Table1[[#This Row],[Am Law 200 PPP Rank ’16]])-1),"")</f>
        <v>4</v>
      </c>
      <c r="S457" s="50">
        <f>IFERROR(INDEX(VaultRank[Rank],MATCH(Table1[[#This Row],[Employer]],VaultRank[EIW Name],0)),"")</f>
        <v>4</v>
      </c>
      <c r="T457" s="50" t="str">
        <f t="array" ref="T457">IFERROR(INDEX(Table2[Summers Matched],MATCH(1,(Table1[[#This Row],[Employer]]=Table2[EIW Name])*(Table1[[#This Row],[City, State]]=Table2[Offices Matched]),0)),"")</f>
        <v>Yes</v>
      </c>
      <c r="U457" s="52" t="str">
        <f t="shared" si="7"/>
        <v/>
      </c>
      <c r="V457" s="60"/>
      <c r="W457" s="114">
        <v>42595</v>
      </c>
      <c r="X457"/>
    </row>
    <row r="458" spans="1:24" ht="14.1" customHeight="1">
      <c r="A458" s="45" t="s">
        <v>59</v>
      </c>
      <c r="B458" s="45" t="s">
        <v>334</v>
      </c>
      <c r="C458" s="45" t="s">
        <v>300</v>
      </c>
      <c r="D458" s="45" t="str">
        <f>Table1[[#This Row],[City]]&amp;", "&amp;Table1[[#This Row],[State]]</f>
        <v>Palo Alto, CA</v>
      </c>
      <c r="E458" s="49">
        <v>138</v>
      </c>
      <c r="F458" s="50">
        <v>6</v>
      </c>
      <c r="G458" s="50" t="str">
        <f t="array" ref="G458">IFERROR(INDEX(Table2[1st Year],MATCH(1,(Table1[[#This Row],[Employer]]=Table2[EIW Name])*(Table1[[#This Row],[City, State]]=Table2[Offices Matched]),0)),"")</f>
        <v/>
      </c>
      <c r="H458" s="50">
        <f>_xlfn.IFNA(INDEX(saCAGR[CAGR],MATCH(Table1[[#This Row],[Employer]],saCAGR[EIW Name],0)),"")</f>
        <v>1.0185825422982304</v>
      </c>
      <c r="I458" s="50">
        <f>IFERROR(Table1[[#This Row],[SA CAGR]]*Table1[[#This Row],[Number of Summer 2016 2L SAs]],"")</f>
        <v>6.1114952537893821</v>
      </c>
      <c r="J458" s="50">
        <v>24</v>
      </c>
      <c r="K458" s="51">
        <f>IFERROR(Table1[[#This Row],[Number of Summer 2016 NYU 2L SAs]]/Table1[[#This Row],[Interview Slots]],0)</f>
        <v>0.17391304347826086</v>
      </c>
      <c r="L458" s="51">
        <f>Table1[[#This Row],[Number of Summer 2016 2L SAs]]/Table1[[#This Row],[Interview Slots]]</f>
        <v>4.3478260869565216E-2</v>
      </c>
      <c r="M458" s="51">
        <f>IFERROR(Table1[[#This Row],[Number of Summer 2016 NYU 2L SAs]]/Table1[[#This Row],[Number of Summer 2016 2L SAs]],0)</f>
        <v>4</v>
      </c>
      <c r="N458" s="50" t="str">
        <f>IFERROR(RIGHT(Table1[[#This Row],[1st year]],LEN(Table1[[#This Row],[1st year]])-FIND(":",Table1[[#This Row],[1st year]])-1),"")</f>
        <v/>
      </c>
      <c r="O458" s="50" t="str">
        <f t="array" ref="O458">IFERROR(INDEX(Table2[Nth year],MATCH(1,(Table1[[#This Row],[Employer]]=Table2[EIW Name])*(Table1[[#This Row],[City, State]]=Table2[Offices Matched]),0)),"")</f>
        <v/>
      </c>
      <c r="P458" s="50" t="str">
        <f>IFERROR(RIGHT(Table1[[#This Row],[Nth year]],LEN(Table1[[#This Row],[Nth year]])-FIND(":",Table1[[#This Row],[Nth year]])-1),"")</f>
        <v/>
      </c>
      <c r="Q458" s="50" t="str">
        <f t="array" ref="Q458">IFERROR(INDEX(Table2[Am Law 200 PPP Rank ’16],MATCH(1,(Table1[[#This Row],[Employer]]=Table2[EIW Name])*(Table1[[#This Row],[City, State]]=Table2[Offices Matched]),0)),"")</f>
        <v/>
      </c>
      <c r="R458" s="50" t="str">
        <f>IFERROR(LEFT(Table1[[#This Row],[Am Law 200 PPP Rank ’16]],FIND(":",Table1[[#This Row],[Am Law 200 PPP Rank ’16]])-1),"")</f>
        <v/>
      </c>
      <c r="S458" s="50">
        <f>IFERROR(INDEX(VaultRank[Rank],MATCH(Table1[[#This Row],[Employer]],VaultRank[EIW Name],0)),"")</f>
        <v>4</v>
      </c>
      <c r="T458" s="50" t="str">
        <f t="array" ref="T458">IFERROR(INDEX(Table2[Summers Matched],MATCH(1,(Table1[[#This Row],[Employer]]=Table2[EIW Name])*(Table1[[#This Row],[City, State]]=Table2[Offices Matched]),0)),"")</f>
        <v/>
      </c>
      <c r="U458" s="52" t="str">
        <f t="shared" si="7"/>
        <v/>
      </c>
      <c r="V458" s="60"/>
      <c r="W458" s="114">
        <v>42594</v>
      </c>
      <c r="X458"/>
    </row>
    <row r="459" spans="1:24" ht="14.1" customHeight="1">
      <c r="A459" s="45" t="s">
        <v>515</v>
      </c>
      <c r="B459" s="45" t="s">
        <v>367</v>
      </c>
      <c r="C459" s="45" t="s">
        <v>368</v>
      </c>
      <c r="D459" s="45" t="str">
        <f>Table1[[#This Row],[City]]&amp;", "&amp;Table1[[#This Row],[State]]</f>
        <v>Boston, MA</v>
      </c>
      <c r="E459" s="49">
        <v>59</v>
      </c>
      <c r="F459" s="50">
        <v>4</v>
      </c>
      <c r="G459" s="50" t="str">
        <f t="array" ref="G459">IFERROR(INDEX(Table2[1st Year],MATCH(1,(Table1[[#This Row],[Employer]]=Table2[EIW Name])*(Table1[[#This Row],[City, State]]=Table2[Offices Matched]),0)),"")</f>
        <v/>
      </c>
      <c r="H459" s="50" t="str">
        <f>_xlfn.IFNA(INDEX(saCAGR[CAGR],MATCH(Table1[[#This Row],[Employer]],saCAGR[EIW Name],0)),"")</f>
        <v/>
      </c>
      <c r="I459" s="50" t="str">
        <f>IFERROR(Table1[[#This Row],[SA CAGR]]*Table1[[#This Row],[Number of Summer 2016 2L SAs]],"")</f>
        <v/>
      </c>
      <c r="J459" s="50">
        <v>15</v>
      </c>
      <c r="K459" s="51">
        <f>IFERROR(Table1[[#This Row],[Number of Summer 2016 NYU 2L SAs]]/Table1[[#This Row],[Interview Slots]],0)</f>
        <v>0.25423728813559321</v>
      </c>
      <c r="L459" s="51">
        <f>Table1[[#This Row],[Number of Summer 2016 2L SAs]]/Table1[[#This Row],[Interview Slots]]</f>
        <v>6.7796610169491525E-2</v>
      </c>
      <c r="M459" s="51">
        <f>IFERROR(Table1[[#This Row],[Number of Summer 2016 NYU 2L SAs]]/Table1[[#This Row],[Number of Summer 2016 2L SAs]],0)</f>
        <v>3.75</v>
      </c>
      <c r="N459" s="50" t="str">
        <f>IFERROR(RIGHT(Table1[[#This Row],[1st year]],LEN(Table1[[#This Row],[1st year]])-FIND(":",Table1[[#This Row],[1st year]])-1),"")</f>
        <v/>
      </c>
      <c r="O459" s="50" t="str">
        <f t="array" ref="O459">IFERROR(INDEX(Table2[Nth year],MATCH(1,(Table1[[#This Row],[Employer]]=Table2[EIW Name])*(Table1[[#This Row],[City, State]]=Table2[Offices Matched]),0)),"")</f>
        <v/>
      </c>
      <c r="P459" s="50" t="str">
        <f>IFERROR(RIGHT(Table1[[#This Row],[Nth year]],LEN(Table1[[#This Row],[Nth year]])-FIND(":",Table1[[#This Row],[Nth year]])-1),"")</f>
        <v/>
      </c>
      <c r="Q459" s="50" t="str">
        <f t="array" ref="Q459">IFERROR(INDEX(Table2[Am Law 200 PPP Rank ’16],MATCH(1,(Table1[[#This Row],[Employer]]=Table2[EIW Name])*(Table1[[#This Row],[City, State]]=Table2[Offices Matched]),0)),"")</f>
        <v/>
      </c>
      <c r="R459" s="50" t="str">
        <f>IFERROR(LEFT(Table1[[#This Row],[Am Law 200 PPP Rank ’16]],FIND(":",Table1[[#This Row],[Am Law 200 PPP Rank ’16]])-1),"")</f>
        <v/>
      </c>
      <c r="S459" s="50" t="str">
        <f>IFERROR(INDEX(VaultRank[Rank],MATCH(Table1[[#This Row],[Employer]],VaultRank[EIW Name],0)),"")</f>
        <v/>
      </c>
      <c r="T459" s="50" t="str">
        <f t="array" ref="T459">IFERROR(INDEX(Table2[Summers Matched],MATCH(1,(Table1[[#This Row],[Employer]]=Table2[EIW Name])*(Table1[[#This Row],[City, State]]=Table2[Offices Matched]),0)),"")</f>
        <v/>
      </c>
      <c r="U459" s="52" t="str">
        <f t="shared" si="7"/>
        <v/>
      </c>
      <c r="V459" s="60"/>
      <c r="W459" s="114">
        <v>42595</v>
      </c>
      <c r="X459"/>
    </row>
    <row r="460" spans="1:24" ht="14.1" customHeight="1">
      <c r="A460" s="45" t="s">
        <v>446</v>
      </c>
      <c r="B460" s="45" t="s">
        <v>364</v>
      </c>
      <c r="C460" s="45" t="s">
        <v>362</v>
      </c>
      <c r="D460" s="45" t="str">
        <f>Table1[[#This Row],[City]]&amp;", "&amp;Table1[[#This Row],[State]]</f>
        <v>New York, NY</v>
      </c>
      <c r="E460" s="49">
        <v>159</v>
      </c>
      <c r="F460" s="50">
        <v>9</v>
      </c>
      <c r="G460" s="50" t="str">
        <f t="array" ref="G460">IFERROR(INDEX(Table2[1st Year],MATCH(1,(Table1[[#This Row],[Employer]]=Table2[EIW Name])*(Table1[[#This Row],[City, State]]=Table2[Offices Matched]),0)),"")</f>
        <v/>
      </c>
      <c r="H460" s="51">
        <f>_xlfn.IFNA(INDEX(saCAGR[CAGR],MATCH(Table1[[#This Row],[Employer]],saCAGR[EIW Name],0)),"")</f>
        <v>0.97538742756584917</v>
      </c>
      <c r="I460" s="50">
        <f>IFERROR(Table1[[#This Row],[SA CAGR]]*Table1[[#This Row],[Number of Summer 2016 2L SAs]],"")</f>
        <v>8.7784868480926423</v>
      </c>
      <c r="J460" s="50">
        <v>22</v>
      </c>
      <c r="K460" s="51">
        <f>IFERROR(Table1[[#This Row],[Number of Summer 2016 NYU 2L SAs]]/Table1[[#This Row],[Interview Slots]],0)</f>
        <v>0.13836477987421383</v>
      </c>
      <c r="L460" s="51">
        <f>Table1[[#This Row],[Number of Summer 2016 2L SAs]]/Table1[[#This Row],[Interview Slots]]</f>
        <v>5.6603773584905662E-2</v>
      </c>
      <c r="M460" s="51">
        <f>IFERROR(Table1[[#This Row],[Number of Summer 2016 NYU 2L SAs]]/Table1[[#This Row],[Number of Summer 2016 2L SAs]],0)</f>
        <v>2.4444444444444446</v>
      </c>
      <c r="N460" s="50" t="str">
        <f>IFERROR(RIGHT(Table1[[#This Row],[1st year]],LEN(Table1[[#This Row],[1st year]])-FIND(":",Table1[[#This Row],[1st year]])-1),"")</f>
        <v/>
      </c>
      <c r="O460" s="50" t="str">
        <f t="array" ref="O460">IFERROR(INDEX(Table2[Nth year],MATCH(1,(Table1[[#This Row],[Employer]]=Table2[EIW Name])*(Table1[[#This Row],[City, State]]=Table2[Offices Matched]),0)),"")</f>
        <v/>
      </c>
      <c r="P460" s="50" t="str">
        <f>IFERROR(RIGHT(Table1[[#This Row],[Nth year]],LEN(Table1[[#This Row],[Nth year]])-FIND(":",Table1[[#This Row],[Nth year]])-1),"")</f>
        <v/>
      </c>
      <c r="Q460" s="50" t="str">
        <f t="array" ref="Q460">IFERROR(INDEX(Table2[Am Law 200 PPP Rank ’16],MATCH(1,(Table1[[#This Row],[Employer]]=Table2[EIW Name])*(Table1[[#This Row],[City, State]]=Table2[Offices Matched]),0)),"")</f>
        <v/>
      </c>
      <c r="R460" s="50" t="str">
        <f>IFERROR(LEFT(Table1[[#This Row],[Am Law 200 PPP Rank ’16]],FIND(":",Table1[[#This Row],[Am Law 200 PPP Rank ’16]])-1),"")</f>
        <v/>
      </c>
      <c r="S460" s="50" t="str">
        <f>IFERROR(INDEX(VaultRank[Rank],MATCH(Table1[[#This Row],[Employer]],VaultRank[EIW Name],0)),"")</f>
        <v/>
      </c>
      <c r="T460" s="50" t="str">
        <f t="array" ref="T460">IFERROR(INDEX(Table2[Summers Matched],MATCH(1,(Table1[[#This Row],[Employer]]=Table2[EIW Name])*(Table1[[#This Row],[City, State]]=Table2[Offices Matched]),0)),"")</f>
        <v/>
      </c>
      <c r="U460" s="52">
        <f t="shared" si="7"/>
        <v>3.6</v>
      </c>
      <c r="V460" s="60"/>
      <c r="W460" s="114">
        <v>42592</v>
      </c>
      <c r="X460"/>
    </row>
    <row r="461" spans="1:24" ht="14.1" customHeight="1">
      <c r="A461" s="45" t="s">
        <v>121</v>
      </c>
      <c r="B461" s="45" t="s">
        <v>331</v>
      </c>
      <c r="C461" s="45" t="s">
        <v>314</v>
      </c>
      <c r="D461" s="45" t="str">
        <f>Table1[[#This Row],[City]]&amp;", "&amp;Table1[[#This Row],[State]]</f>
        <v>Houston, TX</v>
      </c>
      <c r="E461" s="49">
        <v>67</v>
      </c>
      <c r="F461" s="50">
        <v>4</v>
      </c>
      <c r="G461" s="50" t="str">
        <f t="array" ref="G461">IFERROR(INDEX(Table2[1st Year],MATCH(1,(Table1[[#This Row],[Employer]]=Table2[EIW Name])*(Table1[[#This Row],[City, State]]=Table2[Offices Matched]),0)),"")</f>
        <v>1st Year: $190K</v>
      </c>
      <c r="H461" s="50" t="str">
        <f>_xlfn.IFNA(INDEX(saCAGR[CAGR],MATCH(Table1[[#This Row],[Employer]],saCAGR[EIW Name],0)),"")</f>
        <v/>
      </c>
      <c r="I461" s="50" t="str">
        <f>IFERROR(Table1[[#This Row],[SA CAGR]]*Table1[[#This Row],[Number of Summer 2016 2L SAs]],"")</f>
        <v/>
      </c>
      <c r="J461" s="50">
        <v>0</v>
      </c>
      <c r="K461" s="51">
        <f>IFERROR(Table1[[#This Row],[Number of Summer 2016 NYU 2L SAs]]/Table1[[#This Row],[Interview Slots]],0)</f>
        <v>0</v>
      </c>
      <c r="L461" s="51">
        <f>Table1[[#This Row],[Number of Summer 2016 2L SAs]]/Table1[[#This Row],[Interview Slots]]</f>
        <v>5.9701492537313432E-2</v>
      </c>
      <c r="M461" s="51">
        <f>IFERROR(Table1[[#This Row],[Number of Summer 2016 NYU 2L SAs]]/Table1[[#This Row],[Number of Summer 2016 2L SAs]],0)</f>
        <v>0</v>
      </c>
      <c r="N461" s="50" t="str">
        <f>IFERROR(RIGHT(Table1[[#This Row],[1st year]],LEN(Table1[[#This Row],[1st year]])-FIND(":",Table1[[#This Row],[1st year]])-1),"")</f>
        <v>$190K</v>
      </c>
      <c r="O461" s="50" t="str">
        <f t="array" ref="O461">IFERROR(INDEX(Table2[Nth year],MATCH(1,(Table1[[#This Row],[Employer]]=Table2[EIW Name])*(Table1[[#This Row],[City, State]]=Table2[Offices Matched]),0)),"")</f>
        <v>6th Year: $300K</v>
      </c>
      <c r="P461" s="50" t="str">
        <f>IFERROR(RIGHT(Table1[[#This Row],[Nth year]],LEN(Table1[[#This Row],[Nth year]])-FIND(":",Table1[[#This Row],[Nth year]])-1),"")</f>
        <v>$300K</v>
      </c>
      <c r="Q461" s="50" t="str">
        <f t="array" ref="Q461">IFERROR(INDEX(Table2[Am Law 200 PPP Rank ’16],MATCH(1,(Table1[[#This Row],[Employer]]=Table2[EIW Name])*(Table1[[#This Row],[City, State]]=Table2[Offices Matched]),0)),"")</f>
        <v>N/A</v>
      </c>
      <c r="R461" s="50" t="str">
        <f>IFERROR(LEFT(Table1[[#This Row],[Am Law 200 PPP Rank ’16]],FIND(":",Table1[[#This Row],[Am Law 200 PPP Rank ’16]])-1),"")</f>
        <v/>
      </c>
      <c r="S461" s="50">
        <f>IFERROR(INDEX(VaultRank[Rank],MATCH(Table1[[#This Row],[Employer]],VaultRank[EIW Name],0)),"")</f>
        <v>60</v>
      </c>
      <c r="T461" s="50" t="str">
        <f t="array" ref="T461">IFERROR(INDEX(Table2[Summers Matched],MATCH(1,(Table1[[#This Row],[Employer]]=Table2[EIW Name])*(Table1[[#This Row],[City, State]]=Table2[Offices Matched]),0)),"")</f>
        <v>TBD</v>
      </c>
      <c r="U461" s="52" t="str">
        <f t="shared" si="7"/>
        <v/>
      </c>
      <c r="V461" s="60"/>
      <c r="W461" s="114">
        <v>42593</v>
      </c>
      <c r="X461"/>
    </row>
    <row r="462" spans="1:24" ht="14.1" customHeight="1">
      <c r="A462" s="45" t="s">
        <v>121</v>
      </c>
      <c r="B462" s="45" t="s">
        <v>299</v>
      </c>
      <c r="C462" s="45" t="s">
        <v>300</v>
      </c>
      <c r="D462" s="45" t="str">
        <f>Table1[[#This Row],[City]]&amp;", "&amp;Table1[[#This Row],[State]]</f>
        <v>Los Angeles, CA</v>
      </c>
      <c r="E462" s="49">
        <v>53</v>
      </c>
      <c r="F462" s="50">
        <v>3</v>
      </c>
      <c r="G462" s="50" t="str">
        <f t="array" ref="G462">IFERROR(INDEX(Table2[1st Year],MATCH(1,(Table1[[#This Row],[Employer]]=Table2[EIW Name])*(Table1[[#This Row],[City, State]]=Table2[Offices Matched]),0)),"")</f>
        <v>1st Year: $190K</v>
      </c>
      <c r="H462" s="50" t="str">
        <f>_xlfn.IFNA(INDEX(saCAGR[CAGR],MATCH(Table1[[#This Row],[Employer]],saCAGR[EIW Name],0)),"")</f>
        <v/>
      </c>
      <c r="I462" s="50" t="str">
        <f>IFERROR(Table1[[#This Row],[SA CAGR]]*Table1[[#This Row],[Number of Summer 2016 2L SAs]],"")</f>
        <v/>
      </c>
      <c r="J462" s="50">
        <v>11</v>
      </c>
      <c r="K462" s="51">
        <f>IFERROR(Table1[[#This Row],[Number of Summer 2016 NYU 2L SAs]]/Table1[[#This Row],[Interview Slots]],0)</f>
        <v>0.20754716981132076</v>
      </c>
      <c r="L462" s="51">
        <f>Table1[[#This Row],[Number of Summer 2016 2L SAs]]/Table1[[#This Row],[Interview Slots]]</f>
        <v>5.6603773584905662E-2</v>
      </c>
      <c r="M462" s="51">
        <f>IFERROR(Table1[[#This Row],[Number of Summer 2016 NYU 2L SAs]]/Table1[[#This Row],[Number of Summer 2016 2L SAs]],0)</f>
        <v>3.6666666666666665</v>
      </c>
      <c r="N462" s="50" t="str">
        <f>IFERROR(RIGHT(Table1[[#This Row],[1st year]],LEN(Table1[[#This Row],[1st year]])-FIND(":",Table1[[#This Row],[1st year]])-1),"")</f>
        <v>$190K</v>
      </c>
      <c r="O462" s="50" t="str">
        <f t="array" ref="O462">IFERROR(INDEX(Table2[Nth year],MATCH(1,(Table1[[#This Row],[Employer]]=Table2[EIW Name])*(Table1[[#This Row],[City, State]]=Table2[Offices Matched]),0)),"")</f>
        <v>6th Year: $300K</v>
      </c>
      <c r="P462" s="50" t="str">
        <f>IFERROR(RIGHT(Table1[[#This Row],[Nth year]],LEN(Table1[[#This Row],[Nth year]])-FIND(":",Table1[[#This Row],[Nth year]])-1),"")</f>
        <v>$300K</v>
      </c>
      <c r="Q462" s="50" t="str">
        <f t="array" ref="Q462">IFERROR(INDEX(Table2[Am Law 200 PPP Rank ’16],MATCH(1,(Table1[[#This Row],[Employer]]=Table2[EIW Name])*(Table1[[#This Row],[City, State]]=Table2[Offices Matched]),0)),"")</f>
        <v>N/A</v>
      </c>
      <c r="R462" s="50" t="str">
        <f>IFERROR(LEFT(Table1[[#This Row],[Am Law 200 PPP Rank ’16]],FIND(":",Table1[[#This Row],[Am Law 200 PPP Rank ’16]])-1),"")</f>
        <v/>
      </c>
      <c r="S462" s="50">
        <f>IFERROR(INDEX(VaultRank[Rank],MATCH(Table1[[#This Row],[Employer]],VaultRank[EIW Name],0)),"")</f>
        <v>60</v>
      </c>
      <c r="T462" s="50" t="str">
        <f t="array" ref="T462">IFERROR(INDEX(Table2[Summers Matched],MATCH(1,(Table1[[#This Row],[Employer]]=Table2[EIW Name])*(Table1[[#This Row],[City, State]]=Table2[Offices Matched]),0)),"")</f>
        <v>TBD</v>
      </c>
      <c r="U462" s="52" t="str">
        <f t="shared" si="7"/>
        <v/>
      </c>
      <c r="V462" s="60"/>
      <c r="W462" s="114">
        <v>42594</v>
      </c>
      <c r="X462"/>
    </row>
    <row r="463" spans="1:24" ht="14.1" customHeight="1">
      <c r="A463" s="45" t="s">
        <v>121</v>
      </c>
      <c r="B463" s="45" t="s">
        <v>332</v>
      </c>
      <c r="C463" s="45" t="s">
        <v>333</v>
      </c>
      <c r="D463" s="45" t="str">
        <f>Table1[[#This Row],[City]]&amp;", "&amp;Table1[[#This Row],[State]]</f>
        <v>Seattle, WA</v>
      </c>
      <c r="E463" s="49">
        <v>91</v>
      </c>
      <c r="F463" s="50">
        <v>3</v>
      </c>
      <c r="G463" s="50" t="str">
        <f t="array" ref="G463">IFERROR(INDEX(Table2[1st Year],MATCH(1,(Table1[[#This Row],[Employer]]=Table2[EIW Name])*(Table1[[#This Row],[City, State]]=Table2[Offices Matched]),0)),"")</f>
        <v>1st Year: $190K</v>
      </c>
      <c r="H463" s="50" t="str">
        <f>_xlfn.IFNA(INDEX(saCAGR[CAGR],MATCH(Table1[[#This Row],[Employer]],saCAGR[EIW Name],0)),"")</f>
        <v/>
      </c>
      <c r="I463" s="50" t="str">
        <f>IFERROR(Table1[[#This Row],[SA CAGR]]*Table1[[#This Row],[Number of Summer 2016 2L SAs]],"")</f>
        <v/>
      </c>
      <c r="J463" s="50">
        <v>3</v>
      </c>
      <c r="K463" s="51">
        <f>IFERROR(Table1[[#This Row],[Number of Summer 2016 NYU 2L SAs]]/Table1[[#This Row],[Interview Slots]],0)</f>
        <v>3.2967032967032968E-2</v>
      </c>
      <c r="L463" s="51">
        <f>Table1[[#This Row],[Number of Summer 2016 2L SAs]]/Table1[[#This Row],[Interview Slots]]</f>
        <v>3.2967032967032968E-2</v>
      </c>
      <c r="M463" s="51">
        <f>IFERROR(Table1[[#This Row],[Number of Summer 2016 NYU 2L SAs]]/Table1[[#This Row],[Number of Summer 2016 2L SAs]],0)</f>
        <v>1</v>
      </c>
      <c r="N463" s="50" t="str">
        <f>IFERROR(RIGHT(Table1[[#This Row],[1st year]],LEN(Table1[[#This Row],[1st year]])-FIND(":",Table1[[#This Row],[1st year]])-1),"")</f>
        <v>$190K</v>
      </c>
      <c r="O463" s="50" t="str">
        <f t="array" ref="O463">IFERROR(INDEX(Table2[Nth year],MATCH(1,(Table1[[#This Row],[Employer]]=Table2[EIW Name])*(Table1[[#This Row],[City, State]]=Table2[Offices Matched]),0)),"")</f>
        <v>6th Year: $300K</v>
      </c>
      <c r="P463" s="50" t="str">
        <f>IFERROR(RIGHT(Table1[[#This Row],[Nth year]],LEN(Table1[[#This Row],[Nth year]])-FIND(":",Table1[[#This Row],[Nth year]])-1),"")</f>
        <v>$300K</v>
      </c>
      <c r="Q463" s="50" t="str">
        <f t="array" ref="Q463">IFERROR(INDEX(Table2[Am Law 200 PPP Rank ’16],MATCH(1,(Table1[[#This Row],[Employer]]=Table2[EIW Name])*(Table1[[#This Row],[City, State]]=Table2[Offices Matched]),0)),"")</f>
        <v>N/A</v>
      </c>
      <c r="R463" s="50" t="str">
        <f>IFERROR(LEFT(Table1[[#This Row],[Am Law 200 PPP Rank ’16]],FIND(":",Table1[[#This Row],[Am Law 200 PPP Rank ’16]])-1),"")</f>
        <v/>
      </c>
      <c r="S463" s="50">
        <f>IFERROR(INDEX(VaultRank[Rank],MATCH(Table1[[#This Row],[Employer]],VaultRank[EIW Name],0)),"")</f>
        <v>60</v>
      </c>
      <c r="T463" s="50" t="str">
        <f t="array" ref="T463">IFERROR(INDEX(Table2[Summers Matched],MATCH(1,(Table1[[#This Row],[Employer]]=Table2[EIW Name])*(Table1[[#This Row],[City, State]]=Table2[Offices Matched]),0)),"")</f>
        <v>TBD</v>
      </c>
      <c r="U463" s="52" t="str">
        <f t="shared" si="7"/>
        <v/>
      </c>
      <c r="V463" s="60"/>
      <c r="W463" s="114">
        <v>42595</v>
      </c>
      <c r="X463"/>
    </row>
    <row r="464" spans="1:24" ht="14.1" customHeight="1">
      <c r="A464" s="45" t="s">
        <v>516</v>
      </c>
      <c r="B464" s="45" t="s">
        <v>301</v>
      </c>
      <c r="C464" s="45" t="s">
        <v>302</v>
      </c>
      <c r="D464" s="45" t="str">
        <f>Table1[[#This Row],[City]]&amp;", "&amp;Table1[[#This Row],[State]]</f>
        <v>Washington, DC</v>
      </c>
      <c r="E464" s="49">
        <v>165</v>
      </c>
      <c r="F464" s="50">
        <v>9</v>
      </c>
      <c r="G464" s="50" t="str">
        <f t="array" ref="G464">IFERROR(INDEX(Table2[1st Year],MATCH(1,(Table1[[#This Row],[Employer]]=Table2[EIW Name])*(Table1[[#This Row],[City, State]]=Table2[Offices Matched]),0)),"")</f>
        <v/>
      </c>
      <c r="H464" s="50" t="str">
        <f>_xlfn.IFNA(INDEX(saCAGR[CAGR],MATCH(Table1[[#This Row],[Employer]],saCAGR[EIW Name],0)),"")</f>
        <v/>
      </c>
      <c r="I464" s="50" t="str">
        <f>IFERROR(Table1[[#This Row],[SA CAGR]]*Table1[[#This Row],[Number of Summer 2016 2L SAs]],"")</f>
        <v/>
      </c>
      <c r="J464" s="50">
        <v>23</v>
      </c>
      <c r="K464" s="51">
        <f>IFERROR(Table1[[#This Row],[Number of Summer 2016 NYU 2L SAs]]/Table1[[#This Row],[Interview Slots]],0)</f>
        <v>0.1393939393939394</v>
      </c>
      <c r="L464" s="51">
        <f>Table1[[#This Row],[Number of Summer 2016 2L SAs]]/Table1[[#This Row],[Interview Slots]]</f>
        <v>5.4545454545454543E-2</v>
      </c>
      <c r="M464" s="51">
        <f>IFERROR(Table1[[#This Row],[Number of Summer 2016 NYU 2L SAs]]/Table1[[#This Row],[Number of Summer 2016 2L SAs]],0)</f>
        <v>2.5555555555555554</v>
      </c>
      <c r="N464" s="50" t="str">
        <f>IFERROR(RIGHT(Table1[[#This Row],[1st year]],LEN(Table1[[#This Row],[1st year]])-FIND(":",Table1[[#This Row],[1st year]])-1),"")</f>
        <v/>
      </c>
      <c r="O464" s="50" t="str">
        <f t="array" ref="O464">IFERROR(INDEX(Table2[Nth year],MATCH(1,(Table1[[#This Row],[Employer]]=Table2[EIW Name])*(Table1[[#This Row],[City, State]]=Table2[Offices Matched]),0)),"")</f>
        <v/>
      </c>
      <c r="P464" s="50" t="str">
        <f>IFERROR(RIGHT(Table1[[#This Row],[Nth year]],LEN(Table1[[#This Row],[Nth year]])-FIND(":",Table1[[#This Row],[Nth year]])-1),"")</f>
        <v/>
      </c>
      <c r="Q464" s="50" t="str">
        <f t="array" ref="Q464">IFERROR(INDEX(Table2[Am Law 200 PPP Rank ’16],MATCH(1,(Table1[[#This Row],[Employer]]=Table2[EIW Name])*(Table1[[#This Row],[City, State]]=Table2[Offices Matched]),0)),"")</f>
        <v/>
      </c>
      <c r="R464" s="50" t="str">
        <f>IFERROR(LEFT(Table1[[#This Row],[Am Law 200 PPP Rank ’16]],FIND(":",Table1[[#This Row],[Am Law 200 PPP Rank ’16]])-1),"")</f>
        <v/>
      </c>
      <c r="S464" s="50" t="str">
        <f>IFERROR(INDEX(VaultRank[Rank],MATCH(Table1[[#This Row],[Employer]],VaultRank[EIW Name],0)),"")</f>
        <v/>
      </c>
      <c r="T464" s="50" t="str">
        <f t="array" ref="T464">IFERROR(INDEX(Table2[Summers Matched],MATCH(1,(Table1[[#This Row],[Employer]]=Table2[EIW Name])*(Table1[[#This Row],[City, State]]=Table2[Offices Matched]),0)),"")</f>
        <v/>
      </c>
      <c r="U464" s="52">
        <f t="shared" si="7"/>
        <v>3.4</v>
      </c>
      <c r="V464" s="60"/>
      <c r="W464" s="114">
        <v>42595</v>
      </c>
      <c r="X464"/>
    </row>
    <row r="465" spans="1:24" ht="14.1" customHeight="1">
      <c r="A465" s="45" t="s">
        <v>516</v>
      </c>
      <c r="B465" s="45" t="s">
        <v>308</v>
      </c>
      <c r="C465" s="45" t="s">
        <v>309</v>
      </c>
      <c r="D465" s="45" t="str">
        <f>Table1[[#This Row],[City]]&amp;", "&amp;Table1[[#This Row],[State]]</f>
        <v>Atlanta, GA</v>
      </c>
      <c r="E465" s="49">
        <v>17</v>
      </c>
      <c r="F465" s="50">
        <v>12</v>
      </c>
      <c r="G465" s="50" t="str">
        <f t="array" ref="G465">IFERROR(INDEX(Table2[1st Year],MATCH(1,(Table1[[#This Row],[Employer]]=Table2[EIW Name])*(Table1[[#This Row],[City, State]]=Table2[Offices Matched]),0)),"")</f>
        <v/>
      </c>
      <c r="H465" s="50" t="str">
        <f>_xlfn.IFNA(INDEX(saCAGR[CAGR],MATCH(Table1[[#This Row],[Employer]],saCAGR[EIW Name],0)),"")</f>
        <v/>
      </c>
      <c r="I465" s="50" t="str">
        <f>IFERROR(Table1[[#This Row],[SA CAGR]]*Table1[[#This Row],[Number of Summer 2016 2L SAs]],"")</f>
        <v/>
      </c>
      <c r="J465" s="50">
        <v>21</v>
      </c>
      <c r="K465" s="51">
        <f>IFERROR(Table1[[#This Row],[Number of Summer 2016 NYU 2L SAs]]/Table1[[#This Row],[Interview Slots]],0)</f>
        <v>1.2352941176470589</v>
      </c>
      <c r="L465" s="51">
        <f>Table1[[#This Row],[Number of Summer 2016 2L SAs]]/Table1[[#This Row],[Interview Slots]]</f>
        <v>0.70588235294117652</v>
      </c>
      <c r="M465" s="51">
        <f>IFERROR(Table1[[#This Row],[Number of Summer 2016 NYU 2L SAs]]/Table1[[#This Row],[Number of Summer 2016 2L SAs]],0)</f>
        <v>1.75</v>
      </c>
      <c r="N465" s="50" t="str">
        <f>IFERROR(RIGHT(Table1[[#This Row],[1st year]],LEN(Table1[[#This Row],[1st year]])-FIND(":",Table1[[#This Row],[1st year]])-1),"")</f>
        <v/>
      </c>
      <c r="O465" s="50" t="str">
        <f t="array" ref="O465">IFERROR(INDEX(Table2[Nth year],MATCH(1,(Table1[[#This Row],[Employer]]=Table2[EIW Name])*(Table1[[#This Row],[City, State]]=Table2[Offices Matched]),0)),"")</f>
        <v/>
      </c>
      <c r="P465" s="50" t="str">
        <f>IFERROR(RIGHT(Table1[[#This Row],[Nth year]],LEN(Table1[[#This Row],[Nth year]])-FIND(":",Table1[[#This Row],[Nth year]])-1),"")</f>
        <v/>
      </c>
      <c r="Q465" s="50" t="str">
        <f t="array" ref="Q465">IFERROR(INDEX(Table2[Am Law 200 PPP Rank ’16],MATCH(1,(Table1[[#This Row],[Employer]]=Table2[EIW Name])*(Table1[[#This Row],[City, State]]=Table2[Offices Matched]),0)),"")</f>
        <v/>
      </c>
      <c r="R465" s="50" t="str">
        <f>IFERROR(LEFT(Table1[[#This Row],[Am Law 200 PPP Rank ’16]],FIND(":",Table1[[#This Row],[Am Law 200 PPP Rank ’16]])-1),"")</f>
        <v/>
      </c>
      <c r="S465" s="50" t="str">
        <f>IFERROR(INDEX(VaultRank[Rank],MATCH(Table1[[#This Row],[Employer]],VaultRank[EIW Name],0)),"")</f>
        <v/>
      </c>
      <c r="T465" s="50" t="str">
        <f t="array" ref="T465">IFERROR(INDEX(Table2[Summers Matched],MATCH(1,(Table1[[#This Row],[Employer]]=Table2[EIW Name])*(Table1[[#This Row],[City, State]]=Table2[Offices Matched]),0)),"")</f>
        <v/>
      </c>
      <c r="U465" s="52" t="str">
        <f t="shared" si="7"/>
        <v/>
      </c>
      <c r="V465" s="60"/>
      <c r="W465" s="114">
        <v>42592</v>
      </c>
      <c r="X465"/>
    </row>
    <row r="466" spans="1:24" ht="14.1" customHeight="1">
      <c r="A466" s="45" t="s">
        <v>517</v>
      </c>
      <c r="B466" s="45" t="s">
        <v>325</v>
      </c>
      <c r="C466" s="45" t="s">
        <v>326</v>
      </c>
      <c r="D466" s="45" t="str">
        <f>Table1[[#This Row],[City]]&amp;", "&amp;Table1[[#This Row],[State]]</f>
        <v>Cincinnati, OH</v>
      </c>
      <c r="E466" s="49">
        <v>99</v>
      </c>
      <c r="F466" s="50">
        <v>3</v>
      </c>
      <c r="G466" s="50" t="str">
        <f t="array" ref="G466">IFERROR(INDEX(Table2[1st Year],MATCH(1,(Table1[[#This Row],[Employer]]=Table2[EIW Name])*(Table1[[#This Row],[City, State]]=Table2[Offices Matched]),0)),"")</f>
        <v/>
      </c>
      <c r="H466" s="50" t="str">
        <f>_xlfn.IFNA(INDEX(saCAGR[CAGR],MATCH(Table1[[#This Row],[Employer]],saCAGR[EIW Name],0)),"")</f>
        <v/>
      </c>
      <c r="I466" s="50" t="str">
        <f>IFERROR(Table1[[#This Row],[SA CAGR]]*Table1[[#This Row],[Number of Summer 2016 2L SAs]],"")</f>
        <v/>
      </c>
      <c r="J466" s="50">
        <v>2</v>
      </c>
      <c r="K466" s="51">
        <f>IFERROR(Table1[[#This Row],[Number of Summer 2016 NYU 2L SAs]]/Table1[[#This Row],[Interview Slots]],0)</f>
        <v>2.0202020202020204E-2</v>
      </c>
      <c r="L466" s="51">
        <f>Table1[[#This Row],[Number of Summer 2016 2L SAs]]/Table1[[#This Row],[Interview Slots]]</f>
        <v>3.0303030303030304E-2</v>
      </c>
      <c r="M466" s="51">
        <f>IFERROR(Table1[[#This Row],[Number of Summer 2016 NYU 2L SAs]]/Table1[[#This Row],[Number of Summer 2016 2L SAs]],0)</f>
        <v>0.66666666666666663</v>
      </c>
      <c r="N466" s="50" t="str">
        <f>IFERROR(RIGHT(Table1[[#This Row],[1st year]],LEN(Table1[[#This Row],[1st year]])-FIND(":",Table1[[#This Row],[1st year]])-1),"")</f>
        <v/>
      </c>
      <c r="O466" s="50" t="str">
        <f t="array" ref="O466">IFERROR(INDEX(Table2[Nth year],MATCH(1,(Table1[[#This Row],[Employer]]=Table2[EIW Name])*(Table1[[#This Row],[City, State]]=Table2[Offices Matched]),0)),"")</f>
        <v/>
      </c>
      <c r="P466" s="50" t="str">
        <f>IFERROR(RIGHT(Table1[[#This Row],[Nth year]],LEN(Table1[[#This Row],[Nth year]])-FIND(":",Table1[[#This Row],[Nth year]])-1),"")</f>
        <v/>
      </c>
      <c r="Q466" s="50" t="str">
        <f t="array" ref="Q466">IFERROR(INDEX(Table2[Am Law 200 PPP Rank ’16],MATCH(1,(Table1[[#This Row],[Employer]]=Table2[EIW Name])*(Table1[[#This Row],[City, State]]=Table2[Offices Matched]),0)),"")</f>
        <v/>
      </c>
      <c r="R466" s="50" t="str">
        <f>IFERROR(LEFT(Table1[[#This Row],[Am Law 200 PPP Rank ’16]],FIND(":",Table1[[#This Row],[Am Law 200 PPP Rank ’16]])-1),"")</f>
        <v/>
      </c>
      <c r="S466" s="50" t="str">
        <f>IFERROR(INDEX(VaultRank[Rank],MATCH(Table1[[#This Row],[Employer]],VaultRank[EIW Name],0)),"")</f>
        <v/>
      </c>
      <c r="T466" s="50" t="str">
        <f t="array" ref="T466">IFERROR(INDEX(Table2[Summers Matched],MATCH(1,(Table1[[#This Row],[Employer]]=Table2[EIW Name])*(Table1[[#This Row],[City, State]]=Table2[Offices Matched]),0)),"")</f>
        <v/>
      </c>
      <c r="U466" s="52" t="str">
        <f t="shared" si="7"/>
        <v/>
      </c>
      <c r="V466" s="60"/>
      <c r="W466" s="114">
        <v>42592</v>
      </c>
      <c r="X466"/>
    </row>
    <row r="467" spans="1:24" ht="14.1" customHeight="1">
      <c r="A467" s="45" t="s">
        <v>517</v>
      </c>
      <c r="B467" s="45" t="s">
        <v>327</v>
      </c>
      <c r="C467" s="45" t="s">
        <v>326</v>
      </c>
      <c r="D467" s="45" t="str">
        <f>Table1[[#This Row],[City]]&amp;", "&amp;Table1[[#This Row],[State]]</f>
        <v>Cleveland, OH</v>
      </c>
      <c r="E467" s="49">
        <v>29</v>
      </c>
      <c r="F467" s="50">
        <v>4</v>
      </c>
      <c r="G467" s="50" t="str">
        <f t="array" ref="G467">IFERROR(INDEX(Table2[1st Year],MATCH(1,(Table1[[#This Row],[Employer]]=Table2[EIW Name])*(Table1[[#This Row],[City, State]]=Table2[Offices Matched]),0)),"")</f>
        <v/>
      </c>
      <c r="H467" s="50" t="str">
        <f>_xlfn.IFNA(INDEX(saCAGR[CAGR],MATCH(Table1[[#This Row],[Employer]],saCAGR[EIW Name],0)),"")</f>
        <v/>
      </c>
      <c r="I467" s="50" t="str">
        <f>IFERROR(Table1[[#This Row],[SA CAGR]]*Table1[[#This Row],[Number of Summer 2016 2L SAs]],"")</f>
        <v/>
      </c>
      <c r="J467" s="50">
        <v>21</v>
      </c>
      <c r="K467" s="51">
        <f>IFERROR(Table1[[#This Row],[Number of Summer 2016 NYU 2L SAs]]/Table1[[#This Row],[Interview Slots]],0)</f>
        <v>0.72413793103448276</v>
      </c>
      <c r="L467" s="51">
        <f>Table1[[#This Row],[Number of Summer 2016 2L SAs]]/Table1[[#This Row],[Interview Slots]]</f>
        <v>0.13793103448275862</v>
      </c>
      <c r="M467" s="51">
        <f>IFERROR(Table1[[#This Row],[Number of Summer 2016 NYU 2L SAs]]/Table1[[#This Row],[Number of Summer 2016 2L SAs]],0)</f>
        <v>5.25</v>
      </c>
      <c r="N467" s="50" t="str">
        <f>IFERROR(RIGHT(Table1[[#This Row],[1st year]],LEN(Table1[[#This Row],[1st year]])-FIND(":",Table1[[#This Row],[1st year]])-1),"")</f>
        <v/>
      </c>
      <c r="O467" s="50" t="str">
        <f t="array" ref="O467">IFERROR(INDEX(Table2[Nth year],MATCH(1,(Table1[[#This Row],[Employer]]=Table2[EIW Name])*(Table1[[#This Row],[City, State]]=Table2[Offices Matched]),0)),"")</f>
        <v/>
      </c>
      <c r="P467" s="50" t="str">
        <f>IFERROR(RIGHT(Table1[[#This Row],[Nth year]],LEN(Table1[[#This Row],[Nth year]])-FIND(":",Table1[[#This Row],[Nth year]])-1),"")</f>
        <v/>
      </c>
      <c r="Q467" s="50" t="str">
        <f t="array" ref="Q467">IFERROR(INDEX(Table2[Am Law 200 PPP Rank ’16],MATCH(1,(Table1[[#This Row],[Employer]]=Table2[EIW Name])*(Table1[[#This Row],[City, State]]=Table2[Offices Matched]),0)),"")</f>
        <v/>
      </c>
      <c r="R467" s="50" t="str">
        <f>IFERROR(LEFT(Table1[[#This Row],[Am Law 200 PPP Rank ’16]],FIND(":",Table1[[#This Row],[Am Law 200 PPP Rank ’16]])-1),"")</f>
        <v/>
      </c>
      <c r="S467" s="50" t="str">
        <f>IFERROR(INDEX(VaultRank[Rank],MATCH(Table1[[#This Row],[Employer]],VaultRank[EIW Name],0)),"")</f>
        <v/>
      </c>
      <c r="T467" s="50" t="str">
        <f t="array" ref="T467">IFERROR(INDEX(Table2[Summers Matched],MATCH(1,(Table1[[#This Row],[Employer]]=Table2[EIW Name])*(Table1[[#This Row],[City, State]]=Table2[Offices Matched]),0)),"")</f>
        <v/>
      </c>
      <c r="U467" s="52" t="str">
        <f t="shared" si="7"/>
        <v/>
      </c>
      <c r="V467" s="60"/>
      <c r="W467" s="114">
        <v>42594</v>
      </c>
      <c r="X467"/>
    </row>
    <row r="468" spans="1:24" ht="14.1" customHeight="1">
      <c r="A468" s="45" t="s">
        <v>517</v>
      </c>
      <c r="B468" s="45" t="s">
        <v>328</v>
      </c>
      <c r="C468" s="45" t="s">
        <v>326</v>
      </c>
      <c r="D468" s="45" t="str">
        <f>Table1[[#This Row],[City]]&amp;", "&amp;Table1[[#This Row],[State]]</f>
        <v>Columbus, OH</v>
      </c>
      <c r="E468" s="49">
        <v>121</v>
      </c>
      <c r="F468" s="50">
        <v>0</v>
      </c>
      <c r="G468" s="50" t="str">
        <f t="array" ref="G468">IFERROR(INDEX(Table2[1st Year],MATCH(1,(Table1[[#This Row],[Employer]]=Table2[EIW Name])*(Table1[[#This Row],[City, State]]=Table2[Offices Matched]),0)),"")</f>
        <v/>
      </c>
      <c r="H468" s="50" t="str">
        <f>_xlfn.IFNA(INDEX(saCAGR[CAGR],MATCH(Table1[[#This Row],[Employer]],saCAGR[EIW Name],0)),"")</f>
        <v/>
      </c>
      <c r="I468" s="50" t="str">
        <f>IFERROR(Table1[[#This Row],[SA CAGR]]*Table1[[#This Row],[Number of Summer 2016 2L SAs]],"")</f>
        <v/>
      </c>
      <c r="J468" s="50">
        <v>24</v>
      </c>
      <c r="K468" s="51">
        <f>IFERROR(Table1[[#This Row],[Number of Summer 2016 NYU 2L SAs]]/Table1[[#This Row],[Interview Slots]],0)</f>
        <v>0.19834710743801653</v>
      </c>
      <c r="L468" s="51">
        <f>Table1[[#This Row],[Number of Summer 2016 2L SAs]]/Table1[[#This Row],[Interview Slots]]</f>
        <v>0</v>
      </c>
      <c r="M468" s="51">
        <f>IFERROR(Table1[[#This Row],[Number of Summer 2016 NYU 2L SAs]]/Table1[[#This Row],[Number of Summer 2016 2L SAs]],0)</f>
        <v>0</v>
      </c>
      <c r="N468" s="50" t="str">
        <f>IFERROR(RIGHT(Table1[[#This Row],[1st year]],LEN(Table1[[#This Row],[1st year]])-FIND(":",Table1[[#This Row],[1st year]])-1),"")</f>
        <v/>
      </c>
      <c r="O468" s="50" t="str">
        <f t="array" ref="O468">IFERROR(INDEX(Table2[Nth year],MATCH(1,(Table1[[#This Row],[Employer]]=Table2[EIW Name])*(Table1[[#This Row],[City, State]]=Table2[Offices Matched]),0)),"")</f>
        <v/>
      </c>
      <c r="P468" s="50" t="str">
        <f>IFERROR(RIGHT(Table1[[#This Row],[Nth year]],LEN(Table1[[#This Row],[Nth year]])-FIND(":",Table1[[#This Row],[Nth year]])-1),"")</f>
        <v/>
      </c>
      <c r="Q468" s="50" t="str">
        <f t="array" ref="Q468">IFERROR(INDEX(Table2[Am Law 200 PPP Rank ’16],MATCH(1,(Table1[[#This Row],[Employer]]=Table2[EIW Name])*(Table1[[#This Row],[City, State]]=Table2[Offices Matched]),0)),"")</f>
        <v/>
      </c>
      <c r="R468" s="50" t="str">
        <f>IFERROR(LEFT(Table1[[#This Row],[Am Law 200 PPP Rank ’16]],FIND(":",Table1[[#This Row],[Am Law 200 PPP Rank ’16]])-1),"")</f>
        <v/>
      </c>
      <c r="S468" s="50" t="str">
        <f>IFERROR(INDEX(VaultRank[Rank],MATCH(Table1[[#This Row],[Employer]],VaultRank[EIW Name],0)),"")</f>
        <v/>
      </c>
      <c r="T468" s="50" t="str">
        <f t="array" ref="T468">IFERROR(INDEX(Table2[Summers Matched],MATCH(1,(Table1[[#This Row],[Employer]]=Table2[EIW Name])*(Table1[[#This Row],[City, State]]=Table2[Offices Matched]),0)),"")</f>
        <v/>
      </c>
      <c r="U468" s="52" t="str">
        <f t="shared" si="7"/>
        <v/>
      </c>
      <c r="V468" s="60"/>
      <c r="W468" s="114">
        <v>42593</v>
      </c>
      <c r="X468"/>
    </row>
    <row r="469" spans="1:24" ht="14.1" customHeight="1">
      <c r="A469" s="45" t="s">
        <v>517</v>
      </c>
      <c r="B469" s="45" t="s">
        <v>518</v>
      </c>
      <c r="C469" s="45" t="s">
        <v>326</v>
      </c>
      <c r="D469" s="45" t="str">
        <f>Table1[[#This Row],[City]]&amp;", "&amp;Table1[[#This Row],[State]]</f>
        <v>Dayton, OH</v>
      </c>
      <c r="E469" s="49">
        <v>56</v>
      </c>
      <c r="F469" s="50">
        <v>2</v>
      </c>
      <c r="G469" s="50" t="str">
        <f t="array" ref="G469">IFERROR(INDEX(Table2[1st Year],MATCH(1,(Table1[[#This Row],[Employer]]=Table2[EIW Name])*(Table1[[#This Row],[City, State]]=Table2[Offices Matched]),0)),"")</f>
        <v/>
      </c>
      <c r="H469" s="50" t="str">
        <f>_xlfn.IFNA(INDEX(saCAGR[CAGR],MATCH(Table1[[#This Row],[Employer]],saCAGR[EIW Name],0)),"")</f>
        <v/>
      </c>
      <c r="I469" s="50" t="str">
        <f>IFERROR(Table1[[#This Row],[SA CAGR]]*Table1[[#This Row],[Number of Summer 2016 2L SAs]],"")</f>
        <v/>
      </c>
      <c r="J469" s="50">
        <v>9</v>
      </c>
      <c r="K469" s="51">
        <f>IFERROR(Table1[[#This Row],[Number of Summer 2016 NYU 2L SAs]]/Table1[[#This Row],[Interview Slots]],0)</f>
        <v>0.16071428571428573</v>
      </c>
      <c r="L469" s="51">
        <f>Table1[[#This Row],[Number of Summer 2016 2L SAs]]/Table1[[#This Row],[Interview Slots]]</f>
        <v>3.5714285714285712E-2</v>
      </c>
      <c r="M469" s="51">
        <f>IFERROR(Table1[[#This Row],[Number of Summer 2016 NYU 2L SAs]]/Table1[[#This Row],[Number of Summer 2016 2L SAs]],0)</f>
        <v>4.5</v>
      </c>
      <c r="N469" s="50" t="str">
        <f>IFERROR(RIGHT(Table1[[#This Row],[1st year]],LEN(Table1[[#This Row],[1st year]])-FIND(":",Table1[[#This Row],[1st year]])-1),"")</f>
        <v/>
      </c>
      <c r="O469" s="50" t="str">
        <f t="array" ref="O469">IFERROR(INDEX(Table2[Nth year],MATCH(1,(Table1[[#This Row],[Employer]]=Table2[EIW Name])*(Table1[[#This Row],[City, State]]=Table2[Offices Matched]),0)),"")</f>
        <v/>
      </c>
      <c r="P469" s="50" t="str">
        <f>IFERROR(RIGHT(Table1[[#This Row],[Nth year]],LEN(Table1[[#This Row],[Nth year]])-FIND(":",Table1[[#This Row],[Nth year]])-1),"")</f>
        <v/>
      </c>
      <c r="Q469" s="50" t="str">
        <f t="array" ref="Q469">IFERROR(INDEX(Table2[Am Law 200 PPP Rank ’16],MATCH(1,(Table1[[#This Row],[Employer]]=Table2[EIW Name])*(Table1[[#This Row],[City, State]]=Table2[Offices Matched]),0)),"")</f>
        <v/>
      </c>
      <c r="R469" s="50" t="str">
        <f>IFERROR(LEFT(Table1[[#This Row],[Am Law 200 PPP Rank ’16]],FIND(":",Table1[[#This Row],[Am Law 200 PPP Rank ’16]])-1),"")</f>
        <v/>
      </c>
      <c r="S469" s="50" t="str">
        <f>IFERROR(INDEX(VaultRank[Rank],MATCH(Table1[[#This Row],[Employer]],VaultRank[EIW Name],0)),"")</f>
        <v/>
      </c>
      <c r="T469" s="50" t="str">
        <f t="array" ref="T469">IFERROR(INDEX(Table2[Summers Matched],MATCH(1,(Table1[[#This Row],[Employer]]=Table2[EIW Name])*(Table1[[#This Row],[City, State]]=Table2[Offices Matched]),0)),"")</f>
        <v/>
      </c>
      <c r="U469" s="52" t="str">
        <f t="shared" si="7"/>
        <v/>
      </c>
      <c r="V469" s="60"/>
      <c r="W469" s="114">
        <v>42594</v>
      </c>
      <c r="X469"/>
    </row>
    <row r="470" spans="1:24" ht="14.1" customHeight="1">
      <c r="A470" s="45" t="s">
        <v>453</v>
      </c>
      <c r="B470" s="45" t="s">
        <v>364</v>
      </c>
      <c r="C470" s="45" t="s">
        <v>362</v>
      </c>
      <c r="D470" s="45" t="str">
        <f>Table1[[#This Row],[City]]&amp;", "&amp;Table1[[#This Row],[State]]</f>
        <v>New York, NY</v>
      </c>
      <c r="E470" s="49">
        <v>158</v>
      </c>
      <c r="F470" s="50">
        <v>7</v>
      </c>
      <c r="G470" s="50" t="str">
        <f t="array" ref="G470">IFERROR(INDEX(Table2[1st Year],MATCH(1,(Table1[[#This Row],[Employer]]=Table2[EIW Name])*(Table1[[#This Row],[City, State]]=Table2[Offices Matched]),0)),"")</f>
        <v/>
      </c>
      <c r="H470" s="51" t="str">
        <f>_xlfn.IFNA(INDEX(saCAGR[CAGR],MATCH(Table1[[#This Row],[Employer]],saCAGR[EIW Name],0)),"")</f>
        <v/>
      </c>
      <c r="I470" s="50" t="str">
        <f>IFERROR(Table1[[#This Row],[SA CAGR]]*Table1[[#This Row],[Number of Summer 2016 2L SAs]],"")</f>
        <v/>
      </c>
      <c r="J470" s="50">
        <v>23</v>
      </c>
      <c r="K470" s="51">
        <f>IFERROR(Table1[[#This Row],[Number of Summer 2016 NYU 2L SAs]]/Table1[[#This Row],[Interview Slots]],0)</f>
        <v>0.14556962025316456</v>
      </c>
      <c r="L470" s="51">
        <f>Table1[[#This Row],[Number of Summer 2016 2L SAs]]/Table1[[#This Row],[Interview Slots]]</f>
        <v>4.4303797468354431E-2</v>
      </c>
      <c r="M470" s="51">
        <f>IFERROR(Table1[[#This Row],[Number of Summer 2016 NYU 2L SAs]]/Table1[[#This Row],[Number of Summer 2016 2L SAs]],0)</f>
        <v>3.2857142857142856</v>
      </c>
      <c r="N470" s="50" t="str">
        <f>IFERROR(RIGHT(Table1[[#This Row],[1st year]],LEN(Table1[[#This Row],[1st year]])-FIND(":",Table1[[#This Row],[1st year]])-1),"")</f>
        <v/>
      </c>
      <c r="O470" s="50" t="str">
        <f t="array" ref="O470">IFERROR(INDEX(Table2[Nth year],MATCH(1,(Table1[[#This Row],[Employer]]=Table2[EIW Name])*(Table1[[#This Row],[City, State]]=Table2[Offices Matched]),0)),"")</f>
        <v/>
      </c>
      <c r="P470" s="50" t="str">
        <f>IFERROR(RIGHT(Table1[[#This Row],[Nth year]],LEN(Table1[[#This Row],[Nth year]])-FIND(":",Table1[[#This Row],[Nth year]])-1),"")</f>
        <v/>
      </c>
      <c r="Q470" s="50" t="str">
        <f t="array" ref="Q470">IFERROR(INDEX(Table2[Am Law 200 PPP Rank ’16],MATCH(1,(Table1[[#This Row],[Employer]]=Table2[EIW Name])*(Table1[[#This Row],[City, State]]=Table2[Offices Matched]),0)),"")</f>
        <v/>
      </c>
      <c r="R470" s="50" t="str">
        <f>IFERROR(LEFT(Table1[[#This Row],[Am Law 200 PPP Rank ’16]],FIND(":",Table1[[#This Row],[Am Law 200 PPP Rank ’16]])-1),"")</f>
        <v/>
      </c>
      <c r="S470" s="50" t="str">
        <f>IFERROR(INDEX(VaultRank[Rank],MATCH(Table1[[#This Row],[Employer]],VaultRank[EIW Name],0)),"")</f>
        <v/>
      </c>
      <c r="T470" s="50" t="str">
        <f t="array" ref="T470">IFERROR(INDEX(Table2[Summers Matched],MATCH(1,(Table1[[#This Row],[Employer]]=Table2[EIW Name])*(Table1[[#This Row],[City, State]]=Table2[Offices Matched]),0)),"")</f>
        <v/>
      </c>
      <c r="U470" s="52" t="str">
        <f t="shared" si="7"/>
        <v/>
      </c>
      <c r="V470" s="60"/>
      <c r="W470" s="114">
        <v>42593</v>
      </c>
      <c r="X470"/>
    </row>
    <row r="471" spans="1:24" ht="14.1" customHeight="1">
      <c r="A471" s="45" t="s">
        <v>104</v>
      </c>
      <c r="B471" s="45" t="s">
        <v>364</v>
      </c>
      <c r="C471" s="45" t="s">
        <v>362</v>
      </c>
      <c r="D471" s="45" t="str">
        <f>Table1[[#This Row],[City]]&amp;", "&amp;Table1[[#This Row],[State]]</f>
        <v>New York, NY</v>
      </c>
      <c r="E471" s="49">
        <v>53</v>
      </c>
      <c r="F471" s="50">
        <v>2</v>
      </c>
      <c r="G471" s="50" t="str">
        <f t="array" ref="G471">IFERROR(INDEX(Table2[1st Year],MATCH(1,(Table1[[#This Row],[Employer]]=Table2[EIW Name])*(Table1[[#This Row],[City, State]]=Table2[Offices Matched]),0)),"")</f>
        <v>1st Year: $180K</v>
      </c>
      <c r="H471" s="50" t="str">
        <f>_xlfn.IFNA(INDEX(saCAGR[CAGR],MATCH(Table1[[#This Row],[Employer]],saCAGR[EIW Name],0)),"")</f>
        <v/>
      </c>
      <c r="I471" s="50" t="str">
        <f>IFERROR(Table1[[#This Row],[SA CAGR]]*Table1[[#This Row],[Number of Summer 2016 2L SAs]],"")</f>
        <v/>
      </c>
      <c r="J471" s="50">
        <v>13</v>
      </c>
      <c r="K471" s="51">
        <f>IFERROR(Table1[[#This Row],[Number of Summer 2016 NYU 2L SAs]]/Table1[[#This Row],[Interview Slots]],0)</f>
        <v>0.24528301886792453</v>
      </c>
      <c r="L471" s="51">
        <f>Table1[[#This Row],[Number of Summer 2016 2L SAs]]/Table1[[#This Row],[Interview Slots]]</f>
        <v>3.7735849056603772E-2</v>
      </c>
      <c r="M471" s="51">
        <f>IFERROR(Table1[[#This Row],[Number of Summer 2016 NYU 2L SAs]]/Table1[[#This Row],[Number of Summer 2016 2L SAs]],0)</f>
        <v>6.5</v>
      </c>
      <c r="N471" s="50" t="str">
        <f>IFERROR(RIGHT(Table1[[#This Row],[1st year]],LEN(Table1[[#This Row],[1st year]])-FIND(":",Table1[[#This Row],[1st year]])-1),"")</f>
        <v>$180K</v>
      </c>
      <c r="O471" s="50" t="str">
        <f t="array" ref="O471">IFERROR(INDEX(Table2[Nth year],MATCH(1,(Table1[[#This Row],[Employer]]=Table2[EIW Name])*(Table1[[#This Row],[City, State]]=Table2[Offices Matched]),0)),"")</f>
        <v>8th Year: $315K</v>
      </c>
      <c r="P471" s="50" t="str">
        <f>IFERROR(RIGHT(Table1[[#This Row],[Nth year]],LEN(Table1[[#This Row],[Nth year]])-FIND(":",Table1[[#This Row],[Nth year]])-1),"")</f>
        <v>$315K</v>
      </c>
      <c r="Q471" s="50" t="str">
        <f t="array" ref="Q471">IFERROR(INDEX(Table2[Am Law 200 PPP Rank ’16],MATCH(1,(Table1[[#This Row],[Employer]]=Table2[EIW Name])*(Table1[[#This Row],[City, State]]=Table2[Offices Matched]),0)),"")</f>
        <v>N/A</v>
      </c>
      <c r="R471" s="50" t="str">
        <f>IFERROR(LEFT(Table1[[#This Row],[Am Law 200 PPP Rank ’16]],FIND(":",Table1[[#This Row],[Am Law 200 PPP Rank ’16]])-1),"")</f>
        <v/>
      </c>
      <c r="S471" s="50" t="str">
        <f>IFERROR(INDEX(VaultRank[Rank],MATCH(Table1[[#This Row],[Employer]],VaultRank[EIW Name],0)),"")</f>
        <v/>
      </c>
      <c r="T471" s="50" t="str">
        <f t="array" ref="T471">IFERROR(INDEX(Table2[Summers Matched],MATCH(1,(Table1[[#This Row],[Employer]]=Table2[EIW Name])*(Table1[[#This Row],[City, State]]=Table2[Offices Matched]),0)),"")</f>
        <v>TBD</v>
      </c>
      <c r="U471" s="52" t="str">
        <f t="shared" si="7"/>
        <v/>
      </c>
      <c r="V471" s="60"/>
      <c r="W471" s="114">
        <v>42594</v>
      </c>
      <c r="X471"/>
    </row>
    <row r="472" spans="1:24" ht="14.1" customHeight="1">
      <c r="A472" s="45" t="s">
        <v>520</v>
      </c>
      <c r="B472" s="45" t="s">
        <v>301</v>
      </c>
      <c r="C472" s="45" t="s">
        <v>302</v>
      </c>
      <c r="D472" s="45" t="str">
        <f>Table1[[#This Row],[City]]&amp;", "&amp;Table1[[#This Row],[State]]</f>
        <v>Washington, DC</v>
      </c>
      <c r="E472" s="49">
        <v>88</v>
      </c>
      <c r="F472" s="50">
        <v>15</v>
      </c>
      <c r="G472" s="50" t="str">
        <f t="array" ref="G472">IFERROR(INDEX(Table2[1st Year],MATCH(1,(Table1[[#This Row],[Employer]]=Table2[EIW Name])*(Table1[[#This Row],[City, State]]=Table2[Offices Matched]),0)),"")</f>
        <v/>
      </c>
      <c r="H472" s="50">
        <f>_xlfn.IFNA(INDEX(saCAGR[CAGR],MATCH(Table1[[#This Row],[Employer]],saCAGR[EIW Name],0)),"")</f>
        <v>1.0223131068074527</v>
      </c>
      <c r="I472" s="50">
        <f>IFERROR(Table1[[#This Row],[SA CAGR]]*Table1[[#This Row],[Number of Summer 2016 2L SAs]],"")</f>
        <v>15.334696602111791</v>
      </c>
      <c r="J472" s="50">
        <v>2</v>
      </c>
      <c r="K472" s="51">
        <f>IFERROR(Table1[[#This Row],[Number of Summer 2016 NYU 2L SAs]]/Table1[[#This Row],[Interview Slots]],0)</f>
        <v>2.2727272727272728E-2</v>
      </c>
      <c r="L472" s="51">
        <f>Table1[[#This Row],[Number of Summer 2016 2L SAs]]/Table1[[#This Row],[Interview Slots]]</f>
        <v>0.17045454545454544</v>
      </c>
      <c r="M472" s="51">
        <f>IFERROR(Table1[[#This Row],[Number of Summer 2016 NYU 2L SAs]]/Table1[[#This Row],[Number of Summer 2016 2L SAs]],0)</f>
        <v>0.13333333333333333</v>
      </c>
      <c r="N472" s="50" t="str">
        <f>IFERROR(RIGHT(Table1[[#This Row],[1st year]],LEN(Table1[[#This Row],[1st year]])-FIND(":",Table1[[#This Row],[1st year]])-1),"")</f>
        <v/>
      </c>
      <c r="O472" s="50" t="str">
        <f t="array" ref="O472">IFERROR(INDEX(Table2[Nth year],MATCH(1,(Table1[[#This Row],[Employer]]=Table2[EIW Name])*(Table1[[#This Row],[City, State]]=Table2[Offices Matched]),0)),"")</f>
        <v/>
      </c>
      <c r="P472" s="50" t="str">
        <f>IFERROR(RIGHT(Table1[[#This Row],[Nth year]],LEN(Table1[[#This Row],[Nth year]])-FIND(":",Table1[[#This Row],[Nth year]])-1),"")</f>
        <v/>
      </c>
      <c r="Q472" s="50" t="str">
        <f t="array" ref="Q472">IFERROR(INDEX(Table2[Am Law 200 PPP Rank ’16],MATCH(1,(Table1[[#This Row],[Employer]]=Table2[EIW Name])*(Table1[[#This Row],[City, State]]=Table2[Offices Matched]),0)),"")</f>
        <v/>
      </c>
      <c r="R472" s="50" t="str">
        <f>IFERROR(LEFT(Table1[[#This Row],[Am Law 200 PPP Rank ’16]],FIND(":",Table1[[#This Row],[Am Law 200 PPP Rank ’16]])-1),"")</f>
        <v/>
      </c>
      <c r="S472" s="50">
        <f>IFERROR(INDEX(VaultRank[Rank],MATCH(Table1[[#This Row],[Employer]],VaultRank[EIW Name],0)),"")</f>
        <v>75</v>
      </c>
      <c r="T472" s="50" t="str">
        <f t="array" ref="T472">IFERROR(INDEX(Table2[Summers Matched],MATCH(1,(Table1[[#This Row],[Employer]]=Table2[EIW Name])*(Table1[[#This Row],[City, State]]=Table2[Offices Matched]),0)),"")</f>
        <v/>
      </c>
      <c r="U472" s="52" t="str">
        <f t="shared" si="7"/>
        <v/>
      </c>
      <c r="V472" s="60"/>
      <c r="W472" s="114">
        <v>42592</v>
      </c>
      <c r="X472"/>
    </row>
    <row r="473" spans="1:24" ht="14.1" customHeight="1">
      <c r="A473" s="45" t="s">
        <v>480</v>
      </c>
      <c r="B473" s="45" t="s">
        <v>364</v>
      </c>
      <c r="C473" s="45" t="s">
        <v>362</v>
      </c>
      <c r="D473" s="45" t="str">
        <f>Table1[[#This Row],[City]]&amp;", "&amp;Table1[[#This Row],[State]]</f>
        <v>New York, NY</v>
      </c>
      <c r="E473" s="49">
        <v>123</v>
      </c>
      <c r="F473" s="50">
        <v>2</v>
      </c>
      <c r="G473" s="50" t="str">
        <f t="array" ref="G473">IFERROR(INDEX(Table2[1st Year],MATCH(1,(Table1[[#This Row],[Employer]]=Table2[EIW Name])*(Table1[[#This Row],[City, State]]=Table2[Offices Matched]),0)),"")</f>
        <v/>
      </c>
      <c r="H473" s="50" t="str">
        <f>_xlfn.IFNA(INDEX(saCAGR[CAGR],MATCH(Table1[[#This Row],[Employer]],saCAGR[EIW Name],0)),"")</f>
        <v/>
      </c>
      <c r="I473" s="50" t="str">
        <f>IFERROR(Table1[[#This Row],[SA CAGR]]*Table1[[#This Row],[Number of Summer 2016 2L SAs]],"")</f>
        <v/>
      </c>
      <c r="J473" s="50">
        <v>6</v>
      </c>
      <c r="K473" s="51">
        <f>IFERROR(Table1[[#This Row],[Number of Summer 2016 NYU 2L SAs]]/Table1[[#This Row],[Interview Slots]],0)</f>
        <v>4.878048780487805E-2</v>
      </c>
      <c r="L473" s="51">
        <f>Table1[[#This Row],[Number of Summer 2016 2L SAs]]/Table1[[#This Row],[Interview Slots]]</f>
        <v>1.6260162601626018E-2</v>
      </c>
      <c r="M473" s="51">
        <f>IFERROR(Table1[[#This Row],[Number of Summer 2016 NYU 2L SAs]]/Table1[[#This Row],[Number of Summer 2016 2L SAs]],0)</f>
        <v>3</v>
      </c>
      <c r="N473" s="50" t="str">
        <f>IFERROR(RIGHT(Table1[[#This Row],[1st year]],LEN(Table1[[#This Row],[1st year]])-FIND(":",Table1[[#This Row],[1st year]])-1),"")</f>
        <v/>
      </c>
      <c r="O473" s="50" t="str">
        <f t="array" ref="O473">IFERROR(INDEX(Table2[Nth year],MATCH(1,(Table1[[#This Row],[Employer]]=Table2[EIW Name])*(Table1[[#This Row],[City, State]]=Table2[Offices Matched]),0)),"")</f>
        <v/>
      </c>
      <c r="P473" s="50" t="str">
        <f>IFERROR(RIGHT(Table1[[#This Row],[Nth year]],LEN(Table1[[#This Row],[Nth year]])-FIND(":",Table1[[#This Row],[Nth year]])-1),"")</f>
        <v/>
      </c>
      <c r="Q473" s="50" t="str">
        <f t="array" ref="Q473">IFERROR(INDEX(Table2[Am Law 200 PPP Rank ’16],MATCH(1,(Table1[[#This Row],[Employer]]=Table2[EIW Name])*(Table1[[#This Row],[City, State]]=Table2[Offices Matched]),0)),"")</f>
        <v/>
      </c>
      <c r="R473" s="50" t="str">
        <f>IFERROR(LEFT(Table1[[#This Row],[Am Law 200 PPP Rank ’16]],FIND(":",Table1[[#This Row],[Am Law 200 PPP Rank ’16]])-1),"")</f>
        <v/>
      </c>
      <c r="S473" s="50" t="str">
        <f>IFERROR(INDEX(VaultRank[Rank],MATCH(Table1[[#This Row],[Employer]],VaultRank[EIW Name],0)),"")</f>
        <v/>
      </c>
      <c r="T473" s="50" t="str">
        <f t="array" ref="T473">IFERROR(INDEX(Table2[Summers Matched],MATCH(1,(Table1[[#This Row],[Employer]]=Table2[EIW Name])*(Table1[[#This Row],[City, State]]=Table2[Offices Matched]),0)),"")</f>
        <v/>
      </c>
      <c r="U473" s="52" t="str">
        <f t="shared" si="7"/>
        <v/>
      </c>
      <c r="V473" s="60"/>
      <c r="W473" s="114">
        <v>42592</v>
      </c>
      <c r="X473"/>
    </row>
    <row r="474" spans="1:24" ht="14.1" customHeight="1">
      <c r="A474" s="45" t="s">
        <v>86</v>
      </c>
      <c r="B474" s="45" t="s">
        <v>301</v>
      </c>
      <c r="C474" s="45" t="s">
        <v>302</v>
      </c>
      <c r="D474" s="45" t="str">
        <f>Table1[[#This Row],[City]]&amp;", "&amp;Table1[[#This Row],[State]]</f>
        <v>Washington, DC</v>
      </c>
      <c r="E474" s="49">
        <v>80</v>
      </c>
      <c r="F474" s="50">
        <v>4</v>
      </c>
      <c r="G474" s="50" t="str">
        <f t="array" ref="G474">IFERROR(INDEX(Table2[1st Year],MATCH(1,(Table1[[#This Row],[Employer]]=Table2[EIW Name])*(Table1[[#This Row],[City, State]]=Table2[Offices Matched]),0)),"")</f>
        <v/>
      </c>
      <c r="H474" s="50">
        <f>_xlfn.IFNA(INDEX(saCAGR[CAGR],MATCH(Table1[[#This Row],[Employer]],saCAGR[EIW Name],0)),"")</f>
        <v>0.98930874523842427</v>
      </c>
      <c r="I474" s="50">
        <f>IFERROR(Table1[[#This Row],[SA CAGR]]*Table1[[#This Row],[Number of Summer 2016 2L SAs]],"")</f>
        <v>3.9572349809536971</v>
      </c>
      <c r="J474" s="50">
        <v>7</v>
      </c>
      <c r="K474" s="51">
        <f>IFERROR(Table1[[#This Row],[Number of Summer 2016 NYU 2L SAs]]/Table1[[#This Row],[Interview Slots]],0)</f>
        <v>8.7499999999999994E-2</v>
      </c>
      <c r="L474" s="51">
        <f>Table1[[#This Row],[Number of Summer 2016 2L SAs]]/Table1[[#This Row],[Interview Slots]]</f>
        <v>0.05</v>
      </c>
      <c r="M474" s="51">
        <f>IFERROR(Table1[[#This Row],[Number of Summer 2016 NYU 2L SAs]]/Table1[[#This Row],[Number of Summer 2016 2L SAs]],0)</f>
        <v>1.75</v>
      </c>
      <c r="N474" s="50" t="str">
        <f>IFERROR(RIGHT(Table1[[#This Row],[1st year]],LEN(Table1[[#This Row],[1st year]])-FIND(":",Table1[[#This Row],[1st year]])-1),"")</f>
        <v/>
      </c>
      <c r="O474" s="50" t="str">
        <f t="array" ref="O474">IFERROR(INDEX(Table2[Nth year],MATCH(1,(Table1[[#This Row],[Employer]]=Table2[EIW Name])*(Table1[[#This Row],[City, State]]=Table2[Offices Matched]),0)),"")</f>
        <v/>
      </c>
      <c r="P474" s="50" t="str">
        <f>IFERROR(RIGHT(Table1[[#This Row],[Nth year]],LEN(Table1[[#This Row],[Nth year]])-FIND(":",Table1[[#This Row],[Nth year]])-1),"")</f>
        <v/>
      </c>
      <c r="Q474" s="50" t="str">
        <f t="array" ref="Q474">IFERROR(INDEX(Table2[Am Law 200 PPP Rank ’16],MATCH(1,(Table1[[#This Row],[Employer]]=Table2[EIW Name])*(Table1[[#This Row],[City, State]]=Table2[Offices Matched]),0)),"")</f>
        <v/>
      </c>
      <c r="R474" s="50" t="str">
        <f>IFERROR(LEFT(Table1[[#This Row],[Am Law 200 PPP Rank ’16]],FIND(":",Table1[[#This Row],[Am Law 200 PPP Rank ’16]])-1),"")</f>
        <v/>
      </c>
      <c r="S474" s="50">
        <f>IFERROR(INDEX(VaultRank[Rank],MATCH(Table1[[#This Row],[Employer]],VaultRank[EIW Name],0)),"")</f>
        <v>62</v>
      </c>
      <c r="T474" s="50" t="str">
        <f t="array" ref="T474">IFERROR(INDEX(Table2[Summers Matched],MATCH(1,(Table1[[#This Row],[Employer]]=Table2[EIW Name])*(Table1[[#This Row],[City, State]]=Table2[Offices Matched]),0)),"")</f>
        <v/>
      </c>
      <c r="U474" s="52" t="str">
        <f t="shared" si="7"/>
        <v/>
      </c>
      <c r="V474" s="60"/>
      <c r="W474" s="114">
        <v>42595</v>
      </c>
      <c r="X474"/>
    </row>
    <row r="475" spans="1:24" ht="14.1" customHeight="1">
      <c r="A475" s="45" t="s">
        <v>86</v>
      </c>
      <c r="B475" s="45" t="s">
        <v>338</v>
      </c>
      <c r="C475" s="45" t="s">
        <v>314</v>
      </c>
      <c r="D475" s="45" t="str">
        <f>Table1[[#This Row],[City]]&amp;", "&amp;Table1[[#This Row],[State]]</f>
        <v>Austin, TX</v>
      </c>
      <c r="E475" s="49">
        <v>13</v>
      </c>
      <c r="F475" s="50">
        <v>2</v>
      </c>
      <c r="G475" s="50" t="str">
        <f t="array" ref="G475">IFERROR(INDEX(Table2[1st Year],MATCH(1,(Table1[[#This Row],[Employer]]=Table2[EIW Name])*(Table1[[#This Row],[City, State]]=Table2[Offices Matched]),0)),"")</f>
        <v>1st Year: $180K</v>
      </c>
      <c r="H475" s="50">
        <f>_xlfn.IFNA(INDEX(saCAGR[CAGR],MATCH(Table1[[#This Row],[Employer]],saCAGR[EIW Name],0)),"")</f>
        <v>0.98930874523842427</v>
      </c>
      <c r="I475" s="50">
        <f>IFERROR(Table1[[#This Row],[SA CAGR]]*Table1[[#This Row],[Number of Summer 2016 2L SAs]],"")</f>
        <v>1.9786174904768485</v>
      </c>
      <c r="J475" s="50">
        <v>11</v>
      </c>
      <c r="K475" s="51">
        <f>IFERROR(Table1[[#This Row],[Number of Summer 2016 NYU 2L SAs]]/Table1[[#This Row],[Interview Slots]],0)</f>
        <v>0.84615384615384615</v>
      </c>
      <c r="L475" s="51">
        <f>Table1[[#This Row],[Number of Summer 2016 2L SAs]]/Table1[[#This Row],[Interview Slots]]</f>
        <v>0.15384615384615385</v>
      </c>
      <c r="M475" s="51">
        <f>IFERROR(Table1[[#This Row],[Number of Summer 2016 NYU 2L SAs]]/Table1[[#This Row],[Number of Summer 2016 2L SAs]],0)</f>
        <v>5.5</v>
      </c>
      <c r="N475" s="50" t="str">
        <f>IFERROR(RIGHT(Table1[[#This Row],[1st year]],LEN(Table1[[#This Row],[1st year]])-FIND(":",Table1[[#This Row],[1st year]])-1),"")</f>
        <v>$180K</v>
      </c>
      <c r="O475" s="50" t="str">
        <f t="array" ref="O475">IFERROR(INDEX(Table2[Nth year],MATCH(1,(Table1[[#This Row],[Employer]]=Table2[EIW Name])*(Table1[[#This Row],[City, State]]=Table2[Offices Matched]),0)),"")</f>
        <v>8th Year: $315K</v>
      </c>
      <c r="P475" s="50" t="str">
        <f>IFERROR(RIGHT(Table1[[#This Row],[Nth year]],LEN(Table1[[#This Row],[Nth year]])-FIND(":",Table1[[#This Row],[Nth year]])-1),"")</f>
        <v>$315K</v>
      </c>
      <c r="Q475" s="50" t="str">
        <f t="array" ref="Q475">IFERROR(INDEX(Table2[Am Law 200 PPP Rank ’16],MATCH(1,(Table1[[#This Row],[Employer]]=Table2[EIW Name])*(Table1[[#This Row],[City, State]]=Table2[Offices Matched]),0)),"")</f>
        <v>36: $1.89M</v>
      </c>
      <c r="R475" s="50" t="str">
        <f>IFERROR(LEFT(Table1[[#This Row],[Am Law 200 PPP Rank ’16]],FIND(":",Table1[[#This Row],[Am Law 200 PPP Rank ’16]])-1),"")</f>
        <v>36</v>
      </c>
      <c r="S475" s="50">
        <f>IFERROR(INDEX(VaultRank[Rank],MATCH(Table1[[#This Row],[Employer]],VaultRank[EIW Name],0)),"")</f>
        <v>62</v>
      </c>
      <c r="T475" s="50" t="str">
        <f t="array" ref="T475">IFERROR(INDEX(Table2[Summers Matched],MATCH(1,(Table1[[#This Row],[Employer]]=Table2[EIW Name])*(Table1[[#This Row],[City, State]]=Table2[Offices Matched]),0)),"")</f>
        <v>Yes</v>
      </c>
      <c r="U475" s="52" t="str">
        <f t="shared" si="7"/>
        <v/>
      </c>
      <c r="V475" s="60"/>
      <c r="W475" s="114">
        <v>42592</v>
      </c>
      <c r="X475"/>
    </row>
    <row r="476" spans="1:24" ht="14.1" customHeight="1">
      <c r="A476" s="45" t="s">
        <v>86</v>
      </c>
      <c r="B476" s="45" t="s">
        <v>313</v>
      </c>
      <c r="C476" s="45" t="s">
        <v>314</v>
      </c>
      <c r="D476" s="45" t="str">
        <f>Table1[[#This Row],[City]]&amp;", "&amp;Table1[[#This Row],[State]]</f>
        <v>Dallas, TX</v>
      </c>
      <c r="E476" s="49">
        <v>108</v>
      </c>
      <c r="F476" s="50">
        <v>10</v>
      </c>
      <c r="G476" s="50" t="str">
        <f t="array" ref="G476">IFERROR(INDEX(Table2[1st Year],MATCH(1,(Table1[[#This Row],[Employer]]=Table2[EIW Name])*(Table1[[#This Row],[City, State]]=Table2[Offices Matched]),0)),"")</f>
        <v>1st Year: $180K</v>
      </c>
      <c r="H476" s="50">
        <f>_xlfn.IFNA(INDEX(saCAGR[CAGR],MATCH(Table1[[#This Row],[Employer]],saCAGR[EIW Name],0)),"")</f>
        <v>0.98930874523842427</v>
      </c>
      <c r="I476" s="50">
        <f>IFERROR(Table1[[#This Row],[SA CAGR]]*Table1[[#This Row],[Number of Summer 2016 2L SAs]],"")</f>
        <v>9.8930874523842434</v>
      </c>
      <c r="J476" s="50">
        <v>0</v>
      </c>
      <c r="K476" s="51">
        <f>IFERROR(Table1[[#This Row],[Number of Summer 2016 NYU 2L SAs]]/Table1[[#This Row],[Interview Slots]],0)</f>
        <v>0</v>
      </c>
      <c r="L476" s="51">
        <f>Table1[[#This Row],[Number of Summer 2016 2L SAs]]/Table1[[#This Row],[Interview Slots]]</f>
        <v>9.2592592592592587E-2</v>
      </c>
      <c r="M476" s="51">
        <f>IFERROR(Table1[[#This Row],[Number of Summer 2016 NYU 2L SAs]]/Table1[[#This Row],[Number of Summer 2016 2L SAs]],0)</f>
        <v>0</v>
      </c>
      <c r="N476" s="50" t="str">
        <f>IFERROR(RIGHT(Table1[[#This Row],[1st year]],LEN(Table1[[#This Row],[1st year]])-FIND(":",Table1[[#This Row],[1st year]])-1),"")</f>
        <v>$180K</v>
      </c>
      <c r="O476" s="50" t="str">
        <f t="array" ref="O476">IFERROR(INDEX(Table2[Nth year],MATCH(1,(Table1[[#This Row],[Employer]]=Table2[EIW Name])*(Table1[[#This Row],[City, State]]=Table2[Offices Matched]),0)),"")</f>
        <v>8th Year: $315K</v>
      </c>
      <c r="P476" s="50" t="str">
        <f>IFERROR(RIGHT(Table1[[#This Row],[Nth year]],LEN(Table1[[#This Row],[Nth year]])-FIND(":",Table1[[#This Row],[Nth year]])-1),"")</f>
        <v>$315K</v>
      </c>
      <c r="Q476" s="50" t="str">
        <f t="array" ref="Q476">IFERROR(INDEX(Table2[Am Law 200 PPP Rank ’16],MATCH(1,(Table1[[#This Row],[Employer]]=Table2[EIW Name])*(Table1[[#This Row],[City, State]]=Table2[Offices Matched]),0)),"")</f>
        <v>36: $1.89M</v>
      </c>
      <c r="R476" s="50" t="str">
        <f>IFERROR(LEFT(Table1[[#This Row],[Am Law 200 PPP Rank ’16]],FIND(":",Table1[[#This Row],[Am Law 200 PPP Rank ’16]])-1),"")</f>
        <v>36</v>
      </c>
      <c r="S476" s="50">
        <f>IFERROR(INDEX(VaultRank[Rank],MATCH(Table1[[#This Row],[Employer]],VaultRank[EIW Name],0)),"")</f>
        <v>62</v>
      </c>
      <c r="T476" s="50" t="str">
        <f t="array" ref="T476">IFERROR(INDEX(Table2[Summers Matched],MATCH(1,(Table1[[#This Row],[Employer]]=Table2[EIW Name])*(Table1[[#This Row],[City, State]]=Table2[Offices Matched]),0)),"")</f>
        <v>Yes</v>
      </c>
      <c r="U476" s="52" t="str">
        <f t="shared" si="7"/>
        <v/>
      </c>
      <c r="V476" s="60"/>
      <c r="W476" s="114">
        <v>42595</v>
      </c>
      <c r="X476"/>
    </row>
    <row r="477" spans="1:24" ht="14.1" customHeight="1">
      <c r="A477" s="45" t="s">
        <v>86</v>
      </c>
      <c r="B477" s="45" t="s">
        <v>331</v>
      </c>
      <c r="C477" s="45" t="s">
        <v>314</v>
      </c>
      <c r="D477" s="45" t="str">
        <f>Table1[[#This Row],[City]]&amp;", "&amp;Table1[[#This Row],[State]]</f>
        <v>Houston, TX</v>
      </c>
      <c r="E477" s="49">
        <v>141</v>
      </c>
      <c r="F477" s="50">
        <v>23</v>
      </c>
      <c r="G477" s="50" t="str">
        <f t="array" ref="G477">IFERROR(INDEX(Table2[1st Year],MATCH(1,(Table1[[#This Row],[Employer]]=Table2[EIW Name])*(Table1[[#This Row],[City, State]]=Table2[Offices Matched]),0)),"")</f>
        <v>1st Year: $180K</v>
      </c>
      <c r="H477" s="50">
        <f>_xlfn.IFNA(INDEX(saCAGR[CAGR],MATCH(Table1[[#This Row],[Employer]],saCAGR[EIW Name],0)),"")</f>
        <v>0.98930874523842427</v>
      </c>
      <c r="I477" s="50">
        <f>IFERROR(Table1[[#This Row],[SA CAGR]]*Table1[[#This Row],[Number of Summer 2016 2L SAs]],"")</f>
        <v>22.754101140483758</v>
      </c>
      <c r="J477" s="50">
        <v>15</v>
      </c>
      <c r="K477" s="51">
        <f>IFERROR(Table1[[#This Row],[Number of Summer 2016 NYU 2L SAs]]/Table1[[#This Row],[Interview Slots]],0)</f>
        <v>0.10638297872340426</v>
      </c>
      <c r="L477" s="51">
        <f>Table1[[#This Row],[Number of Summer 2016 2L SAs]]/Table1[[#This Row],[Interview Slots]]</f>
        <v>0.16312056737588654</v>
      </c>
      <c r="M477" s="51">
        <f>IFERROR(Table1[[#This Row],[Number of Summer 2016 NYU 2L SAs]]/Table1[[#This Row],[Number of Summer 2016 2L SAs]],0)</f>
        <v>0.65217391304347827</v>
      </c>
      <c r="N477" s="50" t="str">
        <f>IFERROR(RIGHT(Table1[[#This Row],[1st year]],LEN(Table1[[#This Row],[1st year]])-FIND(":",Table1[[#This Row],[1st year]])-1),"")</f>
        <v>$180K</v>
      </c>
      <c r="O477" s="50" t="str">
        <f t="array" ref="O477">IFERROR(INDEX(Table2[Nth year],MATCH(1,(Table1[[#This Row],[Employer]]=Table2[EIW Name])*(Table1[[#This Row],[City, State]]=Table2[Offices Matched]),0)),"")</f>
        <v>8th Year: $315K</v>
      </c>
      <c r="P477" s="50" t="str">
        <f>IFERROR(RIGHT(Table1[[#This Row],[Nth year]],LEN(Table1[[#This Row],[Nth year]])-FIND(":",Table1[[#This Row],[Nth year]])-1),"")</f>
        <v>$315K</v>
      </c>
      <c r="Q477" s="50" t="str">
        <f t="array" ref="Q477">IFERROR(INDEX(Table2[Am Law 200 PPP Rank ’16],MATCH(1,(Table1[[#This Row],[Employer]]=Table2[EIW Name])*(Table1[[#This Row],[City, State]]=Table2[Offices Matched]),0)),"")</f>
        <v>36: $1.89M</v>
      </c>
      <c r="R477" s="50" t="str">
        <f>IFERROR(LEFT(Table1[[#This Row],[Am Law 200 PPP Rank ’16]],FIND(":",Table1[[#This Row],[Am Law 200 PPP Rank ’16]])-1),"")</f>
        <v>36</v>
      </c>
      <c r="S477" s="50">
        <f>IFERROR(INDEX(VaultRank[Rank],MATCH(Table1[[#This Row],[Employer]],VaultRank[EIW Name],0)),"")</f>
        <v>62</v>
      </c>
      <c r="T477" s="50" t="str">
        <f t="array" ref="T477">IFERROR(INDEX(Table2[Summers Matched],MATCH(1,(Table1[[#This Row],[Employer]]=Table2[EIW Name])*(Table1[[#This Row],[City, State]]=Table2[Offices Matched]),0)),"")</f>
        <v>Yes</v>
      </c>
      <c r="U477" s="52" t="str">
        <f t="shared" si="7"/>
        <v/>
      </c>
      <c r="V477" s="60"/>
      <c r="W477" s="114">
        <v>42595</v>
      </c>
      <c r="X477"/>
    </row>
    <row r="478" spans="1:24" ht="14.1" customHeight="1">
      <c r="A478" s="45" t="s">
        <v>488</v>
      </c>
      <c r="B478" s="45" t="s">
        <v>364</v>
      </c>
      <c r="C478" s="45" t="s">
        <v>362</v>
      </c>
      <c r="D478" s="45" t="str">
        <f>Table1[[#This Row],[City]]&amp;", "&amp;Table1[[#This Row],[State]]</f>
        <v>New York, NY</v>
      </c>
      <c r="E478" s="49">
        <v>128</v>
      </c>
      <c r="F478" s="50">
        <v>3</v>
      </c>
      <c r="G478" s="50" t="str">
        <f t="array" ref="G478">IFERROR(INDEX(Table2[1st Year],MATCH(1,(Table1[[#This Row],[Employer]]=Table2[EIW Name])*(Table1[[#This Row],[City, State]]=Table2[Offices Matched]),0)),"")</f>
        <v>1st Year: $170K</v>
      </c>
      <c r="H478" s="50" t="str">
        <f>_xlfn.IFNA(INDEX(saCAGR[CAGR],MATCH(Table1[[#This Row],[Employer]],saCAGR[EIW Name],0)),"")</f>
        <v/>
      </c>
      <c r="I478" s="50" t="str">
        <f>IFERROR(Table1[[#This Row],[SA CAGR]]*Table1[[#This Row],[Number of Summer 2016 2L SAs]],"")</f>
        <v/>
      </c>
      <c r="J478" s="50">
        <v>25</v>
      </c>
      <c r="K478" s="51">
        <f>IFERROR(Table1[[#This Row],[Number of Summer 2016 NYU 2L SAs]]/Table1[[#This Row],[Interview Slots]],0)</f>
        <v>0.1953125</v>
      </c>
      <c r="L478" s="51">
        <f>Table1[[#This Row],[Number of Summer 2016 2L SAs]]/Table1[[#This Row],[Interview Slots]]</f>
        <v>2.34375E-2</v>
      </c>
      <c r="M478" s="51">
        <f>IFERROR(Table1[[#This Row],[Number of Summer 2016 NYU 2L SAs]]/Table1[[#This Row],[Number of Summer 2016 2L SAs]],0)</f>
        <v>8.3333333333333339</v>
      </c>
      <c r="N478" s="50" t="str">
        <f>IFERROR(RIGHT(Table1[[#This Row],[1st year]],LEN(Table1[[#This Row],[1st year]])-FIND(":",Table1[[#This Row],[1st year]])-1),"")</f>
        <v>$170K</v>
      </c>
      <c r="O478" s="50" t="str">
        <f t="array" ref="O478">IFERROR(INDEX(Table2[Nth year],MATCH(1,(Table1[[#This Row],[Employer]]=Table2[EIW Name])*(Table1[[#This Row],[City, State]]=Table2[Offices Matched]),0)),"")</f>
        <v>Others: TBD</v>
      </c>
      <c r="P478" s="50" t="str">
        <f>IFERROR(RIGHT(Table1[[#This Row],[Nth year]],LEN(Table1[[#This Row],[Nth year]])-FIND(":",Table1[[#This Row],[Nth year]])-1),"")</f>
        <v>TBD</v>
      </c>
      <c r="Q478" s="50" t="str">
        <f t="array" ref="Q478">IFERROR(INDEX(Table2[Am Law 200 PPP Rank ’16],MATCH(1,(Table1[[#This Row],[Employer]]=Table2[EIW Name])*(Table1[[#This Row],[City, State]]=Table2[Offices Matched]),0)),"")</f>
        <v>N/A</v>
      </c>
      <c r="R478" s="50" t="str">
        <f>IFERROR(LEFT(Table1[[#This Row],[Am Law 200 PPP Rank ’16]],FIND(":",Table1[[#This Row],[Am Law 200 PPP Rank ’16]])-1),"")</f>
        <v/>
      </c>
      <c r="S478" s="50" t="str">
        <f>IFERROR(INDEX(VaultRank[Rank],MATCH(Table1[[#This Row],[Employer]],VaultRank[EIW Name],0)),"")</f>
        <v/>
      </c>
      <c r="T478" s="50" t="str">
        <f t="array" ref="T478">IFERROR(INDEX(Table2[Summers Matched],MATCH(1,(Table1[[#This Row],[Employer]]=Table2[EIW Name])*(Table1[[#This Row],[City, State]]=Table2[Offices Matched]),0)),"")</f>
        <v>Yes</v>
      </c>
      <c r="U478" s="52" t="str">
        <f t="shared" si="7"/>
        <v/>
      </c>
      <c r="V478" s="60"/>
      <c r="W478" s="114">
        <v>42593</v>
      </c>
      <c r="X478"/>
    </row>
    <row r="479" spans="1:24" ht="14.1" customHeight="1">
      <c r="A479" s="45" t="s">
        <v>498</v>
      </c>
      <c r="B479" s="45" t="s">
        <v>364</v>
      </c>
      <c r="C479" s="45" t="s">
        <v>362</v>
      </c>
      <c r="D479" s="45" t="str">
        <f>Table1[[#This Row],[City]]&amp;", "&amp;Table1[[#This Row],[State]]</f>
        <v>New York, NY</v>
      </c>
      <c r="E479" s="49">
        <v>63</v>
      </c>
      <c r="F479" s="50">
        <v>2</v>
      </c>
      <c r="G479" s="50" t="str">
        <f t="array" ref="G479">IFERROR(INDEX(Table2[1st Year],MATCH(1,(Table1[[#This Row],[Employer]]=Table2[EIW Name])*(Table1[[#This Row],[City, State]]=Table2[Offices Matched]),0)),"")</f>
        <v/>
      </c>
      <c r="H479" s="50" t="str">
        <f>_xlfn.IFNA(INDEX(saCAGR[CAGR],MATCH(Table1[[#This Row],[Employer]],saCAGR[EIW Name],0)),"")</f>
        <v/>
      </c>
      <c r="I479" s="50" t="str">
        <f>IFERROR(Table1[[#This Row],[SA CAGR]]*Table1[[#This Row],[Number of Summer 2016 2L SAs]],"")</f>
        <v/>
      </c>
      <c r="J479" s="50">
        <v>0</v>
      </c>
      <c r="K479" s="51">
        <f>IFERROR(Table1[[#This Row],[Number of Summer 2016 NYU 2L SAs]]/Table1[[#This Row],[Interview Slots]],0)</f>
        <v>0</v>
      </c>
      <c r="L479" s="51">
        <f>Table1[[#This Row],[Number of Summer 2016 2L SAs]]/Table1[[#This Row],[Interview Slots]]</f>
        <v>3.1746031746031744E-2</v>
      </c>
      <c r="M479" s="51">
        <f>IFERROR(Table1[[#This Row],[Number of Summer 2016 NYU 2L SAs]]/Table1[[#This Row],[Number of Summer 2016 2L SAs]],0)</f>
        <v>0</v>
      </c>
      <c r="N479" s="50" t="str">
        <f>IFERROR(RIGHT(Table1[[#This Row],[1st year]],LEN(Table1[[#This Row],[1st year]])-FIND(":",Table1[[#This Row],[1st year]])-1),"")</f>
        <v/>
      </c>
      <c r="O479" s="50" t="str">
        <f t="array" ref="O479">IFERROR(INDEX(Table2[Nth year],MATCH(1,(Table1[[#This Row],[Employer]]=Table2[EIW Name])*(Table1[[#This Row],[City, State]]=Table2[Offices Matched]),0)),"")</f>
        <v/>
      </c>
      <c r="P479" s="50" t="str">
        <f>IFERROR(RIGHT(Table1[[#This Row],[Nth year]],LEN(Table1[[#This Row],[Nth year]])-FIND(":",Table1[[#This Row],[Nth year]])-1),"")</f>
        <v/>
      </c>
      <c r="Q479" s="50" t="str">
        <f t="array" ref="Q479">IFERROR(INDEX(Table2[Am Law 200 PPP Rank ’16],MATCH(1,(Table1[[#This Row],[Employer]]=Table2[EIW Name])*(Table1[[#This Row],[City, State]]=Table2[Offices Matched]),0)),"")</f>
        <v/>
      </c>
      <c r="R479" s="50" t="str">
        <f>IFERROR(LEFT(Table1[[#This Row],[Am Law 200 PPP Rank ’16]],FIND(":",Table1[[#This Row],[Am Law 200 PPP Rank ’16]])-1),"")</f>
        <v/>
      </c>
      <c r="S479" s="50" t="str">
        <f>IFERROR(INDEX(VaultRank[Rank],MATCH(Table1[[#This Row],[Employer]],VaultRank[EIW Name],0)),"")</f>
        <v/>
      </c>
      <c r="T479" s="50" t="str">
        <f t="array" ref="T479">IFERROR(INDEX(Table2[Summers Matched],MATCH(1,(Table1[[#This Row],[Employer]]=Table2[EIW Name])*(Table1[[#This Row],[City, State]]=Table2[Offices Matched]),0)),"")</f>
        <v/>
      </c>
      <c r="U479" s="52" t="str">
        <f t="shared" si="7"/>
        <v/>
      </c>
      <c r="V479" s="60"/>
      <c r="W479" s="114">
        <v>42592</v>
      </c>
      <c r="X479"/>
    </row>
    <row r="480" spans="1:24" ht="14.1" customHeight="1">
      <c r="A480" s="45" t="s">
        <v>522</v>
      </c>
      <c r="B480" s="45" t="s">
        <v>523</v>
      </c>
      <c r="C480" s="45" t="s">
        <v>300</v>
      </c>
      <c r="D480" s="45" t="str">
        <f>Table1[[#This Row],[City]]&amp;", "&amp;Table1[[#This Row],[State]]</f>
        <v>Redwood Shores, CA</v>
      </c>
      <c r="E480" s="49">
        <v>111</v>
      </c>
      <c r="F480" s="50">
        <v>7</v>
      </c>
      <c r="G480" s="50" t="str">
        <f t="array" ref="G480">IFERROR(INDEX(Table2[1st Year],MATCH(1,(Table1[[#This Row],[Employer]]=Table2[EIW Name])*(Table1[[#This Row],[City, State]]=Table2[Offices Matched]),0)),"")</f>
        <v>1st Year: $180K</v>
      </c>
      <c r="H480" s="50">
        <f>_xlfn.IFNA(INDEX(saCAGR[CAGR],MATCH(Table1[[#This Row],[Employer]],saCAGR[EIW Name],0)),"")</f>
        <v>1.0249244100065287</v>
      </c>
      <c r="I480" s="50">
        <f>IFERROR(Table1[[#This Row],[SA CAGR]]*Table1[[#This Row],[Number of Summer 2016 2L SAs]],"")</f>
        <v>7.1744708700457007</v>
      </c>
      <c r="J480" s="50">
        <v>12</v>
      </c>
      <c r="K480" s="51">
        <f>IFERROR(Table1[[#This Row],[Number of Summer 2016 NYU 2L SAs]]/Table1[[#This Row],[Interview Slots]],0)</f>
        <v>0.10810810810810811</v>
      </c>
      <c r="L480" s="51">
        <f>Table1[[#This Row],[Number of Summer 2016 2L SAs]]/Table1[[#This Row],[Interview Slots]]</f>
        <v>6.3063063063063057E-2</v>
      </c>
      <c r="M480" s="51">
        <f>IFERROR(Table1[[#This Row],[Number of Summer 2016 NYU 2L SAs]]/Table1[[#This Row],[Number of Summer 2016 2L SAs]],0)</f>
        <v>1.7142857142857142</v>
      </c>
      <c r="N480" s="50" t="str">
        <f>IFERROR(RIGHT(Table1[[#This Row],[1st year]],LEN(Table1[[#This Row],[1st year]])-FIND(":",Table1[[#This Row],[1st year]])-1),"")</f>
        <v>$180K</v>
      </c>
      <c r="O480" s="50" t="str">
        <f t="array" ref="O480">IFERROR(INDEX(Table2[Nth year],MATCH(1,(Table1[[#This Row],[Employer]]=Table2[EIW Name])*(Table1[[#This Row],[City, State]]=Table2[Offices Matched]),0)),"")</f>
        <v>9th Year: $325K</v>
      </c>
      <c r="P480" s="50" t="str">
        <f>IFERROR(RIGHT(Table1[[#This Row],[Nth year]],LEN(Table1[[#This Row],[Nth year]])-FIND(":",Table1[[#This Row],[Nth year]])-1),"")</f>
        <v>$325K</v>
      </c>
      <c r="Q480" s="50" t="str">
        <f t="array" ref="Q480">IFERROR(INDEX(Table2[Am Law 200 PPP Rank ’16],MATCH(1,(Table1[[#This Row],[Employer]]=Table2[EIW Name])*(Table1[[#This Row],[City, State]]=Table2[Offices Matched]),0)),"")</f>
        <v>20: $2.52M</v>
      </c>
      <c r="R480" s="50" t="str">
        <f>IFERROR(LEFT(Table1[[#This Row],[Am Law 200 PPP Rank ’16]],FIND(":",Table1[[#This Row],[Am Law 200 PPP Rank ’16]])-1),"")</f>
        <v>20</v>
      </c>
      <c r="S480" s="50">
        <f>IFERROR(INDEX(VaultRank[Rank],MATCH(Table1[[#This Row],[Employer]],VaultRank[EIW Name],0)),"")</f>
        <v>11</v>
      </c>
      <c r="T480" s="50" t="str">
        <f t="array" ref="T480">IFERROR(INDEX(Table2[Summers Matched],MATCH(1,(Table1[[#This Row],[Employer]]=Table2[EIW Name])*(Table1[[#This Row],[City, State]]=Table2[Offices Matched]),0)),"")</f>
        <v>Yes</v>
      </c>
      <c r="U480" s="52">
        <f t="shared" si="7"/>
        <v>3.4</v>
      </c>
      <c r="V480" s="60"/>
      <c r="W480" s="114">
        <v>42592</v>
      </c>
      <c r="X480"/>
    </row>
    <row r="481" spans="1:24" ht="14.1" customHeight="1">
      <c r="A481" s="45" t="s">
        <v>522</v>
      </c>
      <c r="B481" s="45" t="s">
        <v>337</v>
      </c>
      <c r="C481" s="45" t="s">
        <v>324</v>
      </c>
      <c r="D481" s="45" t="str">
        <f>Table1[[#This Row],[City]]&amp;", "&amp;Table1[[#This Row],[State]]</f>
        <v>Miami, FL</v>
      </c>
      <c r="E481" s="49">
        <v>133</v>
      </c>
      <c r="F481" s="50">
        <v>2</v>
      </c>
      <c r="G481" s="50" t="str">
        <f t="array" ref="G481">IFERROR(INDEX(Table2[1st Year],MATCH(1,(Table1[[#This Row],[Employer]]=Table2[EIW Name])*(Table1[[#This Row],[City, State]]=Table2[Offices Matched]),0)),"")</f>
        <v>1st Year: $180K</v>
      </c>
      <c r="H481" s="50">
        <f>_xlfn.IFNA(INDEX(saCAGR[CAGR],MATCH(Table1[[#This Row],[Employer]],saCAGR[EIW Name],0)),"")</f>
        <v>1.0249244100065287</v>
      </c>
      <c r="I481" s="50">
        <f>IFERROR(Table1[[#This Row],[SA CAGR]]*Table1[[#This Row],[Number of Summer 2016 2L SAs]],"")</f>
        <v>2.0498488200130573</v>
      </c>
      <c r="J481" s="50">
        <v>3</v>
      </c>
      <c r="K481" s="51">
        <f>IFERROR(Table1[[#This Row],[Number of Summer 2016 NYU 2L SAs]]/Table1[[#This Row],[Interview Slots]],0)</f>
        <v>2.2556390977443608E-2</v>
      </c>
      <c r="L481" s="51">
        <f>Table1[[#This Row],[Number of Summer 2016 2L SAs]]/Table1[[#This Row],[Interview Slots]]</f>
        <v>1.5037593984962405E-2</v>
      </c>
      <c r="M481" s="51">
        <f>IFERROR(Table1[[#This Row],[Number of Summer 2016 NYU 2L SAs]]/Table1[[#This Row],[Number of Summer 2016 2L SAs]],0)</f>
        <v>1.5</v>
      </c>
      <c r="N481" s="50" t="str">
        <f>IFERROR(RIGHT(Table1[[#This Row],[1st year]],LEN(Table1[[#This Row],[1st year]])-FIND(":",Table1[[#This Row],[1st year]])-1),"")</f>
        <v>$180K</v>
      </c>
      <c r="O481" s="50" t="str">
        <f t="array" ref="O481">IFERROR(INDEX(Table2[Nth year],MATCH(1,(Table1[[#This Row],[Employer]]=Table2[EIW Name])*(Table1[[#This Row],[City, State]]=Table2[Offices Matched]),0)),"")</f>
        <v>9th Year: $325K</v>
      </c>
      <c r="P481" s="50" t="str">
        <f>IFERROR(RIGHT(Table1[[#This Row],[Nth year]],LEN(Table1[[#This Row],[Nth year]])-FIND(":",Table1[[#This Row],[Nth year]])-1),"")</f>
        <v>$325K</v>
      </c>
      <c r="Q481" s="50" t="str">
        <f t="array" ref="Q481">IFERROR(INDEX(Table2[Am Law 200 PPP Rank ’16],MATCH(1,(Table1[[#This Row],[Employer]]=Table2[EIW Name])*(Table1[[#This Row],[City, State]]=Table2[Offices Matched]),0)),"")</f>
        <v>20: $2.52M</v>
      </c>
      <c r="R481" s="50" t="str">
        <f>IFERROR(LEFT(Table1[[#This Row],[Am Law 200 PPP Rank ’16]],FIND(":",Table1[[#This Row],[Am Law 200 PPP Rank ’16]])-1),"")</f>
        <v>20</v>
      </c>
      <c r="S481" s="50">
        <f>IFERROR(INDEX(VaultRank[Rank],MATCH(Table1[[#This Row],[Employer]],VaultRank[EIW Name],0)),"")</f>
        <v>11</v>
      </c>
      <c r="T481" s="50" t="str">
        <f t="array" ref="T481">IFERROR(INDEX(Table2[Summers Matched],MATCH(1,(Table1[[#This Row],[Employer]]=Table2[EIW Name])*(Table1[[#This Row],[City, State]]=Table2[Offices Matched]),0)),"")</f>
        <v>Yes</v>
      </c>
      <c r="U481" s="52" t="str">
        <f t="shared" si="7"/>
        <v/>
      </c>
      <c r="V481" s="60"/>
      <c r="W481" s="114">
        <v>42595</v>
      </c>
      <c r="X481"/>
    </row>
    <row r="482" spans="1:24" ht="14.1" customHeight="1">
      <c r="A482" s="45" t="s">
        <v>502</v>
      </c>
      <c r="B482" s="45" t="s">
        <v>364</v>
      </c>
      <c r="C482" s="45" t="s">
        <v>362</v>
      </c>
      <c r="D482" s="45" t="str">
        <f>Table1[[#This Row],[City]]&amp;", "&amp;Table1[[#This Row],[State]]</f>
        <v>New York, NY</v>
      </c>
      <c r="E482" s="49">
        <v>11</v>
      </c>
      <c r="F482" s="50">
        <v>3</v>
      </c>
      <c r="G482" s="50" t="str">
        <f t="array" ref="G482">IFERROR(INDEX(Table2[1st Year],MATCH(1,(Table1[[#This Row],[Employer]]=Table2[EIW Name])*(Table1[[#This Row],[City, State]]=Table2[Offices Matched]),0)),"")</f>
        <v/>
      </c>
      <c r="H482" s="50" t="str">
        <f>_xlfn.IFNA(INDEX(saCAGR[CAGR],MATCH(Table1[[#This Row],[Employer]],saCAGR[EIW Name],0)),"")</f>
        <v/>
      </c>
      <c r="I482" s="50" t="str">
        <f>IFERROR(Table1[[#This Row],[SA CAGR]]*Table1[[#This Row],[Number of Summer 2016 2L SAs]],"")</f>
        <v/>
      </c>
      <c r="J482" s="50">
        <v>1</v>
      </c>
      <c r="K482" s="51">
        <f>IFERROR(Table1[[#This Row],[Number of Summer 2016 NYU 2L SAs]]/Table1[[#This Row],[Interview Slots]],0)</f>
        <v>9.0909090909090912E-2</v>
      </c>
      <c r="L482" s="51">
        <f>Table1[[#This Row],[Number of Summer 2016 2L SAs]]/Table1[[#This Row],[Interview Slots]]</f>
        <v>0.27272727272727271</v>
      </c>
      <c r="M482" s="51">
        <f>IFERROR(Table1[[#This Row],[Number of Summer 2016 NYU 2L SAs]]/Table1[[#This Row],[Number of Summer 2016 2L SAs]],0)</f>
        <v>0.33333333333333331</v>
      </c>
      <c r="N482" s="50" t="str">
        <f>IFERROR(RIGHT(Table1[[#This Row],[1st year]],LEN(Table1[[#This Row],[1st year]])-FIND(":",Table1[[#This Row],[1st year]])-1),"")</f>
        <v/>
      </c>
      <c r="O482" s="50" t="str">
        <f t="array" ref="O482">IFERROR(INDEX(Table2[Nth year],MATCH(1,(Table1[[#This Row],[Employer]]=Table2[EIW Name])*(Table1[[#This Row],[City, State]]=Table2[Offices Matched]),0)),"")</f>
        <v/>
      </c>
      <c r="P482" s="50" t="str">
        <f>IFERROR(RIGHT(Table1[[#This Row],[Nth year]],LEN(Table1[[#This Row],[Nth year]])-FIND(":",Table1[[#This Row],[Nth year]])-1),"")</f>
        <v/>
      </c>
      <c r="Q482" s="50" t="str">
        <f t="array" ref="Q482">IFERROR(INDEX(Table2[Am Law 200 PPP Rank ’16],MATCH(1,(Table1[[#This Row],[Employer]]=Table2[EIW Name])*(Table1[[#This Row],[City, State]]=Table2[Offices Matched]),0)),"")</f>
        <v/>
      </c>
      <c r="R482" s="50" t="str">
        <f>IFERROR(LEFT(Table1[[#This Row],[Am Law 200 PPP Rank ’16]],FIND(":",Table1[[#This Row],[Am Law 200 PPP Rank ’16]])-1),"")</f>
        <v/>
      </c>
      <c r="S482" s="50" t="str">
        <f>IFERROR(INDEX(VaultRank[Rank],MATCH(Table1[[#This Row],[Employer]],VaultRank[EIW Name],0)),"")</f>
        <v/>
      </c>
      <c r="T482" s="50" t="str">
        <f t="array" ref="T482">IFERROR(INDEX(Table2[Summers Matched],MATCH(1,(Table1[[#This Row],[Employer]]=Table2[EIW Name])*(Table1[[#This Row],[City, State]]=Table2[Offices Matched]),0)),"")</f>
        <v/>
      </c>
      <c r="U482" s="52" t="str">
        <f t="shared" si="7"/>
        <v/>
      </c>
      <c r="V482" s="60"/>
      <c r="W482" s="114">
        <v>42595</v>
      </c>
      <c r="X482"/>
    </row>
    <row r="483" spans="1:24" ht="14.1" customHeight="1">
      <c r="A483" s="45" t="s">
        <v>124</v>
      </c>
      <c r="B483" s="45" t="s">
        <v>299</v>
      </c>
      <c r="C483" s="45" t="s">
        <v>300</v>
      </c>
      <c r="D483" s="45" t="str">
        <f>Table1[[#This Row],[City]]&amp;", "&amp;Table1[[#This Row],[State]]</f>
        <v>Los Angeles, CA</v>
      </c>
      <c r="E483" s="49">
        <v>115</v>
      </c>
      <c r="F483" s="50">
        <v>4</v>
      </c>
      <c r="G483" s="50" t="str">
        <f t="array" ref="G483">IFERROR(INDEX(Table2[1st Year],MATCH(1,(Table1[[#This Row],[Employer]]=Table2[EIW Name])*(Table1[[#This Row],[City, State]]=Table2[Offices Matched]),0)),"")</f>
        <v>1st Year: $180K</v>
      </c>
      <c r="H483" s="50">
        <f>_xlfn.IFNA(INDEX(saCAGR[CAGR],MATCH(Table1[[#This Row],[Employer]],saCAGR[EIW Name],0)),"")</f>
        <v>1.0230506293606809</v>
      </c>
      <c r="I483" s="50">
        <f>IFERROR(Table1[[#This Row],[SA CAGR]]*Table1[[#This Row],[Number of Summer 2016 2L SAs]],"")</f>
        <v>4.0922025174427237</v>
      </c>
      <c r="J483" s="50">
        <v>20</v>
      </c>
      <c r="K483" s="51">
        <f>IFERROR(Table1[[#This Row],[Number of Summer 2016 NYU 2L SAs]]/Table1[[#This Row],[Interview Slots]],0)</f>
        <v>0.17391304347826086</v>
      </c>
      <c r="L483" s="51">
        <f>Table1[[#This Row],[Number of Summer 2016 2L SAs]]/Table1[[#This Row],[Interview Slots]]</f>
        <v>3.4782608695652174E-2</v>
      </c>
      <c r="M483" s="51">
        <f>IFERROR(Table1[[#This Row],[Number of Summer 2016 NYU 2L SAs]]/Table1[[#This Row],[Number of Summer 2016 2L SAs]],0)</f>
        <v>5</v>
      </c>
      <c r="N483" s="50" t="str">
        <f>IFERROR(RIGHT(Table1[[#This Row],[1st year]],LEN(Table1[[#This Row],[1st year]])-FIND(":",Table1[[#This Row],[1st year]])-1),"")</f>
        <v>$180K</v>
      </c>
      <c r="O483" s="50" t="str">
        <f t="array" ref="O483">IFERROR(INDEX(Table2[Nth year],MATCH(1,(Table1[[#This Row],[Employer]]=Table2[EIW Name])*(Table1[[#This Row],[City, State]]=Table2[Offices Matched]),0)),"")</f>
        <v>8th Year: $315K</v>
      </c>
      <c r="P483" s="50" t="str">
        <f>IFERROR(RIGHT(Table1[[#This Row],[Nth year]],LEN(Table1[[#This Row],[Nth year]])-FIND(":",Table1[[#This Row],[Nth year]])-1),"")</f>
        <v>$315K</v>
      </c>
      <c r="Q483" s="50" t="str">
        <f t="array" ref="Q483">IFERROR(INDEX(Table2[Am Law 200 PPP Rank ’16],MATCH(1,(Table1[[#This Row],[Employer]]=Table2[EIW Name])*(Table1[[#This Row],[City, State]]=Table2[Offices Matched]),0)),"")</f>
        <v>30: 2.02M</v>
      </c>
      <c r="R483" s="50" t="str">
        <f>IFERROR(LEFT(Table1[[#This Row],[Am Law 200 PPP Rank ’16]],FIND(":",Table1[[#This Row],[Am Law 200 PPP Rank ’16]])-1),"")</f>
        <v>30</v>
      </c>
      <c r="S483" s="50">
        <f>IFERROR(INDEX(VaultRank[Rank],MATCH(Table1[[#This Row],[Employer]],VaultRank[EIW Name],0)),"")</f>
        <v>20</v>
      </c>
      <c r="T483" s="50" t="str">
        <f t="array" ref="T483">IFERROR(INDEX(Table2[Summers Matched],MATCH(1,(Table1[[#This Row],[Employer]]=Table2[EIW Name])*(Table1[[#This Row],[City, State]]=Table2[Offices Matched]),0)),"")</f>
        <v>Yes</v>
      </c>
      <c r="U483" s="52">
        <f t="shared" si="7"/>
        <v>3.6</v>
      </c>
      <c r="V483" s="60"/>
      <c r="W483" s="114">
        <v>42594</v>
      </c>
      <c r="X483"/>
    </row>
    <row r="484" spans="1:24" ht="14.1" customHeight="1">
      <c r="A484" s="45" t="s">
        <v>124</v>
      </c>
      <c r="B484" s="45" t="s">
        <v>301</v>
      </c>
      <c r="C484" s="45" t="s">
        <v>302</v>
      </c>
      <c r="D484" s="45" t="str">
        <f>Table1[[#This Row],[City]]&amp;", "&amp;Table1[[#This Row],[State]]</f>
        <v>Washington, DC</v>
      </c>
      <c r="E484" s="49">
        <v>110</v>
      </c>
      <c r="F484" s="50">
        <v>24</v>
      </c>
      <c r="G484" s="50" t="str">
        <f t="array" ref="G484">IFERROR(INDEX(Table2[1st Year],MATCH(1,(Table1[[#This Row],[Employer]]=Table2[EIW Name])*(Table1[[#This Row],[City, State]]=Table2[Offices Matched]),0)),"")</f>
        <v/>
      </c>
      <c r="H484" s="50">
        <f>_xlfn.IFNA(INDEX(saCAGR[CAGR],MATCH(Table1[[#This Row],[Employer]],saCAGR[EIW Name],0)),"")</f>
        <v>1.0230506293606809</v>
      </c>
      <c r="I484" s="50">
        <f>IFERROR(Table1[[#This Row],[SA CAGR]]*Table1[[#This Row],[Number of Summer 2016 2L SAs]],"")</f>
        <v>24.553215104656342</v>
      </c>
      <c r="J484" s="50">
        <v>16</v>
      </c>
      <c r="K484" s="51">
        <f>IFERROR(Table1[[#This Row],[Number of Summer 2016 NYU 2L SAs]]/Table1[[#This Row],[Interview Slots]],0)</f>
        <v>0.14545454545454545</v>
      </c>
      <c r="L484" s="51">
        <f>Table1[[#This Row],[Number of Summer 2016 2L SAs]]/Table1[[#This Row],[Interview Slots]]</f>
        <v>0.21818181818181817</v>
      </c>
      <c r="M484" s="51">
        <f>IFERROR(Table1[[#This Row],[Number of Summer 2016 NYU 2L SAs]]/Table1[[#This Row],[Number of Summer 2016 2L SAs]],0)</f>
        <v>0.66666666666666663</v>
      </c>
      <c r="N484" s="50" t="str">
        <f>IFERROR(RIGHT(Table1[[#This Row],[1st year]],LEN(Table1[[#This Row],[1st year]])-FIND(":",Table1[[#This Row],[1st year]])-1),"")</f>
        <v/>
      </c>
      <c r="O484" s="50" t="str">
        <f t="array" ref="O484">IFERROR(INDEX(Table2[Nth year],MATCH(1,(Table1[[#This Row],[Employer]]=Table2[EIW Name])*(Table1[[#This Row],[City, State]]=Table2[Offices Matched]),0)),"")</f>
        <v/>
      </c>
      <c r="P484" s="50" t="str">
        <f>IFERROR(RIGHT(Table1[[#This Row],[Nth year]],LEN(Table1[[#This Row],[Nth year]])-FIND(":",Table1[[#This Row],[Nth year]])-1),"")</f>
        <v/>
      </c>
      <c r="Q484" s="50" t="str">
        <f t="array" ref="Q484">IFERROR(INDEX(Table2[Am Law 200 PPP Rank ’16],MATCH(1,(Table1[[#This Row],[Employer]]=Table2[EIW Name])*(Table1[[#This Row],[City, State]]=Table2[Offices Matched]),0)),"")</f>
        <v/>
      </c>
      <c r="R484" s="50" t="str">
        <f>IFERROR(LEFT(Table1[[#This Row],[Am Law 200 PPP Rank ’16]],FIND(":",Table1[[#This Row],[Am Law 200 PPP Rank ’16]])-1),"")</f>
        <v/>
      </c>
      <c r="S484" s="50">
        <f>IFERROR(INDEX(VaultRank[Rank],MATCH(Table1[[#This Row],[Employer]],VaultRank[EIW Name],0)),"")</f>
        <v>20</v>
      </c>
      <c r="T484" s="50" t="str">
        <f t="array" ref="T484">IFERROR(INDEX(Table2[Summers Matched],MATCH(1,(Table1[[#This Row],[Employer]]=Table2[EIW Name])*(Table1[[#This Row],[City, State]]=Table2[Offices Matched]),0)),"")</f>
        <v/>
      </c>
      <c r="U484" s="52" t="str">
        <f t="shared" si="7"/>
        <v/>
      </c>
      <c r="V484" s="60"/>
      <c r="W484" s="114">
        <v>42595</v>
      </c>
      <c r="X484"/>
    </row>
    <row r="485" spans="1:24" ht="14.1" customHeight="1">
      <c r="A485" s="45" t="s">
        <v>124</v>
      </c>
      <c r="B485" s="45" t="s">
        <v>337</v>
      </c>
      <c r="C485" s="45" t="s">
        <v>324</v>
      </c>
      <c r="D485" s="45" t="str">
        <f>Table1[[#This Row],[City]]&amp;", "&amp;Table1[[#This Row],[State]]</f>
        <v>Miami, FL</v>
      </c>
      <c r="E485" s="49">
        <v>60</v>
      </c>
      <c r="F485" s="50">
        <v>4</v>
      </c>
      <c r="G485" s="50" t="str">
        <f t="array" ref="G485">IFERROR(INDEX(Table2[1st Year],MATCH(1,(Table1[[#This Row],[Employer]]=Table2[EIW Name])*(Table1[[#This Row],[City, State]]=Table2[Offices Matched]),0)),"")</f>
        <v/>
      </c>
      <c r="H485" s="50">
        <f>_xlfn.IFNA(INDEX(saCAGR[CAGR],MATCH(Table1[[#This Row],[Employer]],saCAGR[EIW Name],0)),"")</f>
        <v>1.0230506293606809</v>
      </c>
      <c r="I485" s="50">
        <f>IFERROR(Table1[[#This Row],[SA CAGR]]*Table1[[#This Row],[Number of Summer 2016 2L SAs]],"")</f>
        <v>4.0922025174427237</v>
      </c>
      <c r="J485" s="50">
        <v>21</v>
      </c>
      <c r="K485" s="51">
        <f>IFERROR(Table1[[#This Row],[Number of Summer 2016 NYU 2L SAs]]/Table1[[#This Row],[Interview Slots]],0)</f>
        <v>0.35</v>
      </c>
      <c r="L485" s="51">
        <f>Table1[[#This Row],[Number of Summer 2016 2L SAs]]/Table1[[#This Row],[Interview Slots]]</f>
        <v>6.6666666666666666E-2</v>
      </c>
      <c r="M485" s="51">
        <f>IFERROR(Table1[[#This Row],[Number of Summer 2016 NYU 2L SAs]]/Table1[[#This Row],[Number of Summer 2016 2L SAs]],0)</f>
        <v>5.25</v>
      </c>
      <c r="N485" s="50" t="str">
        <f>IFERROR(RIGHT(Table1[[#This Row],[1st year]],LEN(Table1[[#This Row],[1st year]])-FIND(":",Table1[[#This Row],[1st year]])-1),"")</f>
        <v/>
      </c>
      <c r="O485" s="50" t="str">
        <f t="array" ref="O485">IFERROR(INDEX(Table2[Nth year],MATCH(1,(Table1[[#This Row],[Employer]]=Table2[EIW Name])*(Table1[[#This Row],[City, State]]=Table2[Offices Matched]),0)),"")</f>
        <v/>
      </c>
      <c r="P485" s="50" t="str">
        <f>IFERROR(RIGHT(Table1[[#This Row],[Nth year]],LEN(Table1[[#This Row],[Nth year]])-FIND(":",Table1[[#This Row],[Nth year]])-1),"")</f>
        <v/>
      </c>
      <c r="Q485" s="50" t="str">
        <f t="array" ref="Q485">IFERROR(INDEX(Table2[Am Law 200 PPP Rank ’16],MATCH(1,(Table1[[#This Row],[Employer]]=Table2[EIW Name])*(Table1[[#This Row],[City, State]]=Table2[Offices Matched]),0)),"")</f>
        <v/>
      </c>
      <c r="R485" s="50" t="str">
        <f>IFERROR(LEFT(Table1[[#This Row],[Am Law 200 PPP Rank ’16]],FIND(":",Table1[[#This Row],[Am Law 200 PPP Rank ’16]])-1),"")</f>
        <v/>
      </c>
      <c r="S485" s="50">
        <f>IFERROR(INDEX(VaultRank[Rank],MATCH(Table1[[#This Row],[Employer]],VaultRank[EIW Name],0)),"")</f>
        <v>20</v>
      </c>
      <c r="T485" s="50" t="str">
        <f t="array" ref="T485">IFERROR(INDEX(Table2[Summers Matched],MATCH(1,(Table1[[#This Row],[Employer]]=Table2[EIW Name])*(Table1[[#This Row],[City, State]]=Table2[Offices Matched]),0)),"")</f>
        <v/>
      </c>
      <c r="U485" s="52" t="str">
        <f t="shared" si="7"/>
        <v/>
      </c>
      <c r="V485" s="60"/>
      <c r="W485" s="114">
        <v>42594</v>
      </c>
      <c r="X485"/>
    </row>
    <row r="486" spans="1:24" ht="14.1" customHeight="1">
      <c r="A486" s="61" t="s">
        <v>124</v>
      </c>
      <c r="B486" s="61" t="s">
        <v>306</v>
      </c>
      <c r="C486" s="42" t="s">
        <v>743</v>
      </c>
      <c r="D486" s="42" t="str">
        <f>Table1[[#This Row],[City]]&amp;", "&amp;Table1[[#This Row],[State]]</f>
        <v>London, UK-
International</v>
      </c>
      <c r="E486" s="60">
        <v>141</v>
      </c>
      <c r="F486" s="50">
        <v>3</v>
      </c>
      <c r="G486" s="50" t="str">
        <f t="array" ref="G486">IFERROR(INDEX(Table2[1st Year],MATCH(1,(Table1[[#This Row],[Employer]]=Table2[EIW Name])*(Table1[[#This Row],[City, State]]=Table2[Offices Matched]),0)),"")</f>
        <v/>
      </c>
      <c r="H486" s="50">
        <f>_xlfn.IFNA(INDEX(saCAGR[CAGR],MATCH(Table1[[#This Row],[Employer]],saCAGR[EIW Name],0)),"")</f>
        <v>1.0230506293606809</v>
      </c>
      <c r="I486" s="50">
        <f>IFERROR(Table1[[#This Row],[SA CAGR]]*Table1[[#This Row],[Number of Summer 2016 2L SAs]],"")</f>
        <v>3.0691518880820428</v>
      </c>
      <c r="J486" s="50">
        <v>23</v>
      </c>
      <c r="K486" s="51">
        <f>IFERROR(Table1[[#This Row],[Number of Summer 2016 NYU 2L SAs]]/Table1[[#This Row],[Interview Slots]],0)</f>
        <v>0.16312056737588654</v>
      </c>
      <c r="L486" s="51">
        <f>Table1[[#This Row],[Number of Summer 2016 2L SAs]]/Table1[[#This Row],[Interview Slots]]</f>
        <v>2.1276595744680851E-2</v>
      </c>
      <c r="M486" s="51">
        <f>IFERROR(Table1[[#This Row],[Number of Summer 2016 NYU 2L SAs]]/Table1[[#This Row],[Number of Summer 2016 2L SAs]],0)</f>
        <v>7.666666666666667</v>
      </c>
      <c r="N486" s="50" t="str">
        <f>IFERROR(RIGHT(Table1[[#This Row],[1st year]],LEN(Table1[[#This Row],[1st year]])-FIND(":",Table1[[#This Row],[1st year]])-1),"")</f>
        <v/>
      </c>
      <c r="O486" s="50" t="str">
        <f t="array" ref="O486">IFERROR(INDEX(Table2[Nth year],MATCH(1,(Table1[[#This Row],[Employer]]=Table2[EIW Name])*(Table1[[#This Row],[City, State]]=Table2[Offices Matched]),0)),"")</f>
        <v/>
      </c>
      <c r="P486" s="50" t="str">
        <f>IFERROR(RIGHT(Table1[[#This Row],[Nth year]],LEN(Table1[[#This Row],[Nth year]])-FIND(":",Table1[[#This Row],[Nth year]])-1),"")</f>
        <v/>
      </c>
      <c r="Q486" s="50" t="str">
        <f t="array" ref="Q486">IFERROR(INDEX(Table2[Am Law 200 PPP Rank ’16],MATCH(1,(Table1[[#This Row],[Employer]]=Table2[EIW Name])*(Table1[[#This Row],[City, State]]=Table2[Offices Matched]),0)),"")</f>
        <v/>
      </c>
      <c r="R486" s="50" t="str">
        <f>IFERROR(LEFT(Table1[[#This Row],[Am Law 200 PPP Rank ’16]],FIND(":",Table1[[#This Row],[Am Law 200 PPP Rank ’16]])-1),"")</f>
        <v/>
      </c>
      <c r="S486" s="50">
        <f>IFERROR(INDEX(VaultRank[Rank],MATCH(Table1[[#This Row],[Employer]],VaultRank[EIW Name],0)),"")</f>
        <v>20</v>
      </c>
      <c r="T486" s="50" t="str">
        <f t="array" ref="T486">IFERROR(INDEX(Table2[Summers Matched],MATCH(1,(Table1[[#This Row],[Employer]]=Table2[EIW Name])*(Table1[[#This Row],[City, State]]=Table2[Offices Matched]),0)),"")</f>
        <v/>
      </c>
      <c r="U486" s="52" t="str">
        <f t="shared" si="7"/>
        <v/>
      </c>
      <c r="V486" s="60"/>
      <c r="W486" s="114">
        <v>42593</v>
      </c>
      <c r="X486"/>
    </row>
    <row r="487" spans="1:24" ht="14.1" customHeight="1">
      <c r="A487" s="45" t="s">
        <v>524</v>
      </c>
      <c r="B487" s="45" t="s">
        <v>525</v>
      </c>
      <c r="C487" s="45" t="s">
        <v>320</v>
      </c>
      <c r="D487" s="45" t="str">
        <f>Table1[[#This Row],[City]]&amp;", "&amp;Table1[[#This Row],[State]]</f>
        <v>New Haven, CT</v>
      </c>
      <c r="E487" s="49">
        <v>142</v>
      </c>
      <c r="F487" s="50">
        <v>5</v>
      </c>
      <c r="G487" s="50" t="str">
        <f t="array" ref="G487">IFERROR(INDEX(Table2[1st Year],MATCH(1,(Table1[[#This Row],[Employer]]=Table2[EIW Name])*(Table1[[#This Row],[City, State]]=Table2[Offices Matched]),0)),"")</f>
        <v/>
      </c>
      <c r="H487" s="50" t="str">
        <f>_xlfn.IFNA(INDEX(saCAGR[CAGR],MATCH(Table1[[#This Row],[Employer]],saCAGR[EIW Name],0)),"")</f>
        <v/>
      </c>
      <c r="I487" s="50" t="str">
        <f>IFERROR(Table1[[#This Row],[SA CAGR]]*Table1[[#This Row],[Number of Summer 2016 2L SAs]],"")</f>
        <v/>
      </c>
      <c r="J487" s="50">
        <v>20</v>
      </c>
      <c r="K487" s="51">
        <f>IFERROR(Table1[[#This Row],[Number of Summer 2016 NYU 2L SAs]]/Table1[[#This Row],[Interview Slots]],0)</f>
        <v>0.14084507042253522</v>
      </c>
      <c r="L487" s="51">
        <f>Table1[[#This Row],[Number of Summer 2016 2L SAs]]/Table1[[#This Row],[Interview Slots]]</f>
        <v>3.5211267605633804E-2</v>
      </c>
      <c r="M487" s="51">
        <f>IFERROR(Table1[[#This Row],[Number of Summer 2016 NYU 2L SAs]]/Table1[[#This Row],[Number of Summer 2016 2L SAs]],0)</f>
        <v>4</v>
      </c>
      <c r="N487" s="50" t="str">
        <f>IFERROR(RIGHT(Table1[[#This Row],[1st year]],LEN(Table1[[#This Row],[1st year]])-FIND(":",Table1[[#This Row],[1st year]])-1),"")</f>
        <v/>
      </c>
      <c r="O487" s="50" t="str">
        <f t="array" ref="O487">IFERROR(INDEX(Table2[Nth year],MATCH(1,(Table1[[#This Row],[Employer]]=Table2[EIW Name])*(Table1[[#This Row],[City, State]]=Table2[Offices Matched]),0)),"")</f>
        <v/>
      </c>
      <c r="P487" s="50" t="str">
        <f>IFERROR(RIGHT(Table1[[#This Row],[Nth year]],LEN(Table1[[#This Row],[Nth year]])-FIND(":",Table1[[#This Row],[Nth year]])-1),"")</f>
        <v/>
      </c>
      <c r="Q487" s="50" t="str">
        <f t="array" ref="Q487">IFERROR(INDEX(Table2[Am Law 200 PPP Rank ’16],MATCH(1,(Table1[[#This Row],[Employer]]=Table2[EIW Name])*(Table1[[#This Row],[City, State]]=Table2[Offices Matched]),0)),"")</f>
        <v/>
      </c>
      <c r="R487" s="50" t="str">
        <f>IFERROR(LEFT(Table1[[#This Row],[Am Law 200 PPP Rank ’16]],FIND(":",Table1[[#This Row],[Am Law 200 PPP Rank ’16]])-1),"")</f>
        <v/>
      </c>
      <c r="S487" s="50" t="str">
        <f>IFERROR(INDEX(VaultRank[Rank],MATCH(Table1[[#This Row],[Employer]],VaultRank[EIW Name],0)),"")</f>
        <v/>
      </c>
      <c r="T487" s="50" t="str">
        <f t="array" ref="T487">IFERROR(INDEX(Table2[Summers Matched],MATCH(1,(Table1[[#This Row],[Employer]]=Table2[EIW Name])*(Table1[[#This Row],[City, State]]=Table2[Offices Matched]),0)),"")</f>
        <v/>
      </c>
      <c r="U487" s="52" t="str">
        <f t="shared" si="7"/>
        <v/>
      </c>
      <c r="V487" s="60"/>
      <c r="W487" s="114">
        <v>42595</v>
      </c>
      <c r="X487"/>
    </row>
    <row r="488" spans="1:24" ht="14.1" customHeight="1">
      <c r="A488" s="45" t="s">
        <v>509</v>
      </c>
      <c r="B488" s="45" t="s">
        <v>364</v>
      </c>
      <c r="C488" s="45" t="s">
        <v>362</v>
      </c>
      <c r="D488" s="45" t="str">
        <f>Table1[[#This Row],[City]]&amp;", "&amp;Table1[[#This Row],[State]]</f>
        <v>New York, NY</v>
      </c>
      <c r="E488" s="49">
        <v>191</v>
      </c>
      <c r="F488" s="50">
        <v>2</v>
      </c>
      <c r="G488" s="50" t="str">
        <f t="array" ref="G488">IFERROR(INDEX(Table2[1st Year],MATCH(1,(Table1[[#This Row],[Employer]]=Table2[EIW Name])*(Table1[[#This Row],[City, State]]=Table2[Offices Matched]),0)),"")</f>
        <v/>
      </c>
      <c r="H488" s="50" t="str">
        <f>_xlfn.IFNA(INDEX(saCAGR[CAGR],MATCH(Table1[[#This Row],[Employer]],saCAGR[EIW Name],0)),"")</f>
        <v/>
      </c>
      <c r="I488" s="50" t="str">
        <f>IFERROR(Table1[[#This Row],[SA CAGR]]*Table1[[#This Row],[Number of Summer 2016 2L SAs]],"")</f>
        <v/>
      </c>
      <c r="J488" s="50">
        <v>25</v>
      </c>
      <c r="K488" s="51">
        <f>IFERROR(Table1[[#This Row],[Number of Summer 2016 NYU 2L SAs]]/Table1[[#This Row],[Interview Slots]],0)</f>
        <v>0.13089005235602094</v>
      </c>
      <c r="L488" s="51">
        <f>Table1[[#This Row],[Number of Summer 2016 2L SAs]]/Table1[[#This Row],[Interview Slots]]</f>
        <v>1.0471204188481676E-2</v>
      </c>
      <c r="M488" s="51">
        <f>IFERROR(Table1[[#This Row],[Number of Summer 2016 NYU 2L SAs]]/Table1[[#This Row],[Number of Summer 2016 2L SAs]],0)</f>
        <v>12.5</v>
      </c>
      <c r="N488" s="50" t="str">
        <f>IFERROR(RIGHT(Table1[[#This Row],[1st year]],LEN(Table1[[#This Row],[1st year]])-FIND(":",Table1[[#This Row],[1st year]])-1),"")</f>
        <v/>
      </c>
      <c r="O488" s="50" t="str">
        <f t="array" ref="O488">IFERROR(INDEX(Table2[Nth year],MATCH(1,(Table1[[#This Row],[Employer]]=Table2[EIW Name])*(Table1[[#This Row],[City, State]]=Table2[Offices Matched]),0)),"")</f>
        <v/>
      </c>
      <c r="P488" s="50" t="str">
        <f>IFERROR(RIGHT(Table1[[#This Row],[Nth year]],LEN(Table1[[#This Row],[Nth year]])-FIND(":",Table1[[#This Row],[Nth year]])-1),"")</f>
        <v/>
      </c>
      <c r="Q488" s="50" t="str">
        <f t="array" ref="Q488">IFERROR(INDEX(Table2[Am Law 200 PPP Rank ’16],MATCH(1,(Table1[[#This Row],[Employer]]=Table2[EIW Name])*(Table1[[#This Row],[City, State]]=Table2[Offices Matched]),0)),"")</f>
        <v/>
      </c>
      <c r="R488" s="50" t="str">
        <f>IFERROR(LEFT(Table1[[#This Row],[Am Law 200 PPP Rank ’16]],FIND(":",Table1[[#This Row],[Am Law 200 PPP Rank ’16]])-1),"")</f>
        <v/>
      </c>
      <c r="S488" s="50" t="str">
        <f>IFERROR(INDEX(VaultRank[Rank],MATCH(Table1[[#This Row],[Employer]],VaultRank[EIW Name],0)),"")</f>
        <v/>
      </c>
      <c r="T488" s="50" t="str">
        <f t="array" ref="T488">IFERROR(INDEX(Table2[Summers Matched],MATCH(1,(Table1[[#This Row],[Employer]]=Table2[EIW Name])*(Table1[[#This Row],[City, State]]=Table2[Offices Matched]),0)),"")</f>
        <v/>
      </c>
      <c r="U488" s="52" t="str">
        <f t="shared" si="7"/>
        <v/>
      </c>
      <c r="V488" s="60"/>
      <c r="W488" s="114">
        <v>42592</v>
      </c>
      <c r="X488"/>
    </row>
    <row r="489" spans="1:24" ht="14.1" customHeight="1">
      <c r="A489" s="45" t="s">
        <v>526</v>
      </c>
      <c r="B489" s="45" t="s">
        <v>301</v>
      </c>
      <c r="C489" s="45" t="s">
        <v>302</v>
      </c>
      <c r="D489" s="45" t="str">
        <f>Table1[[#This Row],[City]]&amp;", "&amp;Table1[[#This Row],[State]]</f>
        <v>Washington, DC</v>
      </c>
      <c r="E489" s="49">
        <v>169</v>
      </c>
      <c r="F489" s="50">
        <v>6</v>
      </c>
      <c r="G489" s="50" t="str">
        <f t="array" ref="G489">IFERROR(INDEX(Table2[1st Year],MATCH(1,(Table1[[#This Row],[Employer]]=Table2[EIW Name])*(Table1[[#This Row],[City, State]]=Table2[Offices Matched]),0)),"")</f>
        <v/>
      </c>
      <c r="H489" s="50">
        <f>_xlfn.IFNA(INDEX(saCAGR[CAGR],MATCH(Table1[[#This Row],[Employer]],saCAGR[EIW Name],0)),"")</f>
        <v>1.0380138801121124</v>
      </c>
      <c r="I489" s="50">
        <f>IFERROR(Table1[[#This Row],[SA CAGR]]*Table1[[#This Row],[Number of Summer 2016 2L SAs]],"")</f>
        <v>6.2280832806726742</v>
      </c>
      <c r="J489" s="50">
        <v>25</v>
      </c>
      <c r="K489" s="51">
        <f>IFERROR(Table1[[#This Row],[Number of Summer 2016 NYU 2L SAs]]/Table1[[#This Row],[Interview Slots]],0)</f>
        <v>0.14792899408284024</v>
      </c>
      <c r="L489" s="51">
        <f>Table1[[#This Row],[Number of Summer 2016 2L SAs]]/Table1[[#This Row],[Interview Slots]]</f>
        <v>3.5502958579881658E-2</v>
      </c>
      <c r="M489" s="51">
        <f>IFERROR(Table1[[#This Row],[Number of Summer 2016 NYU 2L SAs]]/Table1[[#This Row],[Number of Summer 2016 2L SAs]],0)</f>
        <v>4.166666666666667</v>
      </c>
      <c r="N489" s="50" t="str">
        <f>IFERROR(RIGHT(Table1[[#This Row],[1st year]],LEN(Table1[[#This Row],[1st year]])-FIND(":",Table1[[#This Row],[1st year]])-1),"")</f>
        <v/>
      </c>
      <c r="O489" s="50" t="str">
        <f t="array" ref="O489">IFERROR(INDEX(Table2[Nth year],MATCH(1,(Table1[[#This Row],[Employer]]=Table2[EIW Name])*(Table1[[#This Row],[City, State]]=Table2[Offices Matched]),0)),"")</f>
        <v/>
      </c>
      <c r="P489" s="50" t="str">
        <f>IFERROR(RIGHT(Table1[[#This Row],[Nth year]],LEN(Table1[[#This Row],[Nth year]])-FIND(":",Table1[[#This Row],[Nth year]])-1),"")</f>
        <v/>
      </c>
      <c r="Q489" s="50" t="str">
        <f t="array" ref="Q489">IFERROR(INDEX(Table2[Am Law 200 PPP Rank ’16],MATCH(1,(Table1[[#This Row],[Employer]]=Table2[EIW Name])*(Table1[[#This Row],[City, State]]=Table2[Offices Matched]),0)),"")</f>
        <v/>
      </c>
      <c r="R489" s="50" t="str">
        <f>IFERROR(LEFT(Table1[[#This Row],[Am Law 200 PPP Rank ’16]],FIND(":",Table1[[#This Row],[Am Law 200 PPP Rank ’16]])-1),"")</f>
        <v/>
      </c>
      <c r="S489" s="50">
        <f>IFERROR(INDEX(VaultRank[Rank],MATCH(Table1[[#This Row],[Employer]],VaultRank[EIW Name],0)),"")</f>
        <v>53</v>
      </c>
      <c r="T489" s="50" t="str">
        <f t="array" ref="T489">IFERROR(INDEX(Table2[Summers Matched],MATCH(1,(Table1[[#This Row],[Employer]]=Table2[EIW Name])*(Table1[[#This Row],[City, State]]=Table2[Offices Matched]),0)),"")</f>
        <v/>
      </c>
      <c r="U489" s="52" t="str">
        <f t="shared" si="7"/>
        <v/>
      </c>
      <c r="V489" s="60"/>
      <c r="W489" s="114">
        <v>42594</v>
      </c>
      <c r="X489"/>
    </row>
    <row r="490" spans="1:24" ht="14.1" customHeight="1">
      <c r="A490" s="45" t="s">
        <v>407</v>
      </c>
      <c r="B490" s="45" t="s">
        <v>364</v>
      </c>
      <c r="C490" s="45" t="s">
        <v>362</v>
      </c>
      <c r="D490" s="45" t="str">
        <f>Table1[[#This Row],[City]]&amp;", "&amp;Table1[[#This Row],[State]]</f>
        <v>New York, NY</v>
      </c>
      <c r="E490" s="49">
        <v>106</v>
      </c>
      <c r="F490" s="50">
        <v>9</v>
      </c>
      <c r="G490" s="50" t="str">
        <f t="array" ref="G490">IFERROR(INDEX(Table2[1st Year],MATCH(1,(Table1[[#This Row],[Employer]]=Table2[EIW Name])*(Table1[[#This Row],[City, State]]=Table2[Offices Matched]),0)),"")</f>
        <v/>
      </c>
      <c r="H490" s="51">
        <f>_xlfn.IFNA(INDEX(saCAGR[CAGR],MATCH(Table1[[#This Row],[Employer]],saCAGR[EIW Name],0)),"")</f>
        <v>1</v>
      </c>
      <c r="I490" s="50">
        <f>IFERROR(Table1[[#This Row],[SA CAGR]]*Table1[[#This Row],[Number of Summer 2016 2L SAs]],"")</f>
        <v>9</v>
      </c>
      <c r="J490" s="50">
        <v>12</v>
      </c>
      <c r="K490" s="51">
        <f>IFERROR(Table1[[#This Row],[Number of Summer 2016 NYU 2L SAs]]/Table1[[#This Row],[Interview Slots]],0)</f>
        <v>0.11320754716981132</v>
      </c>
      <c r="L490" s="51">
        <f>Table1[[#This Row],[Number of Summer 2016 2L SAs]]/Table1[[#This Row],[Interview Slots]]</f>
        <v>8.4905660377358486E-2</v>
      </c>
      <c r="M490" s="51">
        <f>IFERROR(Table1[[#This Row],[Number of Summer 2016 NYU 2L SAs]]/Table1[[#This Row],[Number of Summer 2016 2L SAs]],0)</f>
        <v>1.3333333333333333</v>
      </c>
      <c r="N490" s="50" t="str">
        <f>IFERROR(RIGHT(Table1[[#This Row],[1st year]],LEN(Table1[[#This Row],[1st year]])-FIND(":",Table1[[#This Row],[1st year]])-1),"")</f>
        <v/>
      </c>
      <c r="O490" s="50" t="str">
        <f t="array" ref="O490">IFERROR(INDEX(Table2[Nth year],MATCH(1,(Table1[[#This Row],[Employer]]=Table2[EIW Name])*(Table1[[#This Row],[City, State]]=Table2[Offices Matched]),0)),"")</f>
        <v/>
      </c>
      <c r="P490" s="50" t="str">
        <f>IFERROR(RIGHT(Table1[[#This Row],[Nth year]],LEN(Table1[[#This Row],[Nth year]])-FIND(":",Table1[[#This Row],[Nth year]])-1),"")</f>
        <v/>
      </c>
      <c r="Q490" s="50" t="str">
        <f t="array" ref="Q490">IFERROR(INDEX(Table2[Am Law 200 PPP Rank ’16],MATCH(1,(Table1[[#This Row],[Employer]]=Table2[EIW Name])*(Table1[[#This Row],[City, State]]=Table2[Offices Matched]),0)),"")</f>
        <v/>
      </c>
      <c r="R490" s="50" t="str">
        <f>IFERROR(LEFT(Table1[[#This Row],[Am Law 200 PPP Rank ’16]],FIND(":",Table1[[#This Row],[Am Law 200 PPP Rank ’16]])-1),"")</f>
        <v/>
      </c>
      <c r="S490" s="50" t="str">
        <f>IFERROR(INDEX(VaultRank[Rank],MATCH(Table1[[#This Row],[Employer]],VaultRank[EIW Name],0)),"")</f>
        <v/>
      </c>
      <c r="T490" s="50" t="str">
        <f t="array" ref="T490">IFERROR(INDEX(Table2[Summers Matched],MATCH(1,(Table1[[#This Row],[Employer]]=Table2[EIW Name])*(Table1[[#This Row],[City, State]]=Table2[Offices Matched]),0)),"")</f>
        <v/>
      </c>
      <c r="U490" s="52" t="str">
        <f t="shared" si="7"/>
        <v/>
      </c>
      <c r="V490" s="60"/>
      <c r="W490" s="114">
        <v>42592</v>
      </c>
      <c r="X490"/>
    </row>
    <row r="491" spans="1:24" ht="14.1" customHeight="1">
      <c r="A491" s="45" t="s">
        <v>252</v>
      </c>
      <c r="B491" s="45" t="s">
        <v>334</v>
      </c>
      <c r="C491" s="45" t="s">
        <v>300</v>
      </c>
      <c r="D491" s="45" t="str">
        <f>Table1[[#This Row],[City]]&amp;", "&amp;Table1[[#This Row],[State]]</f>
        <v>Palo Alto, CA</v>
      </c>
      <c r="E491" s="49">
        <v>56</v>
      </c>
      <c r="F491" s="50">
        <v>10</v>
      </c>
      <c r="G491" s="50" t="str">
        <f t="array" ref="G491">IFERROR(INDEX(Table2[1st Year],MATCH(1,(Table1[[#This Row],[Employer]]=Table2[EIW Name])*(Table1[[#This Row],[City, State]]=Table2[Offices Matched]),0)),"")</f>
        <v>1st Year: $180K</v>
      </c>
      <c r="H491" s="50">
        <f>_xlfn.IFNA(INDEX(saCAGR[CAGR],MATCH(Table1[[#This Row],[Employer]],saCAGR[EIW Name],0)),"")</f>
        <v>1.014590012684325</v>
      </c>
      <c r="I491" s="50">
        <f>IFERROR(Table1[[#This Row],[SA CAGR]]*Table1[[#This Row],[Number of Summer 2016 2L SAs]],"")</f>
        <v>10.14590012684325</v>
      </c>
      <c r="J491" s="50">
        <v>23</v>
      </c>
      <c r="K491" s="51">
        <f>IFERROR(Table1[[#This Row],[Number of Summer 2016 NYU 2L SAs]]/Table1[[#This Row],[Interview Slots]],0)</f>
        <v>0.4107142857142857</v>
      </c>
      <c r="L491" s="51">
        <f>Table1[[#This Row],[Number of Summer 2016 2L SAs]]/Table1[[#This Row],[Interview Slots]]</f>
        <v>0.17857142857142858</v>
      </c>
      <c r="M491" s="51">
        <f>IFERROR(Table1[[#This Row],[Number of Summer 2016 NYU 2L SAs]]/Table1[[#This Row],[Number of Summer 2016 2L SAs]],0)</f>
        <v>2.2999999999999998</v>
      </c>
      <c r="N491" s="50" t="str">
        <f>IFERROR(RIGHT(Table1[[#This Row],[1st year]],LEN(Table1[[#This Row],[1st year]])-FIND(":",Table1[[#This Row],[1st year]])-1),"")</f>
        <v>$180K</v>
      </c>
      <c r="O491" s="50" t="str">
        <f t="array" ref="O491">IFERROR(INDEX(Table2[Nth year],MATCH(1,(Table1[[#This Row],[Employer]]=Table2[EIW Name])*(Table1[[#This Row],[City, State]]=Table2[Offices Matched]),0)),"")</f>
        <v>2nd Year Counsel+: $315K</v>
      </c>
      <c r="P491" s="50" t="str">
        <f>IFERROR(RIGHT(Table1[[#This Row],[Nth year]],LEN(Table1[[#This Row],[Nth year]])-FIND(":",Table1[[#This Row],[Nth year]])-1),"")</f>
        <v>$315K</v>
      </c>
      <c r="Q491" s="50" t="str">
        <f t="array" ref="Q491">IFERROR(INDEX(Table2[Am Law 200 PPP Rank ’16],MATCH(1,(Table1[[#This Row],[Employer]]=Table2[EIW Name])*(Table1[[#This Row],[City, State]]=Table2[Offices Matched]),0)),"")</f>
        <v>43: $1.81M</v>
      </c>
      <c r="R491" s="50" t="str">
        <f>IFERROR(LEFT(Table1[[#This Row],[Am Law 200 PPP Rank ’16]],FIND(":",Table1[[#This Row],[Am Law 200 PPP Rank ’16]])-1),"")</f>
        <v>43</v>
      </c>
      <c r="S491" s="50">
        <f>IFERROR(INDEX(VaultRank[Rank],MATCH(Table1[[#This Row],[Employer]],VaultRank[EIW Name],0)),"")</f>
        <v>22</v>
      </c>
      <c r="T491" s="50" t="str">
        <f t="array" ref="T491">IFERROR(INDEX(Table2[Summers Matched],MATCH(1,(Table1[[#This Row],[Employer]]=Table2[EIW Name])*(Table1[[#This Row],[City, State]]=Table2[Offices Matched]),0)),"")</f>
        <v>Yes</v>
      </c>
      <c r="U491" s="52" t="str">
        <f t="shared" si="7"/>
        <v/>
      </c>
      <c r="V491" s="60"/>
      <c r="W491" s="114">
        <v>42594</v>
      </c>
      <c r="X491"/>
    </row>
    <row r="492" spans="1:24" ht="14.1" customHeight="1">
      <c r="A492" s="45" t="s">
        <v>252</v>
      </c>
      <c r="B492" s="45" t="s">
        <v>301</v>
      </c>
      <c r="C492" s="45" t="s">
        <v>302</v>
      </c>
      <c r="D492" s="45" t="str">
        <f>Table1[[#This Row],[City]]&amp;", "&amp;Table1[[#This Row],[State]]</f>
        <v>Washington, DC</v>
      </c>
      <c r="E492" s="49">
        <v>57</v>
      </c>
      <c r="F492" s="50">
        <v>39</v>
      </c>
      <c r="G492" s="50" t="str">
        <f t="array" ref="G492">IFERROR(INDEX(Table2[1st Year],MATCH(1,(Table1[[#This Row],[Employer]]=Table2[EIW Name])*(Table1[[#This Row],[City, State]]=Table2[Offices Matched]),0)),"")</f>
        <v/>
      </c>
      <c r="H492" s="50">
        <f>_xlfn.IFNA(INDEX(saCAGR[CAGR],MATCH(Table1[[#This Row],[Employer]],saCAGR[EIW Name],0)),"")</f>
        <v>1.014590012684325</v>
      </c>
      <c r="I492" s="50">
        <f>IFERROR(Table1[[#This Row],[SA CAGR]]*Table1[[#This Row],[Number of Summer 2016 2L SAs]],"")</f>
        <v>39.569010494688676</v>
      </c>
      <c r="J492" s="50">
        <v>25</v>
      </c>
      <c r="K492" s="51">
        <f>IFERROR(Table1[[#This Row],[Number of Summer 2016 NYU 2L SAs]]/Table1[[#This Row],[Interview Slots]],0)</f>
        <v>0.43859649122807015</v>
      </c>
      <c r="L492" s="51">
        <f>Table1[[#This Row],[Number of Summer 2016 2L SAs]]/Table1[[#This Row],[Interview Slots]]</f>
        <v>0.68421052631578949</v>
      </c>
      <c r="M492" s="51">
        <f>IFERROR(Table1[[#This Row],[Number of Summer 2016 NYU 2L SAs]]/Table1[[#This Row],[Number of Summer 2016 2L SAs]],0)</f>
        <v>0.64102564102564108</v>
      </c>
      <c r="N492" s="50" t="str">
        <f>IFERROR(RIGHT(Table1[[#This Row],[1st year]],LEN(Table1[[#This Row],[1st year]])-FIND(":",Table1[[#This Row],[1st year]])-1),"")</f>
        <v/>
      </c>
      <c r="O492" s="50" t="str">
        <f t="array" ref="O492">IFERROR(INDEX(Table2[Nth year],MATCH(1,(Table1[[#This Row],[Employer]]=Table2[EIW Name])*(Table1[[#This Row],[City, State]]=Table2[Offices Matched]),0)),"")</f>
        <v/>
      </c>
      <c r="P492" s="50" t="str">
        <f>IFERROR(RIGHT(Table1[[#This Row],[Nth year]],LEN(Table1[[#This Row],[Nth year]])-FIND(":",Table1[[#This Row],[Nth year]])-1),"")</f>
        <v/>
      </c>
      <c r="Q492" s="50" t="str">
        <f t="array" ref="Q492">IFERROR(INDEX(Table2[Am Law 200 PPP Rank ’16],MATCH(1,(Table1[[#This Row],[Employer]]=Table2[EIW Name])*(Table1[[#This Row],[City, State]]=Table2[Offices Matched]),0)),"")</f>
        <v/>
      </c>
      <c r="R492" s="50" t="str">
        <f>IFERROR(LEFT(Table1[[#This Row],[Am Law 200 PPP Rank ’16]],FIND(":",Table1[[#This Row],[Am Law 200 PPP Rank ’16]])-1),"")</f>
        <v/>
      </c>
      <c r="S492" s="50">
        <f>IFERROR(INDEX(VaultRank[Rank],MATCH(Table1[[#This Row],[Employer]],VaultRank[EIW Name],0)),"")</f>
        <v>22</v>
      </c>
      <c r="T492" s="50" t="str">
        <f t="array" ref="T492">IFERROR(INDEX(Table2[Summers Matched],MATCH(1,(Table1[[#This Row],[Employer]]=Table2[EIW Name])*(Table1[[#This Row],[City, State]]=Table2[Offices Matched]),0)),"")</f>
        <v/>
      </c>
      <c r="U492" s="52" t="str">
        <f t="shared" si="7"/>
        <v/>
      </c>
      <c r="V492" s="60"/>
      <c r="W492" s="114">
        <v>42595</v>
      </c>
      <c r="X492"/>
    </row>
    <row r="493" spans="1:24" ht="14.1" customHeight="1">
      <c r="A493" s="45" t="s">
        <v>252</v>
      </c>
      <c r="B493" s="45" t="s">
        <v>367</v>
      </c>
      <c r="C493" s="45" t="s">
        <v>368</v>
      </c>
      <c r="D493" s="45" t="str">
        <f>Table1[[#This Row],[City]]&amp;", "&amp;Table1[[#This Row],[State]]</f>
        <v>Boston, MA</v>
      </c>
      <c r="E493" s="49">
        <v>184</v>
      </c>
      <c r="F493" s="50">
        <v>23</v>
      </c>
      <c r="G493" s="50" t="str">
        <f t="array" ref="G493">IFERROR(INDEX(Table2[1st Year],MATCH(1,(Table1[[#This Row],[Employer]]=Table2[EIW Name])*(Table1[[#This Row],[City, State]]=Table2[Offices Matched]),0)),"")</f>
        <v>1st Year: $180K</v>
      </c>
      <c r="H493" s="50">
        <f>_xlfn.IFNA(INDEX(saCAGR[CAGR],MATCH(Table1[[#This Row],[Employer]],saCAGR[EIW Name],0)),"")</f>
        <v>1.014590012684325</v>
      </c>
      <c r="I493" s="50">
        <f>IFERROR(Table1[[#This Row],[SA CAGR]]*Table1[[#This Row],[Number of Summer 2016 2L SAs]],"")</f>
        <v>23.335570291739476</v>
      </c>
      <c r="J493" s="50">
        <v>19</v>
      </c>
      <c r="K493" s="51">
        <f>IFERROR(Table1[[#This Row],[Number of Summer 2016 NYU 2L SAs]]/Table1[[#This Row],[Interview Slots]],0)</f>
        <v>0.10326086956521739</v>
      </c>
      <c r="L493" s="51">
        <f>Table1[[#This Row],[Number of Summer 2016 2L SAs]]/Table1[[#This Row],[Interview Slots]]</f>
        <v>0.125</v>
      </c>
      <c r="M493" s="51">
        <f>IFERROR(Table1[[#This Row],[Number of Summer 2016 NYU 2L SAs]]/Table1[[#This Row],[Number of Summer 2016 2L SAs]],0)</f>
        <v>0.82608695652173914</v>
      </c>
      <c r="N493" s="50" t="str">
        <f>IFERROR(RIGHT(Table1[[#This Row],[1st year]],LEN(Table1[[#This Row],[1st year]])-FIND(":",Table1[[#This Row],[1st year]])-1),"")</f>
        <v>$180K</v>
      </c>
      <c r="O493" s="50" t="str">
        <f t="array" ref="O493">IFERROR(INDEX(Table2[Nth year],MATCH(1,(Table1[[#This Row],[Employer]]=Table2[EIW Name])*(Table1[[#This Row],[City, State]]=Table2[Offices Matched]),0)),"")</f>
        <v>2nd Year Counsel+: $315K</v>
      </c>
      <c r="P493" s="50" t="str">
        <f>IFERROR(RIGHT(Table1[[#This Row],[Nth year]],LEN(Table1[[#This Row],[Nth year]])-FIND(":",Table1[[#This Row],[Nth year]])-1),"")</f>
        <v>$315K</v>
      </c>
      <c r="Q493" s="50" t="str">
        <f t="array" ref="Q493">IFERROR(INDEX(Table2[Am Law 200 PPP Rank ’16],MATCH(1,(Table1[[#This Row],[Employer]]=Table2[EIW Name])*(Table1[[#This Row],[City, State]]=Table2[Offices Matched]),0)),"")</f>
        <v>43: $1.81M</v>
      </c>
      <c r="R493" s="50" t="str">
        <f>IFERROR(LEFT(Table1[[#This Row],[Am Law 200 PPP Rank ’16]],FIND(":",Table1[[#This Row],[Am Law 200 PPP Rank ’16]])-1),"")</f>
        <v>43</v>
      </c>
      <c r="S493" s="50">
        <f>IFERROR(INDEX(VaultRank[Rank],MATCH(Table1[[#This Row],[Employer]],VaultRank[EIW Name],0)),"")</f>
        <v>22</v>
      </c>
      <c r="T493" s="50" t="str">
        <f t="array" ref="T493">IFERROR(INDEX(Table2[Summers Matched],MATCH(1,(Table1[[#This Row],[Employer]]=Table2[EIW Name])*(Table1[[#This Row],[City, State]]=Table2[Offices Matched]),0)),"")</f>
        <v>Yes</v>
      </c>
      <c r="U493" s="52" t="str">
        <f t="shared" si="7"/>
        <v/>
      </c>
      <c r="V493" s="60"/>
      <c r="W493" s="114">
        <v>42595</v>
      </c>
      <c r="X493"/>
    </row>
    <row r="494" spans="1:24" ht="14.1" customHeight="1">
      <c r="A494" s="45" t="s">
        <v>427</v>
      </c>
      <c r="B494" s="45" t="s">
        <v>364</v>
      </c>
      <c r="C494" s="45" t="s">
        <v>362</v>
      </c>
      <c r="D494" s="45" t="str">
        <f>Table1[[#This Row],[City]]&amp;", "&amp;Table1[[#This Row],[State]]</f>
        <v>New York, NY</v>
      </c>
      <c r="E494" s="49">
        <v>94</v>
      </c>
      <c r="F494" s="50">
        <v>0</v>
      </c>
      <c r="G494" s="50" t="str">
        <f t="array" ref="G494">IFERROR(INDEX(Table2[1st Year],MATCH(1,(Table1[[#This Row],[Employer]]=Table2[EIW Name])*(Table1[[#This Row],[City, State]]=Table2[Offices Matched]),0)),"")</f>
        <v/>
      </c>
      <c r="H494" s="50" t="str">
        <f>_xlfn.IFNA(INDEX(saCAGR[CAGR],MATCH(Table1[[#This Row],[Employer]],saCAGR[EIW Name],0)),"")</f>
        <v/>
      </c>
      <c r="I494" s="50" t="str">
        <f>IFERROR(Table1[[#This Row],[SA CAGR]]*Table1[[#This Row],[Number of Summer 2016 2L SAs]],"")</f>
        <v/>
      </c>
      <c r="J494" s="50">
        <v>22</v>
      </c>
      <c r="K494" s="51">
        <f>IFERROR(Table1[[#This Row],[Number of Summer 2016 NYU 2L SAs]]/Table1[[#This Row],[Interview Slots]],0)</f>
        <v>0.23404255319148937</v>
      </c>
      <c r="L494" s="51">
        <f>Table1[[#This Row],[Number of Summer 2016 2L SAs]]/Table1[[#This Row],[Interview Slots]]</f>
        <v>0</v>
      </c>
      <c r="M494" s="51">
        <f>IFERROR(Table1[[#This Row],[Number of Summer 2016 NYU 2L SAs]]/Table1[[#This Row],[Number of Summer 2016 2L SAs]],0)</f>
        <v>0</v>
      </c>
      <c r="N494" s="50" t="str">
        <f>IFERROR(RIGHT(Table1[[#This Row],[1st year]],LEN(Table1[[#This Row],[1st year]])-FIND(":",Table1[[#This Row],[1st year]])-1),"")</f>
        <v/>
      </c>
      <c r="O494" s="50" t="str">
        <f t="array" ref="O494">IFERROR(INDEX(Table2[Nth year],MATCH(1,(Table1[[#This Row],[Employer]]=Table2[EIW Name])*(Table1[[#This Row],[City, State]]=Table2[Offices Matched]),0)),"")</f>
        <v/>
      </c>
      <c r="P494" s="50" t="str">
        <f>IFERROR(RIGHT(Table1[[#This Row],[Nth year]],LEN(Table1[[#This Row],[Nth year]])-FIND(":",Table1[[#This Row],[Nth year]])-1),"")</f>
        <v/>
      </c>
      <c r="Q494" s="50" t="str">
        <f t="array" ref="Q494">IFERROR(INDEX(Table2[Am Law 200 PPP Rank ’16],MATCH(1,(Table1[[#This Row],[Employer]]=Table2[EIW Name])*(Table1[[#This Row],[City, State]]=Table2[Offices Matched]),0)),"")</f>
        <v/>
      </c>
      <c r="R494" s="50" t="str">
        <f>IFERROR(LEFT(Table1[[#This Row],[Am Law 200 PPP Rank ’16]],FIND(":",Table1[[#This Row],[Am Law 200 PPP Rank ’16]])-1),"")</f>
        <v/>
      </c>
      <c r="S494" s="50" t="str">
        <f>IFERROR(INDEX(VaultRank[Rank],MATCH(Table1[[#This Row],[Employer]],VaultRank[EIW Name],0)),"")</f>
        <v/>
      </c>
      <c r="T494" s="50" t="str">
        <f t="array" ref="T494">IFERROR(INDEX(Table2[Summers Matched],MATCH(1,(Table1[[#This Row],[Employer]]=Table2[EIW Name])*(Table1[[#This Row],[City, State]]=Table2[Offices Matched]),0)),"")</f>
        <v/>
      </c>
      <c r="U494" s="52" t="str">
        <f t="shared" si="7"/>
        <v/>
      </c>
      <c r="V494" s="60"/>
      <c r="W494" s="114">
        <v>42595</v>
      </c>
      <c r="X494"/>
    </row>
    <row r="495" spans="1:24" ht="14.1" customHeight="1">
      <c r="A495" s="45" t="s">
        <v>527</v>
      </c>
      <c r="B495" s="45" t="s">
        <v>299</v>
      </c>
      <c r="C495" s="45" t="s">
        <v>300</v>
      </c>
      <c r="D495" s="45" t="str">
        <f>Table1[[#This Row],[City]]&amp;", "&amp;Table1[[#This Row],[State]]</f>
        <v>Los Angeles, CA</v>
      </c>
      <c r="E495" s="49">
        <v>147</v>
      </c>
      <c r="F495" s="50">
        <v>0</v>
      </c>
      <c r="G495" s="50" t="str">
        <f t="array" ref="G495">IFERROR(INDEX(Table2[1st Year],MATCH(1,(Table1[[#This Row],[Employer]]=Table2[EIW Name])*(Table1[[#This Row],[City, State]]=Table2[Offices Matched]),0)),"")</f>
        <v>1st Year: $180K</v>
      </c>
      <c r="H495" s="50" t="str">
        <f>_xlfn.IFNA(INDEX(saCAGR[CAGR],MATCH(Table1[[#This Row],[Employer]],saCAGR[EIW Name],0)),"")</f>
        <v/>
      </c>
      <c r="I495" s="50" t="str">
        <f>IFERROR(Table1[[#This Row],[SA CAGR]]*Table1[[#This Row],[Number of Summer 2016 2L SAs]],"")</f>
        <v/>
      </c>
      <c r="J495" s="50">
        <v>20</v>
      </c>
      <c r="K495" s="51">
        <f>IFERROR(Table1[[#This Row],[Number of Summer 2016 NYU 2L SAs]]/Table1[[#This Row],[Interview Slots]],0)</f>
        <v>0.1360544217687075</v>
      </c>
      <c r="L495" s="51">
        <f>Table1[[#This Row],[Number of Summer 2016 2L SAs]]/Table1[[#This Row],[Interview Slots]]</f>
        <v>0</v>
      </c>
      <c r="M495" s="51">
        <f>IFERROR(Table1[[#This Row],[Number of Summer 2016 NYU 2L SAs]]/Table1[[#This Row],[Number of Summer 2016 2L SAs]],0)</f>
        <v>0</v>
      </c>
      <c r="N495" s="50" t="str">
        <f>IFERROR(RIGHT(Table1[[#This Row],[1st year]],LEN(Table1[[#This Row],[1st year]])-FIND(":",Table1[[#This Row],[1st year]])-1),"")</f>
        <v>$180K</v>
      </c>
      <c r="O495" s="50" t="str">
        <f t="array" ref="O495">IFERROR(INDEX(Table2[Nth year],MATCH(1,(Table1[[#This Row],[Employer]]=Table2[EIW Name])*(Table1[[#This Row],[City, State]]=Table2[Offices Matched]),0)),"")</f>
        <v>9th Year+: $325K</v>
      </c>
      <c r="P495" s="50" t="str">
        <f>IFERROR(RIGHT(Table1[[#This Row],[Nth year]],LEN(Table1[[#This Row],[Nth year]])-FIND(":",Table1[[#This Row],[Nth year]])-1),"")</f>
        <v>$325K</v>
      </c>
      <c r="Q495" s="50" t="str">
        <f t="array" ref="Q495">IFERROR(INDEX(Table2[Am Law 200 PPP Rank ’16],MATCH(1,(Table1[[#This Row],[Employer]]=Table2[EIW Name])*(Table1[[#This Row],[City, State]]=Table2[Offices Matched]),0)),"")</f>
        <v>25: $2.22M</v>
      </c>
      <c r="R495" s="50" t="str">
        <f>IFERROR(LEFT(Table1[[#This Row],[Am Law 200 PPP Rank ’16]],FIND(":",Table1[[#This Row],[Am Law 200 PPP Rank ’16]])-1),"")</f>
        <v>25</v>
      </c>
      <c r="S495" s="50">
        <f>IFERROR(INDEX(VaultRank[Rank],MATCH(Table1[[#This Row],[Employer]],VaultRank[EIW Name],0)),"")</f>
        <v>47</v>
      </c>
      <c r="T495" s="50" t="str">
        <f t="array" ref="T495">IFERROR(INDEX(Table2[Summers Matched],MATCH(1,(Table1[[#This Row],[Employer]]=Table2[EIW Name])*(Table1[[#This Row],[City, State]]=Table2[Offices Matched]),0)),"")</f>
        <v>Yes</v>
      </c>
      <c r="U495" s="52" t="str">
        <f t="shared" si="7"/>
        <v/>
      </c>
      <c r="V495" s="60"/>
      <c r="W495" s="114">
        <v>42592</v>
      </c>
      <c r="X495"/>
    </row>
    <row r="496" spans="1:24" ht="14.1" customHeight="1">
      <c r="A496" s="45" t="s">
        <v>527</v>
      </c>
      <c r="B496" s="45" t="s">
        <v>334</v>
      </c>
      <c r="C496" s="45" t="s">
        <v>300</v>
      </c>
      <c r="D496" s="45" t="str">
        <f>Table1[[#This Row],[City]]&amp;", "&amp;Table1[[#This Row],[State]]</f>
        <v>Palo Alto, CA</v>
      </c>
      <c r="E496" s="49">
        <v>71</v>
      </c>
      <c r="F496" s="50">
        <v>31</v>
      </c>
      <c r="G496" s="50" t="str">
        <f t="array" ref="G496">IFERROR(INDEX(Table2[1st Year],MATCH(1,(Table1[[#This Row],[Employer]]=Table2[EIW Name])*(Table1[[#This Row],[City, State]]=Table2[Offices Matched]),0)),"")</f>
        <v>1st Year: $180K</v>
      </c>
      <c r="H496" s="50" t="str">
        <f>_xlfn.IFNA(INDEX(saCAGR[CAGR],MATCH(Table1[[#This Row],[Employer]],saCAGR[EIW Name],0)),"")</f>
        <v/>
      </c>
      <c r="I496" s="50" t="str">
        <f>IFERROR(Table1[[#This Row],[SA CAGR]]*Table1[[#This Row],[Number of Summer 2016 2L SAs]],"")</f>
        <v/>
      </c>
      <c r="J496" s="50">
        <v>17</v>
      </c>
      <c r="K496" s="51">
        <f>IFERROR(Table1[[#This Row],[Number of Summer 2016 NYU 2L SAs]]/Table1[[#This Row],[Interview Slots]],0)</f>
        <v>0.23943661971830985</v>
      </c>
      <c r="L496" s="51">
        <f>Table1[[#This Row],[Number of Summer 2016 2L SAs]]/Table1[[#This Row],[Interview Slots]]</f>
        <v>0.43661971830985913</v>
      </c>
      <c r="M496" s="51">
        <f>IFERROR(Table1[[#This Row],[Number of Summer 2016 NYU 2L SAs]]/Table1[[#This Row],[Number of Summer 2016 2L SAs]],0)</f>
        <v>0.54838709677419351</v>
      </c>
      <c r="N496" s="50" t="str">
        <f>IFERROR(RIGHT(Table1[[#This Row],[1st year]],LEN(Table1[[#This Row],[1st year]])-FIND(":",Table1[[#This Row],[1st year]])-1),"")</f>
        <v>$180K</v>
      </c>
      <c r="O496" s="50" t="str">
        <f t="array" ref="O496">IFERROR(INDEX(Table2[Nth year],MATCH(1,(Table1[[#This Row],[Employer]]=Table2[EIW Name])*(Table1[[#This Row],[City, State]]=Table2[Offices Matched]),0)),"")</f>
        <v>9th Year+: $325K</v>
      </c>
      <c r="P496" s="50" t="str">
        <f>IFERROR(RIGHT(Table1[[#This Row],[Nth year]],LEN(Table1[[#This Row],[Nth year]])-FIND(":",Table1[[#This Row],[Nth year]])-1),"")</f>
        <v>$325K</v>
      </c>
      <c r="Q496" s="50" t="str">
        <f t="array" ref="Q496">IFERROR(INDEX(Table2[Am Law 200 PPP Rank ’16],MATCH(1,(Table1[[#This Row],[Employer]]=Table2[EIW Name])*(Table1[[#This Row],[City, State]]=Table2[Offices Matched]),0)),"")</f>
        <v>25: $2.22M</v>
      </c>
      <c r="R496" s="50" t="str">
        <f>IFERROR(LEFT(Table1[[#This Row],[Am Law 200 PPP Rank ’16]],FIND(":",Table1[[#This Row],[Am Law 200 PPP Rank ’16]])-1),"")</f>
        <v>25</v>
      </c>
      <c r="S496" s="50">
        <f>IFERROR(INDEX(VaultRank[Rank],MATCH(Table1[[#This Row],[Employer]],VaultRank[EIW Name],0)),"")</f>
        <v>47</v>
      </c>
      <c r="T496" s="50" t="str">
        <f t="array" ref="T496">IFERROR(INDEX(Table2[Summers Matched],MATCH(1,(Table1[[#This Row],[Employer]]=Table2[EIW Name])*(Table1[[#This Row],[City, State]]=Table2[Offices Matched]),0)),"")</f>
        <v>Yes</v>
      </c>
      <c r="U496" s="52">
        <f t="shared" si="7"/>
        <v>3.4</v>
      </c>
      <c r="V496" s="60"/>
      <c r="W496" s="114">
        <v>42592</v>
      </c>
      <c r="X496"/>
    </row>
    <row r="497" spans="1:24" ht="14.1" customHeight="1">
      <c r="A497" s="45" t="s">
        <v>527</v>
      </c>
      <c r="B497" s="45" t="s">
        <v>375</v>
      </c>
      <c r="C497" s="45" t="s">
        <v>300</v>
      </c>
      <c r="D497" s="45" t="str">
        <f>Table1[[#This Row],[City]]&amp;", "&amp;Table1[[#This Row],[State]]</f>
        <v>San Diego, CA</v>
      </c>
      <c r="E497" s="49">
        <v>102</v>
      </c>
      <c r="F497" s="50">
        <v>3</v>
      </c>
      <c r="G497" s="50" t="str">
        <f t="array" ref="G497">IFERROR(INDEX(Table2[1st Year],MATCH(1,(Table1[[#This Row],[Employer]]=Table2[EIW Name])*(Table1[[#This Row],[City, State]]=Table2[Offices Matched]),0)),"")</f>
        <v>1st Year: $180K</v>
      </c>
      <c r="H497" s="50" t="str">
        <f>_xlfn.IFNA(INDEX(saCAGR[CAGR],MATCH(Table1[[#This Row],[Employer]],saCAGR[EIW Name],0)),"")</f>
        <v/>
      </c>
      <c r="I497" s="50" t="str">
        <f>IFERROR(Table1[[#This Row],[SA CAGR]]*Table1[[#This Row],[Number of Summer 2016 2L SAs]],"")</f>
        <v/>
      </c>
      <c r="J497" s="50">
        <v>4</v>
      </c>
      <c r="K497" s="51">
        <f>IFERROR(Table1[[#This Row],[Number of Summer 2016 NYU 2L SAs]]/Table1[[#This Row],[Interview Slots]],0)</f>
        <v>3.9215686274509803E-2</v>
      </c>
      <c r="L497" s="51">
        <f>Table1[[#This Row],[Number of Summer 2016 2L SAs]]/Table1[[#This Row],[Interview Slots]]</f>
        <v>2.9411764705882353E-2</v>
      </c>
      <c r="M497" s="51">
        <f>IFERROR(Table1[[#This Row],[Number of Summer 2016 NYU 2L SAs]]/Table1[[#This Row],[Number of Summer 2016 2L SAs]],0)</f>
        <v>1.3333333333333333</v>
      </c>
      <c r="N497" s="50" t="str">
        <f>IFERROR(RIGHT(Table1[[#This Row],[1st year]],LEN(Table1[[#This Row],[1st year]])-FIND(":",Table1[[#This Row],[1st year]])-1),"")</f>
        <v>$180K</v>
      </c>
      <c r="O497" s="50" t="str">
        <f t="array" ref="O497">IFERROR(INDEX(Table2[Nth year],MATCH(1,(Table1[[#This Row],[Employer]]=Table2[EIW Name])*(Table1[[#This Row],[City, State]]=Table2[Offices Matched]),0)),"")</f>
        <v>9th Year+: $325K</v>
      </c>
      <c r="P497" s="50" t="str">
        <f>IFERROR(RIGHT(Table1[[#This Row],[Nth year]],LEN(Table1[[#This Row],[Nth year]])-FIND(":",Table1[[#This Row],[Nth year]])-1),"")</f>
        <v>$325K</v>
      </c>
      <c r="Q497" s="50" t="str">
        <f t="array" ref="Q497">IFERROR(INDEX(Table2[Am Law 200 PPP Rank ’16],MATCH(1,(Table1[[#This Row],[Employer]]=Table2[EIW Name])*(Table1[[#This Row],[City, State]]=Table2[Offices Matched]),0)),"")</f>
        <v>25: $2.22M</v>
      </c>
      <c r="R497" s="50" t="str">
        <f>IFERROR(LEFT(Table1[[#This Row],[Am Law 200 PPP Rank ’16]],FIND(":",Table1[[#This Row],[Am Law 200 PPP Rank ’16]])-1),"")</f>
        <v>25</v>
      </c>
      <c r="S497" s="50">
        <f>IFERROR(INDEX(VaultRank[Rank],MATCH(Table1[[#This Row],[Employer]],VaultRank[EIW Name],0)),"")</f>
        <v>47</v>
      </c>
      <c r="T497" s="50" t="str">
        <f t="array" ref="T497">IFERROR(INDEX(Table2[Summers Matched],MATCH(1,(Table1[[#This Row],[Employer]]=Table2[EIW Name])*(Table1[[#This Row],[City, State]]=Table2[Offices Matched]),0)),"")</f>
        <v>Yes</v>
      </c>
      <c r="U497" s="52" t="str">
        <f t="shared" si="7"/>
        <v/>
      </c>
      <c r="V497" s="60"/>
      <c r="W497" s="114">
        <v>42594</v>
      </c>
      <c r="X497"/>
    </row>
    <row r="498" spans="1:24" ht="14.1" customHeight="1">
      <c r="A498" s="45" t="s">
        <v>527</v>
      </c>
      <c r="B498" s="45" t="s">
        <v>316</v>
      </c>
      <c r="C498" s="45" t="s">
        <v>300</v>
      </c>
      <c r="D498" s="45" t="str">
        <f>Table1[[#This Row],[City]]&amp;", "&amp;Table1[[#This Row],[State]]</f>
        <v>San Francisco, CA</v>
      </c>
      <c r="E498" s="49">
        <v>107</v>
      </c>
      <c r="F498" s="50">
        <v>2</v>
      </c>
      <c r="G498" s="50" t="str">
        <f t="array" ref="G498">IFERROR(INDEX(Table2[1st Year],MATCH(1,(Table1[[#This Row],[Employer]]=Table2[EIW Name])*(Table1[[#This Row],[City, State]]=Table2[Offices Matched]),0)),"")</f>
        <v>1st Year: $180K</v>
      </c>
      <c r="H498" s="50" t="str">
        <f>_xlfn.IFNA(INDEX(saCAGR[CAGR],MATCH(Table1[[#This Row],[Employer]],saCAGR[EIW Name],0)),"")</f>
        <v/>
      </c>
      <c r="I498" s="50" t="str">
        <f>IFERROR(Table1[[#This Row],[SA CAGR]]*Table1[[#This Row],[Number of Summer 2016 2L SAs]],"")</f>
        <v/>
      </c>
      <c r="J498" s="50">
        <v>14</v>
      </c>
      <c r="K498" s="51">
        <f>IFERROR(Table1[[#This Row],[Number of Summer 2016 NYU 2L SAs]]/Table1[[#This Row],[Interview Slots]],0)</f>
        <v>0.13084112149532709</v>
      </c>
      <c r="L498" s="51">
        <f>Table1[[#This Row],[Number of Summer 2016 2L SAs]]/Table1[[#This Row],[Interview Slots]]</f>
        <v>1.8691588785046728E-2</v>
      </c>
      <c r="M498" s="51">
        <f>IFERROR(Table1[[#This Row],[Number of Summer 2016 NYU 2L SAs]]/Table1[[#This Row],[Number of Summer 2016 2L SAs]],0)</f>
        <v>7</v>
      </c>
      <c r="N498" s="50" t="str">
        <f>IFERROR(RIGHT(Table1[[#This Row],[1st year]],LEN(Table1[[#This Row],[1st year]])-FIND(":",Table1[[#This Row],[1st year]])-1),"")</f>
        <v>$180K</v>
      </c>
      <c r="O498" s="50" t="str">
        <f t="array" ref="O498">IFERROR(INDEX(Table2[Nth year],MATCH(1,(Table1[[#This Row],[Employer]]=Table2[EIW Name])*(Table1[[#This Row],[City, State]]=Table2[Offices Matched]),0)),"")</f>
        <v>9th Year+: $325K</v>
      </c>
      <c r="P498" s="50" t="str">
        <f>IFERROR(RIGHT(Table1[[#This Row],[Nth year]],LEN(Table1[[#This Row],[Nth year]])-FIND(":",Table1[[#This Row],[Nth year]])-1),"")</f>
        <v>$325K</v>
      </c>
      <c r="Q498" s="50" t="str">
        <f t="array" ref="Q498">IFERROR(INDEX(Table2[Am Law 200 PPP Rank ’16],MATCH(1,(Table1[[#This Row],[Employer]]=Table2[EIW Name])*(Table1[[#This Row],[City, State]]=Table2[Offices Matched]),0)),"")</f>
        <v>25: $2.22M</v>
      </c>
      <c r="R498" s="50" t="str">
        <f>IFERROR(LEFT(Table1[[#This Row],[Am Law 200 PPP Rank ’16]],FIND(":",Table1[[#This Row],[Am Law 200 PPP Rank ’16]])-1),"")</f>
        <v>25</v>
      </c>
      <c r="S498" s="50">
        <f>IFERROR(INDEX(VaultRank[Rank],MATCH(Table1[[#This Row],[Employer]],VaultRank[EIW Name],0)),"")</f>
        <v>47</v>
      </c>
      <c r="T498" s="50" t="str">
        <f t="array" ref="T498">IFERROR(INDEX(Table2[Summers Matched],MATCH(1,(Table1[[#This Row],[Employer]]=Table2[EIW Name])*(Table1[[#This Row],[City, State]]=Table2[Offices Matched]),0)),"")</f>
        <v>Yes</v>
      </c>
      <c r="U498" s="52" t="str">
        <f t="shared" si="7"/>
        <v/>
      </c>
      <c r="V498" s="60"/>
      <c r="W498" s="114">
        <v>42595</v>
      </c>
      <c r="X498"/>
    </row>
    <row r="499" spans="1:24" ht="14.1" customHeight="1">
      <c r="A499" s="45" t="s">
        <v>527</v>
      </c>
      <c r="B499" s="45" t="s">
        <v>301</v>
      </c>
      <c r="C499" s="45" t="s">
        <v>302</v>
      </c>
      <c r="D499" s="45" t="str">
        <f>Table1[[#This Row],[City]]&amp;", "&amp;Table1[[#This Row],[State]]</f>
        <v>Washington, DC</v>
      </c>
      <c r="E499" s="49">
        <v>117</v>
      </c>
      <c r="F499" s="50">
        <v>8</v>
      </c>
      <c r="G499" s="50" t="str">
        <f t="array" ref="G499">IFERROR(INDEX(Table2[1st Year],MATCH(1,(Table1[[#This Row],[Employer]]=Table2[EIW Name])*(Table1[[#This Row],[City, State]]=Table2[Offices Matched]),0)),"")</f>
        <v/>
      </c>
      <c r="H499" s="50" t="str">
        <f>_xlfn.IFNA(INDEX(saCAGR[CAGR],MATCH(Table1[[#This Row],[Employer]],saCAGR[EIW Name],0)),"")</f>
        <v/>
      </c>
      <c r="I499" s="50" t="str">
        <f>IFERROR(Table1[[#This Row],[SA CAGR]]*Table1[[#This Row],[Number of Summer 2016 2L SAs]],"")</f>
        <v/>
      </c>
      <c r="J499" s="50">
        <v>3</v>
      </c>
      <c r="K499" s="51">
        <f>IFERROR(Table1[[#This Row],[Number of Summer 2016 NYU 2L SAs]]/Table1[[#This Row],[Interview Slots]],0)</f>
        <v>2.564102564102564E-2</v>
      </c>
      <c r="L499" s="51">
        <f>Table1[[#This Row],[Number of Summer 2016 2L SAs]]/Table1[[#This Row],[Interview Slots]]</f>
        <v>6.8376068376068383E-2</v>
      </c>
      <c r="M499" s="51">
        <f>IFERROR(Table1[[#This Row],[Number of Summer 2016 NYU 2L SAs]]/Table1[[#This Row],[Number of Summer 2016 2L SAs]],0)</f>
        <v>0.375</v>
      </c>
      <c r="N499" s="50" t="str">
        <f>IFERROR(RIGHT(Table1[[#This Row],[1st year]],LEN(Table1[[#This Row],[1st year]])-FIND(":",Table1[[#This Row],[1st year]])-1),"")</f>
        <v/>
      </c>
      <c r="O499" s="50" t="str">
        <f t="array" ref="O499">IFERROR(INDEX(Table2[Nth year],MATCH(1,(Table1[[#This Row],[Employer]]=Table2[EIW Name])*(Table1[[#This Row],[City, State]]=Table2[Offices Matched]),0)),"")</f>
        <v/>
      </c>
      <c r="P499" s="50" t="str">
        <f>IFERROR(RIGHT(Table1[[#This Row],[Nth year]],LEN(Table1[[#This Row],[Nth year]])-FIND(":",Table1[[#This Row],[Nth year]])-1),"")</f>
        <v/>
      </c>
      <c r="Q499" s="50" t="str">
        <f t="array" ref="Q499">IFERROR(INDEX(Table2[Am Law 200 PPP Rank ’16],MATCH(1,(Table1[[#This Row],[Employer]]=Table2[EIW Name])*(Table1[[#This Row],[City, State]]=Table2[Offices Matched]),0)),"")</f>
        <v/>
      </c>
      <c r="R499" s="50" t="str">
        <f>IFERROR(LEFT(Table1[[#This Row],[Am Law 200 PPP Rank ’16]],FIND(":",Table1[[#This Row],[Am Law 200 PPP Rank ’16]])-1),"")</f>
        <v/>
      </c>
      <c r="S499" s="50">
        <f>IFERROR(INDEX(VaultRank[Rank],MATCH(Table1[[#This Row],[Employer]],VaultRank[EIW Name],0)),"")</f>
        <v>47</v>
      </c>
      <c r="T499" s="50" t="str">
        <f t="array" ref="T499">IFERROR(INDEX(Table2[Summers Matched],MATCH(1,(Table1[[#This Row],[Employer]]=Table2[EIW Name])*(Table1[[#This Row],[City, State]]=Table2[Offices Matched]),0)),"")</f>
        <v/>
      </c>
      <c r="U499" s="52" t="str">
        <f t="shared" si="7"/>
        <v/>
      </c>
      <c r="V499" s="60"/>
      <c r="W499" s="114">
        <v>42595</v>
      </c>
      <c r="X499"/>
    </row>
    <row r="500" spans="1:24" ht="20.100000000000001" customHeight="1">
      <c r="A500" s="45" t="s">
        <v>527</v>
      </c>
      <c r="B500" s="45" t="s">
        <v>367</v>
      </c>
      <c r="C500" s="45" t="s">
        <v>368</v>
      </c>
      <c r="D500" s="45" t="str">
        <f>Table1[[#This Row],[City]]&amp;", "&amp;Table1[[#This Row],[State]]</f>
        <v>Boston, MA</v>
      </c>
      <c r="E500" s="49">
        <v>163</v>
      </c>
      <c r="F500" s="50">
        <v>0</v>
      </c>
      <c r="G500" s="50" t="str">
        <f t="array" ref="G500">IFERROR(INDEX(Table2[1st Year],MATCH(1,(Table1[[#This Row],[Employer]]=Table2[EIW Name])*(Table1[[#This Row],[City, State]]=Table2[Offices Matched]),0)),"")</f>
        <v>1st Year: $180K</v>
      </c>
      <c r="H500" s="50" t="str">
        <f>_xlfn.IFNA(INDEX(saCAGR[CAGR],MATCH(Table1[[#This Row],[Employer]],saCAGR[EIW Name],0)),"")</f>
        <v/>
      </c>
      <c r="I500" s="50" t="str">
        <f>IFERROR(Table1[[#This Row],[SA CAGR]]*Table1[[#This Row],[Number of Summer 2016 2L SAs]],"")</f>
        <v/>
      </c>
      <c r="J500" s="50">
        <v>15</v>
      </c>
      <c r="K500" s="51">
        <f>IFERROR(Table1[[#This Row],[Number of Summer 2016 NYU 2L SAs]]/Table1[[#This Row],[Interview Slots]],0)</f>
        <v>9.202453987730061E-2</v>
      </c>
      <c r="L500" s="51">
        <f>Table1[[#This Row],[Number of Summer 2016 2L SAs]]/Table1[[#This Row],[Interview Slots]]</f>
        <v>0</v>
      </c>
      <c r="M500" s="51">
        <f>IFERROR(Table1[[#This Row],[Number of Summer 2016 NYU 2L SAs]]/Table1[[#This Row],[Number of Summer 2016 2L SAs]],0)</f>
        <v>0</v>
      </c>
      <c r="N500" s="50" t="str">
        <f>IFERROR(RIGHT(Table1[[#This Row],[1st year]],LEN(Table1[[#This Row],[1st year]])-FIND(":",Table1[[#This Row],[1st year]])-1),"")</f>
        <v>$180K</v>
      </c>
      <c r="O500" s="50" t="str">
        <f t="array" ref="O500">IFERROR(INDEX(Table2[Nth year],MATCH(1,(Table1[[#This Row],[Employer]]=Table2[EIW Name])*(Table1[[#This Row],[City, State]]=Table2[Offices Matched]),0)),"")</f>
        <v>9th Year+: $325K</v>
      </c>
      <c r="P500" s="50" t="str">
        <f>IFERROR(RIGHT(Table1[[#This Row],[Nth year]],LEN(Table1[[#This Row],[Nth year]])-FIND(":",Table1[[#This Row],[Nth year]])-1),"")</f>
        <v>$325K</v>
      </c>
      <c r="Q500" s="50" t="str">
        <f t="array" ref="Q500">IFERROR(INDEX(Table2[Am Law 200 PPP Rank ’16],MATCH(1,(Table1[[#This Row],[Employer]]=Table2[EIW Name])*(Table1[[#This Row],[City, State]]=Table2[Offices Matched]),0)),"")</f>
        <v>25: $2.22M</v>
      </c>
      <c r="R500" s="50" t="str">
        <f>IFERROR(LEFT(Table1[[#This Row],[Am Law 200 PPP Rank ’16]],FIND(":",Table1[[#This Row],[Am Law 200 PPP Rank ’16]])-1),"")</f>
        <v>25</v>
      </c>
      <c r="S500" s="50">
        <f>IFERROR(INDEX(VaultRank[Rank],MATCH(Table1[[#This Row],[Employer]],VaultRank[EIW Name],0)),"")</f>
        <v>47</v>
      </c>
      <c r="T500" s="50" t="str">
        <f t="array" ref="T500">IFERROR(INDEX(Table2[Summers Matched],MATCH(1,(Table1[[#This Row],[Employer]]=Table2[EIW Name])*(Table1[[#This Row],[City, State]]=Table2[Offices Matched]),0)),"")</f>
        <v>Yes</v>
      </c>
      <c r="U500" s="52" t="str">
        <f t="shared" si="7"/>
        <v/>
      </c>
      <c r="V500" s="60"/>
      <c r="W500" s="114">
        <v>42592</v>
      </c>
      <c r="X500"/>
    </row>
    <row r="501" spans="1:24" ht="20.100000000000001" customHeight="1">
      <c r="A501" s="45" t="s">
        <v>527</v>
      </c>
      <c r="B501" s="45" t="s">
        <v>338</v>
      </c>
      <c r="C501" s="45" t="s">
        <v>314</v>
      </c>
      <c r="D501" s="45" t="str">
        <f>Table1[[#This Row],[City]]&amp;", "&amp;Table1[[#This Row],[State]]</f>
        <v>Austin, TX</v>
      </c>
      <c r="E501" s="49">
        <v>184</v>
      </c>
      <c r="F501" s="50">
        <v>4</v>
      </c>
      <c r="G501" s="50" t="str">
        <f t="array" ref="G501">IFERROR(INDEX(Table2[1st Year],MATCH(1,(Table1[[#This Row],[Employer]]=Table2[EIW Name])*(Table1[[#This Row],[City, State]]=Table2[Offices Matched]),0)),"")</f>
        <v>1st Year: $180K</v>
      </c>
      <c r="H501" s="50" t="str">
        <f>_xlfn.IFNA(INDEX(saCAGR[CAGR],MATCH(Table1[[#This Row],[Employer]],saCAGR[EIW Name],0)),"")</f>
        <v/>
      </c>
      <c r="I501" s="50" t="str">
        <f>IFERROR(Table1[[#This Row],[SA CAGR]]*Table1[[#This Row],[Number of Summer 2016 2L SAs]],"")</f>
        <v/>
      </c>
      <c r="J501" s="50">
        <v>9</v>
      </c>
      <c r="K501" s="51">
        <f>IFERROR(Table1[[#This Row],[Number of Summer 2016 NYU 2L SAs]]/Table1[[#This Row],[Interview Slots]],0)</f>
        <v>4.8913043478260872E-2</v>
      </c>
      <c r="L501" s="51">
        <f>Table1[[#This Row],[Number of Summer 2016 2L SAs]]/Table1[[#This Row],[Interview Slots]]</f>
        <v>2.1739130434782608E-2</v>
      </c>
      <c r="M501" s="51">
        <f>IFERROR(Table1[[#This Row],[Number of Summer 2016 NYU 2L SAs]]/Table1[[#This Row],[Number of Summer 2016 2L SAs]],0)</f>
        <v>2.25</v>
      </c>
      <c r="N501" s="50" t="str">
        <f>IFERROR(RIGHT(Table1[[#This Row],[1st year]],LEN(Table1[[#This Row],[1st year]])-FIND(":",Table1[[#This Row],[1st year]])-1),"")</f>
        <v>$180K</v>
      </c>
      <c r="O501" s="50" t="str">
        <f t="array" ref="O501">IFERROR(INDEX(Table2[Nth year],MATCH(1,(Table1[[#This Row],[Employer]]=Table2[EIW Name])*(Table1[[#This Row],[City, State]]=Table2[Offices Matched]),0)),"")</f>
        <v>9th Year+: $325K</v>
      </c>
      <c r="P501" s="50" t="str">
        <f>IFERROR(RIGHT(Table1[[#This Row],[Nth year]],LEN(Table1[[#This Row],[Nth year]])-FIND(":",Table1[[#This Row],[Nth year]])-1),"")</f>
        <v>$325K</v>
      </c>
      <c r="Q501" s="50" t="str">
        <f t="array" ref="Q501">IFERROR(INDEX(Table2[Am Law 200 PPP Rank ’16],MATCH(1,(Table1[[#This Row],[Employer]]=Table2[EIW Name])*(Table1[[#This Row],[City, State]]=Table2[Offices Matched]),0)),"")</f>
        <v>25: $2.22M</v>
      </c>
      <c r="R501" s="50" t="str">
        <f>IFERROR(LEFT(Table1[[#This Row],[Am Law 200 PPP Rank ’16]],FIND(":",Table1[[#This Row],[Am Law 200 PPP Rank ’16]])-1),"")</f>
        <v>25</v>
      </c>
      <c r="S501" s="50">
        <f>IFERROR(INDEX(VaultRank[Rank],MATCH(Table1[[#This Row],[Employer]],VaultRank[EIW Name],0)),"")</f>
        <v>47</v>
      </c>
      <c r="T501" s="50" t="str">
        <f t="array" ref="T501">IFERROR(INDEX(Table2[Summers Matched],MATCH(1,(Table1[[#This Row],[Employer]]=Table2[EIW Name])*(Table1[[#This Row],[City, State]]=Table2[Offices Matched]),0)),"")</f>
        <v>Yes</v>
      </c>
      <c r="U501" s="52" t="str">
        <f t="shared" si="7"/>
        <v/>
      </c>
      <c r="V501" s="60"/>
      <c r="W501" s="114">
        <v>42595</v>
      </c>
      <c r="X501"/>
    </row>
    <row r="502" spans="1:24" ht="20.100000000000001" customHeight="1">
      <c r="A502" s="45" t="s">
        <v>527</v>
      </c>
      <c r="B502" s="45" t="s">
        <v>332</v>
      </c>
      <c r="C502" s="45" t="s">
        <v>333</v>
      </c>
      <c r="D502" s="45" t="str">
        <f>Table1[[#This Row],[City]]&amp;", "&amp;Table1[[#This Row],[State]]</f>
        <v>Seattle, WA</v>
      </c>
      <c r="E502" s="49">
        <v>191</v>
      </c>
      <c r="F502" s="50">
        <v>3</v>
      </c>
      <c r="G502" s="50" t="str">
        <f t="array" ref="G502">IFERROR(INDEX(Table2[1st Year],MATCH(1,(Table1[[#This Row],[Employer]]=Table2[EIW Name])*(Table1[[#This Row],[City, State]]=Table2[Offices Matched]),0)),"")</f>
        <v>1st Year: $180K</v>
      </c>
      <c r="H502" s="50" t="str">
        <f>_xlfn.IFNA(INDEX(saCAGR[CAGR],MATCH(Table1[[#This Row],[Employer]],saCAGR[EIW Name],0)),"")</f>
        <v/>
      </c>
      <c r="I502" s="50" t="str">
        <f>IFERROR(Table1[[#This Row],[SA CAGR]]*Table1[[#This Row],[Number of Summer 2016 2L SAs]],"")</f>
        <v/>
      </c>
      <c r="J502" s="50">
        <v>2</v>
      </c>
      <c r="K502" s="51">
        <f>IFERROR(Table1[[#This Row],[Number of Summer 2016 NYU 2L SAs]]/Table1[[#This Row],[Interview Slots]],0)</f>
        <v>1.0471204188481676E-2</v>
      </c>
      <c r="L502" s="51">
        <f>Table1[[#This Row],[Number of Summer 2016 2L SAs]]/Table1[[#This Row],[Interview Slots]]</f>
        <v>1.5706806282722512E-2</v>
      </c>
      <c r="M502" s="51">
        <f>IFERROR(Table1[[#This Row],[Number of Summer 2016 NYU 2L SAs]]/Table1[[#This Row],[Number of Summer 2016 2L SAs]],0)</f>
        <v>0.66666666666666663</v>
      </c>
      <c r="N502" s="50" t="str">
        <f>IFERROR(RIGHT(Table1[[#This Row],[1st year]],LEN(Table1[[#This Row],[1st year]])-FIND(":",Table1[[#This Row],[1st year]])-1),"")</f>
        <v>$180K</v>
      </c>
      <c r="O502" s="50" t="str">
        <f t="array" ref="O502">IFERROR(INDEX(Table2[Nth year],MATCH(1,(Table1[[#This Row],[Employer]]=Table2[EIW Name])*(Table1[[#This Row],[City, State]]=Table2[Offices Matched]),0)),"")</f>
        <v>9th Year+: $325K</v>
      </c>
      <c r="P502" s="50" t="str">
        <f>IFERROR(RIGHT(Table1[[#This Row],[Nth year]],LEN(Table1[[#This Row],[Nth year]])-FIND(":",Table1[[#This Row],[Nth year]])-1),"")</f>
        <v>$325K</v>
      </c>
      <c r="Q502" s="50" t="str">
        <f t="array" ref="Q502">IFERROR(INDEX(Table2[Am Law 200 PPP Rank ’16],MATCH(1,(Table1[[#This Row],[Employer]]=Table2[EIW Name])*(Table1[[#This Row],[City, State]]=Table2[Offices Matched]),0)),"")</f>
        <v>25: $2.22M</v>
      </c>
      <c r="R502" s="50" t="str">
        <f>IFERROR(LEFT(Table1[[#This Row],[Am Law 200 PPP Rank ’16]],FIND(":",Table1[[#This Row],[Am Law 200 PPP Rank ’16]])-1),"")</f>
        <v>25</v>
      </c>
      <c r="S502" s="50">
        <f>IFERROR(INDEX(VaultRank[Rank],MATCH(Table1[[#This Row],[Employer]],VaultRank[EIW Name],0)),"")</f>
        <v>47</v>
      </c>
      <c r="T502" s="50" t="str">
        <f t="array" ref="T502">IFERROR(INDEX(Table2[Summers Matched],MATCH(1,(Table1[[#This Row],[Employer]]=Table2[EIW Name])*(Table1[[#This Row],[City, State]]=Table2[Offices Matched]),0)),"")</f>
        <v>Yes</v>
      </c>
      <c r="U502" s="52" t="str">
        <f t="shared" si="7"/>
        <v/>
      </c>
      <c r="V502" s="60"/>
      <c r="W502" s="114">
        <v>42593</v>
      </c>
      <c r="X502"/>
    </row>
    <row r="503" spans="1:24" ht="20.100000000000001" customHeight="1">
      <c r="A503" s="45" t="s">
        <v>519</v>
      </c>
      <c r="B503" s="45" t="s">
        <v>364</v>
      </c>
      <c r="C503" s="45" t="s">
        <v>362</v>
      </c>
      <c r="D503" s="45" t="str">
        <f>Table1[[#This Row],[City]]&amp;", "&amp;Table1[[#This Row],[State]]</f>
        <v>New York, NY</v>
      </c>
      <c r="E503" s="49">
        <v>22</v>
      </c>
      <c r="F503" s="50">
        <v>3</v>
      </c>
      <c r="G503" s="50" t="str">
        <f t="array" ref="G503">IFERROR(INDEX(Table2[1st Year],MATCH(1,(Table1[[#This Row],[Employer]]=Table2[EIW Name])*(Table1[[#This Row],[City, State]]=Table2[Offices Matched]),0)),"")</f>
        <v/>
      </c>
      <c r="H503" s="50" t="str">
        <f>_xlfn.IFNA(INDEX(saCAGR[CAGR],MATCH(Table1[[#This Row],[Employer]],saCAGR[EIW Name],0)),"")</f>
        <v/>
      </c>
      <c r="I503" s="50" t="str">
        <f>IFERROR(Table1[[#This Row],[SA CAGR]]*Table1[[#This Row],[Number of Summer 2016 2L SAs]],"")</f>
        <v/>
      </c>
      <c r="J503" s="50">
        <v>24</v>
      </c>
      <c r="K503" s="51">
        <f>IFERROR(Table1[[#This Row],[Number of Summer 2016 NYU 2L SAs]]/Table1[[#This Row],[Interview Slots]],0)</f>
        <v>1.0909090909090908</v>
      </c>
      <c r="L503" s="51">
        <f>Table1[[#This Row],[Number of Summer 2016 2L SAs]]/Table1[[#This Row],[Interview Slots]]</f>
        <v>0.13636363636363635</v>
      </c>
      <c r="M503" s="51">
        <f>IFERROR(Table1[[#This Row],[Number of Summer 2016 NYU 2L SAs]]/Table1[[#This Row],[Number of Summer 2016 2L SAs]],0)</f>
        <v>8</v>
      </c>
      <c r="N503" s="50" t="str">
        <f>IFERROR(RIGHT(Table1[[#This Row],[1st year]],LEN(Table1[[#This Row],[1st year]])-FIND(":",Table1[[#This Row],[1st year]])-1),"")</f>
        <v/>
      </c>
      <c r="O503" s="50" t="str">
        <f t="array" ref="O503">IFERROR(INDEX(Table2[Nth year],MATCH(1,(Table1[[#This Row],[Employer]]=Table2[EIW Name])*(Table1[[#This Row],[City, State]]=Table2[Offices Matched]),0)),"")</f>
        <v/>
      </c>
      <c r="P503" s="50" t="str">
        <f>IFERROR(RIGHT(Table1[[#This Row],[Nth year]],LEN(Table1[[#This Row],[Nth year]])-FIND(":",Table1[[#This Row],[Nth year]])-1),"")</f>
        <v/>
      </c>
      <c r="Q503" s="50" t="str">
        <f t="array" ref="Q503">IFERROR(INDEX(Table2[Am Law 200 PPP Rank ’16],MATCH(1,(Table1[[#This Row],[Employer]]=Table2[EIW Name])*(Table1[[#This Row],[City, State]]=Table2[Offices Matched]),0)),"")</f>
        <v/>
      </c>
      <c r="R503" s="50" t="str">
        <f>IFERROR(LEFT(Table1[[#This Row],[Am Law 200 PPP Rank ’16]],FIND(":",Table1[[#This Row],[Am Law 200 PPP Rank ’16]])-1),"")</f>
        <v/>
      </c>
      <c r="S503" s="50" t="str">
        <f>IFERROR(INDEX(VaultRank[Rank],MATCH(Table1[[#This Row],[Employer]],VaultRank[EIW Name],0)),"")</f>
        <v/>
      </c>
      <c r="T503" s="50" t="str">
        <f t="array" ref="T503">IFERROR(INDEX(Table2[Summers Matched],MATCH(1,(Table1[[#This Row],[Employer]]=Table2[EIW Name])*(Table1[[#This Row],[City, State]]=Table2[Offices Matched]),0)),"")</f>
        <v/>
      </c>
      <c r="U503" s="52" t="str">
        <f t="shared" si="7"/>
        <v/>
      </c>
      <c r="V503" s="60"/>
      <c r="W503" s="114">
        <v>42594</v>
      </c>
      <c r="X503"/>
    </row>
    <row r="504" spans="1:24" ht="20.100000000000001" customHeight="1">
      <c r="A504" s="45" t="s">
        <v>505</v>
      </c>
      <c r="B504" s="45" t="s">
        <v>364</v>
      </c>
      <c r="C504" s="45" t="s">
        <v>362</v>
      </c>
      <c r="D504" s="45" t="str">
        <f>Table1[[#This Row],[City]]&amp;", "&amp;Table1[[#This Row],[State]]</f>
        <v>New York, NY</v>
      </c>
      <c r="E504" s="49">
        <v>193</v>
      </c>
      <c r="F504" s="50">
        <v>16</v>
      </c>
      <c r="G504" s="50" t="str">
        <f t="array" ref="G504">IFERROR(INDEX(Table2[1st Year],MATCH(1,(Table1[[#This Row],[Employer]]=Table2[EIW Name])*(Table1[[#This Row],[City, State]]=Table2[Offices Matched]),0)),"")</f>
        <v/>
      </c>
      <c r="H504" s="51">
        <f>_xlfn.IFNA(INDEX(saCAGR[CAGR],MATCH(Table1[[#This Row],[Employer]],saCAGR[EIW Name],0)),"")</f>
        <v>1.0205959095795867</v>
      </c>
      <c r="I504" s="50">
        <f>IFERROR(Table1[[#This Row],[SA CAGR]]*Table1[[#This Row],[Number of Summer 2016 2L SAs]],"")</f>
        <v>16.329534553273387</v>
      </c>
      <c r="J504" s="50">
        <v>8</v>
      </c>
      <c r="K504" s="51">
        <f>IFERROR(Table1[[#This Row],[Number of Summer 2016 NYU 2L SAs]]/Table1[[#This Row],[Interview Slots]],0)</f>
        <v>4.145077720207254E-2</v>
      </c>
      <c r="L504" s="51">
        <f>Table1[[#This Row],[Number of Summer 2016 2L SAs]]/Table1[[#This Row],[Interview Slots]]</f>
        <v>8.2901554404145081E-2</v>
      </c>
      <c r="M504" s="51">
        <f>IFERROR(Table1[[#This Row],[Number of Summer 2016 NYU 2L SAs]]/Table1[[#This Row],[Number of Summer 2016 2L SAs]],0)</f>
        <v>0.5</v>
      </c>
      <c r="N504" s="50" t="str">
        <f>IFERROR(RIGHT(Table1[[#This Row],[1st year]],LEN(Table1[[#This Row],[1st year]])-FIND(":",Table1[[#This Row],[1st year]])-1),"")</f>
        <v/>
      </c>
      <c r="O504" s="50" t="str">
        <f t="array" ref="O504">IFERROR(INDEX(Table2[Nth year],MATCH(1,(Table1[[#This Row],[Employer]]=Table2[EIW Name])*(Table1[[#This Row],[City, State]]=Table2[Offices Matched]),0)),"")</f>
        <v/>
      </c>
      <c r="P504" s="50" t="str">
        <f>IFERROR(RIGHT(Table1[[#This Row],[Nth year]],LEN(Table1[[#This Row],[Nth year]])-FIND(":",Table1[[#This Row],[Nth year]])-1),"")</f>
        <v/>
      </c>
      <c r="Q504" s="50" t="str">
        <f t="array" ref="Q504">IFERROR(INDEX(Table2[Am Law 200 PPP Rank ’16],MATCH(1,(Table1[[#This Row],[Employer]]=Table2[EIW Name])*(Table1[[#This Row],[City, State]]=Table2[Offices Matched]),0)),"")</f>
        <v/>
      </c>
      <c r="R504" s="50" t="str">
        <f>IFERROR(LEFT(Table1[[#This Row],[Am Law 200 PPP Rank ’16]],FIND(":",Table1[[#This Row],[Am Law 200 PPP Rank ’16]])-1),"")</f>
        <v/>
      </c>
      <c r="S504" s="50" t="str">
        <f>IFERROR(INDEX(VaultRank[Rank],MATCH(Table1[[#This Row],[Employer]],VaultRank[EIW Name],0)),"")</f>
        <v/>
      </c>
      <c r="T504" s="50" t="str">
        <f t="array" ref="T504">IFERROR(INDEX(Table2[Summers Matched],MATCH(1,(Table1[[#This Row],[Employer]]=Table2[EIW Name])*(Table1[[#This Row],[City, State]]=Table2[Offices Matched]),0)),"")</f>
        <v/>
      </c>
      <c r="U504" s="52" t="str">
        <f t="shared" si="7"/>
        <v/>
      </c>
      <c r="V504" s="60"/>
      <c r="W504" s="114">
        <v>42594</v>
      </c>
      <c r="X504"/>
    </row>
    <row r="505" spans="1:24" ht="20.100000000000001" customHeight="1">
      <c r="A505" s="45" t="s">
        <v>52</v>
      </c>
      <c r="B505" s="45" t="s">
        <v>299</v>
      </c>
      <c r="C505" s="45" t="s">
        <v>300</v>
      </c>
      <c r="D505" s="45" t="str">
        <f>Table1[[#This Row],[City]]&amp;", "&amp;Table1[[#This Row],[State]]</f>
        <v>Los Angeles, CA</v>
      </c>
      <c r="E505" s="49">
        <v>50</v>
      </c>
      <c r="F505" s="50">
        <v>4</v>
      </c>
      <c r="G505" s="50" t="str">
        <f t="array" ref="G505">IFERROR(INDEX(Table2[1st Year],MATCH(1,(Table1[[#This Row],[Employer]]=Table2[EIW Name])*(Table1[[#This Row],[City, State]]=Table2[Offices Matched]),0)),"")</f>
        <v>1st Year: $180K</v>
      </c>
      <c r="H505" s="50">
        <f>_xlfn.IFNA(INDEX(saCAGR[CAGR],MATCH(Table1[[#This Row],[Employer]],saCAGR[EIW Name],0)),"")</f>
        <v>1.0131293398920969</v>
      </c>
      <c r="I505" s="50">
        <f>IFERROR(Table1[[#This Row],[SA CAGR]]*Table1[[#This Row],[Number of Summer 2016 2L SAs]],"")</f>
        <v>4.0525173595683874</v>
      </c>
      <c r="J505" s="50">
        <v>6</v>
      </c>
      <c r="K505" s="51">
        <f>IFERROR(Table1[[#This Row],[Number of Summer 2016 NYU 2L SAs]]/Table1[[#This Row],[Interview Slots]],0)</f>
        <v>0.12</v>
      </c>
      <c r="L505" s="51">
        <f>Table1[[#This Row],[Number of Summer 2016 2L SAs]]/Table1[[#This Row],[Interview Slots]]</f>
        <v>0.08</v>
      </c>
      <c r="M505" s="51">
        <f>IFERROR(Table1[[#This Row],[Number of Summer 2016 NYU 2L SAs]]/Table1[[#This Row],[Number of Summer 2016 2L SAs]],0)</f>
        <v>1.5</v>
      </c>
      <c r="N505" s="50" t="str">
        <f>IFERROR(RIGHT(Table1[[#This Row],[1st year]],LEN(Table1[[#This Row],[1st year]])-FIND(":",Table1[[#This Row],[1st year]])-1),"")</f>
        <v>$180K</v>
      </c>
      <c r="O505" s="50" t="str">
        <f t="array" ref="O505">IFERROR(INDEX(Table2[Nth year],MATCH(1,(Table1[[#This Row],[Employer]]=Table2[EIW Name])*(Table1[[#This Row],[City, State]]=Table2[Offices Matched]),0)),"")</f>
        <v>8th Year: $315K</v>
      </c>
      <c r="P505" s="50" t="str">
        <f>IFERROR(RIGHT(Table1[[#This Row],[Nth year]],LEN(Table1[[#This Row],[Nth year]])-FIND(":",Table1[[#This Row],[Nth year]])-1),"")</f>
        <v>$315K</v>
      </c>
      <c r="Q505" s="50" t="str">
        <f t="array" ref="Q505">IFERROR(INDEX(Table2[Am Law 200 PPP Rank ’16],MATCH(1,(Table1[[#This Row],[Employer]]=Table2[EIW Name])*(Table1[[#This Row],[City, State]]=Table2[Offices Matched]),0)),"")</f>
        <v>44: $1.81M</v>
      </c>
      <c r="R505" s="50" t="str">
        <f>IFERROR(LEFT(Table1[[#This Row],[Am Law 200 PPP Rank ’16]],FIND(":",Table1[[#This Row],[Am Law 200 PPP Rank ’16]])-1),"")</f>
        <v>44</v>
      </c>
      <c r="S505" s="50">
        <f>IFERROR(INDEX(VaultRank[Rank],MATCH(Table1[[#This Row],[Employer]],VaultRank[EIW Name],0)),"")</f>
        <v>54</v>
      </c>
      <c r="T505" s="50" t="str">
        <f t="array" ref="T505">IFERROR(INDEX(Table2[Summers Matched],MATCH(1,(Table1[[#This Row],[Employer]]=Table2[EIW Name])*(Table1[[#This Row],[City, State]]=Table2[Offices Matched]),0)),"")</f>
        <v>Yes</v>
      </c>
      <c r="U505" s="52" t="str">
        <f t="shared" si="7"/>
        <v/>
      </c>
      <c r="V505" s="60"/>
      <c r="W505" s="114">
        <v>42595</v>
      </c>
      <c r="X505"/>
    </row>
    <row r="506" spans="1:24" ht="20.100000000000001" customHeight="1">
      <c r="A506" s="45" t="s">
        <v>52</v>
      </c>
      <c r="B506" s="45" t="s">
        <v>316</v>
      </c>
      <c r="C506" s="45" t="s">
        <v>300</v>
      </c>
      <c r="D506" s="45" t="str">
        <f>Table1[[#This Row],[City]]&amp;", "&amp;Table1[[#This Row],[State]]</f>
        <v>San Francisco, CA</v>
      </c>
      <c r="E506" s="49">
        <v>108</v>
      </c>
      <c r="F506" s="50">
        <v>3</v>
      </c>
      <c r="G506" s="50" t="str">
        <f t="array" ref="G506">IFERROR(INDEX(Table2[1st Year],MATCH(1,(Table1[[#This Row],[Employer]]=Table2[EIW Name])*(Table1[[#This Row],[City, State]]=Table2[Offices Matched]),0)),"")</f>
        <v>1st Year: $180K</v>
      </c>
      <c r="H506" s="50">
        <f>_xlfn.IFNA(INDEX(saCAGR[CAGR],MATCH(Table1[[#This Row],[Employer]],saCAGR[EIW Name],0)),"")</f>
        <v>1.0131293398920969</v>
      </c>
      <c r="I506" s="50">
        <f>IFERROR(Table1[[#This Row],[SA CAGR]]*Table1[[#This Row],[Number of Summer 2016 2L SAs]],"")</f>
        <v>3.0393880196762906</v>
      </c>
      <c r="J506" s="50">
        <v>11</v>
      </c>
      <c r="K506" s="51">
        <f>IFERROR(Table1[[#This Row],[Number of Summer 2016 NYU 2L SAs]]/Table1[[#This Row],[Interview Slots]],0)</f>
        <v>0.10185185185185185</v>
      </c>
      <c r="L506" s="51">
        <f>Table1[[#This Row],[Number of Summer 2016 2L SAs]]/Table1[[#This Row],[Interview Slots]]</f>
        <v>2.7777777777777776E-2</v>
      </c>
      <c r="M506" s="51">
        <f>IFERROR(Table1[[#This Row],[Number of Summer 2016 NYU 2L SAs]]/Table1[[#This Row],[Number of Summer 2016 2L SAs]],0)</f>
        <v>3.6666666666666665</v>
      </c>
      <c r="N506" s="50" t="str">
        <f>IFERROR(RIGHT(Table1[[#This Row],[1st year]],LEN(Table1[[#This Row],[1st year]])-FIND(":",Table1[[#This Row],[1st year]])-1),"")</f>
        <v>$180K</v>
      </c>
      <c r="O506" s="50" t="str">
        <f t="array" ref="O506">IFERROR(INDEX(Table2[Nth year],MATCH(1,(Table1[[#This Row],[Employer]]=Table2[EIW Name])*(Table1[[#This Row],[City, State]]=Table2[Offices Matched]),0)),"")</f>
        <v>8th Year: $315K</v>
      </c>
      <c r="P506" s="50" t="str">
        <f>IFERROR(RIGHT(Table1[[#This Row],[Nth year]],LEN(Table1[[#This Row],[Nth year]])-FIND(":",Table1[[#This Row],[Nth year]])-1),"")</f>
        <v>$315K</v>
      </c>
      <c r="Q506" s="50" t="str">
        <f t="array" ref="Q506">IFERROR(INDEX(Table2[Am Law 200 PPP Rank ’16],MATCH(1,(Table1[[#This Row],[Employer]]=Table2[EIW Name])*(Table1[[#This Row],[City, State]]=Table2[Offices Matched]),0)),"")</f>
        <v>44: $1.81M</v>
      </c>
      <c r="R506" s="50" t="str">
        <f>IFERROR(LEFT(Table1[[#This Row],[Am Law 200 PPP Rank ’16]],FIND(":",Table1[[#This Row],[Am Law 200 PPP Rank ’16]])-1),"")</f>
        <v>44</v>
      </c>
      <c r="S506" s="50">
        <f>IFERROR(INDEX(VaultRank[Rank],MATCH(Table1[[#This Row],[Employer]],VaultRank[EIW Name],0)),"")</f>
        <v>54</v>
      </c>
      <c r="T506" s="50" t="str">
        <f t="array" ref="T506">IFERROR(INDEX(Table2[Summers Matched],MATCH(1,(Table1[[#This Row],[Employer]]=Table2[EIW Name])*(Table1[[#This Row],[City, State]]=Table2[Offices Matched]),0)),"")</f>
        <v>Yes</v>
      </c>
      <c r="U506" s="52">
        <f t="shared" si="7"/>
        <v>3.6</v>
      </c>
      <c r="V506" s="60"/>
      <c r="W506" s="114">
        <v>42592</v>
      </c>
      <c r="X506"/>
    </row>
    <row r="507" spans="1:24" ht="20.100000000000001" customHeight="1">
      <c r="A507" s="45" t="s">
        <v>52</v>
      </c>
      <c r="B507" s="45" t="s">
        <v>301</v>
      </c>
      <c r="C507" s="45" t="s">
        <v>302</v>
      </c>
      <c r="D507" s="45" t="str">
        <f>Table1[[#This Row],[City]]&amp;", "&amp;Table1[[#This Row],[State]]</f>
        <v>Washington, DC</v>
      </c>
      <c r="E507" s="49">
        <v>77</v>
      </c>
      <c r="F507" s="50">
        <v>7</v>
      </c>
      <c r="G507" s="50" t="str">
        <f t="array" ref="G507">IFERROR(INDEX(Table2[1st Year],MATCH(1,(Table1[[#This Row],[Employer]]=Table2[EIW Name])*(Table1[[#This Row],[City, State]]=Table2[Offices Matched]),0)),"")</f>
        <v/>
      </c>
      <c r="H507" s="50">
        <f>_xlfn.IFNA(INDEX(saCAGR[CAGR],MATCH(Table1[[#This Row],[Employer]],saCAGR[EIW Name],0)),"")</f>
        <v>1.0131293398920969</v>
      </c>
      <c r="I507" s="50">
        <f>IFERROR(Table1[[#This Row],[SA CAGR]]*Table1[[#This Row],[Number of Summer 2016 2L SAs]],"")</f>
        <v>7.091905379244678</v>
      </c>
      <c r="J507" s="50">
        <v>3</v>
      </c>
      <c r="K507" s="51">
        <f>IFERROR(Table1[[#This Row],[Number of Summer 2016 NYU 2L SAs]]/Table1[[#This Row],[Interview Slots]],0)</f>
        <v>3.896103896103896E-2</v>
      </c>
      <c r="L507" s="51">
        <f>Table1[[#This Row],[Number of Summer 2016 2L SAs]]/Table1[[#This Row],[Interview Slots]]</f>
        <v>9.0909090909090912E-2</v>
      </c>
      <c r="M507" s="51">
        <f>IFERROR(Table1[[#This Row],[Number of Summer 2016 NYU 2L SAs]]/Table1[[#This Row],[Number of Summer 2016 2L SAs]],0)</f>
        <v>0.42857142857142855</v>
      </c>
      <c r="N507" s="50" t="str">
        <f>IFERROR(RIGHT(Table1[[#This Row],[1st year]],LEN(Table1[[#This Row],[1st year]])-FIND(":",Table1[[#This Row],[1st year]])-1),"")</f>
        <v/>
      </c>
      <c r="O507" s="50" t="str">
        <f t="array" ref="O507">IFERROR(INDEX(Table2[Nth year],MATCH(1,(Table1[[#This Row],[Employer]]=Table2[EIW Name])*(Table1[[#This Row],[City, State]]=Table2[Offices Matched]),0)),"")</f>
        <v/>
      </c>
      <c r="P507" s="50" t="str">
        <f>IFERROR(RIGHT(Table1[[#This Row],[Nth year]],LEN(Table1[[#This Row],[Nth year]])-FIND(":",Table1[[#This Row],[Nth year]])-1),"")</f>
        <v/>
      </c>
      <c r="Q507" s="50" t="str">
        <f t="array" ref="Q507">IFERROR(INDEX(Table2[Am Law 200 PPP Rank ’16],MATCH(1,(Table1[[#This Row],[Employer]]=Table2[EIW Name])*(Table1[[#This Row],[City, State]]=Table2[Offices Matched]),0)),"")</f>
        <v/>
      </c>
      <c r="R507" s="50" t="str">
        <f>IFERROR(LEFT(Table1[[#This Row],[Am Law 200 PPP Rank ’16]],FIND(":",Table1[[#This Row],[Am Law 200 PPP Rank ’16]])-1),"")</f>
        <v/>
      </c>
      <c r="S507" s="50">
        <f>IFERROR(INDEX(VaultRank[Rank],MATCH(Table1[[#This Row],[Employer]],VaultRank[EIW Name],0)),"")</f>
        <v>54</v>
      </c>
      <c r="T507" s="50" t="str">
        <f t="array" ref="T507">IFERROR(INDEX(Table2[Summers Matched],MATCH(1,(Table1[[#This Row],[Employer]]=Table2[EIW Name])*(Table1[[#This Row],[City, State]]=Table2[Offices Matched]),0)),"")</f>
        <v/>
      </c>
      <c r="U507" s="52" t="str">
        <f t="shared" si="7"/>
        <v/>
      </c>
      <c r="V507" s="60"/>
      <c r="W507" s="114">
        <v>42593</v>
      </c>
      <c r="X507"/>
    </row>
    <row r="508" spans="1:24" ht="20.100000000000001" customHeight="1">
      <c r="A508" s="45" t="s">
        <v>52</v>
      </c>
      <c r="B508" s="45" t="s">
        <v>310</v>
      </c>
      <c r="C508" s="45" t="s">
        <v>311</v>
      </c>
      <c r="D508" s="45" t="str">
        <f>Table1[[#This Row],[City]]&amp;", "&amp;Table1[[#This Row],[State]]</f>
        <v>Charlotte, NC</v>
      </c>
      <c r="E508" s="49">
        <v>101</v>
      </c>
      <c r="F508" s="50">
        <v>1</v>
      </c>
      <c r="G508" s="50" t="str">
        <f t="array" ref="G508">IFERROR(INDEX(Table2[1st Year],MATCH(1,(Table1[[#This Row],[Employer]]=Table2[EIW Name])*(Table1[[#This Row],[City, State]]=Table2[Offices Matched]),0)),"")</f>
        <v>1st Year: $180K</v>
      </c>
      <c r="H508" s="50">
        <f>_xlfn.IFNA(INDEX(saCAGR[CAGR],MATCH(Table1[[#This Row],[Employer]],saCAGR[EIW Name],0)),"")</f>
        <v>1.0131293398920969</v>
      </c>
      <c r="I508" s="50">
        <f>IFERROR(Table1[[#This Row],[SA CAGR]]*Table1[[#This Row],[Number of Summer 2016 2L SAs]],"")</f>
        <v>1.0131293398920969</v>
      </c>
      <c r="J508" s="50">
        <v>3</v>
      </c>
      <c r="K508" s="51">
        <f>IFERROR(Table1[[#This Row],[Number of Summer 2016 NYU 2L SAs]]/Table1[[#This Row],[Interview Slots]],0)</f>
        <v>2.9702970297029702E-2</v>
      </c>
      <c r="L508" s="51">
        <f>Table1[[#This Row],[Number of Summer 2016 2L SAs]]/Table1[[#This Row],[Interview Slots]]</f>
        <v>9.9009900990099011E-3</v>
      </c>
      <c r="M508" s="51">
        <f>IFERROR(Table1[[#This Row],[Number of Summer 2016 NYU 2L SAs]]/Table1[[#This Row],[Number of Summer 2016 2L SAs]],0)</f>
        <v>3</v>
      </c>
      <c r="N508" s="50" t="str">
        <f>IFERROR(RIGHT(Table1[[#This Row],[1st year]],LEN(Table1[[#This Row],[1st year]])-FIND(":",Table1[[#This Row],[1st year]])-1),"")</f>
        <v>$180K</v>
      </c>
      <c r="O508" s="50" t="str">
        <f t="array" ref="O508">IFERROR(INDEX(Table2[Nth year],MATCH(1,(Table1[[#This Row],[Employer]]=Table2[EIW Name])*(Table1[[#This Row],[City, State]]=Table2[Offices Matched]),0)),"")</f>
        <v>8th Year: $315K</v>
      </c>
      <c r="P508" s="50" t="str">
        <f>IFERROR(RIGHT(Table1[[#This Row],[Nth year]],LEN(Table1[[#This Row],[Nth year]])-FIND(":",Table1[[#This Row],[Nth year]])-1),"")</f>
        <v>$315K</v>
      </c>
      <c r="Q508" s="50" t="str">
        <f t="array" ref="Q508">IFERROR(INDEX(Table2[Am Law 200 PPP Rank ’16],MATCH(1,(Table1[[#This Row],[Employer]]=Table2[EIW Name])*(Table1[[#This Row],[City, State]]=Table2[Offices Matched]),0)),"")</f>
        <v>44: $1.81M</v>
      </c>
      <c r="R508" s="50" t="str">
        <f>IFERROR(LEFT(Table1[[#This Row],[Am Law 200 PPP Rank ’16]],FIND(":",Table1[[#This Row],[Am Law 200 PPP Rank ’16]])-1),"")</f>
        <v>44</v>
      </c>
      <c r="S508" s="50">
        <f>IFERROR(INDEX(VaultRank[Rank],MATCH(Table1[[#This Row],[Employer]],VaultRank[EIW Name],0)),"")</f>
        <v>54</v>
      </c>
      <c r="T508" s="50" t="str">
        <f t="array" ref="T508">IFERROR(INDEX(Table2[Summers Matched],MATCH(1,(Table1[[#This Row],[Employer]]=Table2[EIW Name])*(Table1[[#This Row],[City, State]]=Table2[Offices Matched]),0)),"")</f>
        <v>Yes</v>
      </c>
      <c r="U508" s="52" t="str">
        <f t="shared" si="7"/>
        <v/>
      </c>
      <c r="V508" s="60"/>
      <c r="W508" s="114">
        <v>42593</v>
      </c>
      <c r="X508"/>
    </row>
    <row r="509" spans="1:24" ht="20.100000000000001" customHeight="1">
      <c r="A509" s="45" t="s">
        <v>52</v>
      </c>
      <c r="B509" s="45" t="s">
        <v>331</v>
      </c>
      <c r="C509" s="45" t="s">
        <v>314</v>
      </c>
      <c r="D509" s="45" t="str">
        <f>Table1[[#This Row],[City]]&amp;", "&amp;Table1[[#This Row],[State]]</f>
        <v>Houston, TX</v>
      </c>
      <c r="E509" s="49">
        <v>162</v>
      </c>
      <c r="F509" s="50">
        <v>7</v>
      </c>
      <c r="G509" s="50" t="str">
        <f t="array" ref="G509">IFERROR(INDEX(Table2[1st Year],MATCH(1,(Table1[[#This Row],[Employer]]=Table2[EIW Name])*(Table1[[#This Row],[City, State]]=Table2[Offices Matched]),0)),"")</f>
        <v>1st Year: $180K</v>
      </c>
      <c r="H509" s="50">
        <f>_xlfn.IFNA(INDEX(saCAGR[CAGR],MATCH(Table1[[#This Row],[Employer]],saCAGR[EIW Name],0)),"")</f>
        <v>1.0131293398920969</v>
      </c>
      <c r="I509" s="50">
        <f>IFERROR(Table1[[#This Row],[SA CAGR]]*Table1[[#This Row],[Number of Summer 2016 2L SAs]],"")</f>
        <v>7.091905379244678</v>
      </c>
      <c r="J509" s="50">
        <v>0</v>
      </c>
      <c r="K509" s="51">
        <f>IFERROR(Table1[[#This Row],[Number of Summer 2016 NYU 2L SAs]]/Table1[[#This Row],[Interview Slots]],0)</f>
        <v>0</v>
      </c>
      <c r="L509" s="51">
        <f>Table1[[#This Row],[Number of Summer 2016 2L SAs]]/Table1[[#This Row],[Interview Slots]]</f>
        <v>4.3209876543209874E-2</v>
      </c>
      <c r="M509" s="51">
        <f>IFERROR(Table1[[#This Row],[Number of Summer 2016 NYU 2L SAs]]/Table1[[#This Row],[Number of Summer 2016 2L SAs]],0)</f>
        <v>0</v>
      </c>
      <c r="N509" s="50" t="str">
        <f>IFERROR(RIGHT(Table1[[#This Row],[1st year]],LEN(Table1[[#This Row],[1st year]])-FIND(":",Table1[[#This Row],[1st year]])-1),"")</f>
        <v>$180K</v>
      </c>
      <c r="O509" s="50" t="str">
        <f t="array" ref="O509">IFERROR(INDEX(Table2[Nth year],MATCH(1,(Table1[[#This Row],[Employer]]=Table2[EIW Name])*(Table1[[#This Row],[City, State]]=Table2[Offices Matched]),0)),"")</f>
        <v>8th Year: $315K</v>
      </c>
      <c r="P509" s="50" t="str">
        <f>IFERROR(RIGHT(Table1[[#This Row],[Nth year]],LEN(Table1[[#This Row],[Nth year]])-FIND(":",Table1[[#This Row],[Nth year]])-1),"")</f>
        <v>$315K</v>
      </c>
      <c r="Q509" s="50" t="str">
        <f t="array" ref="Q509">IFERROR(INDEX(Table2[Am Law 200 PPP Rank ’16],MATCH(1,(Table1[[#This Row],[Employer]]=Table2[EIW Name])*(Table1[[#This Row],[City, State]]=Table2[Offices Matched]),0)),"")</f>
        <v>44: $1.81M</v>
      </c>
      <c r="R509" s="50" t="str">
        <f>IFERROR(LEFT(Table1[[#This Row],[Am Law 200 PPP Rank ’16]],FIND(":",Table1[[#This Row],[Am Law 200 PPP Rank ’16]])-1),"")</f>
        <v>44</v>
      </c>
      <c r="S509" s="50">
        <f>IFERROR(INDEX(VaultRank[Rank],MATCH(Table1[[#This Row],[Employer]],VaultRank[EIW Name],0)),"")</f>
        <v>54</v>
      </c>
      <c r="T509" s="50" t="str">
        <f t="array" ref="T509">IFERROR(INDEX(Table2[Summers Matched],MATCH(1,(Table1[[#This Row],[Employer]]=Table2[EIW Name])*(Table1[[#This Row],[City, State]]=Table2[Offices Matched]),0)),"")</f>
        <v>Yes</v>
      </c>
      <c r="U509" s="52" t="str">
        <f t="shared" si="7"/>
        <v/>
      </c>
      <c r="V509" s="60"/>
      <c r="W509" s="114">
        <v>42593</v>
      </c>
      <c r="X509"/>
    </row>
    <row r="510" spans="1:24" ht="20.100000000000001" customHeight="1">
      <c r="A510" s="45" t="s">
        <v>529</v>
      </c>
      <c r="B510" s="45" t="s">
        <v>401</v>
      </c>
      <c r="C510" s="45" t="s">
        <v>402</v>
      </c>
      <c r="D510" s="45" t="str">
        <f>Table1[[#This Row],[City]]&amp;", "&amp;Table1[[#This Row],[State]]</f>
        <v>Wilmington, DE</v>
      </c>
      <c r="E510" s="49">
        <v>47</v>
      </c>
      <c r="F510" s="50">
        <v>5</v>
      </c>
      <c r="G510" s="50" t="str">
        <f t="array" ref="G510">IFERROR(INDEX(Table2[1st Year],MATCH(1,(Table1[[#This Row],[Employer]]=Table2[EIW Name])*(Table1[[#This Row],[City, State]]=Table2[Offices Matched]),0)),"")</f>
        <v/>
      </c>
      <c r="H510" s="50" t="str">
        <f>_xlfn.IFNA(INDEX(saCAGR[CAGR],MATCH(Table1[[#This Row],[Employer]],saCAGR[EIW Name],0)),"")</f>
        <v/>
      </c>
      <c r="I510" s="50" t="str">
        <f>IFERROR(Table1[[#This Row],[SA CAGR]]*Table1[[#This Row],[Number of Summer 2016 2L SAs]],"")</f>
        <v/>
      </c>
      <c r="J510" s="50">
        <v>0</v>
      </c>
      <c r="K510" s="51">
        <f>IFERROR(Table1[[#This Row],[Number of Summer 2016 NYU 2L SAs]]/Table1[[#This Row],[Interview Slots]],0)</f>
        <v>0</v>
      </c>
      <c r="L510" s="51">
        <f>Table1[[#This Row],[Number of Summer 2016 2L SAs]]/Table1[[#This Row],[Interview Slots]]</f>
        <v>0.10638297872340426</v>
      </c>
      <c r="M510" s="51">
        <f>IFERROR(Table1[[#This Row],[Number of Summer 2016 NYU 2L SAs]]/Table1[[#This Row],[Number of Summer 2016 2L SAs]],0)</f>
        <v>0</v>
      </c>
      <c r="N510" s="50" t="str">
        <f>IFERROR(RIGHT(Table1[[#This Row],[1st year]],LEN(Table1[[#This Row],[1st year]])-FIND(":",Table1[[#This Row],[1st year]])-1),"")</f>
        <v/>
      </c>
      <c r="O510" s="50" t="str">
        <f t="array" ref="O510">IFERROR(INDEX(Table2[Nth year],MATCH(1,(Table1[[#This Row],[Employer]]=Table2[EIW Name])*(Table1[[#This Row],[City, State]]=Table2[Offices Matched]),0)),"")</f>
        <v/>
      </c>
      <c r="P510" s="50" t="str">
        <f>IFERROR(RIGHT(Table1[[#This Row],[Nth year]],LEN(Table1[[#This Row],[Nth year]])-FIND(":",Table1[[#This Row],[Nth year]])-1),"")</f>
        <v/>
      </c>
      <c r="Q510" s="50" t="str">
        <f t="array" ref="Q510">IFERROR(INDEX(Table2[Am Law 200 PPP Rank ’16],MATCH(1,(Table1[[#This Row],[Employer]]=Table2[EIW Name])*(Table1[[#This Row],[City, State]]=Table2[Offices Matched]),0)),"")</f>
        <v/>
      </c>
      <c r="R510" s="50" t="str">
        <f>IFERROR(LEFT(Table1[[#This Row],[Am Law 200 PPP Rank ’16]],FIND(":",Table1[[#This Row],[Am Law 200 PPP Rank ’16]])-1),"")</f>
        <v/>
      </c>
      <c r="S510" s="50" t="str">
        <f>IFERROR(INDEX(VaultRank[Rank],MATCH(Table1[[#This Row],[Employer]],VaultRank[EIW Name],0)),"")</f>
        <v/>
      </c>
      <c r="T510" s="50" t="str">
        <f t="array" ref="T510">IFERROR(INDEX(Table2[Summers Matched],MATCH(1,(Table1[[#This Row],[Employer]]=Table2[EIW Name])*(Table1[[#This Row],[City, State]]=Table2[Offices Matched]),0)),"")</f>
        <v/>
      </c>
      <c r="U510" s="52" t="str">
        <f t="shared" si="7"/>
        <v/>
      </c>
      <c r="V510" s="60"/>
      <c r="W510" s="114">
        <v>42592</v>
      </c>
      <c r="X510"/>
    </row>
    <row r="511" spans="1:24" ht="20.100000000000001" customHeight="1">
      <c r="A511" s="45" t="s">
        <v>514</v>
      </c>
      <c r="B511" s="45" t="s">
        <v>364</v>
      </c>
      <c r="C511" s="45" t="s">
        <v>362</v>
      </c>
      <c r="D511" s="45" t="str">
        <f>Table1[[#This Row],[City]]&amp;", "&amp;Table1[[#This Row],[State]]</f>
        <v>New York, NY</v>
      </c>
      <c r="E511" s="49">
        <v>93</v>
      </c>
      <c r="F511" s="50">
        <v>12</v>
      </c>
      <c r="G511" s="50" t="str">
        <f t="array" ref="G511">IFERROR(INDEX(Table2[1st Year],MATCH(1,(Table1[[#This Row],[Employer]]=Table2[EIW Name])*(Table1[[#This Row],[City, State]]=Table2[Offices Matched]),0)),"")</f>
        <v>1st Year: $180K</v>
      </c>
      <c r="H511" s="51">
        <f>_xlfn.IFNA(INDEX(saCAGR[CAGR],MATCH(Table1[[#This Row],[Employer]],saCAGR[EIW Name],0)),"")</f>
        <v>0.99105840276804735</v>
      </c>
      <c r="I511" s="50">
        <f>IFERROR(Table1[[#This Row],[SA CAGR]]*Table1[[#This Row],[Number of Summer 2016 2L SAs]],"")</f>
        <v>11.892700833216569</v>
      </c>
      <c r="J511" s="50">
        <v>2</v>
      </c>
      <c r="K511" s="51">
        <f>IFERROR(Table1[[#This Row],[Number of Summer 2016 NYU 2L SAs]]/Table1[[#This Row],[Interview Slots]],0)</f>
        <v>2.1505376344086023E-2</v>
      </c>
      <c r="L511" s="51">
        <f>Table1[[#This Row],[Number of Summer 2016 2L SAs]]/Table1[[#This Row],[Interview Slots]]</f>
        <v>0.12903225806451613</v>
      </c>
      <c r="M511" s="51">
        <f>IFERROR(Table1[[#This Row],[Number of Summer 2016 NYU 2L SAs]]/Table1[[#This Row],[Number of Summer 2016 2L SAs]],0)</f>
        <v>0.16666666666666666</v>
      </c>
      <c r="N511" s="50" t="str">
        <f>IFERROR(RIGHT(Table1[[#This Row],[1st year]],LEN(Table1[[#This Row],[1st year]])-FIND(":",Table1[[#This Row],[1st year]])-1),"")</f>
        <v>$180K</v>
      </c>
      <c r="O511" s="50" t="str">
        <f t="array" ref="O511">IFERROR(INDEX(Table2[Nth year],MATCH(1,(Table1[[#This Row],[Employer]]=Table2[EIW Name])*(Table1[[#This Row],[City, State]]=Table2[Offices Matched]),0)),"")</f>
        <v>8th Year: $315K</v>
      </c>
      <c r="P511" s="50" t="str">
        <f>IFERROR(RIGHT(Table1[[#This Row],[Nth year]],LEN(Table1[[#This Row],[Nth year]])-FIND(":",Table1[[#This Row],[Nth year]])-1),"")</f>
        <v>$315K</v>
      </c>
      <c r="Q511" s="50" t="str">
        <f t="array" ref="Q511">IFERROR(INDEX(Table2[Am Law 200 PPP Rank ’16],MATCH(1,(Table1[[#This Row],[Employer]]=Table2[EIW Name])*(Table1[[#This Row],[City, State]]=Table2[Offices Matched]),0)),"")</f>
        <v>72: $1.25M</v>
      </c>
      <c r="R511" s="50" t="str">
        <f>IFERROR(LEFT(Table1[[#This Row],[Am Law 200 PPP Rank ’16]],FIND(":",Table1[[#This Row],[Am Law 200 PPP Rank ’16]])-1),"")</f>
        <v>72</v>
      </c>
      <c r="S511" s="50" t="str">
        <f>IFERROR(INDEX(VaultRank[Rank],MATCH(Table1[[#This Row],[Employer]],VaultRank[EIW Name],0)),"")</f>
        <v/>
      </c>
      <c r="T511" s="50" t="str">
        <f t="array" ref="T511">IFERROR(INDEX(Table2[Summers Matched],MATCH(1,(Table1[[#This Row],[Employer]]=Table2[EIW Name])*(Table1[[#This Row],[City, State]]=Table2[Offices Matched]),0)),"")</f>
        <v>Yes</v>
      </c>
      <c r="U511" s="52" t="str">
        <f t="shared" si="7"/>
        <v/>
      </c>
      <c r="V511" s="60"/>
      <c r="W511" s="114">
        <v>42593</v>
      </c>
      <c r="X511"/>
    </row>
    <row r="512" spans="1:24" ht="8.1" customHeight="1"/>
    <row r="513" ht="8.1" customHeight="1"/>
    <row r="514" ht="8.1" customHeight="1"/>
    <row r="515" ht="8.1" customHeight="1"/>
    <row r="516" ht="8.1" customHeight="1"/>
    <row r="517" ht="8.1" customHeight="1"/>
    <row r="518" ht="8.1" customHeight="1"/>
    <row r="519" ht="8.1" customHeight="1"/>
    <row r="520" ht="8.1" customHeight="1"/>
    <row r="521" ht="8.1" customHeight="1"/>
    <row r="522" ht="8.1" customHeight="1"/>
    <row r="523" ht="8.1" customHeight="1"/>
    <row r="524" ht="8.1" customHeight="1"/>
    <row r="525" ht="8.1" customHeight="1"/>
    <row r="526" ht="8.1" customHeight="1"/>
    <row r="527" ht="8.1" customHeight="1"/>
    <row r="528" ht="8.1" customHeight="1"/>
    <row r="529" ht="8.1" customHeight="1"/>
    <row r="530" ht="8.1" customHeight="1"/>
    <row r="531" ht="8.1" customHeight="1"/>
    <row r="532" ht="8.1" customHeight="1"/>
    <row r="533" ht="8.1" customHeight="1"/>
    <row r="534" ht="8.1" customHeight="1"/>
    <row r="535" ht="8.1" customHeight="1"/>
    <row r="536" ht="8.1" customHeight="1"/>
    <row r="537" ht="8.1" customHeight="1"/>
    <row r="538" ht="8.1" customHeight="1"/>
    <row r="539" ht="8.1" customHeight="1"/>
    <row r="540" ht="8.1" customHeight="1"/>
    <row r="541" ht="8.1" customHeight="1"/>
    <row r="542" ht="8.1" customHeight="1"/>
    <row r="543" ht="8.1" customHeight="1"/>
    <row r="544" ht="8.1" customHeight="1"/>
    <row r="545" ht="8.1" customHeight="1"/>
    <row r="546" ht="8.1" customHeight="1"/>
    <row r="547" ht="8.1" customHeight="1"/>
    <row r="548" ht="8.1" customHeight="1"/>
    <row r="549" ht="8.1" customHeight="1"/>
    <row r="550" ht="8.1" customHeight="1"/>
    <row r="551" ht="8.1" customHeight="1"/>
    <row r="552" ht="8.1" customHeight="1"/>
    <row r="553" ht="8.1" customHeight="1"/>
    <row r="554" ht="8.1" customHeight="1"/>
    <row r="555" ht="8.1" customHeight="1"/>
    <row r="556" ht="8.1" customHeight="1"/>
    <row r="557" ht="8.1" customHeight="1"/>
    <row r="558" ht="8.1" customHeight="1"/>
    <row r="559" ht="8.1" customHeight="1"/>
    <row r="560" ht="8.1" customHeight="1"/>
    <row r="561" ht="8.1" customHeight="1"/>
    <row r="562" ht="8.1" customHeight="1"/>
    <row r="563" ht="8.1" customHeight="1"/>
    <row r="564" ht="8.1" customHeight="1"/>
    <row r="565" ht="8.1" customHeight="1"/>
    <row r="566" ht="8.1" customHeight="1"/>
    <row r="567" ht="8.1" customHeight="1"/>
    <row r="568" ht="8.1" customHeight="1"/>
    <row r="569" ht="8.1" customHeight="1"/>
    <row r="570" ht="8.1" customHeight="1"/>
    <row r="571" ht="8.1" customHeight="1"/>
    <row r="572" ht="8.1" customHeight="1"/>
    <row r="573" ht="8.1" customHeight="1"/>
    <row r="574" ht="8.1" customHeight="1"/>
    <row r="575" ht="8.1" customHeight="1"/>
    <row r="576" ht="36.950000000000003" customHeight="1"/>
    <row r="577" ht="8.1" customHeight="1"/>
    <row r="578" ht="8.1" customHeight="1"/>
    <row r="579" ht="8.1" customHeight="1"/>
    <row r="580" ht="8.1" customHeight="1"/>
    <row r="581" ht="8.1" customHeight="1"/>
    <row r="582" ht="8.1" customHeight="1"/>
    <row r="583" ht="8.1" customHeight="1"/>
    <row r="584" ht="8.1" customHeight="1"/>
    <row r="585" ht="8.1" customHeight="1"/>
    <row r="586" ht="8.1" customHeight="1"/>
    <row r="587" ht="8.1" customHeight="1"/>
    <row r="588" ht="8.1" customHeight="1"/>
    <row r="589" ht="8.1" customHeight="1"/>
    <row r="590" ht="8.1" customHeight="1"/>
    <row r="591" ht="8.1" customHeight="1"/>
    <row r="592" ht="8.1" customHeight="1"/>
    <row r="593" ht="15.95" customHeight="1"/>
    <row r="594" ht="8.1" customHeight="1"/>
    <row r="595" ht="8.1" customHeight="1"/>
    <row r="596" ht="8.1" customHeight="1"/>
    <row r="597" ht="8.1" customHeight="1"/>
    <row r="598" ht="8.1" customHeight="1"/>
    <row r="599" ht="8.1" customHeight="1"/>
    <row r="600" ht="8.1" customHeight="1"/>
    <row r="601" ht="8.1" customHeight="1"/>
    <row r="602" ht="8.1" customHeight="1"/>
    <row r="603" ht="8.1" customHeight="1"/>
    <row r="604" ht="8.1" customHeight="1"/>
    <row r="605" ht="8.1" customHeight="1"/>
    <row r="606" ht="8.1" customHeight="1"/>
    <row r="607" ht="8.1" customHeight="1"/>
    <row r="608" ht="8.1" customHeight="1"/>
    <row r="609" ht="8.1" customHeight="1"/>
    <row r="610" ht="8.1" customHeight="1"/>
    <row r="611" ht="8.1" customHeight="1"/>
    <row r="612" ht="8.1" customHeight="1"/>
    <row r="613" ht="8.1" customHeight="1"/>
    <row r="614" ht="8.1" customHeight="1"/>
    <row r="615" ht="8.1" customHeight="1"/>
    <row r="616" ht="8.1" customHeight="1"/>
    <row r="617" ht="8.1" customHeight="1"/>
    <row r="618" ht="8.1" customHeight="1"/>
    <row r="619" ht="8.1" customHeight="1"/>
    <row r="620" ht="8.1" customHeight="1"/>
    <row r="621" ht="8.1" customHeight="1"/>
    <row r="622" ht="8.1" customHeight="1"/>
    <row r="623" ht="8.1" customHeight="1"/>
    <row r="624" ht="8.1" customHeight="1"/>
    <row r="625" ht="8.1" customHeight="1"/>
    <row r="626" ht="8.1" customHeight="1"/>
    <row r="627" ht="8.1" customHeight="1"/>
    <row r="628" ht="8.1" customHeight="1"/>
    <row r="629" ht="8.1" customHeight="1"/>
    <row r="630" ht="8.1" customHeight="1"/>
    <row r="631" ht="8.1" customHeight="1"/>
    <row r="632" ht="15.95" customHeight="1"/>
    <row r="633" ht="8.1" customHeight="1"/>
    <row r="634" ht="15.95" customHeight="1"/>
    <row r="635" ht="15.95" customHeight="1"/>
    <row r="636" ht="15.95" customHeight="1"/>
    <row r="637" ht="8.1" customHeight="1"/>
    <row r="638" ht="8.1" customHeight="1"/>
    <row r="639" ht="8.1" customHeight="1"/>
    <row r="640" ht="8.1" customHeight="1"/>
    <row r="641" ht="8.1" customHeight="1"/>
    <row r="642" ht="8.1" customHeight="1"/>
    <row r="643" ht="8.1" customHeight="1"/>
    <row r="644" ht="8.1" customHeight="1"/>
    <row r="645" ht="15.95" customHeight="1"/>
    <row r="646" ht="8.1" customHeight="1"/>
    <row r="647" ht="36.950000000000003" customHeight="1"/>
    <row r="648" ht="15.95" customHeight="1"/>
    <row r="649" ht="8.1" customHeight="1"/>
    <row r="650" ht="8.1" customHeight="1"/>
    <row r="651" ht="8.1" customHeight="1"/>
    <row r="652" ht="8.1" customHeight="1"/>
    <row r="653" ht="8.1" customHeight="1"/>
    <row r="654" ht="8.1" customHeight="1"/>
    <row r="655" ht="8.1" customHeight="1"/>
    <row r="656" ht="8.1" customHeight="1"/>
    <row r="657" ht="8.1" customHeight="1"/>
    <row r="658" ht="8.1" customHeight="1"/>
    <row r="659" ht="8.1" customHeight="1"/>
    <row r="660" ht="8.1" customHeight="1"/>
    <row r="661" ht="8.1" customHeight="1"/>
    <row r="662" ht="8.1" customHeight="1"/>
    <row r="663" ht="8.1" customHeight="1"/>
    <row r="664" ht="8.1" customHeight="1"/>
    <row r="665" ht="8.1" customHeight="1"/>
    <row r="666" ht="8.1" customHeight="1"/>
    <row r="667" ht="8.1" customHeight="1"/>
    <row r="668" ht="8.1" customHeight="1"/>
    <row r="669" ht="8.1" customHeight="1"/>
    <row r="670" ht="8.1" customHeight="1"/>
    <row r="671" ht="8.1" customHeight="1"/>
    <row r="672" ht="8.1" customHeight="1"/>
    <row r="673" ht="8.1" customHeight="1"/>
    <row r="674" ht="8.1" customHeight="1"/>
    <row r="675" ht="8.1" customHeight="1"/>
    <row r="676" ht="8.1" customHeight="1"/>
    <row r="677" ht="8.1" customHeight="1"/>
    <row r="678" ht="8.1" customHeight="1"/>
    <row r="679" ht="8.1" customHeight="1"/>
    <row r="680" ht="8.1" customHeight="1"/>
    <row r="681" ht="8.1" customHeight="1"/>
    <row r="682" ht="15.95" customHeight="1"/>
    <row r="683" ht="8.1" customHeight="1"/>
    <row r="684" ht="8.1" customHeight="1"/>
    <row r="685" ht="8.1" customHeight="1"/>
    <row r="686" ht="8.1" customHeight="1"/>
    <row r="687" ht="8.1" customHeight="1"/>
    <row r="688" ht="8.1" customHeight="1"/>
    <row r="689" ht="8.1" customHeight="1"/>
    <row r="690" ht="8.1" customHeight="1"/>
    <row r="691" ht="8.1" customHeight="1"/>
    <row r="692" ht="8.1" customHeight="1"/>
    <row r="693" ht="8.1" customHeight="1"/>
    <row r="694" ht="8.1" customHeight="1"/>
    <row r="695" ht="8.1" customHeight="1"/>
    <row r="696" ht="8.1" customHeight="1"/>
    <row r="697" ht="8.1" customHeight="1"/>
    <row r="698" ht="8.1" customHeight="1"/>
    <row r="699" ht="8.1" customHeight="1"/>
    <row r="700" ht="8.1" customHeight="1"/>
    <row r="701" ht="8.1" customHeight="1"/>
    <row r="702" ht="8.1" customHeight="1"/>
    <row r="703" ht="8.1" customHeight="1"/>
    <row r="704" ht="8.1" customHeight="1"/>
    <row r="705" ht="8.1" customHeight="1"/>
    <row r="706" ht="8.1" customHeight="1"/>
    <row r="707" ht="8.1" customHeight="1"/>
    <row r="708" ht="15.95" customHeight="1"/>
    <row r="709" ht="15.95" customHeight="1"/>
    <row r="710" ht="15.95" customHeight="1"/>
    <row r="711" ht="8.1" customHeight="1"/>
    <row r="712" ht="15.95" customHeight="1"/>
    <row r="713" ht="8.1" customHeight="1"/>
    <row r="714" ht="8.1" customHeight="1"/>
    <row r="715" ht="8.1" customHeight="1"/>
    <row r="716" ht="8.1" customHeight="1"/>
    <row r="717" ht="8.1" customHeight="1"/>
    <row r="718" ht="8.1" customHeight="1"/>
    <row r="719" ht="36.950000000000003" customHeight="1"/>
    <row r="720" ht="8.1" customHeight="1"/>
    <row r="721" ht="8.1" customHeight="1"/>
    <row r="722" ht="8.1" customHeight="1"/>
    <row r="723" ht="8.1" customHeight="1"/>
    <row r="724" ht="8.1" customHeight="1"/>
    <row r="725" ht="8.1" customHeight="1"/>
    <row r="726" ht="8.1" customHeight="1"/>
    <row r="727" ht="8.1" customHeight="1"/>
    <row r="728" ht="8.1" customHeight="1"/>
    <row r="729" ht="8.1" customHeight="1"/>
    <row r="730" ht="8.1" customHeight="1"/>
    <row r="731" ht="8.1" customHeight="1"/>
    <row r="732" ht="8.1" customHeight="1"/>
    <row r="733" ht="8.1" customHeight="1"/>
    <row r="734" ht="8.1" customHeight="1"/>
    <row r="735" ht="15.95" customHeight="1"/>
    <row r="736" ht="8.1" customHeight="1"/>
    <row r="737" ht="8.1" customHeight="1"/>
    <row r="738" ht="15.95" customHeight="1"/>
    <row r="739" ht="15.95" customHeight="1"/>
    <row r="740" ht="8.1" customHeight="1"/>
    <row r="741" ht="8.1" customHeight="1"/>
    <row r="742" ht="8.1" customHeight="1"/>
    <row r="743" ht="8.1" customHeight="1"/>
    <row r="744" ht="8.1" customHeight="1"/>
    <row r="745" ht="8.1" customHeight="1"/>
    <row r="746" ht="8.1" customHeight="1"/>
    <row r="747" ht="8.1" customHeight="1"/>
    <row r="748" ht="8.1" customHeight="1"/>
    <row r="749" ht="8.1" customHeight="1"/>
    <row r="750" ht="8.1" customHeight="1"/>
    <row r="751" ht="8.1" customHeight="1"/>
    <row r="752" ht="8.1" customHeight="1"/>
    <row r="753" ht="8.1" customHeight="1"/>
    <row r="754" ht="8.1" customHeight="1"/>
    <row r="755" ht="8.1" customHeight="1"/>
    <row r="756" ht="8.1" customHeight="1"/>
    <row r="757" ht="8.1" customHeight="1"/>
    <row r="758" ht="8.1" customHeight="1"/>
    <row r="759" ht="8.1" customHeight="1"/>
    <row r="760" ht="8.1" customHeight="1"/>
    <row r="761" ht="8.1" customHeight="1"/>
    <row r="762" ht="8.1" customHeight="1"/>
    <row r="763" ht="8.1" customHeight="1"/>
    <row r="764" ht="24" customHeight="1"/>
    <row r="765" ht="8.1" customHeight="1"/>
    <row r="766" ht="8.1" customHeight="1"/>
    <row r="767" ht="8.1" customHeight="1"/>
    <row r="768" ht="8.1" customHeight="1"/>
    <row r="769" ht="8.1" customHeight="1"/>
    <row r="770" ht="8.1" customHeight="1"/>
    <row r="771" ht="8.1" customHeight="1"/>
    <row r="772" ht="8.1" customHeight="1"/>
    <row r="773" ht="8.1" customHeight="1"/>
    <row r="774" ht="8.1" customHeight="1"/>
    <row r="775" ht="8.1" customHeight="1"/>
    <row r="776" ht="8.1" customHeight="1"/>
    <row r="777" ht="8.1" customHeight="1"/>
    <row r="778" ht="8.1" customHeight="1"/>
    <row r="779" ht="8.1" customHeight="1"/>
    <row r="780" ht="8.1" customHeight="1"/>
    <row r="781" ht="8.1" customHeight="1"/>
    <row r="782" ht="8.1" customHeight="1"/>
    <row r="783" ht="8.1" customHeight="1"/>
    <row r="784" ht="8.1" customHeight="1"/>
    <row r="785" ht="8.1" customHeight="1"/>
    <row r="786" ht="8.1" customHeight="1"/>
    <row r="787" ht="8.1" customHeight="1"/>
    <row r="788" ht="8.1" customHeight="1"/>
    <row r="789" ht="8.1" customHeight="1"/>
    <row r="790" ht="8.1" customHeight="1"/>
    <row r="791" ht="8.1" customHeight="1"/>
    <row r="792" ht="36.950000000000003" customHeight="1"/>
    <row r="793" ht="8.1" customHeight="1"/>
    <row r="794" ht="8.1" customHeight="1"/>
    <row r="795" ht="15.95" customHeight="1"/>
    <row r="796" ht="8.1" customHeight="1"/>
    <row r="797" ht="8.1" customHeight="1"/>
    <row r="798" ht="15.95" customHeight="1"/>
    <row r="799" ht="8.1" customHeight="1"/>
    <row r="800" ht="8.1" customHeight="1"/>
    <row r="801" ht="8.1" customHeight="1"/>
    <row r="802" ht="8.1" customHeight="1"/>
    <row r="803" ht="8.1" customHeight="1"/>
    <row r="804" ht="8.1" customHeight="1"/>
    <row r="805" ht="8.1" customHeight="1"/>
    <row r="806" ht="8.1" customHeight="1"/>
    <row r="807" ht="8.1" customHeight="1"/>
    <row r="808" ht="8.1" customHeight="1"/>
    <row r="809" ht="8.1" customHeight="1"/>
    <row r="810" ht="8.1" customHeight="1"/>
    <row r="811" ht="8.1" customHeight="1"/>
    <row r="812" ht="8.1" customHeight="1"/>
    <row r="813" ht="8.1" customHeight="1"/>
    <row r="814" ht="8.1" customHeight="1"/>
    <row r="815" ht="8.1" customHeight="1"/>
    <row r="816" ht="8.1" customHeight="1"/>
    <row r="817" ht="8.1" customHeight="1"/>
    <row r="818" ht="8.1" customHeight="1"/>
    <row r="819" ht="8.1" customHeight="1"/>
    <row r="820" ht="8.1" customHeight="1"/>
    <row r="821" ht="8.1" customHeight="1"/>
    <row r="822" ht="8.1" customHeight="1"/>
    <row r="823" ht="8.1" customHeight="1"/>
    <row r="824" ht="8.1" customHeight="1"/>
    <row r="825" ht="8.1" customHeight="1"/>
    <row r="826" ht="8.1" customHeight="1"/>
    <row r="827" ht="8.1" customHeight="1"/>
    <row r="828" ht="8.1" customHeight="1"/>
    <row r="829" ht="8.1" customHeight="1"/>
    <row r="830" ht="8.1" customHeight="1"/>
    <row r="831" ht="8.1" customHeight="1"/>
    <row r="832" ht="8.1" customHeight="1"/>
    <row r="833" ht="8.1" customHeight="1"/>
    <row r="834" ht="15.95" customHeight="1"/>
    <row r="835" ht="8.1" customHeight="1"/>
    <row r="836" ht="8.1" customHeight="1"/>
    <row r="837" ht="8.1" customHeight="1"/>
    <row r="838" ht="8.1" customHeight="1"/>
    <row r="839" ht="8.1" customHeight="1"/>
    <row r="840" ht="8.1" customHeight="1"/>
    <row r="841" ht="8.1" customHeight="1"/>
    <row r="842" ht="8.1" customHeight="1"/>
    <row r="843" ht="8.1" customHeight="1"/>
    <row r="844" ht="8.1" customHeight="1"/>
    <row r="845" ht="8.1" customHeight="1"/>
    <row r="846" ht="8.1" customHeight="1"/>
    <row r="847" ht="8.1" customHeight="1"/>
    <row r="848" ht="8.1" customHeight="1"/>
    <row r="849" ht="8.1" customHeight="1"/>
    <row r="850" ht="8.1" customHeight="1"/>
    <row r="851" ht="8.1" customHeight="1"/>
    <row r="852" ht="8.1" customHeight="1"/>
    <row r="853" ht="8.1" customHeight="1"/>
    <row r="854" ht="8.1" customHeight="1"/>
    <row r="855" ht="8.1" customHeight="1"/>
    <row r="856" ht="15.95" customHeight="1"/>
    <row r="857" ht="8.1" customHeight="1"/>
    <row r="858" ht="15.95" customHeight="1"/>
    <row r="859" ht="15.95" customHeight="1"/>
    <row r="860" ht="8.1" customHeight="1"/>
    <row r="861" ht="8.1" customHeight="1"/>
    <row r="862" ht="8.1" customHeight="1"/>
    <row r="863" ht="8.1" customHeight="1"/>
    <row r="864" ht="36.950000000000003" customHeight="1"/>
    <row r="865" ht="8.1" customHeight="1"/>
    <row r="866" ht="8.1" customHeight="1"/>
    <row r="867" ht="8.1" customHeight="1"/>
    <row r="868" ht="8.1" customHeight="1"/>
    <row r="869" ht="8.1" customHeight="1"/>
    <row r="870" ht="8.1" customHeight="1"/>
    <row r="871" ht="8.1" customHeight="1"/>
    <row r="872" ht="8.1" customHeight="1"/>
    <row r="873" ht="8.1" customHeight="1"/>
    <row r="874" ht="8.1" customHeight="1"/>
    <row r="875" ht="8.1" customHeight="1"/>
    <row r="876" ht="8.1" customHeight="1"/>
    <row r="877" ht="8.1" customHeight="1"/>
    <row r="878" ht="8.1" customHeight="1"/>
    <row r="879" ht="15.95" customHeight="1"/>
    <row r="880" ht="15.95" customHeight="1"/>
    <row r="881" ht="8.1" customHeight="1"/>
    <row r="882" ht="8.1" customHeight="1"/>
    <row r="883" ht="15.95" customHeight="1"/>
    <row r="884" ht="8.1" customHeight="1"/>
    <row r="885" ht="8.1" customHeight="1"/>
    <row r="886" ht="8.1" customHeight="1"/>
    <row r="887" ht="8.1" customHeight="1"/>
    <row r="888" ht="8.1" customHeight="1"/>
    <row r="889" ht="8.1" customHeight="1"/>
    <row r="890" ht="8.1" customHeight="1"/>
    <row r="891" ht="8.1" customHeight="1"/>
    <row r="892" ht="8.1" customHeight="1"/>
    <row r="893" ht="8.1" customHeight="1"/>
    <row r="894" ht="8.1" customHeight="1"/>
    <row r="895" ht="8.1" customHeight="1"/>
    <row r="896" ht="8.1" customHeight="1"/>
    <row r="897" ht="8.1" customHeight="1"/>
    <row r="898" ht="15.95" customHeight="1"/>
    <row r="899" ht="8.1" customHeight="1"/>
    <row r="900" ht="8.1" customHeight="1"/>
    <row r="901" ht="8.1" customHeight="1"/>
    <row r="902" ht="8.1" customHeight="1"/>
    <row r="903" ht="8.1" customHeight="1"/>
    <row r="904" ht="8.1" customHeight="1"/>
    <row r="905" ht="8.1" customHeight="1"/>
    <row r="906" ht="8.1" customHeight="1"/>
    <row r="907" ht="8.1" customHeight="1"/>
    <row r="908" ht="8.1" customHeight="1"/>
    <row r="909" ht="8.1" customHeight="1"/>
    <row r="910" ht="8.1" customHeight="1"/>
    <row r="911" ht="8.1" customHeight="1"/>
    <row r="912" ht="8.1" customHeight="1"/>
    <row r="913" ht="8.1" customHeight="1"/>
    <row r="914" ht="8.1" customHeight="1"/>
    <row r="915" ht="8.1" customHeight="1"/>
    <row r="916" ht="8.1" customHeight="1"/>
    <row r="917" ht="8.1" customHeight="1"/>
    <row r="918" ht="8.1" customHeight="1"/>
    <row r="919" ht="8.1" customHeight="1"/>
    <row r="920" ht="8.1" customHeight="1"/>
    <row r="921" ht="8.1" customHeight="1"/>
    <row r="922" ht="8.1" customHeight="1"/>
    <row r="923" ht="8.1" customHeight="1"/>
    <row r="924" ht="8.1" customHeight="1"/>
    <row r="925" ht="8.1" customHeight="1"/>
    <row r="926" ht="8.1" customHeight="1"/>
    <row r="927" ht="8.1" customHeight="1"/>
    <row r="928" ht="8.1" customHeight="1"/>
    <row r="929" ht="8.1" customHeight="1"/>
    <row r="930" ht="8.1" customHeight="1"/>
    <row r="931" ht="8.1" customHeight="1"/>
    <row r="932" ht="8.1" customHeight="1"/>
    <row r="933" ht="8.1" customHeight="1"/>
    <row r="934" ht="8.1" customHeight="1"/>
    <row r="935" ht="8.1" customHeight="1"/>
    <row r="936" ht="8.1" customHeight="1"/>
    <row r="937" ht="36.950000000000003" customHeight="1"/>
    <row r="938" ht="15.95" customHeight="1"/>
    <row r="939" ht="8.1" customHeight="1"/>
    <row r="940" ht="8.1" customHeight="1"/>
    <row r="941" ht="8.1" customHeight="1"/>
    <row r="942" ht="15.95" customHeight="1"/>
    <row r="943" ht="8.1" customHeight="1"/>
    <row r="944" ht="8.1" customHeight="1"/>
    <row r="945" ht="15.95" customHeight="1"/>
    <row r="946" ht="8.1" customHeight="1"/>
    <row r="947" ht="15.95" customHeight="1"/>
    <row r="948" ht="8.1" customHeight="1"/>
    <row r="949" ht="8.1" customHeight="1"/>
    <row r="950" ht="8.1" customHeight="1"/>
    <row r="951" ht="8.1" customHeight="1"/>
    <row r="952" ht="8.1" customHeight="1"/>
    <row r="953" ht="8.1" customHeight="1"/>
    <row r="954" ht="8.1" customHeight="1"/>
    <row r="955" ht="8.1" customHeight="1"/>
    <row r="956" ht="8.1" customHeight="1"/>
    <row r="957" ht="8.1" customHeight="1"/>
    <row r="958" ht="8.1" customHeight="1"/>
    <row r="959" ht="8.1" customHeight="1"/>
    <row r="960" ht="8.1" customHeight="1"/>
    <row r="961" ht="8.1" customHeight="1"/>
    <row r="962" ht="8.1" customHeight="1"/>
    <row r="963" ht="8.1" customHeight="1"/>
    <row r="964" ht="8.1" customHeight="1"/>
    <row r="965" ht="8.1" customHeight="1"/>
    <row r="966" ht="8.1" customHeight="1"/>
    <row r="967" ht="8.1" customHeight="1"/>
    <row r="968" ht="8.1" customHeight="1"/>
    <row r="969" ht="8.1" customHeight="1"/>
    <row r="970" ht="8.1" customHeight="1"/>
    <row r="971" ht="8.1" customHeight="1"/>
    <row r="972" ht="8.1" customHeight="1"/>
    <row r="973" ht="8.1" customHeight="1"/>
    <row r="974" ht="8.1" customHeight="1"/>
    <row r="975" ht="8.1" customHeight="1"/>
    <row r="976" ht="8.1" customHeight="1"/>
    <row r="977" ht="8.1" customHeight="1"/>
    <row r="978" ht="8.1" customHeight="1"/>
    <row r="979" ht="8.1" customHeight="1"/>
    <row r="980" ht="15.95" customHeight="1"/>
    <row r="981" ht="8.1" customHeight="1"/>
    <row r="982" ht="8.1" customHeight="1"/>
    <row r="983" ht="8.1" customHeight="1"/>
    <row r="984" ht="8.1" customHeight="1"/>
    <row r="985" ht="8.1" customHeight="1"/>
    <row r="986" ht="8.1" customHeight="1"/>
    <row r="987" ht="8.1" customHeight="1"/>
    <row r="988" ht="8.1" customHeight="1"/>
    <row r="989" ht="8.1" customHeight="1"/>
    <row r="990" ht="8.1" customHeight="1"/>
    <row r="991" ht="8.1" customHeight="1"/>
    <row r="992" ht="8.1" customHeight="1"/>
    <row r="993" ht="8.1" customHeight="1"/>
    <row r="994" ht="8.1" customHeight="1"/>
    <row r="995" ht="8.1" customHeight="1"/>
    <row r="996" ht="8.1" customHeight="1"/>
    <row r="997" ht="8.1" customHeight="1"/>
    <row r="998" ht="8.1" customHeight="1"/>
    <row r="999" ht="8.1" customHeight="1"/>
    <row r="1000" ht="8.1" customHeight="1"/>
    <row r="1001" ht="8.1" customHeight="1"/>
    <row r="1002" ht="8.1" customHeight="1"/>
    <row r="1003" ht="8.1" customHeight="1"/>
    <row r="1004" ht="8.1" customHeight="1"/>
    <row r="1005" ht="12.75" customHeight="1"/>
    <row r="1006" ht="12.75" customHeight="1"/>
    <row r="1007" ht="12.75" customHeight="1"/>
    <row r="1008" ht="12.75" customHeight="1"/>
    <row r="1009" ht="12.75" customHeight="1"/>
    <row r="1010" ht="12.75" customHeight="1"/>
    <row r="1011" ht="12.75" customHeight="1"/>
    <row r="1012" ht="12.75" customHeight="1"/>
    <row r="1013" ht="12.75" customHeight="1"/>
    <row r="1014" ht="12.75" customHeight="1"/>
    <row r="1015" ht="12.75" customHeight="1"/>
    <row r="1016" ht="12.75" customHeight="1"/>
    <row r="1017" ht="12.75" customHeight="1"/>
    <row r="1018" ht="12.75" customHeight="1"/>
    <row r="1019" ht="12.75" customHeight="1"/>
    <row r="1020" ht="12.75" customHeight="1"/>
    <row r="1021" ht="12.75" customHeight="1"/>
    <row r="1022" ht="12.75" customHeight="1"/>
    <row r="1023" ht="12.75" customHeight="1"/>
    <row r="1024" ht="12.75" customHeight="1"/>
    <row r="1025" ht="12.75" customHeight="1"/>
    <row r="1026" ht="12.75" customHeight="1"/>
    <row r="1027" ht="12.75" customHeight="1"/>
    <row r="1028" ht="12.75" customHeight="1"/>
    <row r="1029" ht="12.75" customHeight="1"/>
    <row r="1030" ht="12.75" customHeight="1"/>
    <row r="1031" ht="12.75" customHeight="1"/>
    <row r="1032" ht="12.75" customHeight="1"/>
    <row r="1033" ht="12.75" customHeight="1"/>
    <row r="1034" ht="12.75" customHeight="1"/>
    <row r="1035" ht="12.75" customHeight="1"/>
    <row r="1036" ht="12.75" customHeight="1"/>
    <row r="1037" ht="12.75" customHeight="1"/>
    <row r="1038" ht="12.75" customHeight="1"/>
    <row r="1039" ht="12.75" customHeight="1"/>
    <row r="1040" ht="12.75" customHeight="1"/>
    <row r="1041" ht="12.75" customHeight="1"/>
    <row r="1042" ht="12.75" customHeight="1"/>
    <row r="1043" ht="12.75" customHeight="1"/>
    <row r="1044" ht="12.75" customHeight="1"/>
    <row r="1045" ht="12.75" customHeight="1"/>
    <row r="1046" ht="12.75" customHeight="1"/>
    <row r="1047" ht="12.75" customHeight="1"/>
    <row r="1048" ht="12.75" customHeight="1"/>
    <row r="1049" ht="12.75" customHeight="1"/>
    <row r="1050" ht="12.75" customHeight="1"/>
    <row r="1051" ht="12.75" customHeight="1"/>
    <row r="1052" ht="12.75" customHeight="1"/>
    <row r="1053" ht="12.75" customHeight="1"/>
    <row r="1054" ht="12.75" customHeight="1"/>
    <row r="1055" ht="12.75" customHeight="1"/>
    <row r="1056" ht="12.75" customHeight="1"/>
    <row r="1057" ht="12.75" customHeight="1"/>
    <row r="1058" ht="12.75" customHeight="1"/>
    <row r="1059" ht="12.75" customHeight="1"/>
    <row r="1060" ht="12.75" customHeight="1"/>
    <row r="1061" ht="12.75" customHeight="1"/>
    <row r="1062" ht="12.75" customHeight="1"/>
    <row r="1063" ht="12.75" customHeight="1"/>
    <row r="1064" ht="12.75" customHeight="1"/>
    <row r="1065" ht="12.75" customHeight="1"/>
    <row r="1066" ht="12.75" customHeight="1"/>
    <row r="1067" ht="12.75" customHeight="1"/>
    <row r="1068" ht="12.75" customHeight="1"/>
    <row r="1069" ht="12.75" customHeight="1"/>
    <row r="1070" ht="12.75" customHeight="1"/>
    <row r="1071" ht="12.75" customHeight="1"/>
    <row r="1072" ht="12.75" customHeight="1"/>
    <row r="1073" ht="12.75" customHeight="1"/>
    <row r="1074" ht="12.75" customHeight="1"/>
    <row r="1075" ht="12.75" customHeight="1"/>
    <row r="1076" ht="12.75" customHeight="1"/>
    <row r="1077" ht="12.75" customHeight="1"/>
  </sheetData>
  <pageMargins left="0.7" right="0.7" top="0.75" bottom="0.75" header="0.3" footer="0.3"/>
  <pageSetup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M11"/>
  <sheetViews>
    <sheetView showGridLines="0" showRowColHeaders="0" zoomScale="115" zoomScaleNormal="115" zoomScalePageLayoutView="115" workbookViewId="0">
      <selection activeCell="D17" sqref="D17"/>
    </sheetView>
  </sheetViews>
  <sheetFormatPr defaultColWidth="8.83203125" defaultRowHeight="12.75"/>
  <cols>
    <col min="1" max="1" width="2.1640625" customWidth="1"/>
    <col min="2" max="2" width="45.1640625" style="14" customWidth="1"/>
    <col min="3" max="3" width="11.6640625" customWidth="1"/>
    <col min="4" max="4" width="11.6640625" style="97" customWidth="1"/>
    <col min="5" max="5" width="11.6640625" customWidth="1"/>
    <col min="6" max="6" width="11.6640625" style="97" customWidth="1"/>
    <col min="7" max="7" width="11.6640625" customWidth="1"/>
    <col min="8" max="8" width="11.6640625" style="97" customWidth="1"/>
    <col min="9" max="9" width="11.6640625" customWidth="1"/>
    <col min="10" max="10" width="11.6640625" style="97" customWidth="1"/>
    <col min="11" max="11" width="11.6640625" customWidth="1"/>
    <col min="12" max="12" width="11.6640625" style="97" customWidth="1"/>
    <col min="13" max="13" width="11.6640625" style="105" customWidth="1"/>
  </cols>
  <sheetData>
    <row r="1" spans="2:13" ht="7.5" customHeight="1"/>
    <row r="2" spans="2:13">
      <c r="C2" s="96" t="s">
        <v>752</v>
      </c>
      <c r="D2" s="98" t="s">
        <v>753</v>
      </c>
      <c r="E2" s="88" t="s">
        <v>752</v>
      </c>
      <c r="F2" s="101" t="s">
        <v>753</v>
      </c>
      <c r="G2" s="96" t="s">
        <v>752</v>
      </c>
      <c r="H2" s="98" t="s">
        <v>753</v>
      </c>
      <c r="I2" s="88" t="s">
        <v>752</v>
      </c>
      <c r="J2" s="101" t="s">
        <v>753</v>
      </c>
      <c r="K2" s="96" t="s">
        <v>752</v>
      </c>
      <c r="L2" s="98" t="s">
        <v>753</v>
      </c>
      <c r="M2" s="101" t="s">
        <v>754</v>
      </c>
    </row>
    <row r="3" spans="2:13">
      <c r="B3" s="89" t="s">
        <v>613</v>
      </c>
      <c r="C3" s="90" t="str">
        <f>"1-39"</f>
        <v>1-39</v>
      </c>
      <c r="D3" s="99">
        <v>2</v>
      </c>
      <c r="E3" s="92" t="s">
        <v>700</v>
      </c>
      <c r="F3" s="102">
        <v>4</v>
      </c>
      <c r="G3" s="90" t="s">
        <v>703</v>
      </c>
      <c r="H3" s="99">
        <v>6</v>
      </c>
      <c r="I3" s="92" t="s">
        <v>702</v>
      </c>
      <c r="J3" s="102">
        <v>8</v>
      </c>
      <c r="K3" s="90" t="s">
        <v>701</v>
      </c>
      <c r="L3" s="99">
        <v>10</v>
      </c>
      <c r="M3" s="106">
        <v>10</v>
      </c>
    </row>
    <row r="4" spans="2:13">
      <c r="B4" s="89" t="s">
        <v>657</v>
      </c>
      <c r="C4" s="90" t="str">
        <f>"1-11"</f>
        <v>1-11</v>
      </c>
      <c r="D4" s="99">
        <v>2</v>
      </c>
      <c r="E4" s="94" t="str">
        <f>"12-15"</f>
        <v>12-15</v>
      </c>
      <c r="F4" s="102">
        <v>4</v>
      </c>
      <c r="G4" s="90" t="s">
        <v>704</v>
      </c>
      <c r="H4" s="99">
        <v>6</v>
      </c>
      <c r="I4" s="92" t="s">
        <v>705</v>
      </c>
      <c r="J4" s="102">
        <v>8</v>
      </c>
      <c r="K4" s="90" t="s">
        <v>706</v>
      </c>
      <c r="L4" s="99">
        <v>10</v>
      </c>
      <c r="M4" s="106">
        <v>10</v>
      </c>
    </row>
    <row r="5" spans="2:13">
      <c r="B5" s="89" t="s">
        <v>655</v>
      </c>
      <c r="C5" s="91"/>
      <c r="D5" s="99"/>
      <c r="E5" s="93">
        <v>1</v>
      </c>
      <c r="F5" s="102">
        <v>4</v>
      </c>
      <c r="G5" s="95" t="str">
        <f>"2-3"</f>
        <v>2-3</v>
      </c>
      <c r="H5" s="99">
        <v>6</v>
      </c>
      <c r="I5" s="93" t="str">
        <f>"4-6"</f>
        <v>4-6</v>
      </c>
      <c r="J5" s="102">
        <v>8</v>
      </c>
      <c r="K5" s="90" t="s">
        <v>707</v>
      </c>
      <c r="L5" s="99">
        <v>10</v>
      </c>
      <c r="M5" s="106">
        <v>10</v>
      </c>
    </row>
    <row r="6" spans="2:13">
      <c r="B6" s="89" t="s">
        <v>650</v>
      </c>
      <c r="C6" s="91" t="s">
        <v>699</v>
      </c>
      <c r="D6" s="99">
        <v>35</v>
      </c>
      <c r="E6" s="93">
        <v>3.4</v>
      </c>
      <c r="F6" s="103">
        <v>23.333333333333332</v>
      </c>
      <c r="G6" s="91">
        <v>3.6</v>
      </c>
      <c r="H6" s="104">
        <v>11.666666666666666</v>
      </c>
      <c r="I6" s="93"/>
      <c r="J6" s="102"/>
      <c r="K6" s="91"/>
      <c r="L6" s="99"/>
      <c r="M6" s="106">
        <v>35</v>
      </c>
    </row>
    <row r="7" spans="2:13">
      <c r="B7" s="89" t="s">
        <v>647</v>
      </c>
      <c r="C7" s="91" t="s">
        <v>698</v>
      </c>
      <c r="D7" s="99"/>
      <c r="E7" s="93"/>
      <c r="F7" s="102"/>
      <c r="G7" s="91"/>
      <c r="H7" s="99"/>
      <c r="I7" s="93"/>
      <c r="J7" s="102"/>
      <c r="K7" s="91"/>
      <c r="L7" s="99"/>
      <c r="M7" s="106">
        <v>35</v>
      </c>
    </row>
    <row r="9" spans="2:13">
      <c r="B9" s="108" t="s">
        <v>755</v>
      </c>
      <c r="C9" s="109">
        <f>SUM(M3:M7)</f>
        <v>100</v>
      </c>
    </row>
    <row r="11" spans="2:13">
      <c r="D11" s="100"/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W53"/>
  <sheetViews>
    <sheetView showGridLines="0" workbookViewId="0">
      <pane xSplit="3" ySplit="3" topLeftCell="D4" activePane="bottomRight" state="frozen"/>
      <selection pane="topRight" activeCell="D1" sqref="D1"/>
      <selection pane="bottomLeft" activeCell="A7" sqref="A7"/>
      <selection pane="bottomRight" activeCell="G3" sqref="G3"/>
    </sheetView>
  </sheetViews>
  <sheetFormatPr defaultColWidth="8.83203125" defaultRowHeight="12.75"/>
  <cols>
    <col min="1" max="1" width="4.33203125" customWidth="1"/>
    <col min="2" max="2" width="10" customWidth="1"/>
    <col min="3" max="3" width="39.83203125" bestFit="1" customWidth="1"/>
    <col min="4" max="4" width="16.1640625" bestFit="1" customWidth="1"/>
    <col min="5" max="5" width="12.83203125" bestFit="1" customWidth="1"/>
    <col min="6" max="6" width="16.6640625" customWidth="1"/>
    <col min="7" max="7" width="16.6640625" style="13" customWidth="1"/>
    <col min="8" max="8" width="25.1640625" style="13" bestFit="1" customWidth="1"/>
    <col min="9" max="9" width="24.6640625" style="13" bestFit="1" customWidth="1"/>
    <col min="10" max="10" width="23" customWidth="1"/>
    <col min="11" max="12" width="11.33203125" customWidth="1"/>
    <col min="13" max="13" width="15" customWidth="1"/>
    <col min="14" max="14" width="22" style="14" bestFit="1" customWidth="1"/>
    <col min="15" max="15" width="11.5" bestFit="1" customWidth="1"/>
    <col min="16" max="16" width="18.6640625" bestFit="1" customWidth="1"/>
    <col min="17" max="17" width="18" bestFit="1" customWidth="1"/>
    <col min="18" max="18" width="16" bestFit="1" customWidth="1"/>
    <col min="19" max="19" width="10.83203125" bestFit="1" customWidth="1"/>
    <col min="20" max="20" width="16" bestFit="1" customWidth="1"/>
  </cols>
  <sheetData>
    <row r="2" spans="2:23" ht="75" customHeight="1">
      <c r="B2" s="110"/>
      <c r="C2" s="110"/>
      <c r="D2" s="111" t="s">
        <v>746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3" t="s">
        <v>756</v>
      </c>
      <c r="Q2" s="113"/>
      <c r="R2" s="113"/>
      <c r="S2" s="113"/>
      <c r="T2" s="113"/>
      <c r="U2" s="113"/>
    </row>
    <row r="3" spans="2:23" ht="75">
      <c r="B3" s="47" t="s">
        <v>648</v>
      </c>
      <c r="C3" s="44" t="s">
        <v>742</v>
      </c>
      <c r="D3" s="48" t="s">
        <v>295</v>
      </c>
      <c r="E3" s="53" t="s">
        <v>613</v>
      </c>
      <c r="F3" s="54" t="s">
        <v>735</v>
      </c>
      <c r="G3" s="56" t="s">
        <v>737</v>
      </c>
      <c r="H3" s="57" t="s">
        <v>736</v>
      </c>
      <c r="I3" s="55" t="s">
        <v>739</v>
      </c>
      <c r="J3" s="57" t="s">
        <v>740</v>
      </c>
      <c r="K3" s="54" t="s">
        <v>738</v>
      </c>
      <c r="L3" s="43" t="s">
        <v>647</v>
      </c>
      <c r="M3" s="54" t="s">
        <v>650</v>
      </c>
      <c r="N3" s="70" t="s">
        <v>656</v>
      </c>
      <c r="O3" s="71" t="s">
        <v>695</v>
      </c>
      <c r="P3" s="81" t="s">
        <v>747</v>
      </c>
      <c r="Q3" s="54" t="s">
        <v>748</v>
      </c>
      <c r="R3" s="54" t="s">
        <v>749</v>
      </c>
      <c r="S3" s="81" t="s">
        <v>750</v>
      </c>
      <c r="T3" s="81" t="s">
        <v>751</v>
      </c>
      <c r="U3" s="81" t="s">
        <v>708</v>
      </c>
      <c r="V3" s="14"/>
      <c r="W3" s="14"/>
    </row>
    <row r="4" spans="2:23" ht="14.25">
      <c r="B4" s="72">
        <f t="shared" ref="B4:B35" si="0">ROW()-3</f>
        <v>1</v>
      </c>
      <c r="C4" s="73" t="s">
        <v>44</v>
      </c>
      <c r="D4" s="73" t="s">
        <v>7</v>
      </c>
      <c r="E4" s="74">
        <v>154</v>
      </c>
      <c r="F4" s="75">
        <v>68</v>
      </c>
      <c r="G4" s="75">
        <v>8</v>
      </c>
      <c r="H4" s="76">
        <f>Table11[[#This Row],[Number of Summer 2016 NYU 2L SAs]]/Table11[[#This Row],[Interview Slots]]</f>
        <v>5.1948051948051951E-2</v>
      </c>
      <c r="I4" s="76">
        <f>Table11[[#This Row],[Number of Summer 2016 2L SAs]]/Table11[[#This Row],[Interview Slots]]</f>
        <v>0.44155844155844154</v>
      </c>
      <c r="J4" s="76">
        <f>Table11[[#This Row],[Number of Summer 2016 NYU 2L SAs]]/Table11[[#This Row],[Number of Summer 2016 2L SAs]]</f>
        <v>0.11764705882352941</v>
      </c>
      <c r="K4" s="75" t="s">
        <v>651</v>
      </c>
      <c r="L4" s="75">
        <v>17</v>
      </c>
      <c r="M4" s="77" t="str">
        <f>INDEX(Table1[GPA Threshold],MATCH(Table11[[#This Row],[Employer]],Table1[Employer],0))</f>
        <v/>
      </c>
      <c r="N4" s="78" t="s">
        <v>288</v>
      </c>
      <c r="O4" s="71"/>
      <c r="P4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4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4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" s="85">
        <f>IFERROR((1/Table11[[#This Row],[Vault Rank]])*35,0)</f>
        <v>2.0588235294117645</v>
      </c>
      <c r="T4" s="83">
        <f>IF(Table11[[#This Row],[GPA Threshold]]="",35,IF(Table11[[#This Row],[GPA Threshold]]=3.4,35,0))</f>
        <v>35</v>
      </c>
      <c r="U4" s="85">
        <f>SUM(Table11[[#This Row],[Interview Slots Value]:[GPA Threshold Value]])</f>
        <v>67.058823529411768</v>
      </c>
      <c r="V4" s="14"/>
      <c r="W4" s="14"/>
    </row>
    <row r="5" spans="2:23" ht="14.25">
      <c r="B5" s="72">
        <f t="shared" si="0"/>
        <v>2</v>
      </c>
      <c r="C5" s="73" t="s">
        <v>171</v>
      </c>
      <c r="D5" s="73" t="s">
        <v>7</v>
      </c>
      <c r="E5" s="74">
        <v>116</v>
      </c>
      <c r="F5" s="75">
        <v>45</v>
      </c>
      <c r="G5" s="75">
        <v>12</v>
      </c>
      <c r="H5" s="76">
        <f>Table11[[#This Row],[Number of Summer 2016 NYU 2L SAs]]/Table11[[#This Row],[Interview Slots]]</f>
        <v>0.10344827586206896</v>
      </c>
      <c r="I5" s="76">
        <f>Table11[[#This Row],[Number of Summer 2016 2L SAs]]/Table11[[#This Row],[Interview Slots]]</f>
        <v>0.38793103448275862</v>
      </c>
      <c r="J5" s="76">
        <f>Table11[[#This Row],[Number of Summer 2016 NYU 2L SAs]]/Table11[[#This Row],[Number of Summer 2016 2L SAs]]</f>
        <v>0.26666666666666666</v>
      </c>
      <c r="K5" s="75" t="s">
        <v>651</v>
      </c>
      <c r="L5" s="75">
        <v>21</v>
      </c>
      <c r="M5" s="77"/>
      <c r="N5" s="78" t="s">
        <v>532</v>
      </c>
      <c r="O5" s="71"/>
      <c r="P5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5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5" s="82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5" s="85">
        <f>IFERROR((1/Table11[[#This Row],[Vault Rank]])*35,0)</f>
        <v>1.6666666666666665</v>
      </c>
      <c r="T5" s="84">
        <f>IF(Table11[[#This Row],[GPA Threshold]]="",35,IF(Table11[[#This Row],[GPA Threshold]]=3.4,35,0))</f>
        <v>35</v>
      </c>
      <c r="U5" s="85">
        <f>SUM(Table11[[#This Row],[Interview Slots Value]:[GPA Threshold Value]])</f>
        <v>66.666666666666671</v>
      </c>
      <c r="V5" s="14"/>
      <c r="W5" s="14"/>
    </row>
    <row r="6" spans="2:23" ht="14.25">
      <c r="B6" s="72">
        <f t="shared" si="0"/>
        <v>3</v>
      </c>
      <c r="C6" s="73" t="s">
        <v>423</v>
      </c>
      <c r="D6" s="73" t="s">
        <v>7</v>
      </c>
      <c r="E6" s="74">
        <v>96</v>
      </c>
      <c r="F6" s="75">
        <v>50</v>
      </c>
      <c r="G6" s="75">
        <v>7</v>
      </c>
      <c r="H6" s="76">
        <f>Table11[[#This Row],[Number of Summer 2016 NYU 2L SAs]]/Table11[[#This Row],[Interview Slots]]</f>
        <v>7.2916666666666671E-2</v>
      </c>
      <c r="I6" s="76">
        <f>Table11[[#This Row],[Number of Summer 2016 2L SAs]]/Table11[[#This Row],[Interview Slots]]</f>
        <v>0.52083333333333337</v>
      </c>
      <c r="J6" s="76">
        <f>Table11[[#This Row],[Number of Summer 2016 NYU 2L SAs]]/Table11[[#This Row],[Number of Summer 2016 2L SAs]]</f>
        <v>0.14000000000000001</v>
      </c>
      <c r="K6" s="75" t="s">
        <v>651</v>
      </c>
      <c r="L6" s="75">
        <v>10</v>
      </c>
      <c r="M6" s="77">
        <v>3.4</v>
      </c>
      <c r="N6" s="78" t="s">
        <v>289</v>
      </c>
      <c r="O6" s="71"/>
      <c r="P6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8</v>
      </c>
      <c r="Q6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6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6" s="85">
        <f>IFERROR((1/Table11[[#This Row],[Vault Rank]])*35,0)</f>
        <v>3.5</v>
      </c>
      <c r="T6" s="83">
        <f>IF(Table11[[#This Row],[GPA Threshold]]="",35,IF(Table11[[#This Row],[GPA Threshold]]=3.4,35,0))</f>
        <v>35</v>
      </c>
      <c r="U6" s="85">
        <f>SUM(Table11[[#This Row],[Interview Slots Value]:[GPA Threshold Value]])</f>
        <v>66.5</v>
      </c>
      <c r="V6" s="14"/>
      <c r="W6" s="14"/>
    </row>
    <row r="7" spans="2:23" ht="14.25">
      <c r="B7" s="72">
        <f t="shared" si="0"/>
        <v>4</v>
      </c>
      <c r="C7" s="73" t="s">
        <v>298</v>
      </c>
      <c r="D7" s="73" t="s">
        <v>7</v>
      </c>
      <c r="E7" s="74">
        <v>134</v>
      </c>
      <c r="F7" s="75">
        <v>16</v>
      </c>
      <c r="G7" s="75">
        <v>4</v>
      </c>
      <c r="H7" s="76">
        <f>Table11[[#This Row],[Number of Summer 2016 NYU 2L SAs]]/Table11[[#This Row],[Interview Slots]]</f>
        <v>2.9850746268656716E-2</v>
      </c>
      <c r="I7" s="76">
        <f>Table11[[#This Row],[Number of Summer 2016 2L SAs]]/Table11[[#This Row],[Interview Slots]]</f>
        <v>0.11940298507462686</v>
      </c>
      <c r="J7" s="76">
        <f>Table11[[#This Row],[Number of Summer 2016 NYU 2L SAs]]/Table11[[#This Row],[Number of Summer 2016 2L SAs]]</f>
        <v>0.25</v>
      </c>
      <c r="K7" s="75" t="s">
        <v>651</v>
      </c>
      <c r="L7" s="75">
        <v>29</v>
      </c>
      <c r="M7" s="77"/>
      <c r="N7" s="78" t="s">
        <v>287</v>
      </c>
      <c r="O7" s="71"/>
      <c r="P7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7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7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7" s="85">
        <f>IFERROR((1/Table11[[#This Row],[Vault Rank]])*35,0)</f>
        <v>1.2068965517241379</v>
      </c>
      <c r="T7" s="83">
        <f>IF(Table11[[#This Row],[GPA Threshold]]="",35,IF(Table11[[#This Row],[GPA Threshold]]=3.4,35,0))</f>
        <v>35</v>
      </c>
      <c r="U7" s="85">
        <f>SUM(Table11[[#This Row],[Interview Slots Value]:[GPA Threshold Value]])</f>
        <v>66.206896551724142</v>
      </c>
      <c r="V7" s="14"/>
      <c r="W7" s="14"/>
    </row>
    <row r="8" spans="2:23" ht="14.25">
      <c r="B8" s="72">
        <f t="shared" si="0"/>
        <v>5</v>
      </c>
      <c r="C8" s="73" t="s">
        <v>522</v>
      </c>
      <c r="D8" s="73" t="s">
        <v>7</v>
      </c>
      <c r="E8" s="74">
        <v>96</v>
      </c>
      <c r="F8" s="75">
        <v>54</v>
      </c>
      <c r="G8" s="75">
        <v>7</v>
      </c>
      <c r="H8" s="76">
        <f>Table11[[#This Row],[Number of Summer 2016 NYU 2L SAs]]/Table11[[#This Row],[Interview Slots]]</f>
        <v>7.2916666666666671E-2</v>
      </c>
      <c r="I8" s="76">
        <f>Table11[[#This Row],[Number of Summer 2016 2L SAs]]/Table11[[#This Row],[Interview Slots]]</f>
        <v>0.5625</v>
      </c>
      <c r="J8" s="76">
        <f>Table11[[#This Row],[Number of Summer 2016 NYU 2L SAs]]/Table11[[#This Row],[Number of Summer 2016 2L SAs]]</f>
        <v>0.12962962962962962</v>
      </c>
      <c r="K8" s="75" t="s">
        <v>651</v>
      </c>
      <c r="L8" s="75">
        <v>11</v>
      </c>
      <c r="M8" s="77">
        <v>3.4</v>
      </c>
      <c r="N8" s="78" t="s">
        <v>287</v>
      </c>
      <c r="O8" s="71"/>
      <c r="P8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8</v>
      </c>
      <c r="Q8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8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8" s="85">
        <f>IFERROR((1/Table11[[#This Row],[Vault Rank]])*35,0)</f>
        <v>3.1818181818181821</v>
      </c>
      <c r="T8" s="83">
        <f>IF(Table11[[#This Row],[GPA Threshold]]="",35,IF(Table11[[#This Row],[GPA Threshold]]=3.4,35,0))</f>
        <v>35</v>
      </c>
      <c r="U8" s="85">
        <f>SUM(Table11[[#This Row],[Interview Slots Value]:[GPA Threshold Value]])</f>
        <v>66.181818181818187</v>
      </c>
      <c r="V8" s="14"/>
      <c r="W8" s="14"/>
    </row>
    <row r="9" spans="2:23" ht="14.25">
      <c r="B9" s="72">
        <f t="shared" si="0"/>
        <v>6</v>
      </c>
      <c r="C9" s="73" t="s">
        <v>126</v>
      </c>
      <c r="D9" s="73" t="s">
        <v>7</v>
      </c>
      <c r="E9" s="74">
        <v>115</v>
      </c>
      <c r="F9" s="75">
        <v>67</v>
      </c>
      <c r="G9" s="75">
        <v>5</v>
      </c>
      <c r="H9" s="76">
        <f>Table11[[#This Row],[Number of Summer 2016 NYU 2L SAs]]/Table11[[#This Row],[Interview Slots]]</f>
        <v>4.3478260869565216E-2</v>
      </c>
      <c r="I9" s="76">
        <f>Table11[[#This Row],[Number of Summer 2016 2L SAs]]/Table11[[#This Row],[Interview Slots]]</f>
        <v>0.58260869565217388</v>
      </c>
      <c r="J9" s="76">
        <f>Table11[[#This Row],[Number of Summer 2016 NYU 2L SAs]]/Table11[[#This Row],[Number of Summer 2016 2L SAs]]</f>
        <v>7.4626865671641784E-2</v>
      </c>
      <c r="K9" s="75" t="s">
        <v>651</v>
      </c>
      <c r="L9" s="75">
        <v>36</v>
      </c>
      <c r="M9" s="77"/>
      <c r="N9" s="78" t="s">
        <v>289</v>
      </c>
      <c r="O9" s="71"/>
      <c r="P9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9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9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9" s="85">
        <f>IFERROR((1/Table11[[#This Row],[Vault Rank]])*35,0)</f>
        <v>0.97222222222222221</v>
      </c>
      <c r="T9" s="83">
        <f>IF(Table11[[#This Row],[GPA Threshold]]="",35,IF(Table11[[#This Row],[GPA Threshold]]=3.4,35,0))</f>
        <v>35</v>
      </c>
      <c r="U9" s="85">
        <f>SUM(Table11[[#This Row],[Interview Slots Value]:[GPA Threshold Value]])</f>
        <v>65.972222222222229</v>
      </c>
      <c r="V9" s="14"/>
      <c r="W9" s="14"/>
    </row>
    <row r="10" spans="2:23" ht="14.25">
      <c r="B10" s="72">
        <f t="shared" si="0"/>
        <v>7</v>
      </c>
      <c r="C10" s="73" t="s">
        <v>370</v>
      </c>
      <c r="D10" s="73" t="s">
        <v>7</v>
      </c>
      <c r="E10" s="74">
        <v>173</v>
      </c>
      <c r="F10" s="75">
        <v>29</v>
      </c>
      <c r="G10" s="75">
        <v>5</v>
      </c>
      <c r="H10" s="76">
        <f>Table11[[#This Row],[Number of Summer 2016 NYU 2L SAs]]/Table11[[#This Row],[Interview Slots]]</f>
        <v>2.8901734104046242E-2</v>
      </c>
      <c r="I10" s="76">
        <f>Table11[[#This Row],[Number of Summer 2016 2L SAs]]/Table11[[#This Row],[Interview Slots]]</f>
        <v>0.16763005780346821</v>
      </c>
      <c r="J10" s="76">
        <f>Table11[[#This Row],[Number of Summer 2016 NYU 2L SAs]]/Table11[[#This Row],[Number of Summer 2016 2L SAs]]</f>
        <v>0.17241379310344829</v>
      </c>
      <c r="K10" s="75" t="s">
        <v>651</v>
      </c>
      <c r="L10" s="75">
        <v>37</v>
      </c>
      <c r="M10" s="77"/>
      <c r="N10" s="79" t="s">
        <v>288</v>
      </c>
      <c r="O10" s="71"/>
      <c r="P10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0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0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0" s="85">
        <f>IFERROR((1/Table11[[#This Row],[Vault Rank]])*35,0)</f>
        <v>0.94594594594594605</v>
      </c>
      <c r="T10" s="83">
        <f>IF(Table11[[#This Row],[GPA Threshold]]="",35,IF(Table11[[#This Row],[GPA Threshold]]=3.4,35,0))</f>
        <v>35</v>
      </c>
      <c r="U10" s="85">
        <f>SUM(Table11[[#This Row],[Interview Slots Value]:[GPA Threshold Value]])</f>
        <v>65.945945945945951</v>
      </c>
      <c r="V10" s="14"/>
      <c r="W10" s="14"/>
    </row>
    <row r="11" spans="2:23" ht="14.25">
      <c r="B11" s="72">
        <f t="shared" si="0"/>
        <v>8</v>
      </c>
      <c r="C11" s="73" t="s">
        <v>463</v>
      </c>
      <c r="D11" s="73" t="s">
        <v>7</v>
      </c>
      <c r="E11" s="74">
        <v>115</v>
      </c>
      <c r="F11" s="75">
        <v>53</v>
      </c>
      <c r="G11" s="75">
        <v>4</v>
      </c>
      <c r="H11" s="76">
        <f>Table11[[#This Row],[Number of Summer 2016 NYU 2L SAs]]/Table11[[#This Row],[Interview Slots]]</f>
        <v>3.4782608695652174E-2</v>
      </c>
      <c r="I11" s="76">
        <f>Table11[[#This Row],[Number of Summer 2016 2L SAs]]/Table11[[#This Row],[Interview Slots]]</f>
        <v>0.46086956521739131</v>
      </c>
      <c r="J11" s="76">
        <f>Table11[[#This Row],[Number of Summer 2016 NYU 2L SAs]]/Table11[[#This Row],[Number of Summer 2016 2L SAs]]</f>
        <v>7.5471698113207544E-2</v>
      </c>
      <c r="K11" s="75" t="s">
        <v>651</v>
      </c>
      <c r="L11" s="75">
        <v>42</v>
      </c>
      <c r="M11" s="77"/>
      <c r="N11" s="78" t="s">
        <v>287</v>
      </c>
      <c r="O11" s="71"/>
      <c r="P11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1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1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1" s="85">
        <f>IFERROR((1/Table11[[#This Row],[Vault Rank]])*35,0)</f>
        <v>0.83333333333333326</v>
      </c>
      <c r="T11" s="83">
        <f>IF(Table11[[#This Row],[GPA Threshold]]="",35,IF(Table11[[#This Row],[GPA Threshold]]=3.4,35,0))</f>
        <v>35</v>
      </c>
      <c r="U11" s="85">
        <f>SUM(Table11[[#This Row],[Interview Slots Value]:[GPA Threshold Value]])</f>
        <v>65.833333333333329</v>
      </c>
    </row>
    <row r="12" spans="2:23" ht="28.5">
      <c r="B12" s="72">
        <f t="shared" si="0"/>
        <v>9</v>
      </c>
      <c r="C12" s="73" t="s">
        <v>420</v>
      </c>
      <c r="D12" s="73" t="s">
        <v>7</v>
      </c>
      <c r="E12" s="74">
        <v>115</v>
      </c>
      <c r="F12" s="75">
        <v>58</v>
      </c>
      <c r="G12" s="75">
        <v>4</v>
      </c>
      <c r="H12" s="76">
        <f>Table11[[#This Row],[Number of Summer 2016 NYU 2L SAs]]/Table11[[#This Row],[Interview Slots]]</f>
        <v>3.4782608695652174E-2</v>
      </c>
      <c r="I12" s="76">
        <f>Table11[[#This Row],[Number of Summer 2016 2L SAs]]/Table11[[#This Row],[Interview Slots]]</f>
        <v>0.5043478260869565</v>
      </c>
      <c r="J12" s="76">
        <f>Table11[[#This Row],[Number of Summer 2016 NYU 2L SAs]]/Table11[[#This Row],[Number of Summer 2016 2L SAs]]</f>
        <v>6.8965517241379309E-2</v>
      </c>
      <c r="K12" s="75" t="s">
        <v>651</v>
      </c>
      <c r="L12" s="75">
        <v>45</v>
      </c>
      <c r="M12" s="77"/>
      <c r="N12" s="78" t="s">
        <v>289</v>
      </c>
      <c r="O12" s="71"/>
      <c r="P12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2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2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2" s="85">
        <f>IFERROR((1/Table11[[#This Row],[Vault Rank]])*35,0)</f>
        <v>0.77777777777777779</v>
      </c>
      <c r="T12" s="83">
        <f>IF(Table11[[#This Row],[GPA Threshold]]="",35,IF(Table11[[#This Row],[GPA Threshold]]=3.4,35,0))</f>
        <v>35</v>
      </c>
      <c r="U12" s="85">
        <f>SUM(Table11[[#This Row],[Interview Slots Value]:[GPA Threshold Value]])</f>
        <v>65.777777777777771</v>
      </c>
    </row>
    <row r="13" spans="2:23" ht="14.25">
      <c r="B13" s="72">
        <f t="shared" si="0"/>
        <v>10</v>
      </c>
      <c r="C13" s="73" t="s">
        <v>383</v>
      </c>
      <c r="D13" s="73" t="s">
        <v>7</v>
      </c>
      <c r="E13" s="74">
        <v>115</v>
      </c>
      <c r="F13" s="75">
        <v>38</v>
      </c>
      <c r="G13" s="75">
        <v>1</v>
      </c>
      <c r="H13" s="76">
        <f>Table11[[#This Row],[Number of Summer 2016 NYU 2L SAs]]/Table11[[#This Row],[Interview Slots]]</f>
        <v>8.6956521739130436E-3</v>
      </c>
      <c r="I13" s="76">
        <f>Table11[[#This Row],[Number of Summer 2016 2L SAs]]/Table11[[#This Row],[Interview Slots]]</f>
        <v>0.33043478260869563</v>
      </c>
      <c r="J13" s="76">
        <f>Table11[[#This Row],[Number of Summer 2016 NYU 2L SAs]]/Table11[[#This Row],[Number of Summer 2016 2L SAs]]</f>
        <v>2.6315789473684209E-2</v>
      </c>
      <c r="K13" s="75" t="s">
        <v>651</v>
      </c>
      <c r="L13" s="75">
        <v>50</v>
      </c>
      <c r="M13" s="77"/>
      <c r="N13" s="78" t="s">
        <v>289</v>
      </c>
      <c r="O13" s="71"/>
      <c r="P13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3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3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3" s="85">
        <f>IFERROR((1/Table11[[#This Row],[Vault Rank]])*35,0)</f>
        <v>0.70000000000000007</v>
      </c>
      <c r="T13" s="83">
        <f>IF(Table11[[#This Row],[GPA Threshold]]="",35,IF(Table11[[#This Row],[GPA Threshold]]=3.4,35,0))</f>
        <v>35</v>
      </c>
      <c r="U13" s="85">
        <f>SUM(Table11[[#This Row],[Interview Slots Value]:[GPA Threshold Value]])</f>
        <v>65.7</v>
      </c>
    </row>
    <row r="14" spans="2:23" ht="14.25">
      <c r="B14" s="72">
        <f t="shared" si="0"/>
        <v>11</v>
      </c>
      <c r="C14" s="73" t="s">
        <v>526</v>
      </c>
      <c r="D14" s="73" t="s">
        <v>7</v>
      </c>
      <c r="E14" s="74">
        <v>115</v>
      </c>
      <c r="F14" s="75">
        <v>50</v>
      </c>
      <c r="G14" s="75">
        <v>8</v>
      </c>
      <c r="H14" s="76">
        <f>Table11[[#This Row],[Number of Summer 2016 NYU 2L SAs]]/Table11[[#This Row],[Interview Slots]]</f>
        <v>6.9565217391304349E-2</v>
      </c>
      <c r="I14" s="76">
        <f>Table11[[#This Row],[Number of Summer 2016 2L SAs]]/Table11[[#This Row],[Interview Slots]]</f>
        <v>0.43478260869565216</v>
      </c>
      <c r="J14" s="76">
        <f>Table11[[#This Row],[Number of Summer 2016 NYU 2L SAs]]/Table11[[#This Row],[Number of Summer 2016 2L SAs]]</f>
        <v>0.16</v>
      </c>
      <c r="K14" s="75" t="s">
        <v>651</v>
      </c>
      <c r="L14" s="75">
        <v>53</v>
      </c>
      <c r="M14" s="77"/>
      <c r="N14" s="78" t="s">
        <v>289</v>
      </c>
      <c r="O14" s="71"/>
      <c r="P14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4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4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4" s="85">
        <f>IFERROR((1/Table11[[#This Row],[Vault Rank]])*35,0)</f>
        <v>0.660377358490566</v>
      </c>
      <c r="T14" s="83">
        <f>IF(Table11[[#This Row],[GPA Threshold]]="",35,IF(Table11[[#This Row],[GPA Threshold]]=3.4,35,0))</f>
        <v>35</v>
      </c>
      <c r="U14" s="85">
        <f>SUM(Table11[[#This Row],[Interview Slots Value]:[GPA Threshold Value]])</f>
        <v>65.660377358490564</v>
      </c>
    </row>
    <row r="15" spans="2:23" ht="14.25">
      <c r="B15" s="87">
        <f t="shared" si="0"/>
        <v>12</v>
      </c>
      <c r="C15" s="79" t="s">
        <v>504</v>
      </c>
      <c r="D15" s="79" t="s">
        <v>7</v>
      </c>
      <c r="E15" s="81">
        <v>134</v>
      </c>
      <c r="F15" s="81">
        <v>37</v>
      </c>
      <c r="G15" s="86">
        <v>4</v>
      </c>
      <c r="H15" s="86">
        <f>Table11[[#This Row],[Number of Summer 2016 NYU 2L SAs]]/Table11[[#This Row],[Interview Slots]]</f>
        <v>2.9850746268656716E-2</v>
      </c>
      <c r="I15" s="86">
        <f>Table11[[#This Row],[Number of Summer 2016 2L SAs]]/Table11[[#This Row],[Interview Slots]]</f>
        <v>0.27611940298507465</v>
      </c>
      <c r="J15" s="86">
        <f>Table11[[#This Row],[Number of Summer 2016 NYU 2L SAs]]/Table11[[#This Row],[Number of Summer 2016 2L SAs]]</f>
        <v>0.10810810810810811</v>
      </c>
      <c r="K15" s="81" t="s">
        <v>651</v>
      </c>
      <c r="L15" s="81">
        <v>80</v>
      </c>
      <c r="M15" s="81"/>
      <c r="N15" s="107" t="s">
        <v>288</v>
      </c>
      <c r="O15" s="71"/>
      <c r="P15" s="83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5" s="83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5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5" s="85">
        <f>IFERROR((1/Table11[[#This Row],[Vault Rank]])*35,0)</f>
        <v>0.4375</v>
      </c>
      <c r="T15" s="83">
        <f>IF(Table11[[#This Row],[GPA Threshold]]="",35,IF(Table11[[#This Row],[GPA Threshold]]=3.4,35,0))</f>
        <v>35</v>
      </c>
      <c r="U15" s="85">
        <f>SUM(Table11[[#This Row],[Interview Slots Value]:[GPA Threshold Value]])</f>
        <v>65.4375</v>
      </c>
    </row>
    <row r="16" spans="2:23" ht="14.25">
      <c r="B16" s="72">
        <f t="shared" si="0"/>
        <v>13</v>
      </c>
      <c r="C16" s="73" t="s">
        <v>398</v>
      </c>
      <c r="D16" s="73" t="s">
        <v>7</v>
      </c>
      <c r="E16" s="74">
        <v>150</v>
      </c>
      <c r="F16" s="75">
        <v>110</v>
      </c>
      <c r="G16" s="75">
        <v>11</v>
      </c>
      <c r="H16" s="76">
        <f>Table11[[#This Row],[Number of Summer 2016 NYU 2L SAs]]/Table11[[#This Row],[Interview Slots]]</f>
        <v>7.3333333333333334E-2</v>
      </c>
      <c r="I16" s="76">
        <f>Table11[[#This Row],[Number of Summer 2016 2L SAs]]/Table11[[#This Row],[Interview Slots]]</f>
        <v>0.73333333333333328</v>
      </c>
      <c r="J16" s="76">
        <f>Table11[[#This Row],[Number of Summer 2016 NYU 2L SAs]]/Table11[[#This Row],[Number of Summer 2016 2L SAs]]</f>
        <v>0.1</v>
      </c>
      <c r="K16" s="75" t="s">
        <v>651</v>
      </c>
      <c r="L16" s="75">
        <v>1</v>
      </c>
      <c r="M16" s="77">
        <v>3.6</v>
      </c>
      <c r="N16" s="78" t="s">
        <v>533</v>
      </c>
      <c r="O16" s="80"/>
      <c r="P16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16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6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6" s="85">
        <f>IFERROR((1/Table11[[#This Row],[Vault Rank]])*35,0)</f>
        <v>35</v>
      </c>
      <c r="T16" s="83">
        <f>IF(Table11[[#This Row],[GPA Threshold]]="",35,IF(Table11[[#This Row],[GPA Threshold]]=3.4,35,0))</f>
        <v>0</v>
      </c>
      <c r="U16" s="85">
        <f>SUM(Table11[[#This Row],[Interview Slots Value]:[GPA Threshold Value]])</f>
        <v>65</v>
      </c>
    </row>
    <row r="17" spans="2:21" ht="14.25">
      <c r="B17" s="72">
        <f t="shared" si="0"/>
        <v>14</v>
      </c>
      <c r="C17" s="73" t="s">
        <v>100</v>
      </c>
      <c r="D17" s="73" t="s">
        <v>7</v>
      </c>
      <c r="E17" s="74">
        <v>96</v>
      </c>
      <c r="F17" s="75">
        <v>34</v>
      </c>
      <c r="G17" s="75">
        <v>6</v>
      </c>
      <c r="H17" s="76">
        <f>Table11[[#This Row],[Number of Summer 2016 NYU 2L SAs]]/Table11[[#This Row],[Interview Slots]]</f>
        <v>6.25E-2</v>
      </c>
      <c r="I17" s="76">
        <f>Table11[[#This Row],[Number of Summer 2016 2L SAs]]/Table11[[#This Row],[Interview Slots]]</f>
        <v>0.35416666666666669</v>
      </c>
      <c r="J17" s="76">
        <f>Table11[[#This Row],[Number of Summer 2016 NYU 2L SAs]]/Table11[[#This Row],[Number of Summer 2016 2L SAs]]</f>
        <v>0.17647058823529413</v>
      </c>
      <c r="K17" s="75" t="s">
        <v>651</v>
      </c>
      <c r="L17" s="75">
        <v>30</v>
      </c>
      <c r="M17" s="77"/>
      <c r="N17" s="78" t="s">
        <v>289</v>
      </c>
      <c r="O17" s="71"/>
      <c r="P17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8</v>
      </c>
      <c r="Q17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7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7" s="85">
        <f>IFERROR((1/Table11[[#This Row],[Vault Rank]])*35,0)</f>
        <v>1.1666666666666667</v>
      </c>
      <c r="T17" s="83">
        <f>IF(Table11[[#This Row],[GPA Threshold]]="",35,IF(Table11[[#This Row],[GPA Threshold]]=3.4,35,0))</f>
        <v>35</v>
      </c>
      <c r="U17" s="85">
        <f>SUM(Table11[[#This Row],[Interview Slots Value]:[GPA Threshold Value]])</f>
        <v>64.166666666666671</v>
      </c>
    </row>
    <row r="18" spans="2:21" ht="14.25">
      <c r="B18" s="72">
        <f t="shared" si="0"/>
        <v>15</v>
      </c>
      <c r="C18" s="73" t="s">
        <v>428</v>
      </c>
      <c r="D18" s="73" t="s">
        <v>7</v>
      </c>
      <c r="E18" s="74">
        <v>96</v>
      </c>
      <c r="F18" s="75">
        <v>28</v>
      </c>
      <c r="G18" s="75">
        <v>4</v>
      </c>
      <c r="H18" s="76">
        <f>Table11[[#This Row],[Number of Summer 2016 NYU 2L SAs]]/Table11[[#This Row],[Interview Slots]]</f>
        <v>4.1666666666666664E-2</v>
      </c>
      <c r="I18" s="76">
        <f>Table11[[#This Row],[Number of Summer 2016 2L SAs]]/Table11[[#This Row],[Interview Slots]]</f>
        <v>0.29166666666666669</v>
      </c>
      <c r="J18" s="76">
        <f>Table11[[#This Row],[Number of Summer 2016 NYU 2L SAs]]/Table11[[#This Row],[Number of Summer 2016 2L SAs]]</f>
        <v>0.14285714285714285</v>
      </c>
      <c r="K18" s="75" t="s">
        <v>651</v>
      </c>
      <c r="L18" s="75">
        <v>31</v>
      </c>
      <c r="M18" s="77"/>
      <c r="N18" s="78" t="s">
        <v>289</v>
      </c>
      <c r="O18" s="71"/>
      <c r="P18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8</v>
      </c>
      <c r="Q18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8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8" s="85">
        <f>IFERROR((1/Table11[[#This Row],[Vault Rank]])*35,0)</f>
        <v>1.129032258064516</v>
      </c>
      <c r="T18" s="83">
        <f>IF(Table11[[#This Row],[GPA Threshold]]="",35,IF(Table11[[#This Row],[GPA Threshold]]=3.4,35,0))</f>
        <v>35</v>
      </c>
      <c r="U18" s="85">
        <f>SUM(Table11[[#This Row],[Interview Slots Value]:[GPA Threshold Value]])</f>
        <v>64.129032258064512</v>
      </c>
    </row>
    <row r="19" spans="2:21" ht="14.25">
      <c r="B19" s="72">
        <f t="shared" si="0"/>
        <v>16</v>
      </c>
      <c r="C19" s="73" t="s">
        <v>218</v>
      </c>
      <c r="D19" s="73" t="s">
        <v>7</v>
      </c>
      <c r="E19" s="74">
        <v>96</v>
      </c>
      <c r="F19" s="75">
        <v>28</v>
      </c>
      <c r="G19" s="75">
        <v>2</v>
      </c>
      <c r="H19" s="76">
        <f>Table11[[#This Row],[Number of Summer 2016 NYU 2L SAs]]/Table11[[#This Row],[Interview Slots]]</f>
        <v>2.0833333333333332E-2</v>
      </c>
      <c r="I19" s="76">
        <f>Table11[[#This Row],[Number of Summer 2016 2L SAs]]/Table11[[#This Row],[Interview Slots]]</f>
        <v>0.29166666666666669</v>
      </c>
      <c r="J19" s="76">
        <f>Table11[[#This Row],[Number of Summer 2016 NYU 2L SAs]]/Table11[[#This Row],[Number of Summer 2016 2L SAs]]</f>
        <v>7.1428571428571425E-2</v>
      </c>
      <c r="K19" s="75" t="s">
        <v>651</v>
      </c>
      <c r="L19" s="75">
        <v>51</v>
      </c>
      <c r="M19" s="77"/>
      <c r="N19" s="79" t="s">
        <v>289</v>
      </c>
      <c r="O19" s="71"/>
      <c r="P19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8</v>
      </c>
      <c r="Q19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19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19" s="85">
        <f>IFERROR((1/Table11[[#This Row],[Vault Rank]])*35,0)</f>
        <v>0.68627450980392157</v>
      </c>
      <c r="T19" s="83">
        <f>IF(Table11[[#This Row],[GPA Threshold]]="",35,IF(Table11[[#This Row],[GPA Threshold]]=3.4,35,0))</f>
        <v>35</v>
      </c>
      <c r="U19" s="85">
        <f>SUM(Table11[[#This Row],[Interview Slots Value]:[GPA Threshold Value]])</f>
        <v>63.686274509803923</v>
      </c>
    </row>
    <row r="20" spans="2:21" ht="14.25">
      <c r="B20" s="72">
        <f t="shared" si="0"/>
        <v>17</v>
      </c>
      <c r="C20" s="73" t="s">
        <v>96</v>
      </c>
      <c r="D20" s="73" t="s">
        <v>7</v>
      </c>
      <c r="E20" s="74">
        <v>77</v>
      </c>
      <c r="F20" s="75">
        <v>43</v>
      </c>
      <c r="G20" s="75">
        <v>6</v>
      </c>
      <c r="H20" s="76">
        <f>Table11[[#This Row],[Number of Summer 2016 NYU 2L SAs]]/Table11[[#This Row],[Interview Slots]]</f>
        <v>7.792207792207792E-2</v>
      </c>
      <c r="I20" s="76">
        <f>Table11[[#This Row],[Number of Summer 2016 2L SAs]]/Table11[[#This Row],[Interview Slots]]</f>
        <v>0.55844155844155841</v>
      </c>
      <c r="J20" s="76">
        <f>Table11[[#This Row],[Number of Summer 2016 NYU 2L SAs]]/Table11[[#This Row],[Number of Summer 2016 2L SAs]]</f>
        <v>0.13953488372093023</v>
      </c>
      <c r="K20" s="75" t="s">
        <v>651</v>
      </c>
      <c r="L20" s="75">
        <v>14</v>
      </c>
      <c r="M20" s="77"/>
      <c r="N20" s="78" t="s">
        <v>288</v>
      </c>
      <c r="O20" s="71"/>
      <c r="P20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0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0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0" s="85">
        <f>IFERROR((1/Table11[[#This Row],[Vault Rank]])*35,0)</f>
        <v>2.5</v>
      </c>
      <c r="T20" s="83">
        <f>IF(Table11[[#This Row],[GPA Threshold]]="",35,IF(Table11[[#This Row],[GPA Threshold]]=3.4,35,0))</f>
        <v>35</v>
      </c>
      <c r="U20" s="85">
        <f>SUM(Table11[[#This Row],[Interview Slots Value]:[GPA Threshold Value]])</f>
        <v>63.5</v>
      </c>
    </row>
    <row r="21" spans="2:21" ht="14.25">
      <c r="B21" s="72">
        <f t="shared" si="0"/>
        <v>18</v>
      </c>
      <c r="C21" s="73" t="s">
        <v>63</v>
      </c>
      <c r="D21" s="73" t="s">
        <v>7</v>
      </c>
      <c r="E21" s="74">
        <v>58</v>
      </c>
      <c r="F21" s="75">
        <v>60</v>
      </c>
      <c r="G21" s="75">
        <v>8</v>
      </c>
      <c r="H21" s="76">
        <f>Table11[[#This Row],[Number of Summer 2016 NYU 2L SAs]]/Table11[[#This Row],[Interview Slots]]</f>
        <v>0.13793103448275862</v>
      </c>
      <c r="I21" s="76">
        <f>Table11[[#This Row],[Number of Summer 2016 2L SAs]]/Table11[[#This Row],[Interview Slots]]</f>
        <v>1.0344827586206897</v>
      </c>
      <c r="J21" s="76">
        <f>Table11[[#This Row],[Number of Summer 2016 NYU 2L SAs]]/Table11[[#This Row],[Number of Summer 2016 2L SAs]]</f>
        <v>0.13333333333333333</v>
      </c>
      <c r="K21" s="75" t="s">
        <v>651</v>
      </c>
      <c r="L21" s="75">
        <v>8</v>
      </c>
      <c r="M21" s="77">
        <v>3.4</v>
      </c>
      <c r="N21" s="78" t="s">
        <v>288</v>
      </c>
      <c r="O21" s="71"/>
      <c r="P21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21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1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1" s="85">
        <f>IFERROR((1/Table11[[#This Row],[Vault Rank]])*35,0)</f>
        <v>4.375</v>
      </c>
      <c r="T21" s="83">
        <f>IF(Table11[[#This Row],[GPA Threshold]]="",35,IF(Table11[[#This Row],[GPA Threshold]]=3.4,35,0))</f>
        <v>35</v>
      </c>
      <c r="U21" s="85">
        <f>SUM(Table11[[#This Row],[Interview Slots Value]:[GPA Threshold Value]])</f>
        <v>63.375</v>
      </c>
    </row>
    <row r="22" spans="2:21" ht="14.25">
      <c r="B22" s="72">
        <f t="shared" si="0"/>
        <v>19</v>
      </c>
      <c r="C22" s="73" t="s">
        <v>204</v>
      </c>
      <c r="D22" s="73" t="s">
        <v>7</v>
      </c>
      <c r="E22" s="74">
        <v>59</v>
      </c>
      <c r="F22" s="75">
        <v>9</v>
      </c>
      <c r="G22" s="75">
        <v>2</v>
      </c>
      <c r="H22" s="76">
        <f>Table11[[#This Row],[Number of Summer 2016 NYU 2L SAs]]/Table11[[#This Row],[Interview Slots]]</f>
        <v>3.3898305084745763E-2</v>
      </c>
      <c r="I22" s="76">
        <f>Table11[[#This Row],[Number of Summer 2016 2L SAs]]/Table11[[#This Row],[Interview Slots]]</f>
        <v>0.15254237288135594</v>
      </c>
      <c r="J22" s="76">
        <f>Table11[[#This Row],[Number of Summer 2016 NYU 2L SAs]]/Table11[[#This Row],[Number of Summer 2016 2L SAs]]</f>
        <v>0.22222222222222221</v>
      </c>
      <c r="K22" s="75" t="s">
        <v>651</v>
      </c>
      <c r="L22" s="75">
        <v>25</v>
      </c>
      <c r="M22" s="77">
        <v>3.4</v>
      </c>
      <c r="N22" s="79" t="s">
        <v>289</v>
      </c>
      <c r="O22" s="71"/>
      <c r="P22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2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2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2" s="85">
        <f>IFERROR((1/Table11[[#This Row],[Vault Rank]])*35,0)</f>
        <v>1.4000000000000001</v>
      </c>
      <c r="T22" s="83">
        <f>IF(Table11[[#This Row],[GPA Threshold]]="",35,IF(Table11[[#This Row],[GPA Threshold]]=3.4,35,0))</f>
        <v>35</v>
      </c>
      <c r="U22" s="85">
        <f>SUM(Table11[[#This Row],[Interview Slots Value]:[GPA Threshold Value]])</f>
        <v>62.4</v>
      </c>
    </row>
    <row r="23" spans="2:21" ht="14.25">
      <c r="B23" s="72">
        <f t="shared" si="0"/>
        <v>20</v>
      </c>
      <c r="C23" s="73" t="s">
        <v>95</v>
      </c>
      <c r="D23" s="73" t="s">
        <v>7</v>
      </c>
      <c r="E23" s="74">
        <v>77</v>
      </c>
      <c r="F23" s="75">
        <v>19</v>
      </c>
      <c r="G23" s="75">
        <v>3</v>
      </c>
      <c r="H23" s="76">
        <f>Table11[[#This Row],[Number of Summer 2016 NYU 2L SAs]]/Table11[[#This Row],[Interview Slots]]</f>
        <v>3.896103896103896E-2</v>
      </c>
      <c r="I23" s="76">
        <f>Table11[[#This Row],[Number of Summer 2016 2L SAs]]/Table11[[#This Row],[Interview Slots]]</f>
        <v>0.24675324675324675</v>
      </c>
      <c r="J23" s="76">
        <f>Table11[[#This Row],[Number of Summer 2016 NYU 2L SAs]]/Table11[[#This Row],[Number of Summer 2016 2L SAs]]</f>
        <v>0.15789473684210525</v>
      </c>
      <c r="K23" s="75" t="s">
        <v>651</v>
      </c>
      <c r="L23" s="75">
        <v>27</v>
      </c>
      <c r="M23" s="77"/>
      <c r="N23" s="78" t="s">
        <v>289</v>
      </c>
      <c r="O23" s="71"/>
      <c r="P23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3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3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3" s="85">
        <f>IFERROR((1/Table11[[#This Row],[Vault Rank]])*35,0)</f>
        <v>1.2962962962962963</v>
      </c>
      <c r="T23" s="83">
        <f>IF(Table11[[#This Row],[GPA Threshold]]="",35,IF(Table11[[#This Row],[GPA Threshold]]=3.4,35,0))</f>
        <v>35</v>
      </c>
      <c r="U23" s="85">
        <f>SUM(Table11[[#This Row],[Interview Slots Value]:[GPA Threshold Value]])</f>
        <v>62.296296296296298</v>
      </c>
    </row>
    <row r="24" spans="2:21" ht="14.25">
      <c r="B24" s="72">
        <f t="shared" si="0"/>
        <v>21</v>
      </c>
      <c r="C24" s="73" t="s">
        <v>269</v>
      </c>
      <c r="D24" s="73" t="s">
        <v>7</v>
      </c>
      <c r="E24" s="74">
        <v>77</v>
      </c>
      <c r="F24" s="75">
        <v>5</v>
      </c>
      <c r="G24" s="75">
        <v>1</v>
      </c>
      <c r="H24" s="76">
        <f>Table11[[#This Row],[Number of Summer 2016 NYU 2L SAs]]/Table11[[#This Row],[Interview Slots]]</f>
        <v>1.2987012987012988E-2</v>
      </c>
      <c r="I24" s="76">
        <f>Table11[[#This Row],[Number of Summer 2016 2L SAs]]/Table11[[#This Row],[Interview Slots]]</f>
        <v>6.4935064935064929E-2</v>
      </c>
      <c r="J24" s="76">
        <f>Table11[[#This Row],[Number of Summer 2016 NYU 2L SAs]]/Table11[[#This Row],[Number of Summer 2016 2L SAs]]</f>
        <v>0.2</v>
      </c>
      <c r="K24" s="75" t="s">
        <v>651</v>
      </c>
      <c r="L24" s="75">
        <v>39</v>
      </c>
      <c r="M24" s="77"/>
      <c r="N24" s="78" t="s">
        <v>288</v>
      </c>
      <c r="O24" s="71"/>
      <c r="P24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4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4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4" s="85">
        <f>IFERROR((1/Table11[[#This Row],[Vault Rank]])*35,0)</f>
        <v>0.89743589743589736</v>
      </c>
      <c r="T24" s="83">
        <f>IF(Table11[[#This Row],[GPA Threshold]]="",35,IF(Table11[[#This Row],[GPA Threshold]]=3.4,35,0))</f>
        <v>35</v>
      </c>
      <c r="U24" s="85">
        <f>SUM(Table11[[#This Row],[Interview Slots Value]:[GPA Threshold Value]])</f>
        <v>61.897435897435898</v>
      </c>
    </row>
    <row r="25" spans="2:21" ht="14.25">
      <c r="B25" s="72">
        <f t="shared" si="0"/>
        <v>22</v>
      </c>
      <c r="C25" s="73" t="s">
        <v>487</v>
      </c>
      <c r="D25" s="73" t="s">
        <v>7</v>
      </c>
      <c r="E25" s="74">
        <v>77</v>
      </c>
      <c r="F25" s="75">
        <v>13</v>
      </c>
      <c r="G25" s="75">
        <v>0</v>
      </c>
      <c r="H25" s="86">
        <f>Table11[[#This Row],[Number of Summer 2016 NYU 2L SAs]]/Table11[[#This Row],[Interview Slots]]</f>
        <v>0</v>
      </c>
      <c r="I25" s="86">
        <f>Table11[[#This Row],[Number of Summer 2016 2L SAs]]/Table11[[#This Row],[Interview Slots]]</f>
        <v>0.16883116883116883</v>
      </c>
      <c r="J25" s="86">
        <f>Table11[[#This Row],[Number of Summer 2016 NYU 2L SAs]]/Table11[[#This Row],[Number of Summer 2016 2L SAs]]</f>
        <v>0</v>
      </c>
      <c r="K25" s="75" t="s">
        <v>293</v>
      </c>
      <c r="L25" s="75">
        <v>43</v>
      </c>
      <c r="M25" s="77"/>
      <c r="N25" s="87" t="s">
        <v>287</v>
      </c>
      <c r="O25" s="71"/>
      <c r="P25" s="83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5" s="83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5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5" s="85">
        <f>IFERROR((1/Table11[[#This Row],[Vault Rank]])*35,0)</f>
        <v>0.81395348837209303</v>
      </c>
      <c r="T25" s="83">
        <f>IF(Table11[[#This Row],[GPA Threshold]]="",35,IF(Table11[[#This Row],[GPA Threshold]]=3.4,35,0))</f>
        <v>35</v>
      </c>
      <c r="U25" s="85">
        <f>SUM(Table11[[#This Row],[Interview Slots Value]:[GPA Threshold Value]])</f>
        <v>61.813953488372093</v>
      </c>
    </row>
    <row r="26" spans="2:21" ht="14.25">
      <c r="B26" s="72">
        <f t="shared" si="0"/>
        <v>23</v>
      </c>
      <c r="C26" s="73" t="s">
        <v>417</v>
      </c>
      <c r="D26" s="73" t="s">
        <v>7</v>
      </c>
      <c r="E26" s="74">
        <v>68</v>
      </c>
      <c r="F26" s="75">
        <v>23</v>
      </c>
      <c r="G26" s="75">
        <v>4</v>
      </c>
      <c r="H26" s="76">
        <f>Table11[[#This Row],[Number of Summer 2016 NYU 2L SAs]]/Table11[[#This Row],[Interview Slots]]</f>
        <v>5.8823529411764705E-2</v>
      </c>
      <c r="I26" s="76">
        <f>Table11[[#This Row],[Number of Summer 2016 2L SAs]]/Table11[[#This Row],[Interview Slots]]</f>
        <v>0.33823529411764708</v>
      </c>
      <c r="J26" s="76">
        <f>Table11[[#This Row],[Number of Summer 2016 NYU 2L SAs]]/Table11[[#This Row],[Number of Summer 2016 2L SAs]]</f>
        <v>0.17391304347826086</v>
      </c>
      <c r="K26" s="75" t="s">
        <v>651</v>
      </c>
      <c r="L26" s="75">
        <v>48</v>
      </c>
      <c r="M26" s="77">
        <v>3.4</v>
      </c>
      <c r="N26" s="79" t="s">
        <v>289</v>
      </c>
      <c r="O26" s="71"/>
      <c r="P26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6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6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6" s="85">
        <f>IFERROR((1/Table11[[#This Row],[Vault Rank]])*35,0)</f>
        <v>0.72916666666666663</v>
      </c>
      <c r="T26" s="83">
        <f>IF(Table11[[#This Row],[GPA Threshold]]="",35,IF(Table11[[#This Row],[GPA Threshold]]=3.4,35,0))</f>
        <v>35</v>
      </c>
      <c r="U26" s="85">
        <f>SUM(Table11[[#This Row],[Interview Slots Value]:[GPA Threshold Value]])</f>
        <v>61.729166666666671</v>
      </c>
    </row>
    <row r="27" spans="2:21" ht="14.25">
      <c r="B27" s="72">
        <f t="shared" si="0"/>
        <v>24</v>
      </c>
      <c r="C27" s="73" t="s">
        <v>465</v>
      </c>
      <c r="D27" s="73" t="s">
        <v>7</v>
      </c>
      <c r="E27" s="74">
        <v>77</v>
      </c>
      <c r="F27" s="75">
        <v>10</v>
      </c>
      <c r="G27" s="75">
        <v>1</v>
      </c>
      <c r="H27" s="76">
        <f>Table11[[#This Row],[Number of Summer 2016 NYU 2L SAs]]/Table11[[#This Row],[Interview Slots]]</f>
        <v>1.2987012987012988E-2</v>
      </c>
      <c r="I27" s="76">
        <f>Table11[[#This Row],[Number of Summer 2016 2L SAs]]/Table11[[#This Row],[Interview Slots]]</f>
        <v>0.12987012987012986</v>
      </c>
      <c r="J27" s="76">
        <f>Table11[[#This Row],[Number of Summer 2016 NYU 2L SAs]]/Table11[[#This Row],[Number of Summer 2016 2L SAs]]</f>
        <v>0.1</v>
      </c>
      <c r="K27" s="75" t="s">
        <v>651</v>
      </c>
      <c r="L27" s="75">
        <v>59</v>
      </c>
      <c r="M27" s="77"/>
      <c r="N27" s="78" t="s">
        <v>287</v>
      </c>
      <c r="O27" s="71"/>
      <c r="P27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7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7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7" s="85">
        <f>IFERROR((1/Table11[[#This Row],[Vault Rank]])*35,0)</f>
        <v>0.59322033898305082</v>
      </c>
      <c r="T27" s="83">
        <f>IF(Table11[[#This Row],[GPA Threshold]]="",35,IF(Table11[[#This Row],[GPA Threshold]]=3.4,35,0))</f>
        <v>35</v>
      </c>
      <c r="U27" s="85">
        <f>SUM(Table11[[#This Row],[Interview Slots Value]:[GPA Threshold Value]])</f>
        <v>61.593220338983052</v>
      </c>
    </row>
    <row r="28" spans="2:21" ht="14.25">
      <c r="B28" s="87">
        <f t="shared" si="0"/>
        <v>25</v>
      </c>
      <c r="C28" s="79" t="s">
        <v>494</v>
      </c>
      <c r="D28" s="79" t="s">
        <v>7</v>
      </c>
      <c r="E28" s="81">
        <v>77</v>
      </c>
      <c r="F28" s="81">
        <v>13</v>
      </c>
      <c r="G28" s="86">
        <v>4</v>
      </c>
      <c r="H28" s="86">
        <f>Table11[[#This Row],[Number of Summer 2016 NYU 2L SAs]]/Table11[[#This Row],[Interview Slots]]</f>
        <v>5.1948051948051951E-2</v>
      </c>
      <c r="I28" s="86">
        <f>Table11[[#This Row],[Number of Summer 2016 2L SAs]]/Table11[[#This Row],[Interview Slots]]</f>
        <v>0.16883116883116883</v>
      </c>
      <c r="J28" s="86">
        <f>Table11[[#This Row],[Number of Summer 2016 NYU 2L SAs]]/Table11[[#This Row],[Number of Summer 2016 2L SAs]]</f>
        <v>0.30769230769230771</v>
      </c>
      <c r="K28" s="81" t="s">
        <v>293</v>
      </c>
      <c r="L28" s="81">
        <v>61</v>
      </c>
      <c r="M28" s="81"/>
      <c r="N28" s="107" t="s">
        <v>289</v>
      </c>
      <c r="O28" s="71"/>
      <c r="P28" s="83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6</v>
      </c>
      <c r="Q28" s="83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8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8" s="85">
        <f>IFERROR((1/Table11[[#This Row],[Vault Rank]])*35,0)</f>
        <v>0.57377049180327877</v>
      </c>
      <c r="T28" s="83">
        <f>IF(Table11[[#This Row],[GPA Threshold]]="",35,IF(Table11[[#This Row],[GPA Threshold]]=3.4,35,0))</f>
        <v>35</v>
      </c>
      <c r="U28" s="85">
        <f>SUM(Table11[[#This Row],[Interview Slots Value]:[GPA Threshold Value]])</f>
        <v>61.57377049180328</v>
      </c>
    </row>
    <row r="29" spans="2:21" ht="14.25">
      <c r="B29" s="72">
        <f t="shared" si="0"/>
        <v>26</v>
      </c>
      <c r="C29" s="73" t="s">
        <v>154</v>
      </c>
      <c r="D29" s="73" t="s">
        <v>7</v>
      </c>
      <c r="E29" s="74">
        <v>58</v>
      </c>
      <c r="F29" s="75">
        <v>45</v>
      </c>
      <c r="G29" s="75">
        <v>5</v>
      </c>
      <c r="H29" s="76">
        <f>Table11[[#This Row],[Number of Summer 2016 NYU 2L SAs]]/Table11[[#This Row],[Interview Slots]]</f>
        <v>8.6206896551724144E-2</v>
      </c>
      <c r="I29" s="76">
        <f>Table11[[#This Row],[Number of Summer 2016 2L SAs]]/Table11[[#This Row],[Interview Slots]]</f>
        <v>0.77586206896551724</v>
      </c>
      <c r="J29" s="76">
        <f>Table11[[#This Row],[Number of Summer 2016 NYU 2L SAs]]/Table11[[#This Row],[Number of Summer 2016 2L SAs]]</f>
        <v>0.1111111111111111</v>
      </c>
      <c r="K29" s="75" t="s">
        <v>651</v>
      </c>
      <c r="L29" s="75">
        <v>24</v>
      </c>
      <c r="M29" s="77"/>
      <c r="N29" s="78" t="s">
        <v>289</v>
      </c>
      <c r="O29" s="71"/>
      <c r="P29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29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29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29" s="85">
        <f>IFERROR((1/Table11[[#This Row],[Vault Rank]])*35,0)</f>
        <v>1.4583333333333333</v>
      </c>
      <c r="T29" s="83">
        <f>IF(Table11[[#This Row],[GPA Threshold]]="",35,IF(Table11[[#This Row],[GPA Threshold]]=3.4,35,0))</f>
        <v>35</v>
      </c>
      <c r="U29" s="85">
        <f>SUM(Table11[[#This Row],[Interview Slots Value]:[GPA Threshold Value]])</f>
        <v>60.458333333333329</v>
      </c>
    </row>
    <row r="30" spans="2:21" ht="14.25">
      <c r="B30" s="72">
        <f t="shared" si="0"/>
        <v>27</v>
      </c>
      <c r="C30" s="73" t="s">
        <v>472</v>
      </c>
      <c r="D30" s="73" t="s">
        <v>7</v>
      </c>
      <c r="E30" s="74">
        <v>58</v>
      </c>
      <c r="F30" s="75">
        <v>14</v>
      </c>
      <c r="G30" s="75">
        <v>1</v>
      </c>
      <c r="H30" s="76">
        <f>Table11[[#This Row],[Number of Summer 2016 NYU 2L SAs]]/Table11[[#This Row],[Interview Slots]]</f>
        <v>1.7241379310344827E-2</v>
      </c>
      <c r="I30" s="76">
        <f>Table11[[#This Row],[Number of Summer 2016 2L SAs]]/Table11[[#This Row],[Interview Slots]]</f>
        <v>0.2413793103448276</v>
      </c>
      <c r="J30" s="76">
        <f>Table11[[#This Row],[Number of Summer 2016 NYU 2L SAs]]/Table11[[#This Row],[Number of Summer 2016 2L SAs]]</f>
        <v>7.1428571428571425E-2</v>
      </c>
      <c r="K30" s="75" t="s">
        <v>651</v>
      </c>
      <c r="L30" s="75">
        <v>46</v>
      </c>
      <c r="M30" s="77"/>
      <c r="N30" s="78" t="s">
        <v>288</v>
      </c>
      <c r="O30" s="71"/>
      <c r="P30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0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30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0" s="85">
        <f>IFERROR((1/Table11[[#This Row],[Vault Rank]])*35,0)</f>
        <v>0.76086956521739124</v>
      </c>
      <c r="T30" s="83">
        <f>IF(Table11[[#This Row],[GPA Threshold]]="",35,IF(Table11[[#This Row],[GPA Threshold]]=3.4,35,0))</f>
        <v>35</v>
      </c>
      <c r="U30" s="85">
        <f>SUM(Table11[[#This Row],[Interview Slots Value]:[GPA Threshold Value]])</f>
        <v>59.760869565217391</v>
      </c>
    </row>
    <row r="31" spans="2:21" ht="14.25">
      <c r="B31" s="72">
        <f t="shared" si="0"/>
        <v>28</v>
      </c>
      <c r="C31" s="73" t="s">
        <v>272</v>
      </c>
      <c r="D31" s="73" t="s">
        <v>7</v>
      </c>
      <c r="E31" s="74">
        <v>58</v>
      </c>
      <c r="F31" s="75">
        <v>11</v>
      </c>
      <c r="G31" s="75">
        <v>4</v>
      </c>
      <c r="H31" s="76">
        <f>Table11[[#This Row],[Number of Summer 2016 NYU 2L SAs]]/Table11[[#This Row],[Interview Slots]]</f>
        <v>6.8965517241379309E-2</v>
      </c>
      <c r="I31" s="76">
        <f>Table11[[#This Row],[Number of Summer 2016 2L SAs]]/Table11[[#This Row],[Interview Slots]]</f>
        <v>0.18965517241379309</v>
      </c>
      <c r="J31" s="76">
        <f>Table11[[#This Row],[Number of Summer 2016 NYU 2L SAs]]/Table11[[#This Row],[Number of Summer 2016 2L SAs]]</f>
        <v>0.36363636363636365</v>
      </c>
      <c r="K31" s="75" t="s">
        <v>651</v>
      </c>
      <c r="L31" s="75">
        <v>52</v>
      </c>
      <c r="M31" s="77"/>
      <c r="N31" s="78" t="s">
        <v>288</v>
      </c>
      <c r="O31" s="71"/>
      <c r="P31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1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31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1" s="85">
        <f>IFERROR((1/Table11[[#This Row],[Vault Rank]])*35,0)</f>
        <v>0.67307692307692313</v>
      </c>
      <c r="T31" s="83">
        <f>IF(Table11[[#This Row],[GPA Threshold]]="",35,IF(Table11[[#This Row],[GPA Threshold]]=3.4,35,0))</f>
        <v>35</v>
      </c>
      <c r="U31" s="85">
        <f>SUM(Table11[[#This Row],[Interview Slots Value]:[GPA Threshold Value]])</f>
        <v>59.67307692307692</v>
      </c>
    </row>
    <row r="32" spans="2:21" ht="14.25">
      <c r="B32" s="72">
        <f t="shared" si="0"/>
        <v>29</v>
      </c>
      <c r="C32" s="73" t="s">
        <v>432</v>
      </c>
      <c r="D32" s="73" t="s">
        <v>7</v>
      </c>
      <c r="E32" s="74">
        <v>58</v>
      </c>
      <c r="F32" s="75">
        <v>15</v>
      </c>
      <c r="G32" s="75">
        <v>4</v>
      </c>
      <c r="H32" s="76">
        <f>Table11[[#This Row],[Number of Summer 2016 NYU 2L SAs]]/Table11[[#This Row],[Interview Slots]]</f>
        <v>6.8965517241379309E-2</v>
      </c>
      <c r="I32" s="76">
        <f>Table11[[#This Row],[Number of Summer 2016 2L SAs]]/Table11[[#This Row],[Interview Slots]]</f>
        <v>0.25862068965517243</v>
      </c>
      <c r="J32" s="76">
        <f>Table11[[#This Row],[Number of Summer 2016 NYU 2L SAs]]/Table11[[#This Row],[Number of Summer 2016 2L SAs]]</f>
        <v>0.26666666666666666</v>
      </c>
      <c r="K32" s="75" t="s">
        <v>651</v>
      </c>
      <c r="L32" s="75">
        <v>86</v>
      </c>
      <c r="M32" s="77"/>
      <c r="N32" s="78" t="s">
        <v>288</v>
      </c>
      <c r="O32" s="71"/>
      <c r="P32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2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32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2" s="85">
        <f>IFERROR((1/Table11[[#This Row],[Vault Rank]])*35,0)</f>
        <v>0.40697674418604651</v>
      </c>
      <c r="T32" s="83">
        <f>IF(Table11[[#This Row],[GPA Threshold]]="",35,IF(Table11[[#This Row],[GPA Threshold]]=3.4,35,0))</f>
        <v>35</v>
      </c>
      <c r="U32" s="85">
        <f>SUM(Table11[[#This Row],[Interview Slots Value]:[GPA Threshold Value]])</f>
        <v>59.406976744186046</v>
      </c>
    </row>
    <row r="33" spans="2:21" ht="14.25">
      <c r="B33" s="72">
        <f t="shared" si="0"/>
        <v>30</v>
      </c>
      <c r="C33" s="73" t="s">
        <v>460</v>
      </c>
      <c r="D33" s="73" t="s">
        <v>7</v>
      </c>
      <c r="E33" s="74">
        <v>58</v>
      </c>
      <c r="F33" s="75">
        <v>15</v>
      </c>
      <c r="G33" s="75">
        <v>2</v>
      </c>
      <c r="H33" s="76">
        <f>Table11[[#This Row],[Number of Summer 2016 NYU 2L SAs]]/Table11[[#This Row],[Interview Slots]]</f>
        <v>3.4482758620689655E-2</v>
      </c>
      <c r="I33" s="76">
        <f>Table11[[#This Row],[Number of Summer 2016 2L SAs]]/Table11[[#This Row],[Interview Slots]]</f>
        <v>0.25862068965517243</v>
      </c>
      <c r="J33" s="76">
        <f>Table11[[#This Row],[Number of Summer 2016 NYU 2L SAs]]/Table11[[#This Row],[Number of Summer 2016 2L SAs]]</f>
        <v>0.13333333333333333</v>
      </c>
      <c r="K33" s="75" t="s">
        <v>651</v>
      </c>
      <c r="L33" s="75">
        <v>87</v>
      </c>
      <c r="M33" s="77"/>
      <c r="N33" s="79" t="s">
        <v>289</v>
      </c>
      <c r="O33" s="71"/>
      <c r="P33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3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33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3" s="85">
        <f>IFERROR((1/Table11[[#This Row],[Vault Rank]])*35,0)</f>
        <v>0.40229885057471265</v>
      </c>
      <c r="T33" s="83">
        <f>IF(Table11[[#This Row],[GPA Threshold]]="",35,IF(Table11[[#This Row],[GPA Threshold]]=3.4,35,0))</f>
        <v>35</v>
      </c>
      <c r="U33" s="85">
        <f>SUM(Table11[[#This Row],[Interview Slots Value]:[GPA Threshold Value]])</f>
        <v>59.402298850574709</v>
      </c>
    </row>
    <row r="34" spans="2:21" ht="14.25">
      <c r="B34" s="72">
        <f t="shared" si="0"/>
        <v>31</v>
      </c>
      <c r="C34" s="73" t="s">
        <v>505</v>
      </c>
      <c r="D34" s="73" t="s">
        <v>7</v>
      </c>
      <c r="E34" s="74">
        <v>58</v>
      </c>
      <c r="F34" s="75">
        <v>16</v>
      </c>
      <c r="G34" s="75">
        <v>4</v>
      </c>
      <c r="H34" s="76">
        <f>Table11[[#This Row],[Number of Summer 2016 NYU 2L SAs]]/Table11[[#This Row],[Interview Slots]]</f>
        <v>6.8965517241379309E-2</v>
      </c>
      <c r="I34" s="76">
        <f>Table11[[#This Row],[Number of Summer 2016 2L SAs]]/Table11[[#This Row],[Interview Slots]]</f>
        <v>0.27586206896551724</v>
      </c>
      <c r="J34" s="76">
        <f>Table11[[#This Row],[Number of Summer 2016 NYU 2L SAs]]/Table11[[#This Row],[Number of Summer 2016 2L SAs]]</f>
        <v>0.25</v>
      </c>
      <c r="K34" s="75" t="s">
        <v>293</v>
      </c>
      <c r="L34" s="75" t="s">
        <v>293</v>
      </c>
      <c r="M34" s="77"/>
      <c r="N34" s="78" t="s">
        <v>289</v>
      </c>
      <c r="O34" s="71"/>
      <c r="P34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4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34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4" s="85">
        <f>IFERROR((1/Table11[[#This Row],[Vault Rank]])*35,0)</f>
        <v>0</v>
      </c>
      <c r="T34" s="83">
        <f>IF(Table11[[#This Row],[GPA Threshold]]="",35,IF(Table11[[#This Row],[GPA Threshold]]=3.4,35,0))</f>
        <v>35</v>
      </c>
      <c r="U34" s="85">
        <f>SUM(Table11[[#This Row],[Interview Slots Value]:[GPA Threshold Value]])</f>
        <v>59</v>
      </c>
    </row>
    <row r="35" spans="2:21" ht="14.25">
      <c r="B35" s="72">
        <f t="shared" si="0"/>
        <v>32</v>
      </c>
      <c r="C35" s="73" t="s">
        <v>255</v>
      </c>
      <c r="D35" s="73" t="s">
        <v>7</v>
      </c>
      <c r="E35" s="74">
        <v>48</v>
      </c>
      <c r="F35" s="75">
        <v>6</v>
      </c>
      <c r="G35" s="75">
        <v>2</v>
      </c>
      <c r="H35" s="76">
        <f>Table11[[#This Row],[Number of Summer 2016 NYU 2L SAs]]/Table11[[#This Row],[Interview Slots]]</f>
        <v>4.1666666666666664E-2</v>
      </c>
      <c r="I35" s="76">
        <f>Table11[[#This Row],[Number of Summer 2016 2L SAs]]/Table11[[#This Row],[Interview Slots]]</f>
        <v>0.125</v>
      </c>
      <c r="J35" s="76">
        <f>Table11[[#This Row],[Number of Summer 2016 NYU 2L SAs]]/Table11[[#This Row],[Number of Summer 2016 2L SAs]]</f>
        <v>0.33333333333333331</v>
      </c>
      <c r="K35" s="75" t="s">
        <v>651</v>
      </c>
      <c r="L35" s="75">
        <v>49</v>
      </c>
      <c r="M35" s="77"/>
      <c r="N35" s="78" t="s">
        <v>287</v>
      </c>
      <c r="O35" s="71"/>
      <c r="P35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35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8</v>
      </c>
      <c r="R35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5" s="85">
        <f>IFERROR((1/Table11[[#This Row],[Vault Rank]])*35,0)</f>
        <v>0.71428571428571419</v>
      </c>
      <c r="T35" s="83">
        <f>IF(Table11[[#This Row],[GPA Threshold]]="",35,IF(Table11[[#This Row],[GPA Threshold]]=3.4,35,0))</f>
        <v>35</v>
      </c>
      <c r="U35" s="85">
        <f>SUM(Table11[[#This Row],[Interview Slots Value]:[GPA Threshold Value]])</f>
        <v>57.714285714285715</v>
      </c>
    </row>
    <row r="36" spans="2:21" ht="14.25">
      <c r="B36" s="72">
        <f t="shared" ref="B36:B53" si="1">ROW()-3</f>
        <v>33</v>
      </c>
      <c r="C36" s="73" t="s">
        <v>199</v>
      </c>
      <c r="D36" s="73" t="s">
        <v>7</v>
      </c>
      <c r="E36" s="74">
        <v>39</v>
      </c>
      <c r="F36" s="75">
        <v>16</v>
      </c>
      <c r="G36" s="75">
        <v>5</v>
      </c>
      <c r="H36" s="76">
        <f>Table11[[#This Row],[Number of Summer 2016 NYU 2L SAs]]/Table11[[#This Row],[Interview Slots]]</f>
        <v>0.12820512820512819</v>
      </c>
      <c r="I36" s="76">
        <f>Table11[[#This Row],[Number of Summer 2016 2L SAs]]/Table11[[#This Row],[Interview Slots]]</f>
        <v>0.41025641025641024</v>
      </c>
      <c r="J36" s="76">
        <f>Table11[[#This Row],[Number of Summer 2016 NYU 2L SAs]]/Table11[[#This Row],[Number of Summer 2016 2L SAs]]</f>
        <v>0.3125</v>
      </c>
      <c r="K36" s="75" t="s">
        <v>651</v>
      </c>
      <c r="L36" s="75">
        <v>32</v>
      </c>
      <c r="M36" s="77"/>
      <c r="N36" s="78" t="s">
        <v>287</v>
      </c>
      <c r="O36" s="71"/>
      <c r="P36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36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8</v>
      </c>
      <c r="R36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6" s="85">
        <f>IFERROR((1/Table11[[#This Row],[Vault Rank]])*35,0)</f>
        <v>1.09375</v>
      </c>
      <c r="T36" s="83">
        <f>IF(Table11[[#This Row],[GPA Threshold]]="",35,IF(Table11[[#This Row],[GPA Threshold]]=3.4,35,0))</f>
        <v>35</v>
      </c>
      <c r="U36" s="85">
        <f>SUM(Table11[[#This Row],[Interview Slots Value]:[GPA Threshold Value]])</f>
        <v>56.09375</v>
      </c>
    </row>
    <row r="37" spans="2:21" ht="14.25">
      <c r="B37" s="72">
        <f t="shared" si="1"/>
        <v>34</v>
      </c>
      <c r="C37" s="73" t="s">
        <v>286</v>
      </c>
      <c r="D37" s="73" t="s">
        <v>7</v>
      </c>
      <c r="E37" s="74">
        <v>39</v>
      </c>
      <c r="F37" s="75">
        <v>15</v>
      </c>
      <c r="G37" s="75">
        <v>4</v>
      </c>
      <c r="H37" s="76">
        <f>Table11[[#This Row],[Number of Summer 2016 NYU 2L SAs]]/Table11[[#This Row],[Interview Slots]]</f>
        <v>0.10256410256410256</v>
      </c>
      <c r="I37" s="76">
        <f>Table11[[#This Row],[Number of Summer 2016 2L SAs]]/Table11[[#This Row],[Interview Slots]]</f>
        <v>0.38461538461538464</v>
      </c>
      <c r="J37" s="76">
        <f>Table11[[#This Row],[Number of Summer 2016 NYU 2L SAs]]/Table11[[#This Row],[Number of Summer 2016 2L SAs]]</f>
        <v>0.26666666666666666</v>
      </c>
      <c r="K37" s="75" t="s">
        <v>651</v>
      </c>
      <c r="L37" s="75">
        <v>33</v>
      </c>
      <c r="M37" s="77"/>
      <c r="N37" s="78" t="s">
        <v>289</v>
      </c>
      <c r="O37" s="71"/>
      <c r="P37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37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8</v>
      </c>
      <c r="R37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7" s="85">
        <f>IFERROR((1/Table11[[#This Row],[Vault Rank]])*35,0)</f>
        <v>1.0606060606060606</v>
      </c>
      <c r="T37" s="83">
        <f>IF(Table11[[#This Row],[GPA Threshold]]="",35,IF(Table11[[#This Row],[GPA Threshold]]=3.4,35,0))</f>
        <v>35</v>
      </c>
      <c r="U37" s="85">
        <f>SUM(Table11[[#This Row],[Interview Slots Value]:[GPA Threshold Value]])</f>
        <v>56.060606060606062</v>
      </c>
    </row>
    <row r="38" spans="2:21" ht="57">
      <c r="B38" s="72">
        <f t="shared" si="1"/>
        <v>35</v>
      </c>
      <c r="C38" s="73" t="s">
        <v>89</v>
      </c>
      <c r="D38" s="73" t="s">
        <v>48</v>
      </c>
      <c r="E38" s="74">
        <v>12</v>
      </c>
      <c r="F38" s="75">
        <v>16</v>
      </c>
      <c r="G38" s="75">
        <v>0</v>
      </c>
      <c r="H38" s="76">
        <f>Table11[[#This Row],[Number of Summer 2016 NYU 2L SAs]]/Table11[[#This Row],[Interview Slots]]</f>
        <v>0</v>
      </c>
      <c r="I38" s="76">
        <f>Table11[[#This Row],[Number of Summer 2016 2L SAs]]/Table11[[#This Row],[Interview Slots]]</f>
        <v>1.3333333333333333</v>
      </c>
      <c r="J38" s="76">
        <f>Table11[[#This Row],[Number of Summer 2016 NYU 2L SAs]]/Table11[[#This Row],[Number of Summer 2016 2L SAs]]</f>
        <v>0</v>
      </c>
      <c r="K38" s="75" t="s">
        <v>651</v>
      </c>
      <c r="L38" s="75">
        <v>7</v>
      </c>
      <c r="M38" s="77">
        <v>3.4</v>
      </c>
      <c r="N38" s="79" t="s">
        <v>288</v>
      </c>
      <c r="O38" s="71" t="s">
        <v>696</v>
      </c>
      <c r="P38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38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4</v>
      </c>
      <c r="R38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8" s="85">
        <f>IFERROR((1/Table11[[#This Row],[Vault Rank]])*35,0)</f>
        <v>5</v>
      </c>
      <c r="T38" s="83">
        <f>IF(Table11[[#This Row],[GPA Threshold]]="",35,IF(Table11[[#This Row],[GPA Threshold]]=3.4,35,0))</f>
        <v>35</v>
      </c>
      <c r="U38" s="85">
        <f>SUM(Table11[[#This Row],[Interview Slots Value]:[GPA Threshold Value]])</f>
        <v>56</v>
      </c>
    </row>
    <row r="39" spans="2:21" ht="14.25">
      <c r="B39" s="72">
        <f t="shared" si="1"/>
        <v>36</v>
      </c>
      <c r="C39" s="73" t="s">
        <v>67</v>
      </c>
      <c r="D39" s="73" t="s">
        <v>7</v>
      </c>
      <c r="E39" s="74">
        <v>39</v>
      </c>
      <c r="F39" s="75">
        <v>9</v>
      </c>
      <c r="G39" s="75">
        <v>2</v>
      </c>
      <c r="H39" s="76">
        <f>Table11[[#This Row],[Number of Summer 2016 NYU 2L SAs]]/Table11[[#This Row],[Interview Slots]]</f>
        <v>5.128205128205128E-2</v>
      </c>
      <c r="I39" s="76">
        <f>Table11[[#This Row],[Number of Summer 2016 2L SAs]]/Table11[[#This Row],[Interview Slots]]</f>
        <v>0.23076923076923078</v>
      </c>
      <c r="J39" s="76">
        <f>Table11[[#This Row],[Number of Summer 2016 NYU 2L SAs]]/Table11[[#This Row],[Number of Summer 2016 2L SAs]]</f>
        <v>0.22222222222222221</v>
      </c>
      <c r="K39" s="75" t="s">
        <v>651</v>
      </c>
      <c r="L39" s="75">
        <v>35</v>
      </c>
      <c r="M39" s="77"/>
      <c r="N39" s="78" t="s">
        <v>288</v>
      </c>
      <c r="O39" s="71"/>
      <c r="P39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39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8</v>
      </c>
      <c r="R39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39" s="85">
        <f>IFERROR((1/Table11[[#This Row],[Vault Rank]])*35,0)</f>
        <v>1</v>
      </c>
      <c r="T39" s="83">
        <f>IF(Table11[[#This Row],[GPA Threshold]]="",35,IF(Table11[[#This Row],[GPA Threshold]]=3.4,35,0))</f>
        <v>35</v>
      </c>
      <c r="U39" s="85">
        <f>SUM(Table11[[#This Row],[Interview Slots Value]:[GPA Threshold Value]])</f>
        <v>56</v>
      </c>
    </row>
    <row r="40" spans="2:21" ht="14.25">
      <c r="B40" s="72">
        <f t="shared" si="1"/>
        <v>37</v>
      </c>
      <c r="C40" s="73" t="s">
        <v>407</v>
      </c>
      <c r="D40" s="73" t="s">
        <v>7</v>
      </c>
      <c r="E40" s="74">
        <v>39</v>
      </c>
      <c r="F40" s="75">
        <v>9</v>
      </c>
      <c r="G40" s="75">
        <v>2</v>
      </c>
      <c r="H40" s="76">
        <f>Table11[[#This Row],[Number of Summer 2016 NYU 2L SAs]]/Table11[[#This Row],[Interview Slots]]</f>
        <v>5.128205128205128E-2</v>
      </c>
      <c r="I40" s="76">
        <f>Table11[[#This Row],[Number of Summer 2016 2L SAs]]/Table11[[#This Row],[Interview Slots]]</f>
        <v>0.23076923076923078</v>
      </c>
      <c r="J40" s="76">
        <f>Table11[[#This Row],[Number of Summer 2016 NYU 2L SAs]]/Table11[[#This Row],[Number of Summer 2016 2L SAs]]</f>
        <v>0.22222222222222221</v>
      </c>
      <c r="K40" s="75" t="s">
        <v>293</v>
      </c>
      <c r="L40" s="75" t="s">
        <v>293</v>
      </c>
      <c r="M40" s="77"/>
      <c r="N40" s="78" t="s">
        <v>289</v>
      </c>
      <c r="O40" s="71"/>
      <c r="P40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0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8</v>
      </c>
      <c r="R40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0" s="85">
        <f>IFERROR((1/Table11[[#This Row],[Vault Rank]])*35,0)</f>
        <v>0</v>
      </c>
      <c r="T40" s="83">
        <f>IF(Table11[[#This Row],[GPA Threshold]]="",35,IF(Table11[[#This Row],[GPA Threshold]]=3.4,35,0))</f>
        <v>35</v>
      </c>
      <c r="U40" s="85">
        <f>SUM(Table11[[#This Row],[Interview Slots Value]:[GPA Threshold Value]])</f>
        <v>55</v>
      </c>
    </row>
    <row r="41" spans="2:21" ht="99.75">
      <c r="B41" s="72">
        <f t="shared" si="1"/>
        <v>38</v>
      </c>
      <c r="C41" s="73" t="s">
        <v>321</v>
      </c>
      <c r="D41" s="73" t="s">
        <v>48</v>
      </c>
      <c r="E41" s="74">
        <v>21</v>
      </c>
      <c r="F41" s="75">
        <v>16</v>
      </c>
      <c r="G41" s="75">
        <v>0</v>
      </c>
      <c r="H41" s="76">
        <f>Table11[[#This Row],[Number of Summer 2016 NYU 2L SAs]]/Table11[[#This Row],[Interview Slots]]</f>
        <v>0</v>
      </c>
      <c r="I41" s="76">
        <f>Table11[[#This Row],[Number of Summer 2016 2L SAs]]/Table11[[#This Row],[Interview Slots]]</f>
        <v>0.76190476190476186</v>
      </c>
      <c r="J41" s="76">
        <f>Table11[[#This Row],[Number of Summer 2016 NYU 2L SAs]]/Table11[[#This Row],[Number of Summer 2016 2L SAs]]</f>
        <v>0</v>
      </c>
      <c r="K41" s="75" t="s">
        <v>651</v>
      </c>
      <c r="L41" s="75">
        <v>18</v>
      </c>
      <c r="M41" s="77">
        <v>3.4</v>
      </c>
      <c r="N41" s="78" t="s">
        <v>287</v>
      </c>
      <c r="O41" s="71" t="s">
        <v>697</v>
      </c>
      <c r="P41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1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1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1" s="85">
        <f>IFERROR((1/Table11[[#This Row],[Vault Rank]])*35,0)</f>
        <v>1.9444444444444444</v>
      </c>
      <c r="T41" s="83">
        <f>IF(Table11[[#This Row],[GPA Threshold]]="",35,IF(Table11[[#This Row],[GPA Threshold]]=3.4,35,0))</f>
        <v>35</v>
      </c>
      <c r="U41" s="85">
        <f>SUM(Table11[[#This Row],[Interview Slots Value]:[GPA Threshold Value]])</f>
        <v>54.944444444444443</v>
      </c>
    </row>
    <row r="42" spans="2:21" ht="14.25">
      <c r="B42" s="72">
        <f t="shared" si="1"/>
        <v>39</v>
      </c>
      <c r="C42" s="73" t="s">
        <v>483</v>
      </c>
      <c r="D42" s="73" t="s">
        <v>7</v>
      </c>
      <c r="E42" s="74">
        <v>20</v>
      </c>
      <c r="F42" s="75">
        <v>20</v>
      </c>
      <c r="G42" s="75">
        <v>3</v>
      </c>
      <c r="H42" s="76">
        <f>Table11[[#This Row],[Number of Summer 2016 NYU 2L SAs]]/Table11[[#This Row],[Interview Slots]]</f>
        <v>0.15</v>
      </c>
      <c r="I42" s="76">
        <f>Table11[[#This Row],[Number of Summer 2016 2L SAs]]/Table11[[#This Row],[Interview Slots]]</f>
        <v>1</v>
      </c>
      <c r="J42" s="76">
        <f>Table11[[#This Row],[Number of Summer 2016 NYU 2L SAs]]/Table11[[#This Row],[Number of Summer 2016 2L SAs]]</f>
        <v>0.15</v>
      </c>
      <c r="K42" s="75" t="s">
        <v>651</v>
      </c>
      <c r="L42" s="75">
        <v>26</v>
      </c>
      <c r="M42" s="77"/>
      <c r="N42" s="78" t="s">
        <v>288</v>
      </c>
      <c r="O42" s="71"/>
      <c r="P42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2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2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2" s="85">
        <f>IFERROR((1/Table11[[#This Row],[Vault Rank]])*35,0)</f>
        <v>1.3461538461538463</v>
      </c>
      <c r="T42" s="83">
        <f>IF(Table11[[#This Row],[GPA Threshold]]="",35,IF(Table11[[#This Row],[GPA Threshold]]=3.4,35,0))</f>
        <v>35</v>
      </c>
      <c r="U42" s="85">
        <f>SUM(Table11[[#This Row],[Interview Slots Value]:[GPA Threshold Value]])</f>
        <v>54.346153846153847</v>
      </c>
    </row>
    <row r="43" spans="2:21" ht="14.25">
      <c r="B43" s="72">
        <f t="shared" si="1"/>
        <v>40</v>
      </c>
      <c r="C43" s="73" t="s">
        <v>168</v>
      </c>
      <c r="D43" s="73" t="s">
        <v>48</v>
      </c>
      <c r="E43" s="74">
        <v>20</v>
      </c>
      <c r="F43" s="75">
        <v>17</v>
      </c>
      <c r="G43" s="75">
        <v>0</v>
      </c>
      <c r="H43" s="76">
        <f>Table11[[#This Row],[Number of Summer 2016 NYU 2L SAs]]/Table11[[#This Row],[Interview Slots]]</f>
        <v>0</v>
      </c>
      <c r="I43" s="76">
        <f>Table11[[#This Row],[Number of Summer 2016 2L SAs]]/Table11[[#This Row],[Interview Slots]]</f>
        <v>0.85</v>
      </c>
      <c r="J43" s="76">
        <f>Table11[[#This Row],[Number of Summer 2016 NYU 2L SAs]]/Table11[[#This Row],[Number of Summer 2016 2L SAs]]</f>
        <v>0</v>
      </c>
      <c r="K43" s="75" t="s">
        <v>8</v>
      </c>
      <c r="L43" s="75">
        <v>28</v>
      </c>
      <c r="M43" s="77"/>
      <c r="N43" s="78" t="s">
        <v>287</v>
      </c>
      <c r="O43" s="71"/>
      <c r="P43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3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3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3" s="85">
        <f>IFERROR((1/Table11[[#This Row],[Vault Rank]])*35,0)</f>
        <v>1.25</v>
      </c>
      <c r="T43" s="83">
        <f>IF(Table11[[#This Row],[GPA Threshold]]="",35,IF(Table11[[#This Row],[GPA Threshold]]=3.4,35,0))</f>
        <v>35</v>
      </c>
      <c r="U43" s="85">
        <f>SUM(Table11[[#This Row],[Interview Slots Value]:[GPA Threshold Value]])</f>
        <v>54.25</v>
      </c>
    </row>
    <row r="44" spans="2:21" ht="14.25">
      <c r="B44" s="72">
        <f t="shared" si="1"/>
        <v>41</v>
      </c>
      <c r="C44" s="73" t="s">
        <v>195</v>
      </c>
      <c r="D44" s="73" t="s">
        <v>48</v>
      </c>
      <c r="E44" s="74">
        <v>21</v>
      </c>
      <c r="F44" s="75">
        <v>23</v>
      </c>
      <c r="G44" s="75">
        <v>0</v>
      </c>
      <c r="H44" s="76">
        <f>Table11[[#This Row],[Number of Summer 2016 NYU 2L SAs]]/Table11[[#This Row],[Interview Slots]]</f>
        <v>0</v>
      </c>
      <c r="I44" s="76">
        <f>Table11[[#This Row],[Number of Summer 2016 2L SAs]]/Table11[[#This Row],[Interview Slots]]</f>
        <v>1.0952380952380953</v>
      </c>
      <c r="J44" s="76">
        <f>Table11[[#This Row],[Number of Summer 2016 NYU 2L SAs]]/Table11[[#This Row],[Number of Summer 2016 2L SAs]]</f>
        <v>0</v>
      </c>
      <c r="K44" s="75" t="s">
        <v>651</v>
      </c>
      <c r="L44" s="75">
        <v>34</v>
      </c>
      <c r="M44" s="77"/>
      <c r="N44" s="78" t="s">
        <v>287</v>
      </c>
      <c r="O44" s="71"/>
      <c r="P44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4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4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4" s="85">
        <f>IFERROR((1/Table11[[#This Row],[Vault Rank]])*35,0)</f>
        <v>1.0294117647058822</v>
      </c>
      <c r="T44" s="83">
        <f>IF(Table11[[#This Row],[GPA Threshold]]="",35,IF(Table11[[#This Row],[GPA Threshold]]=3.4,35,0))</f>
        <v>35</v>
      </c>
      <c r="U44" s="85">
        <f>SUM(Table11[[#This Row],[Interview Slots Value]:[GPA Threshold Value]])</f>
        <v>54.029411764705884</v>
      </c>
    </row>
    <row r="45" spans="2:21" ht="14.25">
      <c r="B45" s="72">
        <f t="shared" si="1"/>
        <v>42</v>
      </c>
      <c r="C45" s="73" t="s">
        <v>52</v>
      </c>
      <c r="D45" s="73" t="s">
        <v>48</v>
      </c>
      <c r="E45" s="74">
        <v>21</v>
      </c>
      <c r="F45" s="75">
        <v>20</v>
      </c>
      <c r="G45" s="75">
        <v>0</v>
      </c>
      <c r="H45" s="76">
        <f>Table11[[#This Row],[Number of Summer 2016 NYU 2L SAs]]/Table11[[#This Row],[Interview Slots]]</f>
        <v>0</v>
      </c>
      <c r="I45" s="76">
        <f>Table11[[#This Row],[Number of Summer 2016 2L SAs]]/Table11[[#This Row],[Interview Slots]]</f>
        <v>0.95238095238095233</v>
      </c>
      <c r="J45" s="76">
        <f>Table11[[#This Row],[Number of Summer 2016 NYU 2L SAs]]/Table11[[#This Row],[Number of Summer 2016 2L SAs]]</f>
        <v>0</v>
      </c>
      <c r="K45" s="75" t="s">
        <v>651</v>
      </c>
      <c r="L45" s="75">
        <v>54</v>
      </c>
      <c r="M45" s="77"/>
      <c r="N45" s="78" t="s">
        <v>289</v>
      </c>
      <c r="O45" s="71"/>
      <c r="P45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5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5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5" s="85">
        <f>IFERROR((1/Table11[[#This Row],[Vault Rank]])*35,0)</f>
        <v>0.64814814814814814</v>
      </c>
      <c r="T45" s="83">
        <f>IF(Table11[[#This Row],[GPA Threshold]]="",35,IF(Table11[[#This Row],[GPA Threshold]]=3.4,35,0))</f>
        <v>35</v>
      </c>
      <c r="U45" s="85">
        <f>SUM(Table11[[#This Row],[Interview Slots Value]:[GPA Threshold Value]])</f>
        <v>53.648148148148152</v>
      </c>
    </row>
    <row r="46" spans="2:21" ht="14.25">
      <c r="B46" s="72">
        <f t="shared" si="1"/>
        <v>43</v>
      </c>
      <c r="C46" s="73" t="s">
        <v>180</v>
      </c>
      <c r="D46" s="73" t="s">
        <v>7</v>
      </c>
      <c r="E46" s="74">
        <v>20</v>
      </c>
      <c r="F46" s="75">
        <v>6</v>
      </c>
      <c r="G46" s="75">
        <v>3</v>
      </c>
      <c r="H46" s="76">
        <f>Table11[[#This Row],[Number of Summer 2016 NYU 2L SAs]]/Table11[[#This Row],[Interview Slots]]</f>
        <v>0.15</v>
      </c>
      <c r="I46" s="76">
        <f>Table11[[#This Row],[Number of Summer 2016 2L SAs]]/Table11[[#This Row],[Interview Slots]]</f>
        <v>0.3</v>
      </c>
      <c r="J46" s="76">
        <f>Table11[[#This Row],[Number of Summer 2016 NYU 2L SAs]]/Table11[[#This Row],[Number of Summer 2016 2L SAs]]</f>
        <v>0.5</v>
      </c>
      <c r="K46" s="75" t="s">
        <v>293</v>
      </c>
      <c r="L46" s="75">
        <v>57</v>
      </c>
      <c r="M46" s="77">
        <v>3.4</v>
      </c>
      <c r="N46" s="79" t="s">
        <v>287</v>
      </c>
      <c r="O46" s="71"/>
      <c r="P46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6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6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6" s="85">
        <f>IFERROR((1/Table11[[#This Row],[Vault Rank]])*35,0)</f>
        <v>0.61403508771929816</v>
      </c>
      <c r="T46" s="83">
        <f>IF(Table11[[#This Row],[GPA Threshold]]="",35,IF(Table11[[#This Row],[GPA Threshold]]=3.4,35,0))</f>
        <v>35</v>
      </c>
      <c r="U46" s="85">
        <f>SUM(Table11[[#This Row],[Interview Slots Value]:[GPA Threshold Value]])</f>
        <v>53.614035087719301</v>
      </c>
    </row>
    <row r="47" spans="2:21" ht="14.25">
      <c r="B47" s="72">
        <f t="shared" si="1"/>
        <v>44</v>
      </c>
      <c r="C47" s="73" t="s">
        <v>499</v>
      </c>
      <c r="D47" s="73" t="s">
        <v>7</v>
      </c>
      <c r="E47" s="74">
        <v>20</v>
      </c>
      <c r="F47" s="75">
        <v>8</v>
      </c>
      <c r="G47" s="75">
        <v>1</v>
      </c>
      <c r="H47" s="76">
        <f>Table11[[#This Row],[Number of Summer 2016 NYU 2L SAs]]/Table11[[#This Row],[Interview Slots]]</f>
        <v>0.05</v>
      </c>
      <c r="I47" s="76">
        <f>Table11[[#This Row],[Number of Summer 2016 2L SAs]]/Table11[[#This Row],[Interview Slots]]</f>
        <v>0.4</v>
      </c>
      <c r="J47" s="76">
        <f>Table11[[#This Row],[Number of Summer 2016 NYU 2L SAs]]/Table11[[#This Row],[Number of Summer 2016 2L SAs]]</f>
        <v>0.125</v>
      </c>
      <c r="K47" s="75" t="s">
        <v>293</v>
      </c>
      <c r="L47" s="75">
        <v>65</v>
      </c>
      <c r="M47" s="77"/>
      <c r="N47" s="79" t="s">
        <v>288</v>
      </c>
      <c r="O47" s="71"/>
      <c r="P47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2</v>
      </c>
      <c r="Q47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6</v>
      </c>
      <c r="R47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7" s="85">
        <f>IFERROR((1/Table11[[#This Row],[Vault Rank]])*35,0)</f>
        <v>0.53846153846153855</v>
      </c>
      <c r="T47" s="83">
        <f>IF(Table11[[#This Row],[GPA Threshold]]="",35,IF(Table11[[#This Row],[GPA Threshold]]=3.4,35,0))</f>
        <v>35</v>
      </c>
      <c r="U47" s="85">
        <f>SUM(Table11[[#This Row],[Interview Slots Value]:[GPA Threshold Value]])</f>
        <v>53.53846153846154</v>
      </c>
    </row>
    <row r="48" spans="2:21" ht="28.5">
      <c r="B48" s="72">
        <f t="shared" si="1"/>
        <v>45</v>
      </c>
      <c r="C48" s="73" t="s">
        <v>510</v>
      </c>
      <c r="D48" s="73" t="s">
        <v>7</v>
      </c>
      <c r="E48" s="74">
        <v>115</v>
      </c>
      <c r="F48" s="75">
        <v>93</v>
      </c>
      <c r="G48" s="75">
        <v>13</v>
      </c>
      <c r="H48" s="76">
        <f>Table11[[#This Row],[Number of Summer 2016 NYU 2L SAs]]/Table11[[#This Row],[Interview Slots]]</f>
        <v>0.11304347826086956</v>
      </c>
      <c r="I48" s="76">
        <f>Table11[[#This Row],[Number of Summer 2016 2L SAs]]/Table11[[#This Row],[Interview Slots]]</f>
        <v>0.80869565217391304</v>
      </c>
      <c r="J48" s="76">
        <f>Table11[[#This Row],[Number of Summer 2016 NYU 2L SAs]]/Table11[[#This Row],[Number of Summer 2016 2L SAs]]</f>
        <v>0.13978494623655913</v>
      </c>
      <c r="K48" s="75" t="s">
        <v>651</v>
      </c>
      <c r="L48" s="75">
        <v>3</v>
      </c>
      <c r="M48" s="77">
        <v>3.6</v>
      </c>
      <c r="N48" s="78" t="s">
        <v>289</v>
      </c>
      <c r="O48" s="71"/>
      <c r="P48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48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48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8" s="85">
        <f>IFERROR((1/Table11[[#This Row],[Vault Rank]])*35,0)</f>
        <v>11.666666666666666</v>
      </c>
      <c r="T48" s="83">
        <f>IF(Table11[[#This Row],[GPA Threshold]]="",35,IF(Table11[[#This Row],[GPA Threshold]]=3.4,35,0))</f>
        <v>0</v>
      </c>
      <c r="U48" s="85">
        <f>SUM(Table11[[#This Row],[Interview Slots Value]:[GPA Threshold Value]])</f>
        <v>41.666666666666664</v>
      </c>
    </row>
    <row r="49" spans="2:21" ht="14.25">
      <c r="B49" s="72">
        <f t="shared" si="1"/>
        <v>46</v>
      </c>
      <c r="C49" s="73" t="s">
        <v>381</v>
      </c>
      <c r="D49" s="73" t="s">
        <v>7</v>
      </c>
      <c r="E49" s="74">
        <v>154</v>
      </c>
      <c r="F49" s="75">
        <v>143</v>
      </c>
      <c r="G49" s="75">
        <v>10</v>
      </c>
      <c r="H49" s="76">
        <f>Table11[[#This Row],[Number of Summer 2016 NYU 2L SAs]]/Table11[[#This Row],[Interview Slots]]</f>
        <v>6.4935064935064929E-2</v>
      </c>
      <c r="I49" s="76">
        <f>Table11[[#This Row],[Number of Summer 2016 2L SAs]]/Table11[[#This Row],[Interview Slots]]</f>
        <v>0.9285714285714286</v>
      </c>
      <c r="J49" s="76">
        <f>Table11[[#This Row],[Number of Summer 2016 NYU 2L SAs]]/Table11[[#This Row],[Number of Summer 2016 2L SAs]]</f>
        <v>6.9930069930069935E-2</v>
      </c>
      <c r="K49" s="75" t="s">
        <v>651</v>
      </c>
      <c r="L49" s="75">
        <v>5</v>
      </c>
      <c r="M49" s="77">
        <v>3.6</v>
      </c>
      <c r="N49" s="78" t="s">
        <v>288</v>
      </c>
      <c r="O49" s="71"/>
      <c r="P49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49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49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49" s="85">
        <f>IFERROR((1/Table11[[#This Row],[Vault Rank]])*35,0)</f>
        <v>7</v>
      </c>
      <c r="T49" s="83">
        <f>IF(Table11[[#This Row],[GPA Threshold]]="",35,IF(Table11[[#This Row],[GPA Threshold]]=3.4,35,0))</f>
        <v>0</v>
      </c>
      <c r="U49" s="85">
        <f>SUM(Table11[[#This Row],[Interview Slots Value]:[GPA Threshold Value]])</f>
        <v>37</v>
      </c>
    </row>
    <row r="50" spans="2:21" ht="14.25">
      <c r="B50" s="72">
        <f t="shared" si="1"/>
        <v>47</v>
      </c>
      <c r="C50" s="73" t="s">
        <v>508</v>
      </c>
      <c r="D50" s="73" t="s">
        <v>7</v>
      </c>
      <c r="E50" s="74">
        <v>134</v>
      </c>
      <c r="F50" s="75">
        <v>101</v>
      </c>
      <c r="G50" s="75">
        <v>9</v>
      </c>
      <c r="H50" s="76">
        <f>Table11[[#This Row],[Number of Summer 2016 NYU 2L SAs]]/Table11[[#This Row],[Interview Slots]]</f>
        <v>6.7164179104477612E-2</v>
      </c>
      <c r="I50" s="76">
        <f>Table11[[#This Row],[Number of Summer 2016 2L SAs]]/Table11[[#This Row],[Interview Slots]]</f>
        <v>0.75373134328358204</v>
      </c>
      <c r="J50" s="76">
        <f>Table11[[#This Row],[Number of Summer 2016 NYU 2L SAs]]/Table11[[#This Row],[Number of Summer 2016 2L SAs]]</f>
        <v>8.9108910891089105E-2</v>
      </c>
      <c r="K50" s="75" t="s">
        <v>651</v>
      </c>
      <c r="L50" s="75">
        <v>6</v>
      </c>
      <c r="M50" s="77">
        <v>3.6</v>
      </c>
      <c r="N50" s="78" t="s">
        <v>288</v>
      </c>
      <c r="O50" s="71"/>
      <c r="P50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50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50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50" s="85">
        <f>IFERROR((1/Table11[[#This Row],[Vault Rank]])*35,0)</f>
        <v>5.833333333333333</v>
      </c>
      <c r="T50" s="83">
        <f>IF(Table11[[#This Row],[GPA Threshold]]="",35,IF(Table11[[#This Row],[GPA Threshold]]=3.4,35,0))</f>
        <v>0</v>
      </c>
      <c r="U50" s="85">
        <f>SUM(Table11[[#This Row],[Interview Slots Value]:[GPA Threshold Value]])</f>
        <v>35.833333333333336</v>
      </c>
    </row>
    <row r="51" spans="2:21" ht="14.25">
      <c r="B51" s="72">
        <f t="shared" si="1"/>
        <v>48</v>
      </c>
      <c r="C51" s="73" t="s">
        <v>374</v>
      </c>
      <c r="D51" s="73" t="s">
        <v>7</v>
      </c>
      <c r="E51" s="74">
        <v>192</v>
      </c>
      <c r="F51" s="75">
        <v>97</v>
      </c>
      <c r="G51" s="75">
        <v>16</v>
      </c>
      <c r="H51" s="76">
        <f>Table11[[#This Row],[Number of Summer 2016 NYU 2L SAs]]/Table11[[#This Row],[Interview Slots]]</f>
        <v>8.3333333333333329E-2</v>
      </c>
      <c r="I51" s="76">
        <f>Table11[[#This Row],[Number of Summer 2016 2L SAs]]/Table11[[#This Row],[Interview Slots]]</f>
        <v>0.50520833333333337</v>
      </c>
      <c r="J51" s="76">
        <f>Table11[[#This Row],[Number of Summer 2016 NYU 2L SAs]]/Table11[[#This Row],[Number of Summer 2016 2L SAs]]</f>
        <v>0.16494845360824742</v>
      </c>
      <c r="K51" s="75" t="s">
        <v>651</v>
      </c>
      <c r="L51" s="75">
        <v>9</v>
      </c>
      <c r="M51" s="77">
        <v>3.6</v>
      </c>
      <c r="N51" s="78" t="s">
        <v>288</v>
      </c>
      <c r="O51" s="71"/>
      <c r="P51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51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51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51" s="85">
        <f>IFERROR((1/Table11[[#This Row],[Vault Rank]])*35,0)</f>
        <v>3.8888888888888888</v>
      </c>
      <c r="T51" s="83">
        <f>IF(Table11[[#This Row],[GPA Threshold]]="",35,IF(Table11[[#This Row],[GPA Threshold]]=3.4,35,0))</f>
        <v>0</v>
      </c>
      <c r="U51" s="85">
        <f>SUM(Table11[[#This Row],[Interview Slots Value]:[GPA Threshold Value]])</f>
        <v>33.888888888888886</v>
      </c>
    </row>
    <row r="52" spans="2:21" ht="28.5">
      <c r="B52" s="72">
        <f t="shared" si="1"/>
        <v>49</v>
      </c>
      <c r="C52" s="73" t="s">
        <v>489</v>
      </c>
      <c r="D52" s="73" t="s">
        <v>7</v>
      </c>
      <c r="E52" s="74">
        <v>173</v>
      </c>
      <c r="F52" s="75">
        <v>112</v>
      </c>
      <c r="G52" s="75">
        <v>22</v>
      </c>
      <c r="H52" s="76">
        <f>Table11[[#This Row],[Number of Summer 2016 NYU 2L SAs]]/Table11[[#This Row],[Interview Slots]]</f>
        <v>0.12716763005780346</v>
      </c>
      <c r="I52" s="76">
        <f>Table11[[#This Row],[Number of Summer 2016 2L SAs]]/Table11[[#This Row],[Interview Slots]]</f>
        <v>0.64739884393063585</v>
      </c>
      <c r="J52" s="76">
        <f>Table11[[#This Row],[Number of Summer 2016 NYU 2L SAs]]/Table11[[#This Row],[Number of Summer 2016 2L SAs]]</f>
        <v>0.19642857142857142</v>
      </c>
      <c r="K52" s="75" t="s">
        <v>651</v>
      </c>
      <c r="L52" s="75">
        <v>12</v>
      </c>
      <c r="M52" s="77">
        <v>3.6</v>
      </c>
      <c r="N52" s="78" t="s">
        <v>289</v>
      </c>
      <c r="O52" s="71"/>
      <c r="P52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10</v>
      </c>
      <c r="Q52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52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52" s="85">
        <f>IFERROR((1/Table11[[#This Row],[Vault Rank]])*35,0)</f>
        <v>2.9166666666666665</v>
      </c>
      <c r="T52" s="83">
        <f>IF(Table11[[#This Row],[GPA Threshold]]="",35,IF(Table11[[#This Row],[GPA Threshold]]=3.4,35,0))</f>
        <v>0</v>
      </c>
      <c r="U52" s="85">
        <f>SUM(Table11[[#This Row],[Interview Slots Value]:[GPA Threshold Value]])</f>
        <v>32.916666666666664</v>
      </c>
    </row>
    <row r="53" spans="2:21" ht="14.25">
      <c r="B53" s="72">
        <f t="shared" si="1"/>
        <v>50</v>
      </c>
      <c r="C53" s="73" t="s">
        <v>252</v>
      </c>
      <c r="D53" s="73" t="s">
        <v>7</v>
      </c>
      <c r="E53" s="74">
        <v>58</v>
      </c>
      <c r="F53" s="75">
        <v>29</v>
      </c>
      <c r="G53" s="75">
        <v>3</v>
      </c>
      <c r="H53" s="76">
        <f>Table11[[#This Row],[Number of Summer 2016 NYU 2L SAs]]/Table11[[#This Row],[Interview Slots]]</f>
        <v>5.1724137931034482E-2</v>
      </c>
      <c r="I53" s="76">
        <f>Table11[[#This Row],[Number of Summer 2016 2L SAs]]/Table11[[#This Row],[Interview Slots]]</f>
        <v>0.5</v>
      </c>
      <c r="J53" s="76">
        <f>Table11[[#This Row],[Number of Summer 2016 NYU 2L SAs]]/Table11[[#This Row],[Number of Summer 2016 2L SAs]]</f>
        <v>0.10344827586206896</v>
      </c>
      <c r="K53" s="75" t="s">
        <v>651</v>
      </c>
      <c r="L53" s="75">
        <v>22</v>
      </c>
      <c r="M53" s="77">
        <v>3.6</v>
      </c>
      <c r="N53" s="78" t="s">
        <v>287</v>
      </c>
      <c r="O53" s="71"/>
      <c r="P53" s="82">
        <f>IF(AND(Table11[[#This Row],[Interview Slots]]&gt;=1,Table11[[#This Row],[Interview Slots]]&lt;=39),2,0)+IF(AND(Table11[[#This Row],[Interview Slots]]&gt;=40,Table11[[#This Row],[Interview Slots]]&lt;=58),4,0)+IF(AND(Table11[[#This Row],[Interview Slots]]&gt;=59,Table11[[#This Row],[Interview Slots]]&lt;=95),6,0)+IF(AND(Table11[[#This Row],[Interview Slots]]&gt;=96,Table11[[#This Row],[Interview Slots]]&lt;=114),8,0)+IF(Table11[[#This Row],[Interview Slots]]&gt;=115,10,0)</f>
        <v>4</v>
      </c>
      <c r="Q53" s="82">
        <f>IF(AND(Table11[[#This Row],[Interview Slots]]&gt;=1,Table11[[#This Row],[Interview Slots]]&lt;=11),2,0)+IF(AND(Table11[[#This Row],[Interview Slots]]&gt;=12,Table11[[#This Row],[Interview Slots]]&lt;=15),4,0)+IF(AND(Table11[[#This Row],[Interview Slots]]&gt;=16,Table11[[#This Row],[Interview Slots]]&lt;=28),6,0)+IF(AND(Table11[[#This Row],[Interview Slots]]&gt;=29,Table11[[#This Row],[Interview Slots]]&lt;=53),8,0)+IF(Table11[[#This Row],[Interview Slots]]&gt;=54,10,0)</f>
        <v>10</v>
      </c>
      <c r="R53" s="83">
        <f>IF(Table11[[#This Row],[Interview Slots]]=1,4,0)+IF(AND(Table11[[#This Row],[Interview Slots]]&gt;=2,Table11[[#This Row],[Interview Slots]]&lt;=3),6,0)+IF(AND(Table11[[#This Row],[Interview Slots]]&gt;=4,Table11[[#This Row],[Interview Slots]]&lt;=6),8,0)+IF(Table11[[#This Row],[Interview Slots]]&gt;=7,10,0)</f>
        <v>10</v>
      </c>
      <c r="S53" s="85">
        <f>IFERROR((1/Table11[[#This Row],[Vault Rank]])*35,0)</f>
        <v>1.5909090909090911</v>
      </c>
      <c r="T53" s="83">
        <f>IF(Table11[[#This Row],[GPA Threshold]]="",35,IF(Table11[[#This Row],[GPA Threshold]]=3.4,35,0))</f>
        <v>0</v>
      </c>
      <c r="U53" s="85">
        <f>SUM(Table11[[#This Row],[Interview Slots Value]:[GPA Threshold Value]])</f>
        <v>25.59090909090909</v>
      </c>
    </row>
  </sheetData>
  <mergeCells count="3">
    <mergeCell ref="B2:C2"/>
    <mergeCell ref="D2:O2"/>
    <mergeCell ref="P2:U2"/>
  </mergeCells>
  <pageMargins left="0.7" right="0.7" top="0.75" bottom="0.75" header="0.3" footer="0.3"/>
  <pageSetup orientation="portrait"/>
  <drawing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5"/>
  <sheetViews>
    <sheetView showGridLines="0" workbookViewId="0">
      <selection activeCell="A2" sqref="A2"/>
    </sheetView>
  </sheetViews>
  <sheetFormatPr defaultColWidth="8.83203125" defaultRowHeight="12.75"/>
  <cols>
    <col min="1" max="1" width="46" customWidth="1"/>
    <col min="2" max="7" width="10.1640625" bestFit="1" customWidth="1"/>
    <col min="8" max="8" width="8.5" bestFit="1" customWidth="1"/>
    <col min="9" max="9" width="14.1640625" bestFit="1" customWidth="1"/>
    <col min="10" max="10" width="26" customWidth="1"/>
    <col min="11" max="15" width="11.33203125" bestFit="1" customWidth="1"/>
    <col min="16" max="16" width="9.6640625" bestFit="1" customWidth="1"/>
    <col min="17" max="17" width="10" bestFit="1" customWidth="1"/>
    <col min="18" max="21" width="14" bestFit="1" customWidth="1"/>
    <col min="22" max="23" width="22.1640625" bestFit="1" customWidth="1"/>
    <col min="24" max="24" width="14.5" bestFit="1" customWidth="1"/>
    <col min="25" max="26" width="21.6640625" bestFit="1" customWidth="1"/>
    <col min="27" max="27" width="23.1640625" bestFit="1" customWidth="1"/>
    <col min="28" max="28" width="23.83203125" bestFit="1" customWidth="1"/>
    <col min="29" max="29" width="14.1640625" bestFit="1" customWidth="1"/>
    <col min="30" max="35" width="14.33203125" bestFit="1" customWidth="1"/>
    <col min="36" max="36" width="18" bestFit="1" customWidth="1"/>
  </cols>
  <sheetData>
    <row r="1" spans="1:36" ht="30">
      <c r="A1" s="17" t="s">
        <v>290</v>
      </c>
      <c r="B1" s="20" t="s">
        <v>709</v>
      </c>
      <c r="C1" s="20" t="s">
        <v>710</v>
      </c>
      <c r="D1" s="20" t="s">
        <v>711</v>
      </c>
      <c r="E1" s="20" t="s">
        <v>712</v>
      </c>
      <c r="F1" s="20" t="s">
        <v>713</v>
      </c>
      <c r="G1" s="20" t="s">
        <v>714</v>
      </c>
      <c r="H1" s="20" t="s">
        <v>658</v>
      </c>
      <c r="I1" s="25" t="s">
        <v>659</v>
      </c>
      <c r="J1" s="18" t="s">
        <v>685</v>
      </c>
      <c r="K1" s="27" t="s">
        <v>715</v>
      </c>
      <c r="L1" s="27" t="s">
        <v>716</v>
      </c>
      <c r="M1" s="27" t="s">
        <v>717</v>
      </c>
      <c r="N1" s="27" t="s">
        <v>718</v>
      </c>
      <c r="O1" s="27" t="s">
        <v>719</v>
      </c>
      <c r="P1" s="27" t="s">
        <v>720</v>
      </c>
      <c r="Q1" s="19" t="s">
        <v>687</v>
      </c>
      <c r="R1" s="18" t="s">
        <v>688</v>
      </c>
      <c r="S1" s="18" t="s">
        <v>689</v>
      </c>
      <c r="T1" s="18" t="s">
        <v>690</v>
      </c>
      <c r="U1" s="18" t="s">
        <v>691</v>
      </c>
      <c r="V1" s="28" t="s">
        <v>721</v>
      </c>
      <c r="W1" s="28" t="s">
        <v>722</v>
      </c>
      <c r="X1" s="28" t="s">
        <v>692</v>
      </c>
      <c r="Y1" s="28" t="s">
        <v>723</v>
      </c>
      <c r="Z1" s="28" t="s">
        <v>724</v>
      </c>
      <c r="AA1" s="28" t="s">
        <v>693</v>
      </c>
      <c r="AB1" s="28" t="s">
        <v>694</v>
      </c>
      <c r="AC1" s="28" t="s">
        <v>725</v>
      </c>
      <c r="AD1" s="28" t="s">
        <v>726</v>
      </c>
      <c r="AE1" s="28" t="s">
        <v>727</v>
      </c>
      <c r="AF1" s="28" t="s">
        <v>728</v>
      </c>
      <c r="AG1" s="28" t="s">
        <v>729</v>
      </c>
      <c r="AH1" s="28" t="s">
        <v>730</v>
      </c>
      <c r="AI1" s="28" t="s">
        <v>731</v>
      </c>
      <c r="AJ1" s="28" t="s">
        <v>732</v>
      </c>
    </row>
    <row r="2" spans="1:36" ht="30">
      <c r="A2" s="16" t="s">
        <v>536</v>
      </c>
      <c r="B2" s="21">
        <v>34</v>
      </c>
      <c r="C2" s="21">
        <v>62</v>
      </c>
      <c r="D2" s="21">
        <v>61</v>
      </c>
      <c r="E2" s="21">
        <v>52</v>
      </c>
      <c r="F2" s="21">
        <v>54</v>
      </c>
      <c r="G2" s="21">
        <v>60</v>
      </c>
      <c r="H2" s="21">
        <v>54</v>
      </c>
      <c r="I2" s="26">
        <f t="array" ref="I2">(H2/INDEX($B2:$H2,1,MATCH(FALSE,ISBLANK(B2:H2),0)))^(1/INDEX($B$2:$H$2,1,MATCH(FALSE,ISBLANK(B2:H2),0)))</f>
        <v>1.0136995648883524</v>
      </c>
      <c r="J2" s="22" t="str">
        <f>_xlfn.IFNA(INDEX(saCAGRnameStd[EIW],MATCH(saCAGR[[#This Row],[Company]],saCAGRnameStd[SA CAGR],0)),saCAGR[[#This Row],[Company]])</f>
        <v>Akin Gump Strauss Hauer &amp; Feld</v>
      </c>
      <c r="K2" s="23" t="str">
        <f>IF(B2="","-",IF(C2&gt;B2,"U",IF(C2=B2,"S","D")))</f>
        <v>U</v>
      </c>
      <c r="L2" s="23" t="str">
        <f t="shared" ref="L2:L33" si="0">IF(C2="","-",IF(D2&gt;C2,"U",IF(D2=C2,"S","D")))</f>
        <v>D</v>
      </c>
      <c r="M2" s="23" t="str">
        <f t="shared" ref="M2:M33" si="1">IF(D2="","-",IF(E2&gt;D2,"U",IF(E2=D2,"S","D")))</f>
        <v>D</v>
      </c>
      <c r="N2" s="23" t="str">
        <f t="shared" ref="N2:N33" si="2">IF(E2="","-",IF(F2&gt;E2,"U",IF(F2=E2,"S","D")))</f>
        <v>U</v>
      </c>
      <c r="O2" s="23" t="str">
        <f t="shared" ref="O2:O33" si="3">IF(F2="","-",IF(G2&gt;F2,"U",IF(G2=F2,"S","D")))</f>
        <v>U</v>
      </c>
      <c r="P2" s="23" t="str">
        <f t="shared" ref="P2:P33" si="4">IF(G2="","-",IF(H2&gt;G2,"U",IF(H2=G2,"S","D")))</f>
        <v>D</v>
      </c>
      <c r="Q2" s="24" t="str">
        <f>saCAGR[[#This Row],[2011 ]]&amp;saCAGR[[#This Row],[  2012 ]]</f>
        <v>UD</v>
      </c>
      <c r="R2" s="24" t="str">
        <f>saCAGR[[#This Row],[  2012 ]]&amp;saCAGR[[#This Row],[2013 ]]</f>
        <v>DD</v>
      </c>
      <c r="S2" s="24" t="str">
        <f>saCAGR[[#This Row],[2013 ]]&amp;saCAGR[[#This Row],[2014 ]]</f>
        <v>DU</v>
      </c>
      <c r="T2" s="24" t="str">
        <f>saCAGR[[#This Row],[2014 ]]&amp;saCAGR[[#This Row],[2015 ]]</f>
        <v>UU</v>
      </c>
      <c r="U2" s="24" t="str">
        <f>saCAGR[[#This Row],[2015 ]]&amp;saCAGR[[#This Row],[2016 ]]</f>
        <v>UD</v>
      </c>
      <c r="V2" s="24">
        <f>COUNTIF(saCAGR[[#This Row],[11/12 pair]:[15/16 pair]],"UD")</f>
        <v>2</v>
      </c>
      <c r="W2" s="24">
        <f>COUNTIF(saCAGR[[#This Row],[11/12 pair]:[15/16 pair]],"DU")</f>
        <v>1</v>
      </c>
      <c r="X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" s="24">
        <f>IFERROR(saCAGR[[#This Row],[Count of UD]]/saCAGR[[#This Row],[Total pairs]],"")</f>
        <v>0.4</v>
      </c>
      <c r="Z2" s="24">
        <f>IFERROR(saCAGR[[#This Row],[Count of DU]]/saCAGR[[#This Row],[Total pairs]],"")</f>
        <v>0.2</v>
      </c>
      <c r="AA2" s="24">
        <f>IFERROR(saCAGR[[#This Row],[% UD]]+saCAGR[[#This Row],[% DU]],"")</f>
        <v>0.60000000000000009</v>
      </c>
      <c r="AB2" s="24">
        <f>STDEV(saCAGR[[#This Row],[2010]:[2016]])</f>
        <v>9.599107101332752</v>
      </c>
      <c r="AC2" s="24">
        <f>saCAGR[[#This Row],[Standard Deviation]]^2</f>
        <v>92.142857142856869</v>
      </c>
      <c r="AD2" s="24">
        <f>C2-D2</f>
        <v>1</v>
      </c>
      <c r="AE2" s="24">
        <f t="shared" ref="AE2:AE33" si="5">D2-E2</f>
        <v>9</v>
      </c>
      <c r="AF2" s="24">
        <f t="shared" ref="AF2:AF33" si="6">E2-F2</f>
        <v>-2</v>
      </c>
      <c r="AG2" s="24">
        <f t="shared" ref="AG2:AG33" si="7">F2-G2</f>
        <v>-6</v>
      </c>
      <c r="AH2" s="24">
        <f>G2-H2</f>
        <v>6</v>
      </c>
      <c r="AI2" s="24">
        <f>H2-I2</f>
        <v>52.986300435111644</v>
      </c>
      <c r="AJ2" s="24">
        <f>AVERAGE(saCAGR[[#This Row],[2011 Delta]:[2016 Delta]])</f>
        <v>10.164383405851941</v>
      </c>
    </row>
    <row r="3" spans="1:36" ht="15">
      <c r="A3" s="16" t="s">
        <v>537</v>
      </c>
      <c r="B3" s="21">
        <v>27</v>
      </c>
      <c r="C3" s="21">
        <v>27</v>
      </c>
      <c r="D3" s="21">
        <v>24</v>
      </c>
      <c r="E3" s="21">
        <v>20</v>
      </c>
      <c r="F3" s="21">
        <v>23</v>
      </c>
      <c r="G3" s="21">
        <v>18</v>
      </c>
      <c r="H3" s="21">
        <v>24</v>
      </c>
      <c r="I3" s="26">
        <f t="array" ref="I3">(H3/INDEX($B3:$H3,1,MATCH(FALSE,ISBLANK(B3:H3),0)))^(1/INDEX($B$2:$H$2,1,MATCH(FALSE,ISBLANK(B3:H3),0)))</f>
        <v>0.99654178651092196</v>
      </c>
      <c r="J3" s="22" t="str">
        <f>_xlfn.IFNA(INDEX(saCAGRnameStd[EIW],MATCH(saCAGR[[#This Row],[Company]],saCAGRnameStd[SA CAGR],0)),saCAGR[[#This Row],[Company]])</f>
        <v>Allen &amp; Overy</v>
      </c>
      <c r="K3" s="23" t="str">
        <f t="shared" ref="K3:K33" si="8">IF(B3="","-",IF(C3&gt;B3,"U",IF(C3=B3,"S","D")))</f>
        <v>S</v>
      </c>
      <c r="L3" s="23" t="str">
        <f t="shared" si="0"/>
        <v>D</v>
      </c>
      <c r="M3" s="23" t="str">
        <f t="shared" si="1"/>
        <v>D</v>
      </c>
      <c r="N3" s="23" t="str">
        <f t="shared" si="2"/>
        <v>U</v>
      </c>
      <c r="O3" s="23" t="str">
        <f t="shared" si="3"/>
        <v>D</v>
      </c>
      <c r="P3" s="23" t="str">
        <f t="shared" si="4"/>
        <v>U</v>
      </c>
      <c r="Q3" s="24" t="str">
        <f>saCAGR[[#This Row],[2011 ]]&amp;saCAGR[[#This Row],[  2012 ]]</f>
        <v>SD</v>
      </c>
      <c r="R3" s="24" t="str">
        <f>saCAGR[[#This Row],[  2012 ]]&amp;saCAGR[[#This Row],[2013 ]]</f>
        <v>DD</v>
      </c>
      <c r="S3" s="24" t="str">
        <f>saCAGR[[#This Row],[2013 ]]&amp;saCAGR[[#This Row],[2014 ]]</f>
        <v>DU</v>
      </c>
      <c r="T3" s="24" t="str">
        <f>saCAGR[[#This Row],[2014 ]]&amp;saCAGR[[#This Row],[2015 ]]</f>
        <v>UD</v>
      </c>
      <c r="U3" s="24" t="str">
        <f>saCAGR[[#This Row],[2015 ]]&amp;saCAGR[[#This Row],[2016 ]]</f>
        <v>DU</v>
      </c>
      <c r="V3" s="24">
        <f>COUNTIF(saCAGR[[#This Row],[11/12 pair]:[15/16 pair]],"UD")</f>
        <v>1</v>
      </c>
      <c r="W3" s="24">
        <f>COUNTIF(saCAGR[[#This Row],[11/12 pair]:[15/16 pair]],"DU")</f>
        <v>2</v>
      </c>
      <c r="X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" s="24">
        <f>IFERROR(saCAGR[[#This Row],[Count of UD]]/saCAGR[[#This Row],[Total pairs]],"")</f>
        <v>0.2</v>
      </c>
      <c r="Z3" s="24">
        <f>IFERROR(saCAGR[[#This Row],[Count of DU]]/saCAGR[[#This Row],[Total pairs]],"")</f>
        <v>0.4</v>
      </c>
      <c r="AA3" s="24">
        <f>IFERROR(saCAGR[[#This Row],[% UD]]+saCAGR[[#This Row],[% DU]],"")</f>
        <v>0.60000000000000009</v>
      </c>
      <c r="AB3" s="24">
        <f>STDEV(saCAGR[[#This Row],[2010]:[2016]])</f>
        <v>3.3523268393901064</v>
      </c>
      <c r="AC3" s="24">
        <f>saCAGR[[#This Row],[Standard Deviation]]^2</f>
        <v>11.23809523809526</v>
      </c>
      <c r="AD3" s="24">
        <f t="shared" ref="AD3:AD33" si="9">C3-D3</f>
        <v>3</v>
      </c>
      <c r="AE3" s="24">
        <f t="shared" si="5"/>
        <v>4</v>
      </c>
      <c r="AF3" s="24">
        <f t="shared" si="6"/>
        <v>-3</v>
      </c>
      <c r="AG3" s="24">
        <f t="shared" si="7"/>
        <v>5</v>
      </c>
      <c r="AH3" s="24">
        <f t="shared" ref="AH3:AH33" si="10">G3-H3</f>
        <v>-6</v>
      </c>
      <c r="AI3" s="24">
        <f t="shared" ref="AI3:AI33" si="11">H3-I3</f>
        <v>23.003458213489079</v>
      </c>
      <c r="AJ3" s="24">
        <f>AVERAGE(saCAGR[[#This Row],[2011 Delta]:[2016 Delta]])</f>
        <v>4.3339097022481798</v>
      </c>
    </row>
    <row r="4" spans="1:36" ht="15">
      <c r="A4" s="16" t="s">
        <v>538</v>
      </c>
      <c r="B4" s="21">
        <v>32</v>
      </c>
      <c r="C4" s="21">
        <v>63</v>
      </c>
      <c r="D4" s="21">
        <v>60</v>
      </c>
      <c r="E4" s="21">
        <v>50</v>
      </c>
      <c r="F4" s="21">
        <v>43</v>
      </c>
      <c r="G4" s="21">
        <v>46</v>
      </c>
      <c r="H4" s="21">
        <v>55</v>
      </c>
      <c r="I4" s="26">
        <f t="array" ref="I4">(H4/INDEX($B4:$H4,1,MATCH(FALSE,ISBLANK(B4:H4),0)))^(1/INDEX($B$2:$H$2,1,MATCH(FALSE,ISBLANK(B4:H4),0)))</f>
        <v>1.016056879994979</v>
      </c>
      <c r="J4" s="22" t="str">
        <f>_xlfn.IFNA(INDEX(saCAGRnameStd[EIW],MATCH(saCAGR[[#This Row],[Company]],saCAGRnameStd[SA CAGR],0)),saCAGR[[#This Row],[Company]])</f>
        <v>Alston &amp; Bird</v>
      </c>
      <c r="K4" s="23" t="str">
        <f t="shared" si="8"/>
        <v>U</v>
      </c>
      <c r="L4" s="23" t="str">
        <f t="shared" si="0"/>
        <v>D</v>
      </c>
      <c r="M4" s="23" t="str">
        <f t="shared" si="1"/>
        <v>D</v>
      </c>
      <c r="N4" s="23" t="str">
        <f t="shared" si="2"/>
        <v>D</v>
      </c>
      <c r="O4" s="23" t="str">
        <f t="shared" si="3"/>
        <v>U</v>
      </c>
      <c r="P4" s="23" t="str">
        <f t="shared" si="4"/>
        <v>U</v>
      </c>
      <c r="Q4" s="24" t="str">
        <f>saCAGR[[#This Row],[2011 ]]&amp;saCAGR[[#This Row],[  2012 ]]</f>
        <v>UD</v>
      </c>
      <c r="R4" s="24" t="str">
        <f>saCAGR[[#This Row],[  2012 ]]&amp;saCAGR[[#This Row],[2013 ]]</f>
        <v>DD</v>
      </c>
      <c r="S4" s="24" t="str">
        <f>saCAGR[[#This Row],[2013 ]]&amp;saCAGR[[#This Row],[2014 ]]</f>
        <v>DD</v>
      </c>
      <c r="T4" s="24" t="str">
        <f>saCAGR[[#This Row],[2014 ]]&amp;saCAGR[[#This Row],[2015 ]]</f>
        <v>DU</v>
      </c>
      <c r="U4" s="24" t="str">
        <f>saCAGR[[#This Row],[2015 ]]&amp;saCAGR[[#This Row],[2016 ]]</f>
        <v>UU</v>
      </c>
      <c r="V4" s="24">
        <f>COUNTIF(saCAGR[[#This Row],[11/12 pair]:[15/16 pair]],"UD")</f>
        <v>1</v>
      </c>
      <c r="W4" s="24">
        <f>COUNTIF(saCAGR[[#This Row],[11/12 pair]:[15/16 pair]],"DU")</f>
        <v>1</v>
      </c>
      <c r="X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" s="24">
        <f>IFERROR(saCAGR[[#This Row],[Count of UD]]/saCAGR[[#This Row],[Total pairs]],"")</f>
        <v>0.2</v>
      </c>
      <c r="Z4" s="24">
        <f>IFERROR(saCAGR[[#This Row],[Count of DU]]/saCAGR[[#This Row],[Total pairs]],"")</f>
        <v>0.2</v>
      </c>
      <c r="AA4" s="24">
        <f>IFERROR(saCAGR[[#This Row],[% UD]]+saCAGR[[#This Row],[% DU]],"")</f>
        <v>0.4</v>
      </c>
      <c r="AB4" s="24">
        <f>STDEV(saCAGR[[#This Row],[2010]:[2016]])</f>
        <v>10.668154658117942</v>
      </c>
      <c r="AC4" s="24">
        <f>saCAGR[[#This Row],[Standard Deviation]]^2</f>
        <v>113.80952380952354</v>
      </c>
      <c r="AD4" s="24">
        <f t="shared" si="9"/>
        <v>3</v>
      </c>
      <c r="AE4" s="24">
        <f t="shared" si="5"/>
        <v>10</v>
      </c>
      <c r="AF4" s="24">
        <f t="shared" si="6"/>
        <v>7</v>
      </c>
      <c r="AG4" s="24">
        <f t="shared" si="7"/>
        <v>-3</v>
      </c>
      <c r="AH4" s="24">
        <f t="shared" si="10"/>
        <v>-9</v>
      </c>
      <c r="AI4" s="24">
        <f t="shared" si="11"/>
        <v>53.983943120005023</v>
      </c>
      <c r="AJ4" s="24">
        <f>AVERAGE(saCAGR[[#This Row],[2011 Delta]:[2016 Delta]])</f>
        <v>10.330657186667503</v>
      </c>
    </row>
    <row r="5" spans="1:36" ht="15">
      <c r="A5" s="16" t="s">
        <v>539</v>
      </c>
      <c r="B5" s="21"/>
      <c r="C5" s="21"/>
      <c r="D5" s="21"/>
      <c r="E5" s="21"/>
      <c r="F5" s="21"/>
      <c r="G5" s="21">
        <v>34</v>
      </c>
      <c r="H5" s="21">
        <v>38</v>
      </c>
      <c r="I5" s="26">
        <f t="array" ref="I5">(H5/INDEX($B5:$H5,1,MATCH(FALSE,ISBLANK(B5:H5),0)))^(1/INDEX($B$2:$H$2,1,MATCH(FALSE,ISBLANK(B5:H5),0)))</f>
        <v>1.0018554798615353</v>
      </c>
      <c r="J5" s="22" t="str">
        <f>_xlfn.IFNA(INDEX(saCAGRnameStd[EIW],MATCH(saCAGR[[#This Row],[Company]],saCAGRnameStd[SA CAGR],0)),saCAGR[[#This Row],[Company]])</f>
        <v>Arnold &amp; Porter</v>
      </c>
      <c r="K5" s="23" t="str">
        <f t="shared" si="8"/>
        <v>-</v>
      </c>
      <c r="L5" s="23" t="str">
        <f t="shared" si="0"/>
        <v>-</v>
      </c>
      <c r="M5" s="23" t="str">
        <f t="shared" si="1"/>
        <v>-</v>
      </c>
      <c r="N5" s="23" t="str">
        <f t="shared" si="2"/>
        <v>-</v>
      </c>
      <c r="O5" s="23" t="str">
        <f t="shared" si="3"/>
        <v>-</v>
      </c>
      <c r="P5" s="23" t="str">
        <f t="shared" si="4"/>
        <v>U</v>
      </c>
      <c r="Q5" s="24" t="str">
        <f>saCAGR[[#This Row],[2011 ]]&amp;saCAGR[[#This Row],[  2012 ]]</f>
        <v>--</v>
      </c>
      <c r="R5" s="24" t="str">
        <f>saCAGR[[#This Row],[  2012 ]]&amp;saCAGR[[#This Row],[2013 ]]</f>
        <v>--</v>
      </c>
      <c r="S5" s="24" t="str">
        <f>saCAGR[[#This Row],[2013 ]]&amp;saCAGR[[#This Row],[2014 ]]</f>
        <v>--</v>
      </c>
      <c r="T5" s="24" t="str">
        <f>saCAGR[[#This Row],[2014 ]]&amp;saCAGR[[#This Row],[2015 ]]</f>
        <v>--</v>
      </c>
      <c r="U5" s="24" t="str">
        <f>saCAGR[[#This Row],[2015 ]]&amp;saCAGR[[#This Row],[2016 ]]</f>
        <v>-U</v>
      </c>
      <c r="V5" s="24">
        <f>COUNTIF(saCAGR[[#This Row],[11/12 pair]:[15/16 pair]],"UD")</f>
        <v>0</v>
      </c>
      <c r="W5" s="24">
        <f>COUNTIF(saCAGR[[#This Row],[11/12 pair]:[15/16 pair]],"DU")</f>
        <v>0</v>
      </c>
      <c r="X5" s="24">
        <f>5-COUNTIF(saCAGR[[#This Row],[11/12 pair]:[15/16 pair]],"--")-COUNTIF(saCAGR[[#This Row],[11/12 pair]:[15/16 pair]],"-U")-COUNTIF(saCAGR[[#This Row],[11/12 pair]:[15/16 pair]],"-S")-COUNTIF(saCAGR[[#This Row],[11/12 pair]:[15/16 pair]],"-D")</f>
        <v>0</v>
      </c>
      <c r="Y5" s="24" t="str">
        <f>IFERROR(saCAGR[[#This Row],[Count of UD]]/saCAGR[[#This Row],[Total pairs]],"")</f>
        <v/>
      </c>
      <c r="Z5" s="24" t="str">
        <f>IFERROR(saCAGR[[#This Row],[Count of DU]]/saCAGR[[#This Row],[Total pairs]],"")</f>
        <v/>
      </c>
      <c r="AA5" s="24" t="str">
        <f>IFERROR(saCAGR[[#This Row],[% UD]]+saCAGR[[#This Row],[% DU]],"")</f>
        <v/>
      </c>
      <c r="AB5" s="24">
        <f>STDEV(saCAGR[[#This Row],[2010]:[2016]])</f>
        <v>2.8284271247461903</v>
      </c>
      <c r="AC5" s="24">
        <f>saCAGR[[#This Row],[Standard Deviation]]^2</f>
        <v>8.0000000000000018</v>
      </c>
      <c r="AD5" s="24">
        <f t="shared" si="9"/>
        <v>0</v>
      </c>
      <c r="AE5" s="24">
        <f t="shared" si="5"/>
        <v>0</v>
      </c>
      <c r="AF5" s="24">
        <f t="shared" si="6"/>
        <v>0</v>
      </c>
      <c r="AG5" s="24">
        <f t="shared" si="7"/>
        <v>-34</v>
      </c>
      <c r="AH5" s="24">
        <f t="shared" si="10"/>
        <v>-4</v>
      </c>
      <c r="AI5" s="24">
        <f t="shared" si="11"/>
        <v>36.998144520138467</v>
      </c>
      <c r="AJ5" s="24">
        <f>AVERAGE(saCAGR[[#This Row],[2011 Delta]:[2016 Delta]])</f>
        <v>-0.16697591331025544</v>
      </c>
    </row>
    <row r="6" spans="1:36" ht="30">
      <c r="A6" s="16" t="s">
        <v>540</v>
      </c>
      <c r="B6" s="21"/>
      <c r="C6" s="21"/>
      <c r="D6" s="21"/>
      <c r="E6" s="21"/>
      <c r="F6" s="21">
        <v>3</v>
      </c>
      <c r="G6" s="21">
        <v>4</v>
      </c>
      <c r="H6" s="21">
        <v>6</v>
      </c>
      <c r="I6" s="26">
        <f t="array" ref="I6">(H6/INDEX($B6:$H6,1,MATCH(FALSE,ISBLANK(B6:H6),0)))^(1/INDEX($B$2:$H$2,1,MATCH(FALSE,ISBLANK(B6:H6),0)))</f>
        <v>1.0129187947249467</v>
      </c>
      <c r="J6" s="22" t="str">
        <f>_xlfn.IFNA(INDEX(saCAGRnameStd[EIW],MATCH(saCAGR[[#This Row],[Company]],saCAGRnameStd[SA CAGR],0)),saCAGR[[#This Row],[Company]])</f>
        <v>Axinn, Veltrop &amp; Harkrider</v>
      </c>
      <c r="K6" s="23" t="str">
        <f t="shared" si="8"/>
        <v>-</v>
      </c>
      <c r="L6" s="23" t="str">
        <f t="shared" si="0"/>
        <v>-</v>
      </c>
      <c r="M6" s="23" t="str">
        <f t="shared" si="1"/>
        <v>-</v>
      </c>
      <c r="N6" s="23" t="str">
        <f t="shared" si="2"/>
        <v>-</v>
      </c>
      <c r="O6" s="23" t="str">
        <f t="shared" si="3"/>
        <v>U</v>
      </c>
      <c r="P6" s="23" t="str">
        <f t="shared" si="4"/>
        <v>U</v>
      </c>
      <c r="Q6" s="24" t="str">
        <f>saCAGR[[#This Row],[2011 ]]&amp;saCAGR[[#This Row],[  2012 ]]</f>
        <v>--</v>
      </c>
      <c r="R6" s="24" t="str">
        <f>saCAGR[[#This Row],[  2012 ]]&amp;saCAGR[[#This Row],[2013 ]]</f>
        <v>--</v>
      </c>
      <c r="S6" s="24" t="str">
        <f>saCAGR[[#This Row],[2013 ]]&amp;saCAGR[[#This Row],[2014 ]]</f>
        <v>--</v>
      </c>
      <c r="T6" s="24" t="str">
        <f>saCAGR[[#This Row],[2014 ]]&amp;saCAGR[[#This Row],[2015 ]]</f>
        <v>-U</v>
      </c>
      <c r="U6" s="24" t="str">
        <f>saCAGR[[#This Row],[2015 ]]&amp;saCAGR[[#This Row],[2016 ]]</f>
        <v>UU</v>
      </c>
      <c r="V6" s="24">
        <f>COUNTIF(saCAGR[[#This Row],[11/12 pair]:[15/16 pair]],"UD")</f>
        <v>0</v>
      </c>
      <c r="W6" s="24">
        <f>COUNTIF(saCAGR[[#This Row],[11/12 pair]:[15/16 pair]],"DU")</f>
        <v>0</v>
      </c>
      <c r="X6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" s="24">
        <f>IFERROR(saCAGR[[#This Row],[Count of UD]]/saCAGR[[#This Row],[Total pairs]],"")</f>
        <v>0</v>
      </c>
      <c r="Z6" s="24">
        <f>IFERROR(saCAGR[[#This Row],[Count of DU]]/saCAGR[[#This Row],[Total pairs]],"")</f>
        <v>0</v>
      </c>
      <c r="AA6" s="24">
        <f>IFERROR(saCAGR[[#This Row],[% UD]]+saCAGR[[#This Row],[% DU]],"")</f>
        <v>0</v>
      </c>
      <c r="AB6" s="24">
        <f>STDEV(saCAGR[[#This Row],[2010]:[2016]])</f>
        <v>1.5275252316519463</v>
      </c>
      <c r="AC6" s="24">
        <f>saCAGR[[#This Row],[Standard Deviation]]^2</f>
        <v>2.3333333333333321</v>
      </c>
      <c r="AD6" s="24">
        <f t="shared" si="9"/>
        <v>0</v>
      </c>
      <c r="AE6" s="24">
        <f t="shared" si="5"/>
        <v>0</v>
      </c>
      <c r="AF6" s="24">
        <f t="shared" si="6"/>
        <v>-3</v>
      </c>
      <c r="AG6" s="24">
        <f t="shared" si="7"/>
        <v>-1</v>
      </c>
      <c r="AH6" s="24">
        <f t="shared" si="10"/>
        <v>-2</v>
      </c>
      <c r="AI6" s="24">
        <f t="shared" si="11"/>
        <v>4.9870812052750537</v>
      </c>
      <c r="AJ6" s="24">
        <f>AVERAGE(saCAGR[[#This Row],[2011 Delta]:[2016 Delta]])</f>
        <v>-0.16881979912082437</v>
      </c>
    </row>
    <row r="7" spans="1:36" ht="15">
      <c r="A7" s="16" t="s">
        <v>168</v>
      </c>
      <c r="B7" s="21">
        <v>25</v>
      </c>
      <c r="C7" s="21">
        <v>26</v>
      </c>
      <c r="D7" s="21">
        <v>31</v>
      </c>
      <c r="E7" s="21">
        <v>28</v>
      </c>
      <c r="F7" s="21">
        <v>34</v>
      </c>
      <c r="G7" s="21">
        <v>37</v>
      </c>
      <c r="H7" s="21">
        <v>45</v>
      </c>
      <c r="I7" s="26">
        <f t="array" ref="I7">(H7/INDEX($B7:$H7,1,MATCH(FALSE,ISBLANK(B7:H7),0)))^(1/INDEX($B$2:$H$2,1,MATCH(FALSE,ISBLANK(B7:H7),0)))</f>
        <v>1.017438142714215</v>
      </c>
      <c r="J7" s="22" t="str">
        <f>_xlfn.IFNA(INDEX(saCAGRnameStd[EIW],MATCH(saCAGR[[#This Row],[Company]],saCAGRnameStd[SA CAGR],0)),saCAGR[[#This Row],[Company]])</f>
        <v>Baker &amp; McKenzie</v>
      </c>
      <c r="K7" s="23" t="str">
        <f t="shared" si="8"/>
        <v>U</v>
      </c>
      <c r="L7" s="23" t="str">
        <f t="shared" si="0"/>
        <v>U</v>
      </c>
      <c r="M7" s="23" t="str">
        <f t="shared" si="1"/>
        <v>D</v>
      </c>
      <c r="N7" s="23" t="str">
        <f t="shared" si="2"/>
        <v>U</v>
      </c>
      <c r="O7" s="23" t="str">
        <f t="shared" si="3"/>
        <v>U</v>
      </c>
      <c r="P7" s="23" t="str">
        <f t="shared" si="4"/>
        <v>U</v>
      </c>
      <c r="Q7" s="24" t="str">
        <f>saCAGR[[#This Row],[2011 ]]&amp;saCAGR[[#This Row],[  2012 ]]</f>
        <v>UU</v>
      </c>
      <c r="R7" s="24" t="str">
        <f>saCAGR[[#This Row],[  2012 ]]&amp;saCAGR[[#This Row],[2013 ]]</f>
        <v>UD</v>
      </c>
      <c r="S7" s="24" t="str">
        <f>saCAGR[[#This Row],[2013 ]]&amp;saCAGR[[#This Row],[2014 ]]</f>
        <v>DU</v>
      </c>
      <c r="T7" s="24" t="str">
        <f>saCAGR[[#This Row],[2014 ]]&amp;saCAGR[[#This Row],[2015 ]]</f>
        <v>UU</v>
      </c>
      <c r="U7" s="24" t="str">
        <f>saCAGR[[#This Row],[2015 ]]&amp;saCAGR[[#This Row],[2016 ]]</f>
        <v>UU</v>
      </c>
      <c r="V7" s="24">
        <f>COUNTIF(saCAGR[[#This Row],[11/12 pair]:[15/16 pair]],"UD")</f>
        <v>1</v>
      </c>
      <c r="W7" s="24">
        <f>COUNTIF(saCAGR[[#This Row],[11/12 pair]:[15/16 pair]],"DU")</f>
        <v>1</v>
      </c>
      <c r="X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" s="24">
        <f>IFERROR(saCAGR[[#This Row],[Count of UD]]/saCAGR[[#This Row],[Total pairs]],"")</f>
        <v>0.2</v>
      </c>
      <c r="Z7" s="24">
        <f>IFERROR(saCAGR[[#This Row],[Count of DU]]/saCAGR[[#This Row],[Total pairs]],"")</f>
        <v>0.2</v>
      </c>
      <c r="AA7" s="24">
        <f>IFERROR(saCAGR[[#This Row],[% UD]]+saCAGR[[#This Row],[% DU]],"")</f>
        <v>0.4</v>
      </c>
      <c r="AB7" s="24">
        <f>STDEV(saCAGR[[#This Row],[2010]:[2016]])</f>
        <v>7.0643302516772195</v>
      </c>
      <c r="AC7" s="24">
        <f>saCAGR[[#This Row],[Standard Deviation]]^2</f>
        <v>49.904761904761926</v>
      </c>
      <c r="AD7" s="24">
        <f t="shared" si="9"/>
        <v>-5</v>
      </c>
      <c r="AE7" s="24">
        <f t="shared" si="5"/>
        <v>3</v>
      </c>
      <c r="AF7" s="24">
        <f t="shared" si="6"/>
        <v>-6</v>
      </c>
      <c r="AG7" s="24">
        <f t="shared" si="7"/>
        <v>-3</v>
      </c>
      <c r="AH7" s="24">
        <f t="shared" si="10"/>
        <v>-8</v>
      </c>
      <c r="AI7" s="24">
        <f t="shared" si="11"/>
        <v>43.982561857285788</v>
      </c>
      <c r="AJ7" s="24">
        <f>AVERAGE(saCAGR[[#This Row],[2011 Delta]:[2016 Delta]])</f>
        <v>4.163760309547631</v>
      </c>
    </row>
    <row r="8" spans="1:36" ht="15">
      <c r="A8" s="16" t="s">
        <v>542</v>
      </c>
      <c r="B8" s="21">
        <v>67</v>
      </c>
      <c r="C8" s="21">
        <v>91</v>
      </c>
      <c r="D8" s="21">
        <v>99</v>
      </c>
      <c r="E8" s="21">
        <v>88</v>
      </c>
      <c r="F8" s="21">
        <v>88</v>
      </c>
      <c r="G8" s="21">
        <v>118</v>
      </c>
      <c r="H8" s="21">
        <v>108</v>
      </c>
      <c r="I8" s="26">
        <f t="array" ref="I8">(H8/INDEX($B8:$H8,1,MATCH(FALSE,ISBLANK(B8:H8),0)))^(1/INDEX($B$2:$H$2,1,MATCH(FALSE,ISBLANK(B8:H8),0)))</f>
        <v>1.0141413683723162</v>
      </c>
      <c r="J8" s="22" t="str">
        <f>_xlfn.IFNA(INDEX(saCAGRnameStd[EIW],MATCH(saCAGR[[#This Row],[Company]],saCAGRnameStd[SA CAGR],0)),saCAGR[[#This Row],[Company]])</f>
        <v>Baker Botts</v>
      </c>
      <c r="K8" s="23" t="str">
        <f t="shared" si="8"/>
        <v>U</v>
      </c>
      <c r="L8" s="23" t="str">
        <f t="shared" si="0"/>
        <v>U</v>
      </c>
      <c r="M8" s="23" t="str">
        <f t="shared" si="1"/>
        <v>D</v>
      </c>
      <c r="N8" s="23" t="str">
        <f t="shared" si="2"/>
        <v>S</v>
      </c>
      <c r="O8" s="23" t="str">
        <f t="shared" si="3"/>
        <v>U</v>
      </c>
      <c r="P8" s="23" t="str">
        <f t="shared" si="4"/>
        <v>D</v>
      </c>
      <c r="Q8" s="24" t="str">
        <f>saCAGR[[#This Row],[2011 ]]&amp;saCAGR[[#This Row],[  2012 ]]</f>
        <v>UU</v>
      </c>
      <c r="R8" s="24" t="str">
        <f>saCAGR[[#This Row],[  2012 ]]&amp;saCAGR[[#This Row],[2013 ]]</f>
        <v>UD</v>
      </c>
      <c r="S8" s="24" t="str">
        <f>saCAGR[[#This Row],[2013 ]]&amp;saCAGR[[#This Row],[2014 ]]</f>
        <v>DS</v>
      </c>
      <c r="T8" s="24" t="str">
        <f>saCAGR[[#This Row],[2014 ]]&amp;saCAGR[[#This Row],[2015 ]]</f>
        <v>SU</v>
      </c>
      <c r="U8" s="24" t="str">
        <f>saCAGR[[#This Row],[2015 ]]&amp;saCAGR[[#This Row],[2016 ]]</f>
        <v>UD</v>
      </c>
      <c r="V8" s="24">
        <f>COUNTIF(saCAGR[[#This Row],[11/12 pair]:[15/16 pair]],"UD")</f>
        <v>2</v>
      </c>
      <c r="W8" s="24">
        <f>COUNTIF(saCAGR[[#This Row],[11/12 pair]:[15/16 pair]],"DU")</f>
        <v>0</v>
      </c>
      <c r="X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" s="24">
        <f>IFERROR(saCAGR[[#This Row],[Count of UD]]/saCAGR[[#This Row],[Total pairs]],"")</f>
        <v>0.4</v>
      </c>
      <c r="Z8" s="24">
        <f>IFERROR(saCAGR[[#This Row],[Count of DU]]/saCAGR[[#This Row],[Total pairs]],"")</f>
        <v>0</v>
      </c>
      <c r="AA8" s="24">
        <f>IFERROR(saCAGR[[#This Row],[% UD]]+saCAGR[[#This Row],[% DU]],"")</f>
        <v>0.4</v>
      </c>
      <c r="AB8" s="24">
        <f>STDEV(saCAGR[[#This Row],[2010]:[2016]])</f>
        <v>16.364886917101632</v>
      </c>
      <c r="AC8" s="24">
        <f>saCAGR[[#This Row],[Standard Deviation]]^2</f>
        <v>267.80952380952414</v>
      </c>
      <c r="AD8" s="24">
        <f t="shared" si="9"/>
        <v>-8</v>
      </c>
      <c r="AE8" s="24">
        <f t="shared" si="5"/>
        <v>11</v>
      </c>
      <c r="AF8" s="24">
        <f t="shared" si="6"/>
        <v>0</v>
      </c>
      <c r="AG8" s="24">
        <f t="shared" si="7"/>
        <v>-30</v>
      </c>
      <c r="AH8" s="24">
        <f t="shared" si="10"/>
        <v>10</v>
      </c>
      <c r="AI8" s="24">
        <f t="shared" si="11"/>
        <v>106.98585863162768</v>
      </c>
      <c r="AJ8" s="24">
        <f>AVERAGE(saCAGR[[#This Row],[2011 Delta]:[2016 Delta]])</f>
        <v>14.99764310527128</v>
      </c>
    </row>
    <row r="9" spans="1:36" ht="15">
      <c r="A9" s="16" t="s">
        <v>544</v>
      </c>
      <c r="B9" s="21">
        <v>52</v>
      </c>
      <c r="C9" s="21">
        <v>40</v>
      </c>
      <c r="D9" s="21">
        <v>46</v>
      </c>
      <c r="E9" s="21">
        <v>61</v>
      </c>
      <c r="F9" s="21">
        <v>49</v>
      </c>
      <c r="G9" s="21">
        <v>49</v>
      </c>
      <c r="H9" s="21">
        <v>37</v>
      </c>
      <c r="I9" s="26">
        <f t="array" ref="I9">(H9/INDEX($B9:$H9,1,MATCH(FALSE,ISBLANK(B9:H9),0)))^(1/INDEX($B$2:$H$2,1,MATCH(FALSE,ISBLANK(B9:H9),0)))</f>
        <v>0.99004034661480111</v>
      </c>
      <c r="J9" s="22" t="str">
        <f>_xlfn.IFNA(INDEX(saCAGRnameStd[EIW],MATCH(saCAGR[[#This Row],[Company]],saCAGRnameStd[SA CAGR],0)),saCAGR[[#This Row],[Company]])</f>
        <v>Bracewell</v>
      </c>
      <c r="K9" s="23" t="str">
        <f t="shared" si="8"/>
        <v>D</v>
      </c>
      <c r="L9" s="23" t="str">
        <f t="shared" si="0"/>
        <v>U</v>
      </c>
      <c r="M9" s="23" t="str">
        <f t="shared" si="1"/>
        <v>U</v>
      </c>
      <c r="N9" s="23" t="str">
        <f t="shared" si="2"/>
        <v>D</v>
      </c>
      <c r="O9" s="23" t="str">
        <f t="shared" si="3"/>
        <v>S</v>
      </c>
      <c r="P9" s="23" t="str">
        <f t="shared" si="4"/>
        <v>D</v>
      </c>
      <c r="Q9" s="24" t="str">
        <f>saCAGR[[#This Row],[2011 ]]&amp;saCAGR[[#This Row],[  2012 ]]</f>
        <v>DU</v>
      </c>
      <c r="R9" s="24" t="str">
        <f>saCAGR[[#This Row],[  2012 ]]&amp;saCAGR[[#This Row],[2013 ]]</f>
        <v>UU</v>
      </c>
      <c r="S9" s="24" t="str">
        <f>saCAGR[[#This Row],[2013 ]]&amp;saCAGR[[#This Row],[2014 ]]</f>
        <v>UD</v>
      </c>
      <c r="T9" s="24" t="str">
        <f>saCAGR[[#This Row],[2014 ]]&amp;saCAGR[[#This Row],[2015 ]]</f>
        <v>DS</v>
      </c>
      <c r="U9" s="24" t="str">
        <f>saCAGR[[#This Row],[2015 ]]&amp;saCAGR[[#This Row],[2016 ]]</f>
        <v>SD</v>
      </c>
      <c r="V9" s="24">
        <f>COUNTIF(saCAGR[[#This Row],[11/12 pair]:[15/16 pair]],"UD")</f>
        <v>1</v>
      </c>
      <c r="W9" s="24">
        <f>COUNTIF(saCAGR[[#This Row],[11/12 pair]:[15/16 pair]],"DU")</f>
        <v>1</v>
      </c>
      <c r="X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" s="24">
        <f>IFERROR(saCAGR[[#This Row],[Count of UD]]/saCAGR[[#This Row],[Total pairs]],"")</f>
        <v>0.2</v>
      </c>
      <c r="Z9" s="24">
        <f>IFERROR(saCAGR[[#This Row],[Count of DU]]/saCAGR[[#This Row],[Total pairs]],"")</f>
        <v>0.2</v>
      </c>
      <c r="AA9" s="24">
        <f>IFERROR(saCAGR[[#This Row],[% UD]]+saCAGR[[#This Row],[% DU]],"")</f>
        <v>0.4</v>
      </c>
      <c r="AB9" s="24">
        <f>STDEV(saCAGR[[#This Row],[2010]:[2016]])</f>
        <v>7.910210399946922</v>
      </c>
      <c r="AC9" s="24">
        <f>saCAGR[[#This Row],[Standard Deviation]]^2</f>
        <v>62.571428571428442</v>
      </c>
      <c r="AD9" s="24">
        <f t="shared" si="9"/>
        <v>-6</v>
      </c>
      <c r="AE9" s="24">
        <f t="shared" si="5"/>
        <v>-15</v>
      </c>
      <c r="AF9" s="24">
        <f t="shared" si="6"/>
        <v>12</v>
      </c>
      <c r="AG9" s="24">
        <f t="shared" si="7"/>
        <v>0</v>
      </c>
      <c r="AH9" s="24">
        <f t="shared" si="10"/>
        <v>12</v>
      </c>
      <c r="AI9" s="24">
        <f t="shared" si="11"/>
        <v>36.009959653385202</v>
      </c>
      <c r="AJ9" s="24">
        <f>AVERAGE(saCAGR[[#This Row],[2011 Delta]:[2016 Delta]])</f>
        <v>6.5016599422308667</v>
      </c>
    </row>
    <row r="10" spans="1:36" ht="15">
      <c r="A10" s="16" t="s">
        <v>545</v>
      </c>
      <c r="B10" s="21">
        <v>20</v>
      </c>
      <c r="C10" s="21">
        <v>22</v>
      </c>
      <c r="D10" s="21">
        <v>22</v>
      </c>
      <c r="E10" s="21">
        <v>20</v>
      </c>
      <c r="F10" s="21">
        <v>16</v>
      </c>
      <c r="G10" s="21">
        <v>14</v>
      </c>
      <c r="H10" s="21">
        <v>9</v>
      </c>
      <c r="I10" s="26">
        <f t="array" ref="I10">(H10/INDEX($B10:$H10,1,MATCH(FALSE,ISBLANK(B10:H10),0)))^(1/INDEX($B$2:$H$2,1,MATCH(FALSE,ISBLANK(B10:H10),0)))</f>
        <v>0.97678811799247645</v>
      </c>
      <c r="J10" s="22" t="str">
        <f>_xlfn.IFNA(INDEX(saCAGRnameStd[EIW],MATCH(saCAGR[[#This Row],[Company]],saCAGRnameStd[SA CAGR],0)),saCAGR[[#This Row],[Company]])</f>
        <v>Brown Rudnick</v>
      </c>
      <c r="K10" s="23" t="str">
        <f t="shared" si="8"/>
        <v>U</v>
      </c>
      <c r="L10" s="23" t="str">
        <f t="shared" si="0"/>
        <v>S</v>
      </c>
      <c r="M10" s="23" t="str">
        <f t="shared" si="1"/>
        <v>D</v>
      </c>
      <c r="N10" s="23" t="str">
        <f t="shared" si="2"/>
        <v>D</v>
      </c>
      <c r="O10" s="23" t="str">
        <f t="shared" si="3"/>
        <v>D</v>
      </c>
      <c r="P10" s="23" t="str">
        <f t="shared" si="4"/>
        <v>D</v>
      </c>
      <c r="Q10" s="24" t="str">
        <f>saCAGR[[#This Row],[2011 ]]&amp;saCAGR[[#This Row],[  2012 ]]</f>
        <v>US</v>
      </c>
      <c r="R10" s="24" t="str">
        <f>saCAGR[[#This Row],[  2012 ]]&amp;saCAGR[[#This Row],[2013 ]]</f>
        <v>SD</v>
      </c>
      <c r="S10" s="24" t="str">
        <f>saCAGR[[#This Row],[2013 ]]&amp;saCAGR[[#This Row],[2014 ]]</f>
        <v>DD</v>
      </c>
      <c r="T10" s="24" t="str">
        <f>saCAGR[[#This Row],[2014 ]]&amp;saCAGR[[#This Row],[2015 ]]</f>
        <v>DD</v>
      </c>
      <c r="U10" s="24" t="str">
        <f>saCAGR[[#This Row],[2015 ]]&amp;saCAGR[[#This Row],[2016 ]]</f>
        <v>DD</v>
      </c>
      <c r="V10" s="24">
        <f>COUNTIF(saCAGR[[#This Row],[11/12 pair]:[15/16 pair]],"UD")</f>
        <v>0</v>
      </c>
      <c r="W10" s="24">
        <f>COUNTIF(saCAGR[[#This Row],[11/12 pair]:[15/16 pair]],"DU")</f>
        <v>0</v>
      </c>
      <c r="X1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0" s="24">
        <f>IFERROR(saCAGR[[#This Row],[Count of UD]]/saCAGR[[#This Row],[Total pairs]],"")</f>
        <v>0</v>
      </c>
      <c r="Z10" s="24">
        <f>IFERROR(saCAGR[[#This Row],[Count of DU]]/saCAGR[[#This Row],[Total pairs]],"")</f>
        <v>0</v>
      </c>
      <c r="AA10" s="24">
        <f>IFERROR(saCAGR[[#This Row],[% UD]]+saCAGR[[#This Row],[% DU]],"")</f>
        <v>0</v>
      </c>
      <c r="AB10" s="24">
        <f>STDEV(saCAGR[[#This Row],[2010]:[2016]])</f>
        <v>4.8255273583012972</v>
      </c>
      <c r="AC10" s="24">
        <f>saCAGR[[#This Row],[Standard Deviation]]^2</f>
        <v>23.285714285714295</v>
      </c>
      <c r="AD10" s="24">
        <f t="shared" si="9"/>
        <v>0</v>
      </c>
      <c r="AE10" s="24">
        <f t="shared" si="5"/>
        <v>2</v>
      </c>
      <c r="AF10" s="24">
        <f t="shared" si="6"/>
        <v>4</v>
      </c>
      <c r="AG10" s="24">
        <f t="shared" si="7"/>
        <v>2</v>
      </c>
      <c r="AH10" s="24">
        <f t="shared" si="10"/>
        <v>5</v>
      </c>
      <c r="AI10" s="24">
        <f t="shared" si="11"/>
        <v>8.0232118820075229</v>
      </c>
      <c r="AJ10" s="24">
        <f>AVERAGE(saCAGR[[#This Row],[2011 Delta]:[2016 Delta]])</f>
        <v>3.5038686470012537</v>
      </c>
    </row>
    <row r="11" spans="1:36" ht="30">
      <c r="A11" s="16" t="s">
        <v>632</v>
      </c>
      <c r="B11" s="21">
        <v>32</v>
      </c>
      <c r="C11" s="21">
        <v>35</v>
      </c>
      <c r="D11" s="21">
        <v>40</v>
      </c>
      <c r="E11" s="21">
        <v>38</v>
      </c>
      <c r="F11" s="21">
        <v>44</v>
      </c>
      <c r="G11" s="21">
        <v>44</v>
      </c>
      <c r="H11" s="21">
        <v>50</v>
      </c>
      <c r="I11" s="26">
        <f t="array" ref="I11">(H11/INDEX($B11:$H11,1,MATCH(FALSE,ISBLANK(B11:H11),0)))^(1/INDEX($B$2:$H$2,1,MATCH(FALSE,ISBLANK(B11:H11),0)))</f>
        <v>1.0132126165547759</v>
      </c>
      <c r="J11" s="22" t="str">
        <f>_xlfn.IFNA(INDEX(saCAGRnameStd[EIW],MATCH(saCAGR[[#This Row],[Company]],saCAGRnameStd[SA CAGR],0)),saCAGR[[#This Row],[Company]])</f>
        <v>Cadwalader Wickersham &amp; Taft</v>
      </c>
      <c r="K11" s="23" t="str">
        <f t="shared" si="8"/>
        <v>U</v>
      </c>
      <c r="L11" s="23" t="str">
        <f t="shared" si="0"/>
        <v>U</v>
      </c>
      <c r="M11" s="23" t="str">
        <f t="shared" si="1"/>
        <v>D</v>
      </c>
      <c r="N11" s="23" t="str">
        <f t="shared" si="2"/>
        <v>U</v>
      </c>
      <c r="O11" s="23" t="str">
        <f t="shared" si="3"/>
        <v>S</v>
      </c>
      <c r="P11" s="23" t="str">
        <f t="shared" si="4"/>
        <v>U</v>
      </c>
      <c r="Q11" s="24" t="str">
        <f>saCAGR[[#This Row],[2011 ]]&amp;saCAGR[[#This Row],[  2012 ]]</f>
        <v>UU</v>
      </c>
      <c r="R11" s="24" t="str">
        <f>saCAGR[[#This Row],[  2012 ]]&amp;saCAGR[[#This Row],[2013 ]]</f>
        <v>UD</v>
      </c>
      <c r="S11" s="24" t="str">
        <f>saCAGR[[#This Row],[2013 ]]&amp;saCAGR[[#This Row],[2014 ]]</f>
        <v>DU</v>
      </c>
      <c r="T11" s="24" t="str">
        <f>saCAGR[[#This Row],[2014 ]]&amp;saCAGR[[#This Row],[2015 ]]</f>
        <v>US</v>
      </c>
      <c r="U11" s="24" t="str">
        <f>saCAGR[[#This Row],[2015 ]]&amp;saCAGR[[#This Row],[2016 ]]</f>
        <v>SU</v>
      </c>
      <c r="V11" s="24">
        <f>COUNTIF(saCAGR[[#This Row],[11/12 pair]:[15/16 pair]],"UD")</f>
        <v>1</v>
      </c>
      <c r="W11" s="24">
        <f>COUNTIF(saCAGR[[#This Row],[11/12 pair]:[15/16 pair]],"DU")</f>
        <v>1</v>
      </c>
      <c r="X1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1" s="24">
        <f>IFERROR(saCAGR[[#This Row],[Count of UD]]/saCAGR[[#This Row],[Total pairs]],"")</f>
        <v>0.2</v>
      </c>
      <c r="Z11" s="24">
        <f>IFERROR(saCAGR[[#This Row],[Count of DU]]/saCAGR[[#This Row],[Total pairs]],"")</f>
        <v>0.2</v>
      </c>
      <c r="AA11" s="24">
        <f>IFERROR(saCAGR[[#This Row],[% UD]]+saCAGR[[#This Row],[% DU]],"")</f>
        <v>0.4</v>
      </c>
      <c r="AB11" s="24">
        <f>STDEV(saCAGR[[#This Row],[2010]:[2016]])</f>
        <v>6.1062029351892955</v>
      </c>
      <c r="AC11" s="24">
        <f>saCAGR[[#This Row],[Standard Deviation]]^2</f>
        <v>37.28571428571437</v>
      </c>
      <c r="AD11" s="24">
        <f t="shared" si="9"/>
        <v>-5</v>
      </c>
      <c r="AE11" s="24">
        <f t="shared" si="5"/>
        <v>2</v>
      </c>
      <c r="AF11" s="24">
        <f t="shared" si="6"/>
        <v>-6</v>
      </c>
      <c r="AG11" s="24">
        <f t="shared" si="7"/>
        <v>0</v>
      </c>
      <c r="AH11" s="24">
        <f t="shared" si="10"/>
        <v>-6</v>
      </c>
      <c r="AI11" s="24">
        <f t="shared" si="11"/>
        <v>48.986787383445225</v>
      </c>
      <c r="AJ11" s="24">
        <f>AVERAGE(saCAGR[[#This Row],[2011 Delta]:[2016 Delta]])</f>
        <v>5.6644645639075373</v>
      </c>
    </row>
    <row r="12" spans="1:36" ht="30">
      <c r="A12" s="16" t="s">
        <v>547</v>
      </c>
      <c r="B12" s="21">
        <v>16</v>
      </c>
      <c r="C12" s="21">
        <v>37</v>
      </c>
      <c r="D12" s="21">
        <v>41</v>
      </c>
      <c r="E12" s="21">
        <v>51</v>
      </c>
      <c r="F12" s="21">
        <v>40</v>
      </c>
      <c r="G12" s="21">
        <v>36</v>
      </c>
      <c r="H12" s="21">
        <v>38</v>
      </c>
      <c r="I12" s="26">
        <f t="array" ref="I12">(H12/INDEX($B12:$H12,1,MATCH(FALSE,ISBLANK(B12:H12),0)))^(1/INDEX($B$2:$H$2,1,MATCH(FALSE,ISBLANK(B12:H12),0)))</f>
        <v>1.0257674879170935</v>
      </c>
      <c r="J12" s="22" t="str">
        <f>_xlfn.IFNA(INDEX(saCAGRnameStd[EIW],MATCH(saCAGR[[#This Row],[Company]],saCAGRnameStd[SA CAGR],0)),saCAGR[[#This Row],[Company]])</f>
        <v>Cahill Gordon &amp; Reindel</v>
      </c>
      <c r="K12" s="23" t="str">
        <f t="shared" si="8"/>
        <v>U</v>
      </c>
      <c r="L12" s="23" t="str">
        <f t="shared" si="0"/>
        <v>U</v>
      </c>
      <c r="M12" s="23" t="str">
        <f t="shared" si="1"/>
        <v>U</v>
      </c>
      <c r="N12" s="23" t="str">
        <f t="shared" si="2"/>
        <v>D</v>
      </c>
      <c r="O12" s="23" t="str">
        <f t="shared" si="3"/>
        <v>D</v>
      </c>
      <c r="P12" s="23" t="str">
        <f t="shared" si="4"/>
        <v>U</v>
      </c>
      <c r="Q12" s="24" t="str">
        <f>saCAGR[[#This Row],[2011 ]]&amp;saCAGR[[#This Row],[  2012 ]]</f>
        <v>UU</v>
      </c>
      <c r="R12" s="24" t="str">
        <f>saCAGR[[#This Row],[  2012 ]]&amp;saCAGR[[#This Row],[2013 ]]</f>
        <v>UU</v>
      </c>
      <c r="S12" s="24" t="str">
        <f>saCAGR[[#This Row],[2013 ]]&amp;saCAGR[[#This Row],[2014 ]]</f>
        <v>UD</v>
      </c>
      <c r="T12" s="24" t="str">
        <f>saCAGR[[#This Row],[2014 ]]&amp;saCAGR[[#This Row],[2015 ]]</f>
        <v>DD</v>
      </c>
      <c r="U12" s="24" t="str">
        <f>saCAGR[[#This Row],[2015 ]]&amp;saCAGR[[#This Row],[2016 ]]</f>
        <v>DU</v>
      </c>
      <c r="V12" s="24">
        <f>COUNTIF(saCAGR[[#This Row],[11/12 pair]:[15/16 pair]],"UD")</f>
        <v>1</v>
      </c>
      <c r="W12" s="24">
        <f>COUNTIF(saCAGR[[#This Row],[11/12 pair]:[15/16 pair]],"DU")</f>
        <v>1</v>
      </c>
      <c r="X1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2" s="24">
        <f>IFERROR(saCAGR[[#This Row],[Count of UD]]/saCAGR[[#This Row],[Total pairs]],"")</f>
        <v>0.2</v>
      </c>
      <c r="Z12" s="24">
        <f>IFERROR(saCAGR[[#This Row],[Count of DU]]/saCAGR[[#This Row],[Total pairs]],"")</f>
        <v>0.2</v>
      </c>
      <c r="AA12" s="24">
        <f>IFERROR(saCAGR[[#This Row],[% UD]]+saCAGR[[#This Row],[% DU]],"")</f>
        <v>0.4</v>
      </c>
      <c r="AB12" s="24">
        <f>STDEV(saCAGR[[#This Row],[2010]:[2016]])</f>
        <v>10.519822558706334</v>
      </c>
      <c r="AC12" s="24">
        <f>saCAGR[[#This Row],[Standard Deviation]]^2</f>
        <v>110.66666666666669</v>
      </c>
      <c r="AD12" s="24">
        <f t="shared" si="9"/>
        <v>-4</v>
      </c>
      <c r="AE12" s="24">
        <f t="shared" si="5"/>
        <v>-10</v>
      </c>
      <c r="AF12" s="24">
        <f t="shared" si="6"/>
        <v>11</v>
      </c>
      <c r="AG12" s="24">
        <f t="shared" si="7"/>
        <v>4</v>
      </c>
      <c r="AH12" s="24">
        <f t="shared" si="10"/>
        <v>-2</v>
      </c>
      <c r="AI12" s="24">
        <f t="shared" si="11"/>
        <v>36.974232512082907</v>
      </c>
      <c r="AJ12" s="24">
        <f>AVERAGE(saCAGR[[#This Row],[2011 Delta]:[2016 Delta]])</f>
        <v>5.9957054186804841</v>
      </c>
    </row>
    <row r="13" spans="1:36" ht="15">
      <c r="A13" s="16" t="s">
        <v>548</v>
      </c>
      <c r="B13" s="21">
        <v>20</v>
      </c>
      <c r="C13" s="21">
        <v>19</v>
      </c>
      <c r="D13" s="21">
        <v>22</v>
      </c>
      <c r="E13" s="21">
        <v>18</v>
      </c>
      <c r="F13" s="21">
        <v>11</v>
      </c>
      <c r="G13" s="21">
        <v>13</v>
      </c>
      <c r="H13" s="21">
        <v>16</v>
      </c>
      <c r="I13" s="26">
        <f t="array" ref="I13">(H13/INDEX($B13:$H13,1,MATCH(FALSE,ISBLANK(B13:H13),0)))^(1/INDEX($B$2:$H$2,1,MATCH(FALSE,ISBLANK(B13:H13),0)))</f>
        <v>0.99345844411863404</v>
      </c>
      <c r="J13" s="22" t="str">
        <f>_xlfn.IFNA(INDEX(saCAGRnameStd[EIW],MATCH(saCAGR[[#This Row],[Company]],saCAGRnameStd[SA CAGR],0)),saCAGR[[#This Row],[Company]])</f>
        <v>Chadbourne &amp; Parke</v>
      </c>
      <c r="K13" s="23" t="str">
        <f t="shared" si="8"/>
        <v>D</v>
      </c>
      <c r="L13" s="23" t="str">
        <f t="shared" si="0"/>
        <v>U</v>
      </c>
      <c r="M13" s="23" t="str">
        <f t="shared" si="1"/>
        <v>D</v>
      </c>
      <c r="N13" s="23" t="str">
        <f t="shared" si="2"/>
        <v>D</v>
      </c>
      <c r="O13" s="23" t="str">
        <f t="shared" si="3"/>
        <v>U</v>
      </c>
      <c r="P13" s="23" t="str">
        <f t="shared" si="4"/>
        <v>U</v>
      </c>
      <c r="Q13" s="24" t="str">
        <f>saCAGR[[#This Row],[2011 ]]&amp;saCAGR[[#This Row],[  2012 ]]</f>
        <v>DU</v>
      </c>
      <c r="R13" s="24" t="str">
        <f>saCAGR[[#This Row],[  2012 ]]&amp;saCAGR[[#This Row],[2013 ]]</f>
        <v>UD</v>
      </c>
      <c r="S13" s="24" t="str">
        <f>saCAGR[[#This Row],[2013 ]]&amp;saCAGR[[#This Row],[2014 ]]</f>
        <v>DD</v>
      </c>
      <c r="T13" s="24" t="str">
        <f>saCAGR[[#This Row],[2014 ]]&amp;saCAGR[[#This Row],[2015 ]]</f>
        <v>DU</v>
      </c>
      <c r="U13" s="24" t="str">
        <f>saCAGR[[#This Row],[2015 ]]&amp;saCAGR[[#This Row],[2016 ]]</f>
        <v>UU</v>
      </c>
      <c r="V13" s="24">
        <f>COUNTIF(saCAGR[[#This Row],[11/12 pair]:[15/16 pair]],"UD")</f>
        <v>1</v>
      </c>
      <c r="W13" s="24">
        <f>COUNTIF(saCAGR[[#This Row],[11/12 pair]:[15/16 pair]],"DU")</f>
        <v>2</v>
      </c>
      <c r="X1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3" s="24">
        <f>IFERROR(saCAGR[[#This Row],[Count of UD]]/saCAGR[[#This Row],[Total pairs]],"")</f>
        <v>0.2</v>
      </c>
      <c r="Z13" s="24">
        <f>IFERROR(saCAGR[[#This Row],[Count of DU]]/saCAGR[[#This Row],[Total pairs]],"")</f>
        <v>0.4</v>
      </c>
      <c r="AA13" s="24">
        <f>IFERROR(saCAGR[[#This Row],[% UD]]+saCAGR[[#This Row],[% DU]],"")</f>
        <v>0.60000000000000009</v>
      </c>
      <c r="AB13" s="24">
        <f>STDEV(saCAGR[[#This Row],[2010]:[2016]])</f>
        <v>3.9157800414902435</v>
      </c>
      <c r="AC13" s="24">
        <f>saCAGR[[#This Row],[Standard Deviation]]^2</f>
        <v>15.333333333333334</v>
      </c>
      <c r="AD13" s="24">
        <f t="shared" si="9"/>
        <v>-3</v>
      </c>
      <c r="AE13" s="24">
        <f t="shared" si="5"/>
        <v>4</v>
      </c>
      <c r="AF13" s="24">
        <f t="shared" si="6"/>
        <v>7</v>
      </c>
      <c r="AG13" s="24">
        <f t="shared" si="7"/>
        <v>-2</v>
      </c>
      <c r="AH13" s="24">
        <f t="shared" si="10"/>
        <v>-3</v>
      </c>
      <c r="AI13" s="24">
        <f t="shared" si="11"/>
        <v>15.006541555881366</v>
      </c>
      <c r="AJ13" s="24">
        <f>AVERAGE(saCAGR[[#This Row],[2011 Delta]:[2016 Delta]])</f>
        <v>3.0010902593135609</v>
      </c>
    </row>
    <row r="14" spans="1:36" ht="15">
      <c r="A14" s="16" t="s">
        <v>549</v>
      </c>
      <c r="B14" s="21"/>
      <c r="C14" s="21">
        <v>11</v>
      </c>
      <c r="D14" s="21">
        <v>15</v>
      </c>
      <c r="E14" s="21">
        <v>11</v>
      </c>
      <c r="F14" s="21">
        <v>14</v>
      </c>
      <c r="G14" s="21">
        <v>15</v>
      </c>
      <c r="H14" s="21">
        <v>17</v>
      </c>
      <c r="I14" s="26">
        <f t="array" ref="I14">(H14/INDEX($B14:$H14,1,MATCH(FALSE,ISBLANK(B14:H14),0)))^(1/INDEX($B$2:$H$2,1,MATCH(FALSE,ISBLANK(B14:H14),0)))</f>
        <v>1.0070459660448159</v>
      </c>
      <c r="J14" s="22" t="str">
        <f>_xlfn.IFNA(INDEX(saCAGRnameStd[EIW],MATCH(saCAGR[[#This Row],[Company]],saCAGRnameStd[SA CAGR],0)),saCAGR[[#This Row],[Company]])</f>
        <v>Choate Hall &amp; Stewart</v>
      </c>
      <c r="K14" s="23" t="str">
        <f t="shared" si="8"/>
        <v>-</v>
      </c>
      <c r="L14" s="23" t="str">
        <f t="shared" si="0"/>
        <v>U</v>
      </c>
      <c r="M14" s="23" t="str">
        <f t="shared" si="1"/>
        <v>D</v>
      </c>
      <c r="N14" s="23" t="str">
        <f t="shared" si="2"/>
        <v>U</v>
      </c>
      <c r="O14" s="23" t="str">
        <f t="shared" si="3"/>
        <v>U</v>
      </c>
      <c r="P14" s="23" t="str">
        <f t="shared" si="4"/>
        <v>U</v>
      </c>
      <c r="Q14" s="24" t="str">
        <f>saCAGR[[#This Row],[2011 ]]&amp;saCAGR[[#This Row],[  2012 ]]</f>
        <v>-U</v>
      </c>
      <c r="R14" s="24" t="str">
        <f>saCAGR[[#This Row],[  2012 ]]&amp;saCAGR[[#This Row],[2013 ]]</f>
        <v>UD</v>
      </c>
      <c r="S14" s="24" t="str">
        <f>saCAGR[[#This Row],[2013 ]]&amp;saCAGR[[#This Row],[2014 ]]</f>
        <v>DU</v>
      </c>
      <c r="T14" s="24" t="str">
        <f>saCAGR[[#This Row],[2014 ]]&amp;saCAGR[[#This Row],[2015 ]]</f>
        <v>UU</v>
      </c>
      <c r="U14" s="24" t="str">
        <f>saCAGR[[#This Row],[2015 ]]&amp;saCAGR[[#This Row],[2016 ]]</f>
        <v>UU</v>
      </c>
      <c r="V14" s="24">
        <f>COUNTIF(saCAGR[[#This Row],[11/12 pair]:[15/16 pair]],"UD")</f>
        <v>1</v>
      </c>
      <c r="W14" s="24">
        <f>COUNTIF(saCAGR[[#This Row],[11/12 pair]:[15/16 pair]],"DU")</f>
        <v>1</v>
      </c>
      <c r="X14" s="24">
        <f>5-COUNTIF(saCAGR[[#This Row],[11/12 pair]:[15/16 pair]],"--")-COUNTIF(saCAGR[[#This Row],[11/12 pair]:[15/16 pair]],"-U")-COUNTIF(saCAGR[[#This Row],[11/12 pair]:[15/16 pair]],"-S")-COUNTIF(saCAGR[[#This Row],[11/12 pair]:[15/16 pair]],"-D")</f>
        <v>4</v>
      </c>
      <c r="Y14" s="24">
        <f>IFERROR(saCAGR[[#This Row],[Count of UD]]/saCAGR[[#This Row],[Total pairs]],"")</f>
        <v>0.25</v>
      </c>
      <c r="Z14" s="24">
        <f>IFERROR(saCAGR[[#This Row],[Count of DU]]/saCAGR[[#This Row],[Total pairs]],"")</f>
        <v>0.25</v>
      </c>
      <c r="AA14" s="24">
        <f>IFERROR(saCAGR[[#This Row],[% UD]]+saCAGR[[#This Row],[% DU]],"")</f>
        <v>0.5</v>
      </c>
      <c r="AB14" s="24">
        <f>STDEV(saCAGR[[#This Row],[2010]:[2016]])</f>
        <v>2.4013884872437137</v>
      </c>
      <c r="AC14" s="24">
        <f>saCAGR[[#This Row],[Standard Deviation]]^2</f>
        <v>5.7666666666666515</v>
      </c>
      <c r="AD14" s="24">
        <f t="shared" si="9"/>
        <v>-4</v>
      </c>
      <c r="AE14" s="24">
        <f t="shared" si="5"/>
        <v>4</v>
      </c>
      <c r="AF14" s="24">
        <f t="shared" si="6"/>
        <v>-3</v>
      </c>
      <c r="AG14" s="24">
        <f t="shared" si="7"/>
        <v>-1</v>
      </c>
      <c r="AH14" s="24">
        <f t="shared" si="10"/>
        <v>-2</v>
      </c>
      <c r="AI14" s="24">
        <f t="shared" si="11"/>
        <v>15.992954033955185</v>
      </c>
      <c r="AJ14" s="24">
        <f>AVERAGE(saCAGR[[#This Row],[2011 Delta]:[2016 Delta]])</f>
        <v>1.6654923389925307</v>
      </c>
    </row>
    <row r="15" spans="1:36" ht="30">
      <c r="A15" s="16" t="s">
        <v>550</v>
      </c>
      <c r="B15" s="21">
        <v>89</v>
      </c>
      <c r="C15" s="21">
        <v>112</v>
      </c>
      <c r="D15" s="21">
        <v>145</v>
      </c>
      <c r="E15" s="21">
        <v>126</v>
      </c>
      <c r="F15" s="21">
        <v>99</v>
      </c>
      <c r="G15" s="21">
        <v>124</v>
      </c>
      <c r="H15" s="21">
        <v>102</v>
      </c>
      <c r="I15" s="26">
        <f t="array" ref="I15">(H15/INDEX($B15:$H15,1,MATCH(FALSE,ISBLANK(B15:H15),0)))^(1/INDEX($B$2:$H$2,1,MATCH(FALSE,ISBLANK(B15:H15),0)))</f>
        <v>1.004017945785953</v>
      </c>
      <c r="J15" s="22" t="str">
        <f>_xlfn.IFNA(INDEX(saCAGRnameStd[EIW],MATCH(saCAGR[[#This Row],[Company]],saCAGRnameStd[SA CAGR],0)),saCAGR[[#This Row],[Company]])</f>
        <v>Cleary Gottlieb Steen &amp; Hamilton</v>
      </c>
      <c r="K15" s="23" t="str">
        <f t="shared" si="8"/>
        <v>U</v>
      </c>
      <c r="L15" s="23" t="str">
        <f t="shared" si="0"/>
        <v>U</v>
      </c>
      <c r="M15" s="23" t="str">
        <f t="shared" si="1"/>
        <v>D</v>
      </c>
      <c r="N15" s="23" t="str">
        <f t="shared" si="2"/>
        <v>D</v>
      </c>
      <c r="O15" s="23" t="str">
        <f t="shared" si="3"/>
        <v>U</v>
      </c>
      <c r="P15" s="23" t="str">
        <f t="shared" si="4"/>
        <v>D</v>
      </c>
      <c r="Q15" s="24" t="str">
        <f>saCAGR[[#This Row],[2011 ]]&amp;saCAGR[[#This Row],[  2012 ]]</f>
        <v>UU</v>
      </c>
      <c r="R15" s="24" t="str">
        <f>saCAGR[[#This Row],[  2012 ]]&amp;saCAGR[[#This Row],[2013 ]]</f>
        <v>UD</v>
      </c>
      <c r="S15" s="24" t="str">
        <f>saCAGR[[#This Row],[2013 ]]&amp;saCAGR[[#This Row],[2014 ]]</f>
        <v>DD</v>
      </c>
      <c r="T15" s="24" t="str">
        <f>saCAGR[[#This Row],[2014 ]]&amp;saCAGR[[#This Row],[2015 ]]</f>
        <v>DU</v>
      </c>
      <c r="U15" s="24" t="str">
        <f>saCAGR[[#This Row],[2015 ]]&amp;saCAGR[[#This Row],[2016 ]]</f>
        <v>UD</v>
      </c>
      <c r="V15" s="24">
        <f>COUNTIF(saCAGR[[#This Row],[11/12 pair]:[15/16 pair]],"UD")</f>
        <v>2</v>
      </c>
      <c r="W15" s="24">
        <f>COUNTIF(saCAGR[[#This Row],[11/12 pair]:[15/16 pair]],"DU")</f>
        <v>1</v>
      </c>
      <c r="X1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5" s="24">
        <f>IFERROR(saCAGR[[#This Row],[Count of UD]]/saCAGR[[#This Row],[Total pairs]],"")</f>
        <v>0.4</v>
      </c>
      <c r="Z15" s="24">
        <f>IFERROR(saCAGR[[#This Row],[Count of DU]]/saCAGR[[#This Row],[Total pairs]],"")</f>
        <v>0.2</v>
      </c>
      <c r="AA15" s="24">
        <f>IFERROR(saCAGR[[#This Row],[% UD]]+saCAGR[[#This Row],[% DU]],"")</f>
        <v>0.60000000000000009</v>
      </c>
      <c r="AB15" s="24">
        <f>STDEV(saCAGR[[#This Row],[2010]:[2016]])</f>
        <v>19.160972238977266</v>
      </c>
      <c r="AC15" s="24">
        <f>saCAGR[[#This Row],[Standard Deviation]]^2</f>
        <v>367.14285714285745</v>
      </c>
      <c r="AD15" s="24">
        <f t="shared" si="9"/>
        <v>-33</v>
      </c>
      <c r="AE15" s="24">
        <f t="shared" si="5"/>
        <v>19</v>
      </c>
      <c r="AF15" s="24">
        <f t="shared" si="6"/>
        <v>27</v>
      </c>
      <c r="AG15" s="24">
        <f t="shared" si="7"/>
        <v>-25</v>
      </c>
      <c r="AH15" s="24">
        <f t="shared" si="10"/>
        <v>22</v>
      </c>
      <c r="AI15" s="24">
        <f t="shared" si="11"/>
        <v>100.99598205421405</v>
      </c>
      <c r="AJ15" s="24">
        <f>AVERAGE(saCAGR[[#This Row],[2011 Delta]:[2016 Delta]])</f>
        <v>18.49933034236901</v>
      </c>
    </row>
    <row r="16" spans="1:36" ht="15">
      <c r="A16" s="16" t="s">
        <v>635</v>
      </c>
      <c r="B16" s="21">
        <v>9</v>
      </c>
      <c r="C16" s="21">
        <v>25</v>
      </c>
      <c r="D16" s="21">
        <v>23</v>
      </c>
      <c r="E16" s="21">
        <v>24</v>
      </c>
      <c r="F16" s="21">
        <v>24</v>
      </c>
      <c r="G16" s="21">
        <v>27</v>
      </c>
      <c r="H16" s="21">
        <v>24</v>
      </c>
      <c r="I16" s="26">
        <f t="array" ref="I16">(H16/INDEX($B16:$H16,1,MATCH(FALSE,ISBLANK(B16:H16),0)))^(1/INDEX($B$2:$H$2,1,MATCH(FALSE,ISBLANK(B16:H16),0)))</f>
        <v>1.0292680506696286</v>
      </c>
      <c r="J16" s="22" t="str">
        <f>_xlfn.IFNA(INDEX(saCAGRnameStd[EIW],MATCH(saCAGR[[#This Row],[Company]],saCAGRnameStd[SA CAGR],0)),saCAGR[[#This Row],[Company]])</f>
        <v>Clifford Chance</v>
      </c>
      <c r="K16" s="23" t="str">
        <f t="shared" si="8"/>
        <v>U</v>
      </c>
      <c r="L16" s="23" t="str">
        <f t="shared" si="0"/>
        <v>D</v>
      </c>
      <c r="M16" s="23" t="str">
        <f t="shared" si="1"/>
        <v>U</v>
      </c>
      <c r="N16" s="23" t="str">
        <f t="shared" si="2"/>
        <v>S</v>
      </c>
      <c r="O16" s="23" t="str">
        <f t="shared" si="3"/>
        <v>U</v>
      </c>
      <c r="P16" s="23" t="str">
        <f t="shared" si="4"/>
        <v>D</v>
      </c>
      <c r="Q16" s="24" t="str">
        <f>saCAGR[[#This Row],[2011 ]]&amp;saCAGR[[#This Row],[  2012 ]]</f>
        <v>UD</v>
      </c>
      <c r="R16" s="24" t="str">
        <f>saCAGR[[#This Row],[  2012 ]]&amp;saCAGR[[#This Row],[2013 ]]</f>
        <v>DU</v>
      </c>
      <c r="S16" s="24" t="str">
        <f>saCAGR[[#This Row],[2013 ]]&amp;saCAGR[[#This Row],[2014 ]]</f>
        <v>US</v>
      </c>
      <c r="T16" s="24" t="str">
        <f>saCAGR[[#This Row],[2014 ]]&amp;saCAGR[[#This Row],[2015 ]]</f>
        <v>SU</v>
      </c>
      <c r="U16" s="24" t="str">
        <f>saCAGR[[#This Row],[2015 ]]&amp;saCAGR[[#This Row],[2016 ]]</f>
        <v>UD</v>
      </c>
      <c r="V16" s="24">
        <f>COUNTIF(saCAGR[[#This Row],[11/12 pair]:[15/16 pair]],"UD")</f>
        <v>2</v>
      </c>
      <c r="W16" s="24">
        <f>COUNTIF(saCAGR[[#This Row],[11/12 pair]:[15/16 pair]],"DU")</f>
        <v>1</v>
      </c>
      <c r="X1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6" s="24">
        <f>IFERROR(saCAGR[[#This Row],[Count of UD]]/saCAGR[[#This Row],[Total pairs]],"")</f>
        <v>0.4</v>
      </c>
      <c r="Z16" s="24">
        <f>IFERROR(saCAGR[[#This Row],[Count of DU]]/saCAGR[[#This Row],[Total pairs]],"")</f>
        <v>0.2</v>
      </c>
      <c r="AA16" s="24">
        <f>IFERROR(saCAGR[[#This Row],[% UD]]+saCAGR[[#This Row],[% DU]],"")</f>
        <v>0.60000000000000009</v>
      </c>
      <c r="AB16" s="24">
        <f>STDEV(saCAGR[[#This Row],[2010]:[2016]])</f>
        <v>5.9920582360956676</v>
      </c>
      <c r="AC16" s="24">
        <f>saCAGR[[#This Row],[Standard Deviation]]^2</f>
        <v>35.904761904761926</v>
      </c>
      <c r="AD16" s="24">
        <f t="shared" si="9"/>
        <v>2</v>
      </c>
      <c r="AE16" s="24">
        <f t="shared" si="5"/>
        <v>-1</v>
      </c>
      <c r="AF16" s="24">
        <f t="shared" si="6"/>
        <v>0</v>
      </c>
      <c r="AG16" s="24">
        <f t="shared" si="7"/>
        <v>-3</v>
      </c>
      <c r="AH16" s="24">
        <f t="shared" si="10"/>
        <v>3</v>
      </c>
      <c r="AI16" s="24">
        <f t="shared" si="11"/>
        <v>22.970731949330371</v>
      </c>
      <c r="AJ16" s="24">
        <f>AVERAGE(saCAGR[[#This Row],[2011 Delta]:[2016 Delta]])</f>
        <v>3.9951219915550618</v>
      </c>
    </row>
    <row r="17" spans="1:36" ht="15">
      <c r="A17" s="16" t="s">
        <v>551</v>
      </c>
      <c r="B17" s="21">
        <v>24</v>
      </c>
      <c r="C17" s="21">
        <v>41</v>
      </c>
      <c r="D17" s="21">
        <v>47</v>
      </c>
      <c r="E17" s="21">
        <v>48</v>
      </c>
      <c r="F17" s="21">
        <v>53</v>
      </c>
      <c r="G17" s="21">
        <v>41</v>
      </c>
      <c r="H17" s="21">
        <v>65</v>
      </c>
      <c r="I17" s="26">
        <f t="array" ref="I17">(H17/INDEX($B17:$H17,1,MATCH(FALSE,ISBLANK(B17:H17),0)))^(1/INDEX($B$2:$H$2,1,MATCH(FALSE,ISBLANK(B17:H17),0)))</f>
        <v>1.0297375095774446</v>
      </c>
      <c r="J17" s="22" t="str">
        <f>_xlfn.IFNA(INDEX(saCAGRnameStd[EIW],MATCH(saCAGR[[#This Row],[Company]],saCAGRnameStd[SA CAGR],0)),saCAGR[[#This Row],[Company]])</f>
        <v>Cooley</v>
      </c>
      <c r="K17" s="23" t="str">
        <f t="shared" si="8"/>
        <v>U</v>
      </c>
      <c r="L17" s="23" t="str">
        <f t="shared" si="0"/>
        <v>U</v>
      </c>
      <c r="M17" s="23" t="str">
        <f t="shared" si="1"/>
        <v>U</v>
      </c>
      <c r="N17" s="23" t="str">
        <f t="shared" si="2"/>
        <v>U</v>
      </c>
      <c r="O17" s="23" t="str">
        <f t="shared" si="3"/>
        <v>D</v>
      </c>
      <c r="P17" s="23" t="str">
        <f t="shared" si="4"/>
        <v>U</v>
      </c>
      <c r="Q17" s="24" t="str">
        <f>saCAGR[[#This Row],[2011 ]]&amp;saCAGR[[#This Row],[  2012 ]]</f>
        <v>UU</v>
      </c>
      <c r="R17" s="24" t="str">
        <f>saCAGR[[#This Row],[  2012 ]]&amp;saCAGR[[#This Row],[2013 ]]</f>
        <v>UU</v>
      </c>
      <c r="S17" s="24" t="str">
        <f>saCAGR[[#This Row],[2013 ]]&amp;saCAGR[[#This Row],[2014 ]]</f>
        <v>UU</v>
      </c>
      <c r="T17" s="24" t="str">
        <f>saCAGR[[#This Row],[2014 ]]&amp;saCAGR[[#This Row],[2015 ]]</f>
        <v>UD</v>
      </c>
      <c r="U17" s="24" t="str">
        <f>saCAGR[[#This Row],[2015 ]]&amp;saCAGR[[#This Row],[2016 ]]</f>
        <v>DU</v>
      </c>
      <c r="V17" s="24">
        <f>COUNTIF(saCAGR[[#This Row],[11/12 pair]:[15/16 pair]],"UD")</f>
        <v>1</v>
      </c>
      <c r="W17" s="24">
        <f>COUNTIF(saCAGR[[#This Row],[11/12 pair]:[15/16 pair]],"DU")</f>
        <v>1</v>
      </c>
      <c r="X1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7" s="24">
        <f>IFERROR(saCAGR[[#This Row],[Count of UD]]/saCAGR[[#This Row],[Total pairs]],"")</f>
        <v>0.2</v>
      </c>
      <c r="Z17" s="24">
        <f>IFERROR(saCAGR[[#This Row],[Count of DU]]/saCAGR[[#This Row],[Total pairs]],"")</f>
        <v>0.2</v>
      </c>
      <c r="AA17" s="24">
        <f>IFERROR(saCAGR[[#This Row],[% UD]]+saCAGR[[#This Row],[% DU]],"")</f>
        <v>0.4</v>
      </c>
      <c r="AB17" s="24">
        <f>STDEV(saCAGR[[#This Row],[2010]:[2016]])</f>
        <v>12.567910763224772</v>
      </c>
      <c r="AC17" s="24">
        <f>saCAGR[[#This Row],[Standard Deviation]]^2</f>
        <v>157.95238095238108</v>
      </c>
      <c r="AD17" s="24">
        <f t="shared" si="9"/>
        <v>-6</v>
      </c>
      <c r="AE17" s="24">
        <f t="shared" si="5"/>
        <v>-1</v>
      </c>
      <c r="AF17" s="24">
        <f t="shared" si="6"/>
        <v>-5</v>
      </c>
      <c r="AG17" s="24">
        <f t="shared" si="7"/>
        <v>12</v>
      </c>
      <c r="AH17" s="24">
        <f t="shared" si="10"/>
        <v>-24</v>
      </c>
      <c r="AI17" s="24">
        <f t="shared" si="11"/>
        <v>63.970262490422556</v>
      </c>
      <c r="AJ17" s="24">
        <f>AVERAGE(saCAGR[[#This Row],[2011 Delta]:[2016 Delta]])</f>
        <v>6.6617104150704263</v>
      </c>
    </row>
    <row r="18" spans="1:36" ht="15">
      <c r="A18" s="16" t="s">
        <v>305</v>
      </c>
      <c r="B18" s="21"/>
      <c r="C18" s="21"/>
      <c r="D18" s="21"/>
      <c r="E18" s="21"/>
      <c r="F18" s="21"/>
      <c r="G18" s="21">
        <v>15</v>
      </c>
      <c r="H18" s="21">
        <v>19</v>
      </c>
      <c r="I18" s="26">
        <f t="array" ref="I18">(H18/INDEX($B18:$H18,1,MATCH(FALSE,ISBLANK(B18:H18),0)))^(1/INDEX($B$2:$H$2,1,MATCH(FALSE,ISBLANK(B18:H18),0)))</f>
        <v>1.0039475842332735</v>
      </c>
      <c r="J18" s="22" t="str">
        <f>_xlfn.IFNA(INDEX(saCAGRnameStd[EIW],MATCH(saCAGR[[#This Row],[Company]],saCAGRnameStd[SA CAGR],0)),saCAGR[[#This Row],[Company]])</f>
        <v>Cozen O'Connor</v>
      </c>
      <c r="K18" s="23" t="str">
        <f t="shared" si="8"/>
        <v>-</v>
      </c>
      <c r="L18" s="23" t="str">
        <f t="shared" si="0"/>
        <v>-</v>
      </c>
      <c r="M18" s="23" t="str">
        <f t="shared" si="1"/>
        <v>-</v>
      </c>
      <c r="N18" s="23" t="str">
        <f t="shared" si="2"/>
        <v>-</v>
      </c>
      <c r="O18" s="23" t="str">
        <f t="shared" si="3"/>
        <v>-</v>
      </c>
      <c r="P18" s="23" t="str">
        <f t="shared" si="4"/>
        <v>U</v>
      </c>
      <c r="Q18" s="24" t="str">
        <f>saCAGR[[#This Row],[2011 ]]&amp;saCAGR[[#This Row],[  2012 ]]</f>
        <v>--</v>
      </c>
      <c r="R18" s="24" t="str">
        <f>saCAGR[[#This Row],[  2012 ]]&amp;saCAGR[[#This Row],[2013 ]]</f>
        <v>--</v>
      </c>
      <c r="S18" s="24" t="str">
        <f>saCAGR[[#This Row],[2013 ]]&amp;saCAGR[[#This Row],[2014 ]]</f>
        <v>--</v>
      </c>
      <c r="T18" s="24" t="str">
        <f>saCAGR[[#This Row],[2014 ]]&amp;saCAGR[[#This Row],[2015 ]]</f>
        <v>--</v>
      </c>
      <c r="U18" s="24" t="str">
        <f>saCAGR[[#This Row],[2015 ]]&amp;saCAGR[[#This Row],[2016 ]]</f>
        <v>-U</v>
      </c>
      <c r="V18" s="24">
        <f>COUNTIF(saCAGR[[#This Row],[11/12 pair]:[15/16 pair]],"UD")</f>
        <v>0</v>
      </c>
      <c r="W18" s="24">
        <f>COUNTIF(saCAGR[[#This Row],[11/12 pair]:[15/16 pair]],"DU")</f>
        <v>0</v>
      </c>
      <c r="X18" s="24">
        <f>5-COUNTIF(saCAGR[[#This Row],[11/12 pair]:[15/16 pair]],"--")-COUNTIF(saCAGR[[#This Row],[11/12 pair]:[15/16 pair]],"-U")-COUNTIF(saCAGR[[#This Row],[11/12 pair]:[15/16 pair]],"-S")-COUNTIF(saCAGR[[#This Row],[11/12 pair]:[15/16 pair]],"-D")</f>
        <v>0</v>
      </c>
      <c r="Y18" s="24" t="str">
        <f>IFERROR(saCAGR[[#This Row],[Count of UD]]/saCAGR[[#This Row],[Total pairs]],"")</f>
        <v/>
      </c>
      <c r="Z18" s="24" t="str">
        <f>IFERROR(saCAGR[[#This Row],[Count of DU]]/saCAGR[[#This Row],[Total pairs]],"")</f>
        <v/>
      </c>
      <c r="AA18" s="24" t="str">
        <f>IFERROR(saCAGR[[#This Row],[% UD]]+saCAGR[[#This Row],[% DU]],"")</f>
        <v/>
      </c>
      <c r="AB18" s="24">
        <f>STDEV(saCAGR[[#This Row],[2010]:[2016]])</f>
        <v>2.8284271247461903</v>
      </c>
      <c r="AC18" s="24">
        <f>saCAGR[[#This Row],[Standard Deviation]]^2</f>
        <v>8.0000000000000018</v>
      </c>
      <c r="AD18" s="24">
        <f t="shared" si="9"/>
        <v>0</v>
      </c>
      <c r="AE18" s="24">
        <f t="shared" si="5"/>
        <v>0</v>
      </c>
      <c r="AF18" s="24">
        <f t="shared" si="6"/>
        <v>0</v>
      </c>
      <c r="AG18" s="24">
        <f t="shared" si="7"/>
        <v>-15</v>
      </c>
      <c r="AH18" s="24">
        <f t="shared" si="10"/>
        <v>-4</v>
      </c>
      <c r="AI18" s="24">
        <f t="shared" si="11"/>
        <v>17.996052415766727</v>
      </c>
      <c r="AJ18" s="24">
        <f>AVERAGE(saCAGR[[#This Row],[2011 Delta]:[2016 Delta]])</f>
        <v>-0.16732459737221225</v>
      </c>
    </row>
    <row r="19" spans="1:36" ht="30">
      <c r="A19" s="16" t="s">
        <v>553</v>
      </c>
      <c r="B19" s="21">
        <v>23</v>
      </c>
      <c r="C19" s="21">
        <v>53</v>
      </c>
      <c r="D19" s="21">
        <v>87</v>
      </c>
      <c r="E19" s="21">
        <v>97</v>
      </c>
      <c r="F19" s="21">
        <v>99</v>
      </c>
      <c r="G19" s="21">
        <v>105</v>
      </c>
      <c r="H19" s="21">
        <v>116</v>
      </c>
      <c r="I19" s="26">
        <f t="array" ref="I19">(H19/INDEX($B19:$H19,1,MATCH(FALSE,ISBLANK(B19:H19),0)))^(1/INDEX($B$2:$H$2,1,MATCH(FALSE,ISBLANK(B19:H19),0)))</f>
        <v>1.0487416931926572</v>
      </c>
      <c r="J19" s="22" t="str">
        <f>_xlfn.IFNA(INDEX(saCAGRnameStd[EIW],MATCH(saCAGR[[#This Row],[Company]],saCAGRnameStd[SA CAGR],0)),saCAGR[[#This Row],[Company]])</f>
        <v>Cravath, Swaine &amp; Moore</v>
      </c>
      <c r="K19" s="23" t="str">
        <f t="shared" si="8"/>
        <v>U</v>
      </c>
      <c r="L19" s="23" t="str">
        <f t="shared" si="0"/>
        <v>U</v>
      </c>
      <c r="M19" s="23" t="str">
        <f t="shared" si="1"/>
        <v>U</v>
      </c>
      <c r="N19" s="23" t="str">
        <f t="shared" si="2"/>
        <v>U</v>
      </c>
      <c r="O19" s="23" t="str">
        <f t="shared" si="3"/>
        <v>U</v>
      </c>
      <c r="P19" s="23" t="str">
        <f t="shared" si="4"/>
        <v>U</v>
      </c>
      <c r="Q19" s="24" t="str">
        <f>saCAGR[[#This Row],[2011 ]]&amp;saCAGR[[#This Row],[  2012 ]]</f>
        <v>UU</v>
      </c>
      <c r="R19" s="24" t="str">
        <f>saCAGR[[#This Row],[  2012 ]]&amp;saCAGR[[#This Row],[2013 ]]</f>
        <v>UU</v>
      </c>
      <c r="S19" s="24" t="str">
        <f>saCAGR[[#This Row],[2013 ]]&amp;saCAGR[[#This Row],[2014 ]]</f>
        <v>UU</v>
      </c>
      <c r="T19" s="24" t="str">
        <f>saCAGR[[#This Row],[2014 ]]&amp;saCAGR[[#This Row],[2015 ]]</f>
        <v>UU</v>
      </c>
      <c r="U19" s="24" t="str">
        <f>saCAGR[[#This Row],[2015 ]]&amp;saCAGR[[#This Row],[2016 ]]</f>
        <v>UU</v>
      </c>
      <c r="V19" s="24">
        <f>COUNTIF(saCAGR[[#This Row],[11/12 pair]:[15/16 pair]],"UD")</f>
        <v>0</v>
      </c>
      <c r="W19" s="24">
        <f>COUNTIF(saCAGR[[#This Row],[11/12 pair]:[15/16 pair]],"DU")</f>
        <v>0</v>
      </c>
      <c r="X1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19" s="24">
        <f>IFERROR(saCAGR[[#This Row],[Count of UD]]/saCAGR[[#This Row],[Total pairs]],"")</f>
        <v>0</v>
      </c>
      <c r="Z19" s="24">
        <f>IFERROR(saCAGR[[#This Row],[Count of DU]]/saCAGR[[#This Row],[Total pairs]],"")</f>
        <v>0</v>
      </c>
      <c r="AA19" s="24">
        <f>IFERROR(saCAGR[[#This Row],[% UD]]+saCAGR[[#This Row],[% DU]],"")</f>
        <v>0</v>
      </c>
      <c r="AB19" s="24">
        <f>STDEV(saCAGR[[#This Row],[2010]:[2016]])</f>
        <v>33.01731147660054</v>
      </c>
      <c r="AC19" s="24">
        <f>saCAGR[[#This Row],[Standard Deviation]]^2</f>
        <v>1090.1428571428578</v>
      </c>
      <c r="AD19" s="24">
        <f t="shared" si="9"/>
        <v>-34</v>
      </c>
      <c r="AE19" s="24">
        <f t="shared" si="5"/>
        <v>-10</v>
      </c>
      <c r="AF19" s="24">
        <f t="shared" si="6"/>
        <v>-2</v>
      </c>
      <c r="AG19" s="24">
        <f t="shared" si="7"/>
        <v>-6</v>
      </c>
      <c r="AH19" s="24">
        <f t="shared" si="10"/>
        <v>-11</v>
      </c>
      <c r="AI19" s="24">
        <f t="shared" si="11"/>
        <v>114.95125830680735</v>
      </c>
      <c r="AJ19" s="24">
        <f>AVERAGE(saCAGR[[#This Row],[2011 Delta]:[2016 Delta]])</f>
        <v>8.6585430511345578</v>
      </c>
    </row>
    <row r="20" spans="1:36" ht="15">
      <c r="A20" s="16" t="s">
        <v>554</v>
      </c>
      <c r="B20" s="21">
        <v>21</v>
      </c>
      <c r="C20" s="21">
        <v>22</v>
      </c>
      <c r="D20" s="21">
        <v>22</v>
      </c>
      <c r="E20" s="21">
        <v>24</v>
      </c>
      <c r="F20" s="21">
        <v>18</v>
      </c>
      <c r="G20" s="21">
        <v>17</v>
      </c>
      <c r="H20" s="21">
        <v>26</v>
      </c>
      <c r="I20" s="26">
        <f t="array" ref="I20">(H20/INDEX($B20:$H20,1,MATCH(FALSE,ISBLANK(B20:H20),0)))^(1/INDEX($B$2:$H$2,1,MATCH(FALSE,ISBLANK(B20:H20),0)))</f>
        <v>1.0063013617543448</v>
      </c>
      <c r="J20" s="22" t="str">
        <f>_xlfn.IFNA(INDEX(saCAGRnameStd[EIW],MATCH(saCAGR[[#This Row],[Company]],saCAGRnameStd[SA CAGR],0)),saCAGR[[#This Row],[Company]])</f>
        <v>Crowell &amp; Moring</v>
      </c>
      <c r="K20" s="23" t="str">
        <f t="shared" si="8"/>
        <v>U</v>
      </c>
      <c r="L20" s="23" t="str">
        <f t="shared" si="0"/>
        <v>S</v>
      </c>
      <c r="M20" s="23" t="str">
        <f t="shared" si="1"/>
        <v>U</v>
      </c>
      <c r="N20" s="23" t="str">
        <f t="shared" si="2"/>
        <v>D</v>
      </c>
      <c r="O20" s="23" t="str">
        <f t="shared" si="3"/>
        <v>D</v>
      </c>
      <c r="P20" s="23" t="str">
        <f t="shared" si="4"/>
        <v>U</v>
      </c>
      <c r="Q20" s="24" t="str">
        <f>saCAGR[[#This Row],[2011 ]]&amp;saCAGR[[#This Row],[  2012 ]]</f>
        <v>US</v>
      </c>
      <c r="R20" s="24" t="str">
        <f>saCAGR[[#This Row],[  2012 ]]&amp;saCAGR[[#This Row],[2013 ]]</f>
        <v>SU</v>
      </c>
      <c r="S20" s="24" t="str">
        <f>saCAGR[[#This Row],[2013 ]]&amp;saCAGR[[#This Row],[2014 ]]</f>
        <v>UD</v>
      </c>
      <c r="T20" s="24" t="str">
        <f>saCAGR[[#This Row],[2014 ]]&amp;saCAGR[[#This Row],[2015 ]]</f>
        <v>DD</v>
      </c>
      <c r="U20" s="24" t="str">
        <f>saCAGR[[#This Row],[2015 ]]&amp;saCAGR[[#This Row],[2016 ]]</f>
        <v>DU</v>
      </c>
      <c r="V20" s="24">
        <f>COUNTIF(saCAGR[[#This Row],[11/12 pair]:[15/16 pair]],"UD")</f>
        <v>1</v>
      </c>
      <c r="W20" s="24">
        <f>COUNTIF(saCAGR[[#This Row],[11/12 pair]:[15/16 pair]],"DU")</f>
        <v>1</v>
      </c>
      <c r="X2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0" s="24">
        <f>IFERROR(saCAGR[[#This Row],[Count of UD]]/saCAGR[[#This Row],[Total pairs]],"")</f>
        <v>0.2</v>
      </c>
      <c r="Z20" s="24">
        <f>IFERROR(saCAGR[[#This Row],[Count of DU]]/saCAGR[[#This Row],[Total pairs]],"")</f>
        <v>0.2</v>
      </c>
      <c r="AA20" s="24">
        <f>IFERROR(saCAGR[[#This Row],[% UD]]+saCAGR[[#This Row],[% DU]],"")</f>
        <v>0.4</v>
      </c>
      <c r="AB20" s="24">
        <f>STDEV(saCAGR[[#This Row],[2010]:[2016]])</f>
        <v>3.1547394428670277</v>
      </c>
      <c r="AC20" s="24">
        <f>saCAGR[[#This Row],[Standard Deviation]]^2</f>
        <v>9.952380952380965</v>
      </c>
      <c r="AD20" s="24">
        <f t="shared" si="9"/>
        <v>0</v>
      </c>
      <c r="AE20" s="24">
        <f t="shared" si="5"/>
        <v>-2</v>
      </c>
      <c r="AF20" s="24">
        <f t="shared" si="6"/>
        <v>6</v>
      </c>
      <c r="AG20" s="24">
        <f t="shared" si="7"/>
        <v>1</v>
      </c>
      <c r="AH20" s="24">
        <f t="shared" si="10"/>
        <v>-9</v>
      </c>
      <c r="AI20" s="24">
        <f t="shared" si="11"/>
        <v>24.993698638245654</v>
      </c>
      <c r="AJ20" s="24">
        <f>AVERAGE(saCAGR[[#This Row],[2011 Delta]:[2016 Delta]])</f>
        <v>3.4989497730409425</v>
      </c>
    </row>
    <row r="21" spans="1:36" ht="30">
      <c r="A21" s="16" t="s">
        <v>660</v>
      </c>
      <c r="B21" s="21">
        <v>10</v>
      </c>
      <c r="C21" s="21">
        <v>15</v>
      </c>
      <c r="D21" s="21">
        <v>13</v>
      </c>
      <c r="E21" s="21">
        <v>10</v>
      </c>
      <c r="F21" s="21">
        <v>9</v>
      </c>
      <c r="G21" s="21">
        <v>10</v>
      </c>
      <c r="H21" s="21">
        <v>10</v>
      </c>
      <c r="I21" s="26">
        <f t="array" ref="I21">(H21/INDEX($B21:$H21,1,MATCH(FALSE,ISBLANK(B21:H21),0)))^(1/INDEX($B$2:$H$2,1,MATCH(FALSE,ISBLANK(B21:H21),0)))</f>
        <v>1</v>
      </c>
      <c r="J21" s="22" t="str">
        <f>_xlfn.IFNA(INDEX(saCAGRnameStd[EIW],MATCH(saCAGR[[#This Row],[Company]],saCAGRnameStd[SA CAGR],0)),saCAGR[[#This Row],[Company]])</f>
        <v>Curtis, Mallet-Prevost Colt &amp; Mosle</v>
      </c>
      <c r="K21" s="23" t="str">
        <f t="shared" si="8"/>
        <v>U</v>
      </c>
      <c r="L21" s="23" t="str">
        <f t="shared" si="0"/>
        <v>D</v>
      </c>
      <c r="M21" s="23" t="str">
        <f t="shared" si="1"/>
        <v>D</v>
      </c>
      <c r="N21" s="23" t="str">
        <f t="shared" si="2"/>
        <v>D</v>
      </c>
      <c r="O21" s="23" t="str">
        <f t="shared" si="3"/>
        <v>U</v>
      </c>
      <c r="P21" s="23" t="str">
        <f t="shared" si="4"/>
        <v>S</v>
      </c>
      <c r="Q21" s="24" t="str">
        <f>saCAGR[[#This Row],[2011 ]]&amp;saCAGR[[#This Row],[  2012 ]]</f>
        <v>UD</v>
      </c>
      <c r="R21" s="24" t="str">
        <f>saCAGR[[#This Row],[  2012 ]]&amp;saCAGR[[#This Row],[2013 ]]</f>
        <v>DD</v>
      </c>
      <c r="S21" s="24" t="str">
        <f>saCAGR[[#This Row],[2013 ]]&amp;saCAGR[[#This Row],[2014 ]]</f>
        <v>DD</v>
      </c>
      <c r="T21" s="24" t="str">
        <f>saCAGR[[#This Row],[2014 ]]&amp;saCAGR[[#This Row],[2015 ]]</f>
        <v>DU</v>
      </c>
      <c r="U21" s="24" t="str">
        <f>saCAGR[[#This Row],[2015 ]]&amp;saCAGR[[#This Row],[2016 ]]</f>
        <v>US</v>
      </c>
      <c r="V21" s="24">
        <f>COUNTIF(saCAGR[[#This Row],[11/12 pair]:[15/16 pair]],"UD")</f>
        <v>1</v>
      </c>
      <c r="W21" s="24">
        <f>COUNTIF(saCAGR[[#This Row],[11/12 pair]:[15/16 pair]],"DU")</f>
        <v>1</v>
      </c>
      <c r="X2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1" s="24">
        <f>IFERROR(saCAGR[[#This Row],[Count of UD]]/saCAGR[[#This Row],[Total pairs]],"")</f>
        <v>0.2</v>
      </c>
      <c r="Z21" s="24">
        <f>IFERROR(saCAGR[[#This Row],[Count of DU]]/saCAGR[[#This Row],[Total pairs]],"")</f>
        <v>0.2</v>
      </c>
      <c r="AA21" s="24">
        <f>IFERROR(saCAGR[[#This Row],[% UD]]+saCAGR[[#This Row],[% DU]],"")</f>
        <v>0.4</v>
      </c>
      <c r="AB21" s="24">
        <f>STDEV(saCAGR[[#This Row],[2010]:[2016]])</f>
        <v>2.1602468994692869</v>
      </c>
      <c r="AC21" s="24">
        <f>saCAGR[[#This Row],[Standard Deviation]]^2</f>
        <v>4.6666666666666679</v>
      </c>
      <c r="AD21" s="24">
        <f t="shared" si="9"/>
        <v>2</v>
      </c>
      <c r="AE21" s="24">
        <f t="shared" si="5"/>
        <v>3</v>
      </c>
      <c r="AF21" s="24">
        <f t="shared" si="6"/>
        <v>1</v>
      </c>
      <c r="AG21" s="24">
        <f t="shared" si="7"/>
        <v>-1</v>
      </c>
      <c r="AH21" s="24">
        <f t="shared" si="10"/>
        <v>0</v>
      </c>
      <c r="AI21" s="24">
        <f t="shared" si="11"/>
        <v>9</v>
      </c>
      <c r="AJ21" s="24">
        <f>AVERAGE(saCAGR[[#This Row],[2011 Delta]:[2016 Delta]])</f>
        <v>2.3333333333333335</v>
      </c>
    </row>
    <row r="22" spans="1:36" ht="15">
      <c r="A22" s="16" t="s">
        <v>661</v>
      </c>
      <c r="B22" s="21">
        <v>82</v>
      </c>
      <c r="C22" s="21">
        <v>96</v>
      </c>
      <c r="D22" s="21">
        <v>132</v>
      </c>
      <c r="E22" s="21">
        <v>125</v>
      </c>
      <c r="F22" s="21">
        <v>123</v>
      </c>
      <c r="G22" s="21">
        <v>137</v>
      </c>
      <c r="H22" s="21">
        <v>159</v>
      </c>
      <c r="I22" s="26">
        <f t="array" ref="I22">(H22/INDEX($B22:$H22,1,MATCH(FALSE,ISBLANK(B22:H22),0)))^(1/INDEX($B$2:$H$2,1,MATCH(FALSE,ISBLANK(B22:H22),0)))</f>
        <v>1.0196669232008464</v>
      </c>
      <c r="J22" s="22" t="str">
        <f>_xlfn.IFNA(INDEX(saCAGRnameStd[EIW],MATCH(saCAGR[[#This Row],[Company]],saCAGRnameStd[SA CAGR],0)),saCAGR[[#This Row],[Company]])</f>
        <v>DLA Piper</v>
      </c>
      <c r="K22" s="23" t="str">
        <f t="shared" si="8"/>
        <v>U</v>
      </c>
      <c r="L22" s="23" t="str">
        <f t="shared" si="0"/>
        <v>U</v>
      </c>
      <c r="M22" s="23" t="str">
        <f t="shared" si="1"/>
        <v>D</v>
      </c>
      <c r="N22" s="23" t="str">
        <f t="shared" si="2"/>
        <v>D</v>
      </c>
      <c r="O22" s="23" t="str">
        <f t="shared" si="3"/>
        <v>U</v>
      </c>
      <c r="P22" s="23" t="str">
        <f t="shared" si="4"/>
        <v>U</v>
      </c>
      <c r="Q22" s="24" t="str">
        <f>saCAGR[[#This Row],[2011 ]]&amp;saCAGR[[#This Row],[  2012 ]]</f>
        <v>UU</v>
      </c>
      <c r="R22" s="24" t="str">
        <f>saCAGR[[#This Row],[  2012 ]]&amp;saCAGR[[#This Row],[2013 ]]</f>
        <v>UD</v>
      </c>
      <c r="S22" s="24" t="str">
        <f>saCAGR[[#This Row],[2013 ]]&amp;saCAGR[[#This Row],[2014 ]]</f>
        <v>DD</v>
      </c>
      <c r="T22" s="24" t="str">
        <f>saCAGR[[#This Row],[2014 ]]&amp;saCAGR[[#This Row],[2015 ]]</f>
        <v>DU</v>
      </c>
      <c r="U22" s="24" t="str">
        <f>saCAGR[[#This Row],[2015 ]]&amp;saCAGR[[#This Row],[2016 ]]</f>
        <v>UU</v>
      </c>
      <c r="V22" s="24">
        <f>COUNTIF(saCAGR[[#This Row],[11/12 pair]:[15/16 pair]],"UD")</f>
        <v>1</v>
      </c>
      <c r="W22" s="24">
        <f>COUNTIF(saCAGR[[#This Row],[11/12 pair]:[15/16 pair]],"DU")</f>
        <v>1</v>
      </c>
      <c r="X2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2" s="24">
        <f>IFERROR(saCAGR[[#This Row],[Count of UD]]/saCAGR[[#This Row],[Total pairs]],"")</f>
        <v>0.2</v>
      </c>
      <c r="Z22" s="24">
        <f>IFERROR(saCAGR[[#This Row],[Count of DU]]/saCAGR[[#This Row],[Total pairs]],"")</f>
        <v>0.2</v>
      </c>
      <c r="AA22" s="24">
        <f>IFERROR(saCAGR[[#This Row],[% UD]]+saCAGR[[#This Row],[% DU]],"")</f>
        <v>0.4</v>
      </c>
      <c r="AB22" s="24">
        <f>STDEV(saCAGR[[#This Row],[2010]:[2016]])</f>
        <v>25.755258362775812</v>
      </c>
      <c r="AC22" s="24">
        <f>saCAGR[[#This Row],[Standard Deviation]]^2</f>
        <v>663.33333333333337</v>
      </c>
      <c r="AD22" s="24">
        <f t="shared" si="9"/>
        <v>-36</v>
      </c>
      <c r="AE22" s="24">
        <f t="shared" si="5"/>
        <v>7</v>
      </c>
      <c r="AF22" s="24">
        <f t="shared" si="6"/>
        <v>2</v>
      </c>
      <c r="AG22" s="24">
        <f t="shared" si="7"/>
        <v>-14</v>
      </c>
      <c r="AH22" s="24">
        <f t="shared" si="10"/>
        <v>-22</v>
      </c>
      <c r="AI22" s="24">
        <f t="shared" si="11"/>
        <v>157.98033307679916</v>
      </c>
      <c r="AJ22" s="24">
        <f>AVERAGE(saCAGR[[#This Row],[2011 Delta]:[2016 Delta]])</f>
        <v>15.830055512799859</v>
      </c>
    </row>
    <row r="23" spans="1:36" ht="15">
      <c r="A23" s="16" t="s">
        <v>642</v>
      </c>
      <c r="B23" s="21">
        <v>51</v>
      </c>
      <c r="C23" s="21">
        <v>55</v>
      </c>
      <c r="D23" s="21">
        <v>62</v>
      </c>
      <c r="E23" s="21">
        <v>65</v>
      </c>
      <c r="F23" s="21">
        <v>78</v>
      </c>
      <c r="G23" s="21">
        <v>68</v>
      </c>
      <c r="H23" s="21">
        <v>75</v>
      </c>
      <c r="I23" s="26">
        <f t="array" ref="I23">(H23/INDEX($B23:$H23,1,MATCH(FALSE,ISBLANK(B23:H23),0)))^(1/INDEX($B$2:$H$2,1,MATCH(FALSE,ISBLANK(B23:H23),0)))</f>
        <v>1.0114075900573098</v>
      </c>
      <c r="J23" s="22" t="str">
        <f>_xlfn.IFNA(INDEX(saCAGRnameStd[EIW],MATCH(saCAGR[[#This Row],[Company]],saCAGRnameStd[SA CAGR],0)),saCAGR[[#This Row],[Company]])</f>
        <v>Davis Polk &amp; Wardwell</v>
      </c>
      <c r="K23" s="23" t="str">
        <f t="shared" si="8"/>
        <v>U</v>
      </c>
      <c r="L23" s="23" t="str">
        <f t="shared" si="0"/>
        <v>U</v>
      </c>
      <c r="M23" s="23" t="str">
        <f t="shared" si="1"/>
        <v>U</v>
      </c>
      <c r="N23" s="23" t="str">
        <f t="shared" si="2"/>
        <v>U</v>
      </c>
      <c r="O23" s="23" t="str">
        <f t="shared" si="3"/>
        <v>D</v>
      </c>
      <c r="P23" s="23" t="str">
        <f t="shared" si="4"/>
        <v>U</v>
      </c>
      <c r="Q23" s="24" t="str">
        <f>saCAGR[[#This Row],[2011 ]]&amp;saCAGR[[#This Row],[  2012 ]]</f>
        <v>UU</v>
      </c>
      <c r="R23" s="24" t="str">
        <f>saCAGR[[#This Row],[  2012 ]]&amp;saCAGR[[#This Row],[2013 ]]</f>
        <v>UU</v>
      </c>
      <c r="S23" s="24" t="str">
        <f>saCAGR[[#This Row],[2013 ]]&amp;saCAGR[[#This Row],[2014 ]]</f>
        <v>UU</v>
      </c>
      <c r="T23" s="24" t="str">
        <f>saCAGR[[#This Row],[2014 ]]&amp;saCAGR[[#This Row],[2015 ]]</f>
        <v>UD</v>
      </c>
      <c r="U23" s="24" t="str">
        <f>saCAGR[[#This Row],[2015 ]]&amp;saCAGR[[#This Row],[2016 ]]</f>
        <v>DU</v>
      </c>
      <c r="V23" s="24">
        <f>COUNTIF(saCAGR[[#This Row],[11/12 pair]:[15/16 pair]],"UD")</f>
        <v>1</v>
      </c>
      <c r="W23" s="24">
        <f>COUNTIF(saCAGR[[#This Row],[11/12 pair]:[15/16 pair]],"DU")</f>
        <v>1</v>
      </c>
      <c r="X2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3" s="24">
        <f>IFERROR(saCAGR[[#This Row],[Count of UD]]/saCAGR[[#This Row],[Total pairs]],"")</f>
        <v>0.2</v>
      </c>
      <c r="Z23" s="24">
        <f>IFERROR(saCAGR[[#This Row],[Count of DU]]/saCAGR[[#This Row],[Total pairs]],"")</f>
        <v>0.2</v>
      </c>
      <c r="AA23" s="24">
        <f>IFERROR(saCAGR[[#This Row],[% UD]]+saCAGR[[#This Row],[% DU]],"")</f>
        <v>0.4</v>
      </c>
      <c r="AB23" s="24">
        <f>STDEV(saCAGR[[#This Row],[2010]:[2016]])</f>
        <v>9.8561076060916104</v>
      </c>
      <c r="AC23" s="24">
        <f>saCAGR[[#This Row],[Standard Deviation]]^2</f>
        <v>97.142857142856897</v>
      </c>
      <c r="AD23" s="24">
        <f t="shared" si="9"/>
        <v>-7</v>
      </c>
      <c r="AE23" s="24">
        <f t="shared" si="5"/>
        <v>-3</v>
      </c>
      <c r="AF23" s="24">
        <f t="shared" si="6"/>
        <v>-13</v>
      </c>
      <c r="AG23" s="24">
        <f t="shared" si="7"/>
        <v>10</v>
      </c>
      <c r="AH23" s="24">
        <f t="shared" si="10"/>
        <v>-7</v>
      </c>
      <c r="AI23" s="24">
        <f t="shared" si="11"/>
        <v>73.988592409942697</v>
      </c>
      <c r="AJ23" s="24">
        <f>AVERAGE(saCAGR[[#This Row],[2011 Delta]:[2016 Delta]])</f>
        <v>8.9980987349904495</v>
      </c>
    </row>
    <row r="24" spans="1:36" ht="15">
      <c r="A24" s="16" t="s">
        <v>555</v>
      </c>
      <c r="B24" s="21"/>
      <c r="C24" s="21"/>
      <c r="D24" s="21"/>
      <c r="E24" s="21"/>
      <c r="F24" s="21">
        <v>49</v>
      </c>
      <c r="G24" s="21">
        <v>70</v>
      </c>
      <c r="H24" s="21">
        <v>74</v>
      </c>
      <c r="I24" s="26">
        <f t="array" ref="I24">(H24/INDEX($B24:$H24,1,MATCH(FALSE,ISBLANK(B24:H24),0)))^(1/INDEX($B$2:$H$2,1,MATCH(FALSE,ISBLANK(B24:H24),0)))</f>
        <v>1.0076633773889554</v>
      </c>
      <c r="J24" s="22" t="str">
        <f>_xlfn.IFNA(INDEX(saCAGRnameStd[EIW],MATCH(saCAGR[[#This Row],[Company]],saCAGRnameStd[SA CAGR],0)),saCAGR[[#This Row],[Company]])</f>
        <v>Debevoise &amp; Plimpton</v>
      </c>
      <c r="K24" s="23" t="str">
        <f t="shared" si="8"/>
        <v>-</v>
      </c>
      <c r="L24" s="23" t="str">
        <f t="shared" si="0"/>
        <v>-</v>
      </c>
      <c r="M24" s="23" t="str">
        <f t="shared" si="1"/>
        <v>-</v>
      </c>
      <c r="N24" s="23" t="str">
        <f t="shared" si="2"/>
        <v>-</v>
      </c>
      <c r="O24" s="23" t="str">
        <f t="shared" si="3"/>
        <v>U</v>
      </c>
      <c r="P24" s="23" t="str">
        <f t="shared" si="4"/>
        <v>U</v>
      </c>
      <c r="Q24" s="24" t="str">
        <f>saCAGR[[#This Row],[2011 ]]&amp;saCAGR[[#This Row],[  2012 ]]</f>
        <v>--</v>
      </c>
      <c r="R24" s="24" t="str">
        <f>saCAGR[[#This Row],[  2012 ]]&amp;saCAGR[[#This Row],[2013 ]]</f>
        <v>--</v>
      </c>
      <c r="S24" s="24" t="str">
        <f>saCAGR[[#This Row],[2013 ]]&amp;saCAGR[[#This Row],[2014 ]]</f>
        <v>--</v>
      </c>
      <c r="T24" s="24" t="str">
        <f>saCAGR[[#This Row],[2014 ]]&amp;saCAGR[[#This Row],[2015 ]]</f>
        <v>-U</v>
      </c>
      <c r="U24" s="24" t="str">
        <f>saCAGR[[#This Row],[2015 ]]&amp;saCAGR[[#This Row],[2016 ]]</f>
        <v>UU</v>
      </c>
      <c r="V24" s="24">
        <f>COUNTIF(saCAGR[[#This Row],[11/12 pair]:[15/16 pair]],"UD")</f>
        <v>0</v>
      </c>
      <c r="W24" s="24">
        <f>COUNTIF(saCAGR[[#This Row],[11/12 pair]:[15/16 pair]],"DU")</f>
        <v>0</v>
      </c>
      <c r="X24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24" s="24">
        <f>IFERROR(saCAGR[[#This Row],[Count of UD]]/saCAGR[[#This Row],[Total pairs]],"")</f>
        <v>0</v>
      </c>
      <c r="Z24" s="24">
        <f>IFERROR(saCAGR[[#This Row],[Count of DU]]/saCAGR[[#This Row],[Total pairs]],"")</f>
        <v>0</v>
      </c>
      <c r="AA24" s="24">
        <f>IFERROR(saCAGR[[#This Row],[% UD]]+saCAGR[[#This Row],[% DU]],"")</f>
        <v>0</v>
      </c>
      <c r="AB24" s="24">
        <f>STDEV(saCAGR[[#This Row],[2010]:[2016]])</f>
        <v>13.428824718989112</v>
      </c>
      <c r="AC24" s="24">
        <f>saCAGR[[#This Row],[Standard Deviation]]^2</f>
        <v>180.333333333333</v>
      </c>
      <c r="AD24" s="24">
        <f t="shared" si="9"/>
        <v>0</v>
      </c>
      <c r="AE24" s="24">
        <f t="shared" si="5"/>
        <v>0</v>
      </c>
      <c r="AF24" s="24">
        <f t="shared" si="6"/>
        <v>-49</v>
      </c>
      <c r="AG24" s="24">
        <f t="shared" si="7"/>
        <v>-21</v>
      </c>
      <c r="AH24" s="24">
        <f t="shared" si="10"/>
        <v>-4</v>
      </c>
      <c r="AI24" s="24">
        <f t="shared" si="11"/>
        <v>72.992336622611049</v>
      </c>
      <c r="AJ24" s="24">
        <f>AVERAGE(saCAGR[[#This Row],[2011 Delta]:[2016 Delta]])</f>
        <v>-0.16794389623149186</v>
      </c>
    </row>
    <row r="25" spans="1:36" ht="15">
      <c r="A25" s="16" t="s">
        <v>556</v>
      </c>
      <c r="B25" s="21">
        <v>35</v>
      </c>
      <c r="C25" s="21">
        <v>64</v>
      </c>
      <c r="D25" s="21">
        <v>62</v>
      </c>
      <c r="E25" s="21">
        <v>30</v>
      </c>
      <c r="F25" s="21">
        <v>34</v>
      </c>
      <c r="G25" s="21">
        <v>35</v>
      </c>
      <c r="H25" s="21">
        <v>33</v>
      </c>
      <c r="I25" s="26">
        <f t="array" ref="I25">(H25/INDEX($B25:$H25,1,MATCH(FALSE,ISBLANK(B25:H25),0)))^(1/INDEX($B$2:$H$2,1,MATCH(FALSE,ISBLANK(B25:H25),0)))</f>
        <v>0.99827089368793842</v>
      </c>
      <c r="J25" s="22" t="str">
        <f>_xlfn.IFNA(INDEX(saCAGRnameStd[EIW],MATCH(saCAGR[[#This Row],[Company]],saCAGRnameStd[SA CAGR],0)),saCAGR[[#This Row],[Company]])</f>
        <v>Dechert</v>
      </c>
      <c r="K25" s="23" t="str">
        <f t="shared" si="8"/>
        <v>U</v>
      </c>
      <c r="L25" s="23" t="str">
        <f t="shared" si="0"/>
        <v>D</v>
      </c>
      <c r="M25" s="23" t="str">
        <f t="shared" si="1"/>
        <v>D</v>
      </c>
      <c r="N25" s="23" t="str">
        <f t="shared" si="2"/>
        <v>U</v>
      </c>
      <c r="O25" s="23" t="str">
        <f t="shared" si="3"/>
        <v>U</v>
      </c>
      <c r="P25" s="23" t="str">
        <f t="shared" si="4"/>
        <v>D</v>
      </c>
      <c r="Q25" s="24" t="str">
        <f>saCAGR[[#This Row],[2011 ]]&amp;saCAGR[[#This Row],[  2012 ]]</f>
        <v>UD</v>
      </c>
      <c r="R25" s="24" t="str">
        <f>saCAGR[[#This Row],[  2012 ]]&amp;saCAGR[[#This Row],[2013 ]]</f>
        <v>DD</v>
      </c>
      <c r="S25" s="24" t="str">
        <f>saCAGR[[#This Row],[2013 ]]&amp;saCAGR[[#This Row],[2014 ]]</f>
        <v>DU</v>
      </c>
      <c r="T25" s="24" t="str">
        <f>saCAGR[[#This Row],[2014 ]]&amp;saCAGR[[#This Row],[2015 ]]</f>
        <v>UU</v>
      </c>
      <c r="U25" s="24" t="str">
        <f>saCAGR[[#This Row],[2015 ]]&amp;saCAGR[[#This Row],[2016 ]]</f>
        <v>UD</v>
      </c>
      <c r="V25" s="24">
        <f>COUNTIF(saCAGR[[#This Row],[11/12 pair]:[15/16 pair]],"UD")</f>
        <v>2</v>
      </c>
      <c r="W25" s="24">
        <f>COUNTIF(saCAGR[[#This Row],[11/12 pair]:[15/16 pair]],"DU")</f>
        <v>1</v>
      </c>
      <c r="X2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5" s="24">
        <f>IFERROR(saCAGR[[#This Row],[Count of UD]]/saCAGR[[#This Row],[Total pairs]],"")</f>
        <v>0.4</v>
      </c>
      <c r="Z25" s="24">
        <f>IFERROR(saCAGR[[#This Row],[Count of DU]]/saCAGR[[#This Row],[Total pairs]],"")</f>
        <v>0.2</v>
      </c>
      <c r="AA25" s="24">
        <f>IFERROR(saCAGR[[#This Row],[% UD]]+saCAGR[[#This Row],[% DU]],"")</f>
        <v>0.60000000000000009</v>
      </c>
      <c r="AB25" s="24">
        <f>STDEV(saCAGR[[#This Row],[2010]:[2016]])</f>
        <v>14.553677329442337</v>
      </c>
      <c r="AC25" s="24">
        <f>saCAGR[[#This Row],[Standard Deviation]]^2</f>
        <v>211.80952380952382</v>
      </c>
      <c r="AD25" s="24">
        <f t="shared" si="9"/>
        <v>2</v>
      </c>
      <c r="AE25" s="24">
        <f t="shared" si="5"/>
        <v>32</v>
      </c>
      <c r="AF25" s="24">
        <f t="shared" si="6"/>
        <v>-4</v>
      </c>
      <c r="AG25" s="24">
        <f t="shared" si="7"/>
        <v>-1</v>
      </c>
      <c r="AH25" s="24">
        <f t="shared" si="10"/>
        <v>2</v>
      </c>
      <c r="AI25" s="24">
        <f t="shared" si="11"/>
        <v>32.001729106312062</v>
      </c>
      <c r="AJ25" s="24">
        <f>AVERAGE(saCAGR[[#This Row],[2011 Delta]:[2016 Delta]])</f>
        <v>10.500288184385344</v>
      </c>
    </row>
    <row r="26" spans="1:36" ht="15">
      <c r="A26" s="16" t="s">
        <v>557</v>
      </c>
      <c r="B26" s="21">
        <v>10</v>
      </c>
      <c r="C26" s="21">
        <v>13</v>
      </c>
      <c r="D26" s="21">
        <v>16</v>
      </c>
      <c r="E26" s="21">
        <v>16</v>
      </c>
      <c r="F26" s="21">
        <v>15</v>
      </c>
      <c r="G26" s="21">
        <v>21</v>
      </c>
      <c r="H26" s="21">
        <v>17</v>
      </c>
      <c r="I26" s="26">
        <f t="array" ref="I26">(H26/INDEX($B26:$H26,1,MATCH(FALSE,ISBLANK(B26:H26),0)))^(1/INDEX($B$2:$H$2,1,MATCH(FALSE,ISBLANK(B26:H26),0)))</f>
        <v>1.015729134048905</v>
      </c>
      <c r="J26" s="22" t="str">
        <f>_xlfn.IFNA(INDEX(saCAGRnameStd[EIW],MATCH(saCAGR[[#This Row],[Company]],saCAGRnameStd[SA CAGR],0)),saCAGR[[#This Row],[Company]])</f>
        <v>Duane Morris</v>
      </c>
      <c r="K26" s="23" t="str">
        <f t="shared" si="8"/>
        <v>U</v>
      </c>
      <c r="L26" s="23" t="str">
        <f t="shared" si="0"/>
        <v>U</v>
      </c>
      <c r="M26" s="23" t="str">
        <f t="shared" si="1"/>
        <v>S</v>
      </c>
      <c r="N26" s="23" t="str">
        <f t="shared" si="2"/>
        <v>D</v>
      </c>
      <c r="O26" s="23" t="str">
        <f t="shared" si="3"/>
        <v>U</v>
      </c>
      <c r="P26" s="23" t="str">
        <f t="shared" si="4"/>
        <v>D</v>
      </c>
      <c r="Q26" s="24" t="str">
        <f>saCAGR[[#This Row],[2011 ]]&amp;saCAGR[[#This Row],[  2012 ]]</f>
        <v>UU</v>
      </c>
      <c r="R26" s="24" t="str">
        <f>saCAGR[[#This Row],[  2012 ]]&amp;saCAGR[[#This Row],[2013 ]]</f>
        <v>US</v>
      </c>
      <c r="S26" s="24" t="str">
        <f>saCAGR[[#This Row],[2013 ]]&amp;saCAGR[[#This Row],[2014 ]]</f>
        <v>SD</v>
      </c>
      <c r="T26" s="24" t="str">
        <f>saCAGR[[#This Row],[2014 ]]&amp;saCAGR[[#This Row],[2015 ]]</f>
        <v>DU</v>
      </c>
      <c r="U26" s="24" t="str">
        <f>saCAGR[[#This Row],[2015 ]]&amp;saCAGR[[#This Row],[2016 ]]</f>
        <v>UD</v>
      </c>
      <c r="V26" s="24">
        <f>COUNTIF(saCAGR[[#This Row],[11/12 pair]:[15/16 pair]],"UD")</f>
        <v>1</v>
      </c>
      <c r="W26" s="24">
        <f>COUNTIF(saCAGR[[#This Row],[11/12 pair]:[15/16 pair]],"DU")</f>
        <v>1</v>
      </c>
      <c r="X2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6" s="24">
        <f>IFERROR(saCAGR[[#This Row],[Count of UD]]/saCAGR[[#This Row],[Total pairs]],"")</f>
        <v>0.2</v>
      </c>
      <c r="Z26" s="24">
        <f>IFERROR(saCAGR[[#This Row],[Count of DU]]/saCAGR[[#This Row],[Total pairs]],"")</f>
        <v>0.2</v>
      </c>
      <c r="AA26" s="24">
        <f>IFERROR(saCAGR[[#This Row],[% UD]]+saCAGR[[#This Row],[% DU]],"")</f>
        <v>0.4</v>
      </c>
      <c r="AB26" s="24">
        <f>STDEV(saCAGR[[#This Row],[2010]:[2016]])</f>
        <v>3.4086724129853883</v>
      </c>
      <c r="AC26" s="24">
        <f>saCAGR[[#This Row],[Standard Deviation]]^2</f>
        <v>11.619047619047629</v>
      </c>
      <c r="AD26" s="24">
        <f t="shared" si="9"/>
        <v>-3</v>
      </c>
      <c r="AE26" s="24">
        <f t="shared" si="5"/>
        <v>0</v>
      </c>
      <c r="AF26" s="24">
        <f t="shared" si="6"/>
        <v>1</v>
      </c>
      <c r="AG26" s="24">
        <f t="shared" si="7"/>
        <v>-6</v>
      </c>
      <c r="AH26" s="24">
        <f t="shared" si="10"/>
        <v>4</v>
      </c>
      <c r="AI26" s="24">
        <f t="shared" si="11"/>
        <v>15.984270865951094</v>
      </c>
      <c r="AJ26" s="24">
        <f>AVERAGE(saCAGR[[#This Row],[2011 Delta]:[2016 Delta]])</f>
        <v>1.9973784776585157</v>
      </c>
    </row>
    <row r="27" spans="1:36" ht="15">
      <c r="A27" s="16" t="s">
        <v>662</v>
      </c>
      <c r="B27" s="21">
        <v>11</v>
      </c>
      <c r="C27" s="21">
        <v>11</v>
      </c>
      <c r="D27" s="21">
        <v>18</v>
      </c>
      <c r="E27" s="21">
        <v>18</v>
      </c>
      <c r="F27" s="21">
        <v>24</v>
      </c>
      <c r="G27" s="21">
        <v>14</v>
      </c>
      <c r="H27" s="21">
        <v>32</v>
      </c>
      <c r="I27" s="26">
        <f t="array" ref="I27">(H27/INDEX($B27:$H27,1,MATCH(FALSE,ISBLANK(B27:H27),0)))^(1/INDEX($B$2:$H$2,1,MATCH(FALSE,ISBLANK(B27:H27),0)))</f>
        <v>1.0319054837514294</v>
      </c>
      <c r="J27" s="22" t="str">
        <f>_xlfn.IFNA(INDEX(saCAGRnameStd[EIW],MATCH(saCAGR[[#This Row],[Company]],saCAGRnameStd[SA CAGR],0)),saCAGR[[#This Row],[Company]])</f>
        <v>Dykema Gossett PLLC</v>
      </c>
      <c r="K27" s="23" t="str">
        <f t="shared" si="8"/>
        <v>S</v>
      </c>
      <c r="L27" s="23" t="str">
        <f t="shared" si="0"/>
        <v>U</v>
      </c>
      <c r="M27" s="23" t="str">
        <f t="shared" si="1"/>
        <v>S</v>
      </c>
      <c r="N27" s="23" t="str">
        <f t="shared" si="2"/>
        <v>U</v>
      </c>
      <c r="O27" s="23" t="str">
        <f t="shared" si="3"/>
        <v>D</v>
      </c>
      <c r="P27" s="23" t="str">
        <f t="shared" si="4"/>
        <v>U</v>
      </c>
      <c r="Q27" s="24" t="str">
        <f>saCAGR[[#This Row],[2011 ]]&amp;saCAGR[[#This Row],[  2012 ]]</f>
        <v>SU</v>
      </c>
      <c r="R27" s="24" t="str">
        <f>saCAGR[[#This Row],[  2012 ]]&amp;saCAGR[[#This Row],[2013 ]]</f>
        <v>US</v>
      </c>
      <c r="S27" s="24" t="str">
        <f>saCAGR[[#This Row],[2013 ]]&amp;saCAGR[[#This Row],[2014 ]]</f>
        <v>SU</v>
      </c>
      <c r="T27" s="24" t="str">
        <f>saCAGR[[#This Row],[2014 ]]&amp;saCAGR[[#This Row],[2015 ]]</f>
        <v>UD</v>
      </c>
      <c r="U27" s="24" t="str">
        <f>saCAGR[[#This Row],[2015 ]]&amp;saCAGR[[#This Row],[2016 ]]</f>
        <v>DU</v>
      </c>
      <c r="V27" s="24">
        <f>COUNTIF(saCAGR[[#This Row],[11/12 pair]:[15/16 pair]],"UD")</f>
        <v>1</v>
      </c>
      <c r="W27" s="24">
        <f>COUNTIF(saCAGR[[#This Row],[11/12 pair]:[15/16 pair]],"DU")</f>
        <v>1</v>
      </c>
      <c r="X2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7" s="24">
        <f>IFERROR(saCAGR[[#This Row],[Count of UD]]/saCAGR[[#This Row],[Total pairs]],"")</f>
        <v>0.2</v>
      </c>
      <c r="Z27" s="24">
        <f>IFERROR(saCAGR[[#This Row],[Count of DU]]/saCAGR[[#This Row],[Total pairs]],"")</f>
        <v>0.2</v>
      </c>
      <c r="AA27" s="24">
        <f>IFERROR(saCAGR[[#This Row],[% UD]]+saCAGR[[#This Row],[% DU]],"")</f>
        <v>0.4</v>
      </c>
      <c r="AB27" s="24">
        <f>STDEV(saCAGR[[#This Row],[2010]:[2016]])</f>
        <v>7.5875838427940021</v>
      </c>
      <c r="AC27" s="24">
        <f>saCAGR[[#This Row],[Standard Deviation]]^2</f>
        <v>57.571428571428598</v>
      </c>
      <c r="AD27" s="24">
        <f t="shared" si="9"/>
        <v>-7</v>
      </c>
      <c r="AE27" s="24">
        <f t="shared" si="5"/>
        <v>0</v>
      </c>
      <c r="AF27" s="24">
        <f t="shared" si="6"/>
        <v>-6</v>
      </c>
      <c r="AG27" s="24">
        <f t="shared" si="7"/>
        <v>10</v>
      </c>
      <c r="AH27" s="24">
        <f t="shared" si="10"/>
        <v>-18</v>
      </c>
      <c r="AI27" s="24">
        <f t="shared" si="11"/>
        <v>30.96809451624857</v>
      </c>
      <c r="AJ27" s="24">
        <f>AVERAGE(saCAGR[[#This Row],[2011 Delta]:[2016 Delta]])</f>
        <v>1.6613490860414284</v>
      </c>
    </row>
    <row r="28" spans="1:36" ht="15">
      <c r="A28" s="16" t="s">
        <v>558</v>
      </c>
      <c r="B28" s="21">
        <v>10</v>
      </c>
      <c r="C28" s="21">
        <v>11</v>
      </c>
      <c r="D28" s="21">
        <v>12</v>
      </c>
      <c r="E28" s="21">
        <v>11</v>
      </c>
      <c r="F28" s="21">
        <v>10</v>
      </c>
      <c r="G28" s="21">
        <v>10</v>
      </c>
      <c r="H28" s="21">
        <v>11</v>
      </c>
      <c r="I28" s="26">
        <f t="array" ref="I28">(H28/INDEX($B28:$H28,1,MATCH(FALSE,ISBLANK(B28:H28),0)))^(1/INDEX($B$2:$H$2,1,MATCH(FALSE,ISBLANK(B28:H28),0)))</f>
        <v>1.0028071733353205</v>
      </c>
      <c r="J28" s="22" t="str">
        <f>_xlfn.IFNA(INDEX(saCAGRnameStd[EIW],MATCH(saCAGR[[#This Row],[Company]],saCAGRnameStd[SA CAGR],0)),saCAGR[[#This Row],[Company]])</f>
        <v>Epstein Becker &amp; Green</v>
      </c>
      <c r="K28" s="23" t="str">
        <f t="shared" si="8"/>
        <v>U</v>
      </c>
      <c r="L28" s="23" t="str">
        <f t="shared" si="0"/>
        <v>U</v>
      </c>
      <c r="M28" s="23" t="str">
        <f t="shared" si="1"/>
        <v>D</v>
      </c>
      <c r="N28" s="23" t="str">
        <f t="shared" si="2"/>
        <v>D</v>
      </c>
      <c r="O28" s="23" t="str">
        <f t="shared" si="3"/>
        <v>S</v>
      </c>
      <c r="P28" s="23" t="str">
        <f t="shared" si="4"/>
        <v>U</v>
      </c>
      <c r="Q28" s="24" t="str">
        <f>saCAGR[[#This Row],[2011 ]]&amp;saCAGR[[#This Row],[  2012 ]]</f>
        <v>UU</v>
      </c>
      <c r="R28" s="24" t="str">
        <f>saCAGR[[#This Row],[  2012 ]]&amp;saCAGR[[#This Row],[2013 ]]</f>
        <v>UD</v>
      </c>
      <c r="S28" s="24" t="str">
        <f>saCAGR[[#This Row],[2013 ]]&amp;saCAGR[[#This Row],[2014 ]]</f>
        <v>DD</v>
      </c>
      <c r="T28" s="24" t="str">
        <f>saCAGR[[#This Row],[2014 ]]&amp;saCAGR[[#This Row],[2015 ]]</f>
        <v>DS</v>
      </c>
      <c r="U28" s="24" t="str">
        <f>saCAGR[[#This Row],[2015 ]]&amp;saCAGR[[#This Row],[2016 ]]</f>
        <v>SU</v>
      </c>
      <c r="V28" s="24">
        <f>COUNTIF(saCAGR[[#This Row],[11/12 pair]:[15/16 pair]],"UD")</f>
        <v>1</v>
      </c>
      <c r="W28" s="24">
        <f>COUNTIF(saCAGR[[#This Row],[11/12 pair]:[15/16 pair]],"DU")</f>
        <v>0</v>
      </c>
      <c r="X2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8" s="24">
        <f>IFERROR(saCAGR[[#This Row],[Count of UD]]/saCAGR[[#This Row],[Total pairs]],"")</f>
        <v>0.2</v>
      </c>
      <c r="Z28" s="24">
        <f>IFERROR(saCAGR[[#This Row],[Count of DU]]/saCAGR[[#This Row],[Total pairs]],"")</f>
        <v>0</v>
      </c>
      <c r="AA28" s="24">
        <f>IFERROR(saCAGR[[#This Row],[% UD]]+saCAGR[[#This Row],[% DU]],"")</f>
        <v>0.2</v>
      </c>
      <c r="AB28" s="24">
        <f>STDEV(saCAGR[[#This Row],[2010]:[2016]])</f>
        <v>0.75592894601845451</v>
      </c>
      <c r="AC28" s="24">
        <f>saCAGR[[#This Row],[Standard Deviation]]^2</f>
        <v>0.57142857142857151</v>
      </c>
      <c r="AD28" s="24">
        <f t="shared" si="9"/>
        <v>-1</v>
      </c>
      <c r="AE28" s="24">
        <f t="shared" si="5"/>
        <v>1</v>
      </c>
      <c r="AF28" s="24">
        <f t="shared" si="6"/>
        <v>1</v>
      </c>
      <c r="AG28" s="24">
        <f t="shared" si="7"/>
        <v>0</v>
      </c>
      <c r="AH28" s="24">
        <f t="shared" si="10"/>
        <v>-1</v>
      </c>
      <c r="AI28" s="24">
        <f t="shared" si="11"/>
        <v>9.9971928266646799</v>
      </c>
      <c r="AJ28" s="24">
        <f>AVERAGE(saCAGR[[#This Row],[2011 Delta]:[2016 Delta]])</f>
        <v>1.6661988044441134</v>
      </c>
    </row>
    <row r="29" spans="1:36" ht="15">
      <c r="A29" s="16" t="s">
        <v>663</v>
      </c>
      <c r="B29" s="21">
        <v>20</v>
      </c>
      <c r="C29" s="21">
        <v>23</v>
      </c>
      <c r="D29" s="21">
        <v>24</v>
      </c>
      <c r="E29" s="21">
        <v>20</v>
      </c>
      <c r="F29" s="21">
        <v>16</v>
      </c>
      <c r="G29" s="21">
        <v>28</v>
      </c>
      <c r="H29" s="21">
        <v>29</v>
      </c>
      <c r="I29" s="26">
        <f t="array" ref="I29">(H29/INDEX($B29:$H29,1,MATCH(FALSE,ISBLANK(B29:H29),0)))^(1/INDEX($B$2:$H$2,1,MATCH(FALSE,ISBLANK(B29:H29),0)))</f>
        <v>1.0109882723231842</v>
      </c>
      <c r="J29" s="22" t="str">
        <f>_xlfn.IFNA(INDEX(saCAGRnameStd[EIW],MATCH(saCAGR[[#This Row],[Company]],saCAGRnameStd[SA CAGR],0)),saCAGR[[#This Row],[Company]])</f>
        <v>Finnegan</v>
      </c>
      <c r="K29" s="23" t="str">
        <f t="shared" si="8"/>
        <v>U</v>
      </c>
      <c r="L29" s="23" t="str">
        <f t="shared" si="0"/>
        <v>U</v>
      </c>
      <c r="M29" s="23" t="str">
        <f t="shared" si="1"/>
        <v>D</v>
      </c>
      <c r="N29" s="23" t="str">
        <f t="shared" si="2"/>
        <v>D</v>
      </c>
      <c r="O29" s="23" t="str">
        <f t="shared" si="3"/>
        <v>U</v>
      </c>
      <c r="P29" s="23" t="str">
        <f t="shared" si="4"/>
        <v>U</v>
      </c>
      <c r="Q29" s="24" t="str">
        <f>saCAGR[[#This Row],[2011 ]]&amp;saCAGR[[#This Row],[  2012 ]]</f>
        <v>UU</v>
      </c>
      <c r="R29" s="24" t="str">
        <f>saCAGR[[#This Row],[  2012 ]]&amp;saCAGR[[#This Row],[2013 ]]</f>
        <v>UD</v>
      </c>
      <c r="S29" s="24" t="str">
        <f>saCAGR[[#This Row],[2013 ]]&amp;saCAGR[[#This Row],[2014 ]]</f>
        <v>DD</v>
      </c>
      <c r="T29" s="24" t="str">
        <f>saCAGR[[#This Row],[2014 ]]&amp;saCAGR[[#This Row],[2015 ]]</f>
        <v>DU</v>
      </c>
      <c r="U29" s="24" t="str">
        <f>saCAGR[[#This Row],[2015 ]]&amp;saCAGR[[#This Row],[2016 ]]</f>
        <v>UU</v>
      </c>
      <c r="V29" s="24">
        <f>COUNTIF(saCAGR[[#This Row],[11/12 pair]:[15/16 pair]],"UD")</f>
        <v>1</v>
      </c>
      <c r="W29" s="24">
        <f>COUNTIF(saCAGR[[#This Row],[11/12 pair]:[15/16 pair]],"DU")</f>
        <v>1</v>
      </c>
      <c r="X2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29" s="24">
        <f>IFERROR(saCAGR[[#This Row],[Count of UD]]/saCAGR[[#This Row],[Total pairs]],"")</f>
        <v>0.2</v>
      </c>
      <c r="Z29" s="24">
        <f>IFERROR(saCAGR[[#This Row],[Count of DU]]/saCAGR[[#This Row],[Total pairs]],"")</f>
        <v>0.2</v>
      </c>
      <c r="AA29" s="24">
        <f>IFERROR(saCAGR[[#This Row],[% UD]]+saCAGR[[#This Row],[% DU]],"")</f>
        <v>0.4</v>
      </c>
      <c r="AB29" s="24">
        <f>STDEV(saCAGR[[#This Row],[2010]:[2016]])</f>
        <v>4.6342410895626092</v>
      </c>
      <c r="AC29" s="24">
        <f>saCAGR[[#This Row],[Standard Deviation]]^2</f>
        <v>21.476190476190439</v>
      </c>
      <c r="AD29" s="24">
        <f t="shared" si="9"/>
        <v>-1</v>
      </c>
      <c r="AE29" s="24">
        <f t="shared" si="5"/>
        <v>4</v>
      </c>
      <c r="AF29" s="24">
        <f t="shared" si="6"/>
        <v>4</v>
      </c>
      <c r="AG29" s="24">
        <f t="shared" si="7"/>
        <v>-12</v>
      </c>
      <c r="AH29" s="24">
        <f t="shared" si="10"/>
        <v>-1</v>
      </c>
      <c r="AI29" s="24">
        <f t="shared" si="11"/>
        <v>27.989011727676814</v>
      </c>
      <c r="AJ29" s="24">
        <f>AVERAGE(saCAGR[[#This Row],[2011 Delta]:[2016 Delta]])</f>
        <v>3.6648352879461359</v>
      </c>
    </row>
    <row r="30" spans="1:36" ht="15">
      <c r="A30" s="16" t="s">
        <v>561</v>
      </c>
      <c r="B30" s="21">
        <v>16</v>
      </c>
      <c r="C30" s="21">
        <v>31</v>
      </c>
      <c r="D30" s="21">
        <v>29</v>
      </c>
      <c r="E30" s="21">
        <v>28</v>
      </c>
      <c r="F30" s="21">
        <v>39</v>
      </c>
      <c r="G30" s="21">
        <v>38</v>
      </c>
      <c r="H30" s="21">
        <v>42</v>
      </c>
      <c r="I30" s="26">
        <f t="array" ref="I30">(H30/INDEX($B30:$H30,1,MATCH(FALSE,ISBLANK(B30:H30),0)))^(1/INDEX($B$2:$H$2,1,MATCH(FALSE,ISBLANK(B30:H30),0)))</f>
        <v>1.0287914175139352</v>
      </c>
      <c r="J30" s="22" t="str">
        <f>_xlfn.IFNA(INDEX(saCAGRnameStd[EIW],MATCH(saCAGR[[#This Row],[Company]],saCAGRnameStd[SA CAGR],0)),saCAGR[[#This Row],[Company]])</f>
        <v>Fish &amp; Richardson</v>
      </c>
      <c r="K30" s="23" t="str">
        <f t="shared" si="8"/>
        <v>U</v>
      </c>
      <c r="L30" s="23" t="str">
        <f t="shared" si="0"/>
        <v>D</v>
      </c>
      <c r="M30" s="23" t="str">
        <f t="shared" si="1"/>
        <v>D</v>
      </c>
      <c r="N30" s="23" t="str">
        <f t="shared" si="2"/>
        <v>U</v>
      </c>
      <c r="O30" s="23" t="str">
        <f t="shared" si="3"/>
        <v>D</v>
      </c>
      <c r="P30" s="23" t="str">
        <f t="shared" si="4"/>
        <v>U</v>
      </c>
      <c r="Q30" s="24" t="str">
        <f>saCAGR[[#This Row],[2011 ]]&amp;saCAGR[[#This Row],[  2012 ]]</f>
        <v>UD</v>
      </c>
      <c r="R30" s="24" t="str">
        <f>saCAGR[[#This Row],[  2012 ]]&amp;saCAGR[[#This Row],[2013 ]]</f>
        <v>DD</v>
      </c>
      <c r="S30" s="24" t="str">
        <f>saCAGR[[#This Row],[2013 ]]&amp;saCAGR[[#This Row],[2014 ]]</f>
        <v>DU</v>
      </c>
      <c r="T30" s="24" t="str">
        <f>saCAGR[[#This Row],[2014 ]]&amp;saCAGR[[#This Row],[2015 ]]</f>
        <v>UD</v>
      </c>
      <c r="U30" s="24" t="str">
        <f>saCAGR[[#This Row],[2015 ]]&amp;saCAGR[[#This Row],[2016 ]]</f>
        <v>DU</v>
      </c>
      <c r="V30" s="24">
        <f>COUNTIF(saCAGR[[#This Row],[11/12 pair]:[15/16 pair]],"UD")</f>
        <v>2</v>
      </c>
      <c r="W30" s="24">
        <f>COUNTIF(saCAGR[[#This Row],[11/12 pair]:[15/16 pair]],"DU")</f>
        <v>2</v>
      </c>
      <c r="X3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0" s="24">
        <f>IFERROR(saCAGR[[#This Row],[Count of UD]]/saCAGR[[#This Row],[Total pairs]],"")</f>
        <v>0.4</v>
      </c>
      <c r="Z30" s="24">
        <f>IFERROR(saCAGR[[#This Row],[Count of DU]]/saCAGR[[#This Row],[Total pairs]],"")</f>
        <v>0.4</v>
      </c>
      <c r="AA30" s="24">
        <f>IFERROR(saCAGR[[#This Row],[% UD]]+saCAGR[[#This Row],[% DU]],"")</f>
        <v>0.8</v>
      </c>
      <c r="AB30" s="24">
        <f>STDEV(saCAGR[[#This Row],[2010]:[2016]])</f>
        <v>8.8209706840870901</v>
      </c>
      <c r="AC30" s="24">
        <f>saCAGR[[#This Row],[Standard Deviation]]^2</f>
        <v>77.809523809523867</v>
      </c>
      <c r="AD30" s="24">
        <f t="shared" si="9"/>
        <v>2</v>
      </c>
      <c r="AE30" s="24">
        <f t="shared" si="5"/>
        <v>1</v>
      </c>
      <c r="AF30" s="24">
        <f t="shared" si="6"/>
        <v>-11</v>
      </c>
      <c r="AG30" s="24">
        <f t="shared" si="7"/>
        <v>1</v>
      </c>
      <c r="AH30" s="24">
        <f t="shared" si="10"/>
        <v>-4</v>
      </c>
      <c r="AI30" s="24">
        <f t="shared" si="11"/>
        <v>40.971208582486064</v>
      </c>
      <c r="AJ30" s="24">
        <f>AVERAGE(saCAGR[[#This Row],[2011 Delta]:[2016 Delta]])</f>
        <v>4.9952014304143439</v>
      </c>
    </row>
    <row r="31" spans="1:36" ht="30">
      <c r="A31" s="16" t="s">
        <v>664</v>
      </c>
      <c r="B31" s="21">
        <v>22</v>
      </c>
      <c r="C31" s="21">
        <v>15</v>
      </c>
      <c r="D31" s="21">
        <v>19</v>
      </c>
      <c r="E31" s="21">
        <v>11</v>
      </c>
      <c r="F31" s="21">
        <v>16</v>
      </c>
      <c r="G31" s="21">
        <v>7</v>
      </c>
      <c r="H31" s="21">
        <v>8</v>
      </c>
      <c r="I31" s="26">
        <f t="array" ref="I31">(H31/INDEX($B31:$H31,1,MATCH(FALSE,ISBLANK(B31:H31),0)))^(1/INDEX($B$2:$H$2,1,MATCH(FALSE,ISBLANK(B31:H31),0)))</f>
        <v>0.97068529427179606</v>
      </c>
      <c r="J31" s="22" t="str">
        <f>_xlfn.IFNA(INDEX(saCAGRnameStd[EIW],MATCH(saCAGR[[#This Row],[Company]],saCAGRnameStd[SA CAGR],0)),saCAGR[[#This Row],[Company]])</f>
        <v>Fitzpatrick Cella Harper &amp; Scinto</v>
      </c>
      <c r="K31" s="23" t="str">
        <f t="shared" si="8"/>
        <v>D</v>
      </c>
      <c r="L31" s="23" t="str">
        <f t="shared" si="0"/>
        <v>U</v>
      </c>
      <c r="M31" s="23" t="str">
        <f t="shared" si="1"/>
        <v>D</v>
      </c>
      <c r="N31" s="23" t="str">
        <f t="shared" si="2"/>
        <v>U</v>
      </c>
      <c r="O31" s="23" t="str">
        <f t="shared" si="3"/>
        <v>D</v>
      </c>
      <c r="P31" s="23" t="str">
        <f t="shared" si="4"/>
        <v>U</v>
      </c>
      <c r="Q31" s="24" t="str">
        <f>saCAGR[[#This Row],[2011 ]]&amp;saCAGR[[#This Row],[  2012 ]]</f>
        <v>DU</v>
      </c>
      <c r="R31" s="24" t="str">
        <f>saCAGR[[#This Row],[  2012 ]]&amp;saCAGR[[#This Row],[2013 ]]</f>
        <v>UD</v>
      </c>
      <c r="S31" s="24" t="str">
        <f>saCAGR[[#This Row],[2013 ]]&amp;saCAGR[[#This Row],[2014 ]]</f>
        <v>DU</v>
      </c>
      <c r="T31" s="24" t="str">
        <f>saCAGR[[#This Row],[2014 ]]&amp;saCAGR[[#This Row],[2015 ]]</f>
        <v>UD</v>
      </c>
      <c r="U31" s="24" t="str">
        <f>saCAGR[[#This Row],[2015 ]]&amp;saCAGR[[#This Row],[2016 ]]</f>
        <v>DU</v>
      </c>
      <c r="V31" s="24">
        <f>COUNTIF(saCAGR[[#This Row],[11/12 pair]:[15/16 pair]],"UD")</f>
        <v>2</v>
      </c>
      <c r="W31" s="24">
        <f>COUNTIF(saCAGR[[#This Row],[11/12 pair]:[15/16 pair]],"DU")</f>
        <v>3</v>
      </c>
      <c r="X3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1" s="24">
        <f>IFERROR(saCAGR[[#This Row],[Count of UD]]/saCAGR[[#This Row],[Total pairs]],"")</f>
        <v>0.4</v>
      </c>
      <c r="Z31" s="24">
        <f>IFERROR(saCAGR[[#This Row],[Count of DU]]/saCAGR[[#This Row],[Total pairs]],"")</f>
        <v>0.6</v>
      </c>
      <c r="AA31" s="24">
        <f>IFERROR(saCAGR[[#This Row],[% UD]]+saCAGR[[#This Row],[% DU]],"")</f>
        <v>1</v>
      </c>
      <c r="AB31" s="24">
        <f>STDEV(saCAGR[[#This Row],[2010]:[2016]])</f>
        <v>5.5976185412488881</v>
      </c>
      <c r="AC31" s="24">
        <f>saCAGR[[#This Row],[Standard Deviation]]^2</f>
        <v>31.333333333333329</v>
      </c>
      <c r="AD31" s="24">
        <f t="shared" si="9"/>
        <v>-4</v>
      </c>
      <c r="AE31" s="24">
        <f t="shared" si="5"/>
        <v>8</v>
      </c>
      <c r="AF31" s="24">
        <f t="shared" si="6"/>
        <v>-5</v>
      </c>
      <c r="AG31" s="24">
        <f t="shared" si="7"/>
        <v>9</v>
      </c>
      <c r="AH31" s="24">
        <f t="shared" si="10"/>
        <v>-1</v>
      </c>
      <c r="AI31" s="24">
        <f t="shared" si="11"/>
        <v>7.0293147057282042</v>
      </c>
      <c r="AJ31" s="24">
        <f>AVERAGE(saCAGR[[#This Row],[2011 Delta]:[2016 Delta]])</f>
        <v>2.3382191176213674</v>
      </c>
    </row>
    <row r="32" spans="1:36" ht="15">
      <c r="A32" s="16" t="s">
        <v>562</v>
      </c>
      <c r="B32" s="21"/>
      <c r="C32" s="21"/>
      <c r="D32" s="21"/>
      <c r="E32" s="21"/>
      <c r="F32" s="21">
        <v>43</v>
      </c>
      <c r="G32" s="21">
        <v>60</v>
      </c>
      <c r="H32" s="21">
        <v>61</v>
      </c>
      <c r="I32" s="26">
        <f t="array" ref="I32">(H32/INDEX($B32:$H32,1,MATCH(FALSE,ISBLANK(B32:H32),0)))^(1/INDEX($B$2:$H$2,1,MATCH(FALSE,ISBLANK(B32:H32),0)))</f>
        <v>1.0064964507741889</v>
      </c>
      <c r="J32" s="22" t="str">
        <f>_xlfn.IFNA(INDEX(saCAGRnameStd[EIW],MATCH(saCAGR[[#This Row],[Company]],saCAGRnameStd[SA CAGR],0)),saCAGR[[#This Row],[Company]])</f>
        <v>Foley &amp; Lardner</v>
      </c>
      <c r="K32" s="23" t="str">
        <f t="shared" si="8"/>
        <v>-</v>
      </c>
      <c r="L32" s="23" t="str">
        <f t="shared" si="0"/>
        <v>-</v>
      </c>
      <c r="M32" s="23" t="str">
        <f t="shared" si="1"/>
        <v>-</v>
      </c>
      <c r="N32" s="23" t="str">
        <f t="shared" si="2"/>
        <v>-</v>
      </c>
      <c r="O32" s="23" t="str">
        <f t="shared" si="3"/>
        <v>U</v>
      </c>
      <c r="P32" s="23" t="str">
        <f t="shared" si="4"/>
        <v>U</v>
      </c>
      <c r="Q32" s="24" t="str">
        <f>saCAGR[[#This Row],[2011 ]]&amp;saCAGR[[#This Row],[  2012 ]]</f>
        <v>--</v>
      </c>
      <c r="R32" s="24" t="str">
        <f>saCAGR[[#This Row],[  2012 ]]&amp;saCAGR[[#This Row],[2013 ]]</f>
        <v>--</v>
      </c>
      <c r="S32" s="24" t="str">
        <f>saCAGR[[#This Row],[2013 ]]&amp;saCAGR[[#This Row],[2014 ]]</f>
        <v>--</v>
      </c>
      <c r="T32" s="24" t="str">
        <f>saCAGR[[#This Row],[2014 ]]&amp;saCAGR[[#This Row],[2015 ]]</f>
        <v>-U</v>
      </c>
      <c r="U32" s="24" t="str">
        <f>saCAGR[[#This Row],[2015 ]]&amp;saCAGR[[#This Row],[2016 ]]</f>
        <v>UU</v>
      </c>
      <c r="V32" s="24">
        <f>COUNTIF(saCAGR[[#This Row],[11/12 pair]:[15/16 pair]],"UD")</f>
        <v>0</v>
      </c>
      <c r="W32" s="24">
        <f>COUNTIF(saCAGR[[#This Row],[11/12 pair]:[15/16 pair]],"DU")</f>
        <v>0</v>
      </c>
      <c r="X32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32" s="24">
        <f>IFERROR(saCAGR[[#This Row],[Count of UD]]/saCAGR[[#This Row],[Total pairs]],"")</f>
        <v>0</v>
      </c>
      <c r="Z32" s="24">
        <f>IFERROR(saCAGR[[#This Row],[Count of DU]]/saCAGR[[#This Row],[Total pairs]],"")</f>
        <v>0</v>
      </c>
      <c r="AA32" s="24">
        <f>IFERROR(saCAGR[[#This Row],[% UD]]+saCAGR[[#This Row],[% DU]],"")</f>
        <v>0</v>
      </c>
      <c r="AB32" s="24">
        <f>STDEV(saCAGR[[#This Row],[2010]:[2016]])</f>
        <v>10.115993936995665</v>
      </c>
      <c r="AC32" s="24">
        <f>saCAGR[[#This Row],[Standard Deviation]]^2</f>
        <v>102.33333333333304</v>
      </c>
      <c r="AD32" s="24">
        <f t="shared" si="9"/>
        <v>0</v>
      </c>
      <c r="AE32" s="24">
        <f t="shared" si="5"/>
        <v>0</v>
      </c>
      <c r="AF32" s="24">
        <f t="shared" si="6"/>
        <v>-43</v>
      </c>
      <c r="AG32" s="24">
        <f t="shared" si="7"/>
        <v>-17</v>
      </c>
      <c r="AH32" s="24">
        <f t="shared" si="10"/>
        <v>-1</v>
      </c>
      <c r="AI32" s="24">
        <f t="shared" si="11"/>
        <v>59.993503549225814</v>
      </c>
      <c r="AJ32" s="24">
        <f>AVERAGE(saCAGR[[#This Row],[2011 Delta]:[2016 Delta]])</f>
        <v>-0.16774940846236439</v>
      </c>
    </row>
    <row r="33" spans="1:36" ht="15">
      <c r="A33" s="16" t="s">
        <v>617</v>
      </c>
      <c r="B33" s="21">
        <v>12</v>
      </c>
      <c r="C33" s="21">
        <v>15</v>
      </c>
      <c r="D33" s="21">
        <v>14</v>
      </c>
      <c r="E33" s="21">
        <v>11</v>
      </c>
      <c r="F33" s="21">
        <v>15</v>
      </c>
      <c r="G33" s="21">
        <v>21</v>
      </c>
      <c r="H33" s="21">
        <v>28</v>
      </c>
      <c r="I33" s="26">
        <f t="array" ref="I33">(H33/INDEX($B33:$H33,1,MATCH(FALSE,ISBLANK(B33:H33),0)))^(1/INDEX($B$2:$H$2,1,MATCH(FALSE,ISBLANK(B33:H33),0)))</f>
        <v>1.0252336371564408</v>
      </c>
      <c r="J33" s="22" t="str">
        <f>_xlfn.IFNA(INDEX(saCAGRnameStd[EIW],MATCH(saCAGR[[#This Row],[Company]],saCAGRnameStd[SA CAGR],0)),saCAGR[[#This Row],[Company]])</f>
        <v>Fox Rothschild LLP</v>
      </c>
      <c r="K33" s="23" t="str">
        <f t="shared" si="8"/>
        <v>U</v>
      </c>
      <c r="L33" s="23" t="str">
        <f t="shared" si="0"/>
        <v>D</v>
      </c>
      <c r="M33" s="23" t="str">
        <f t="shared" si="1"/>
        <v>D</v>
      </c>
      <c r="N33" s="23" t="str">
        <f t="shared" si="2"/>
        <v>U</v>
      </c>
      <c r="O33" s="23" t="str">
        <f t="shared" si="3"/>
        <v>U</v>
      </c>
      <c r="P33" s="23" t="str">
        <f t="shared" si="4"/>
        <v>U</v>
      </c>
      <c r="Q33" s="24" t="str">
        <f>saCAGR[[#This Row],[2011 ]]&amp;saCAGR[[#This Row],[  2012 ]]</f>
        <v>UD</v>
      </c>
      <c r="R33" s="24" t="str">
        <f>saCAGR[[#This Row],[  2012 ]]&amp;saCAGR[[#This Row],[2013 ]]</f>
        <v>DD</v>
      </c>
      <c r="S33" s="24" t="str">
        <f>saCAGR[[#This Row],[2013 ]]&amp;saCAGR[[#This Row],[2014 ]]</f>
        <v>DU</v>
      </c>
      <c r="T33" s="24" t="str">
        <f>saCAGR[[#This Row],[2014 ]]&amp;saCAGR[[#This Row],[2015 ]]</f>
        <v>UU</v>
      </c>
      <c r="U33" s="24" t="str">
        <f>saCAGR[[#This Row],[2015 ]]&amp;saCAGR[[#This Row],[2016 ]]</f>
        <v>UU</v>
      </c>
      <c r="V33" s="24">
        <f>COUNTIF(saCAGR[[#This Row],[11/12 pair]:[15/16 pair]],"UD")</f>
        <v>1</v>
      </c>
      <c r="W33" s="24">
        <f>COUNTIF(saCAGR[[#This Row],[11/12 pair]:[15/16 pair]],"DU")</f>
        <v>1</v>
      </c>
      <c r="X3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3" s="24">
        <f>IFERROR(saCAGR[[#This Row],[Count of UD]]/saCAGR[[#This Row],[Total pairs]],"")</f>
        <v>0.2</v>
      </c>
      <c r="Z33" s="24">
        <f>IFERROR(saCAGR[[#This Row],[Count of DU]]/saCAGR[[#This Row],[Total pairs]],"")</f>
        <v>0.2</v>
      </c>
      <c r="AA33" s="24">
        <f>IFERROR(saCAGR[[#This Row],[% UD]]+saCAGR[[#This Row],[% DU]],"")</f>
        <v>0.4</v>
      </c>
      <c r="AB33" s="24">
        <f>STDEV(saCAGR[[#This Row],[2010]:[2016]])</f>
        <v>5.9681695367212573</v>
      </c>
      <c r="AC33" s="24">
        <f>saCAGR[[#This Row],[Standard Deviation]]^2</f>
        <v>35.619047619047628</v>
      </c>
      <c r="AD33" s="24">
        <f t="shared" si="9"/>
        <v>1</v>
      </c>
      <c r="AE33" s="24">
        <f t="shared" si="5"/>
        <v>3</v>
      </c>
      <c r="AF33" s="24">
        <f t="shared" si="6"/>
        <v>-4</v>
      </c>
      <c r="AG33" s="24">
        <f t="shared" si="7"/>
        <v>-6</v>
      </c>
      <c r="AH33" s="24">
        <f t="shared" si="10"/>
        <v>-7</v>
      </c>
      <c r="AI33" s="24">
        <f t="shared" si="11"/>
        <v>26.97476636284356</v>
      </c>
      <c r="AJ33" s="24">
        <f>AVERAGE(saCAGR[[#This Row],[2011 Delta]:[2016 Delta]])</f>
        <v>2.3291277271405932</v>
      </c>
    </row>
    <row r="34" spans="1:36" ht="30">
      <c r="A34" s="16" t="s">
        <v>563</v>
      </c>
      <c r="B34" s="21">
        <v>19</v>
      </c>
      <c r="C34" s="21">
        <v>12</v>
      </c>
      <c r="D34" s="21">
        <v>14</v>
      </c>
      <c r="E34" s="21">
        <v>20</v>
      </c>
      <c r="F34" s="21">
        <v>22</v>
      </c>
      <c r="G34" s="21">
        <v>24</v>
      </c>
      <c r="H34" s="21">
        <v>27</v>
      </c>
      <c r="I34" s="26">
        <f t="array" ref="I34">(H34/INDEX($B34:$H34,1,MATCH(FALSE,ISBLANK(B34:H34),0)))^(1/INDEX($B$2:$H$2,1,MATCH(FALSE,ISBLANK(B34:H34),0)))</f>
        <v>1.010388824948556</v>
      </c>
      <c r="J34" s="22" t="str">
        <f>_xlfn.IFNA(INDEX(saCAGRnameStd[EIW],MATCH(saCAGR[[#This Row],[Company]],saCAGRnameStd[SA CAGR],0)),saCAGR[[#This Row],[Company]])</f>
        <v>Freshfields Bruckhaus Deringer</v>
      </c>
      <c r="K34" s="23" t="str">
        <f t="shared" ref="K34:K65" si="12">IF(B34="","-",IF(C34&gt;B34,"U",IF(C34=B34,"S","D")))</f>
        <v>D</v>
      </c>
      <c r="L34" s="23" t="str">
        <f t="shared" ref="L34:L65" si="13">IF(C34="","-",IF(D34&gt;C34,"U",IF(D34=C34,"S","D")))</f>
        <v>U</v>
      </c>
      <c r="M34" s="23" t="str">
        <f t="shared" ref="M34:M65" si="14">IF(D34="","-",IF(E34&gt;D34,"U",IF(E34=D34,"S","D")))</f>
        <v>U</v>
      </c>
      <c r="N34" s="23" t="str">
        <f t="shared" ref="N34:N65" si="15">IF(E34="","-",IF(F34&gt;E34,"U",IF(F34=E34,"S","D")))</f>
        <v>U</v>
      </c>
      <c r="O34" s="23" t="str">
        <f t="shared" ref="O34:O65" si="16">IF(F34="","-",IF(G34&gt;F34,"U",IF(G34=F34,"S","D")))</f>
        <v>U</v>
      </c>
      <c r="P34" s="23" t="str">
        <f t="shared" ref="P34:P65" si="17">IF(G34="","-",IF(H34&gt;G34,"U",IF(H34=G34,"S","D")))</f>
        <v>U</v>
      </c>
      <c r="Q34" s="24" t="str">
        <f>saCAGR[[#This Row],[2011 ]]&amp;saCAGR[[#This Row],[  2012 ]]</f>
        <v>DU</v>
      </c>
      <c r="R34" s="24" t="str">
        <f>saCAGR[[#This Row],[  2012 ]]&amp;saCAGR[[#This Row],[2013 ]]</f>
        <v>UU</v>
      </c>
      <c r="S34" s="24" t="str">
        <f>saCAGR[[#This Row],[2013 ]]&amp;saCAGR[[#This Row],[2014 ]]</f>
        <v>UU</v>
      </c>
      <c r="T34" s="24" t="str">
        <f>saCAGR[[#This Row],[2014 ]]&amp;saCAGR[[#This Row],[2015 ]]</f>
        <v>UU</v>
      </c>
      <c r="U34" s="24" t="str">
        <f>saCAGR[[#This Row],[2015 ]]&amp;saCAGR[[#This Row],[2016 ]]</f>
        <v>UU</v>
      </c>
      <c r="V34" s="24">
        <f>COUNTIF(saCAGR[[#This Row],[11/12 pair]:[15/16 pair]],"UD")</f>
        <v>0</v>
      </c>
      <c r="W34" s="24">
        <f>COUNTIF(saCAGR[[#This Row],[11/12 pair]:[15/16 pair]],"DU")</f>
        <v>1</v>
      </c>
      <c r="X3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4" s="24">
        <f>IFERROR(saCAGR[[#This Row],[Count of UD]]/saCAGR[[#This Row],[Total pairs]],"")</f>
        <v>0</v>
      </c>
      <c r="Z34" s="24">
        <f>IFERROR(saCAGR[[#This Row],[Count of DU]]/saCAGR[[#This Row],[Total pairs]],"")</f>
        <v>0.2</v>
      </c>
      <c r="AA34" s="24">
        <f>IFERROR(saCAGR[[#This Row],[% UD]]+saCAGR[[#This Row],[% DU]],"")</f>
        <v>0.2</v>
      </c>
      <c r="AB34" s="24">
        <f>STDEV(saCAGR[[#This Row],[2010]:[2016]])</f>
        <v>5.3139528825625897</v>
      </c>
      <c r="AC34" s="24">
        <f>saCAGR[[#This Row],[Standard Deviation]]^2</f>
        <v>28.238095238095255</v>
      </c>
      <c r="AD34" s="24">
        <f t="shared" ref="AD34:AD65" si="18">C34-D34</f>
        <v>-2</v>
      </c>
      <c r="AE34" s="24">
        <f t="shared" ref="AE34:AE65" si="19">D34-E34</f>
        <v>-6</v>
      </c>
      <c r="AF34" s="24">
        <f t="shared" ref="AF34:AF65" si="20">E34-F34</f>
        <v>-2</v>
      </c>
      <c r="AG34" s="24">
        <f t="shared" ref="AG34:AG65" si="21">F34-G34</f>
        <v>-2</v>
      </c>
      <c r="AH34" s="24">
        <f t="shared" ref="AH34:AH65" si="22">G34-H34</f>
        <v>-3</v>
      </c>
      <c r="AI34" s="24">
        <f t="shared" ref="AI34:AI65" si="23">H34-I34</f>
        <v>25.989611175051444</v>
      </c>
      <c r="AJ34" s="24">
        <f>AVERAGE(saCAGR[[#This Row],[2011 Delta]:[2016 Delta]])</f>
        <v>1.8316018625085739</v>
      </c>
    </row>
    <row r="35" spans="1:36" ht="30">
      <c r="A35" s="16" t="s">
        <v>665</v>
      </c>
      <c r="B35" s="21">
        <v>45</v>
      </c>
      <c r="C35" s="21">
        <v>49</v>
      </c>
      <c r="D35" s="21">
        <v>43</v>
      </c>
      <c r="E35" s="21">
        <v>31</v>
      </c>
      <c r="F35" s="21">
        <v>42</v>
      </c>
      <c r="G35" s="21">
        <v>54</v>
      </c>
      <c r="H35" s="21">
        <v>74</v>
      </c>
      <c r="I35" s="26">
        <f t="array" ref="I35">(H35/INDEX($B35:$H35,1,MATCH(FALSE,ISBLANK(B35:H35),0)))^(1/INDEX($B$2:$H$2,1,MATCH(FALSE,ISBLANK(B35:H35),0)))</f>
        <v>1.0147370230534885</v>
      </c>
      <c r="J35" s="22" t="str">
        <f>_xlfn.IFNA(INDEX(saCAGRnameStd[EIW],MATCH(saCAGR[[#This Row],[Company]],saCAGRnameStd[SA CAGR],0)),saCAGR[[#This Row],[Company]])</f>
        <v>Fried Frank Harris Shriver &amp; Jacobson</v>
      </c>
      <c r="K35" s="23" t="str">
        <f t="shared" si="12"/>
        <v>U</v>
      </c>
      <c r="L35" s="23" t="str">
        <f t="shared" si="13"/>
        <v>D</v>
      </c>
      <c r="M35" s="23" t="str">
        <f t="shared" si="14"/>
        <v>D</v>
      </c>
      <c r="N35" s="23" t="str">
        <f t="shared" si="15"/>
        <v>U</v>
      </c>
      <c r="O35" s="23" t="str">
        <f t="shared" si="16"/>
        <v>U</v>
      </c>
      <c r="P35" s="23" t="str">
        <f t="shared" si="17"/>
        <v>U</v>
      </c>
      <c r="Q35" s="24" t="str">
        <f>saCAGR[[#This Row],[2011 ]]&amp;saCAGR[[#This Row],[  2012 ]]</f>
        <v>UD</v>
      </c>
      <c r="R35" s="24" t="str">
        <f>saCAGR[[#This Row],[  2012 ]]&amp;saCAGR[[#This Row],[2013 ]]</f>
        <v>DD</v>
      </c>
      <c r="S35" s="24" t="str">
        <f>saCAGR[[#This Row],[2013 ]]&amp;saCAGR[[#This Row],[2014 ]]</f>
        <v>DU</v>
      </c>
      <c r="T35" s="24" t="str">
        <f>saCAGR[[#This Row],[2014 ]]&amp;saCAGR[[#This Row],[2015 ]]</f>
        <v>UU</v>
      </c>
      <c r="U35" s="24" t="str">
        <f>saCAGR[[#This Row],[2015 ]]&amp;saCAGR[[#This Row],[2016 ]]</f>
        <v>UU</v>
      </c>
      <c r="V35" s="24">
        <f>COUNTIF(saCAGR[[#This Row],[11/12 pair]:[15/16 pair]],"UD")</f>
        <v>1</v>
      </c>
      <c r="W35" s="24">
        <f>COUNTIF(saCAGR[[#This Row],[11/12 pair]:[15/16 pair]],"DU")</f>
        <v>1</v>
      </c>
      <c r="X3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5" s="24">
        <f>IFERROR(saCAGR[[#This Row],[Count of UD]]/saCAGR[[#This Row],[Total pairs]],"")</f>
        <v>0.2</v>
      </c>
      <c r="Z35" s="24">
        <f>IFERROR(saCAGR[[#This Row],[Count of DU]]/saCAGR[[#This Row],[Total pairs]],"")</f>
        <v>0.2</v>
      </c>
      <c r="AA35" s="24">
        <f>IFERROR(saCAGR[[#This Row],[% UD]]+saCAGR[[#This Row],[% DU]],"")</f>
        <v>0.4</v>
      </c>
      <c r="AB35" s="24">
        <f>STDEV(saCAGR[[#This Row],[2010]:[2016]])</f>
        <v>13.363062095621215</v>
      </c>
      <c r="AC35" s="24">
        <f>saCAGR[[#This Row],[Standard Deviation]]^2</f>
        <v>178.57142857142847</v>
      </c>
      <c r="AD35" s="24">
        <f t="shared" si="18"/>
        <v>6</v>
      </c>
      <c r="AE35" s="24">
        <f t="shared" si="19"/>
        <v>12</v>
      </c>
      <c r="AF35" s="24">
        <f t="shared" si="20"/>
        <v>-11</v>
      </c>
      <c r="AG35" s="24">
        <f t="shared" si="21"/>
        <v>-12</v>
      </c>
      <c r="AH35" s="24">
        <f t="shared" si="22"/>
        <v>-20</v>
      </c>
      <c r="AI35" s="24">
        <f t="shared" si="23"/>
        <v>72.985262976946515</v>
      </c>
      <c r="AJ35" s="24">
        <f>AVERAGE(saCAGR[[#This Row],[2011 Delta]:[2016 Delta]])</f>
        <v>7.9975438294910859</v>
      </c>
    </row>
    <row r="36" spans="1:36" ht="30">
      <c r="A36" s="16" t="s">
        <v>639</v>
      </c>
      <c r="B36" s="21">
        <v>110</v>
      </c>
      <c r="C36" s="21">
        <v>117</v>
      </c>
      <c r="D36" s="21">
        <v>171</v>
      </c>
      <c r="E36" s="21">
        <v>149</v>
      </c>
      <c r="F36" s="21">
        <v>131</v>
      </c>
      <c r="G36" s="21">
        <v>125</v>
      </c>
      <c r="H36" s="21">
        <v>126</v>
      </c>
      <c r="I36" s="26">
        <f t="array" ref="I36">(H36/INDEX($B36:$H36,1,MATCH(FALSE,ISBLANK(B36:H36),0)))^(1/INDEX($B$2:$H$2,1,MATCH(FALSE,ISBLANK(B36:H36),0)))</f>
        <v>1.0040021502748546</v>
      </c>
      <c r="J36" s="22" t="str">
        <f>_xlfn.IFNA(INDEX(saCAGRnameStd[EIW],MATCH(saCAGR[[#This Row],[Company]],saCAGRnameStd[SA CAGR],0)),saCAGR[[#This Row],[Company]])</f>
        <v>Gibson Dunn &amp; Crutcher</v>
      </c>
      <c r="K36" s="23" t="str">
        <f t="shared" si="12"/>
        <v>U</v>
      </c>
      <c r="L36" s="23" t="str">
        <f t="shared" si="13"/>
        <v>U</v>
      </c>
      <c r="M36" s="23" t="str">
        <f t="shared" si="14"/>
        <v>D</v>
      </c>
      <c r="N36" s="23" t="str">
        <f t="shared" si="15"/>
        <v>D</v>
      </c>
      <c r="O36" s="23" t="str">
        <f t="shared" si="16"/>
        <v>D</v>
      </c>
      <c r="P36" s="23" t="str">
        <f t="shared" si="17"/>
        <v>U</v>
      </c>
      <c r="Q36" s="24" t="str">
        <f>saCAGR[[#This Row],[2011 ]]&amp;saCAGR[[#This Row],[  2012 ]]</f>
        <v>UU</v>
      </c>
      <c r="R36" s="24" t="str">
        <f>saCAGR[[#This Row],[  2012 ]]&amp;saCAGR[[#This Row],[2013 ]]</f>
        <v>UD</v>
      </c>
      <c r="S36" s="24" t="str">
        <f>saCAGR[[#This Row],[2013 ]]&amp;saCAGR[[#This Row],[2014 ]]</f>
        <v>DD</v>
      </c>
      <c r="T36" s="24" t="str">
        <f>saCAGR[[#This Row],[2014 ]]&amp;saCAGR[[#This Row],[2015 ]]</f>
        <v>DD</v>
      </c>
      <c r="U36" s="24" t="str">
        <f>saCAGR[[#This Row],[2015 ]]&amp;saCAGR[[#This Row],[2016 ]]</f>
        <v>DU</v>
      </c>
      <c r="V36" s="24">
        <f>COUNTIF(saCAGR[[#This Row],[11/12 pair]:[15/16 pair]],"UD")</f>
        <v>1</v>
      </c>
      <c r="W36" s="24">
        <f>COUNTIF(saCAGR[[#This Row],[11/12 pair]:[15/16 pair]],"DU")</f>
        <v>1</v>
      </c>
      <c r="X3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6" s="24">
        <f>IFERROR(saCAGR[[#This Row],[Count of UD]]/saCAGR[[#This Row],[Total pairs]],"")</f>
        <v>0.2</v>
      </c>
      <c r="Z36" s="24">
        <f>IFERROR(saCAGR[[#This Row],[Count of DU]]/saCAGR[[#This Row],[Total pairs]],"")</f>
        <v>0.2</v>
      </c>
      <c r="AA36" s="24">
        <f>IFERROR(saCAGR[[#This Row],[% UD]]+saCAGR[[#This Row],[% DU]],"")</f>
        <v>0.4</v>
      </c>
      <c r="AB36" s="24">
        <f>STDEV(saCAGR[[#This Row],[2010]:[2016]])</f>
        <v>20.822378071954883</v>
      </c>
      <c r="AC36" s="24">
        <f>saCAGR[[#This Row],[Standard Deviation]]^2</f>
        <v>433.57142857142759</v>
      </c>
      <c r="AD36" s="24">
        <f t="shared" si="18"/>
        <v>-54</v>
      </c>
      <c r="AE36" s="24">
        <f t="shared" si="19"/>
        <v>22</v>
      </c>
      <c r="AF36" s="24">
        <f t="shared" si="20"/>
        <v>18</v>
      </c>
      <c r="AG36" s="24">
        <f t="shared" si="21"/>
        <v>6</v>
      </c>
      <c r="AH36" s="24">
        <f t="shared" si="22"/>
        <v>-1</v>
      </c>
      <c r="AI36" s="24">
        <f t="shared" si="23"/>
        <v>124.99599784972514</v>
      </c>
      <c r="AJ36" s="24">
        <f>AVERAGE(saCAGR[[#This Row],[2011 Delta]:[2016 Delta]])</f>
        <v>19.332666308287525</v>
      </c>
    </row>
    <row r="37" spans="1:36" ht="15">
      <c r="A37" s="16" t="s">
        <v>564</v>
      </c>
      <c r="B37" s="21">
        <v>40</v>
      </c>
      <c r="C37" s="21">
        <v>42</v>
      </c>
      <c r="D37" s="21">
        <v>55</v>
      </c>
      <c r="E37" s="21">
        <v>50</v>
      </c>
      <c r="F37" s="21">
        <v>48</v>
      </c>
      <c r="G37" s="21">
        <v>65</v>
      </c>
      <c r="H37" s="21">
        <v>57</v>
      </c>
      <c r="I37" s="26">
        <f t="array" ref="I37">(H37/INDEX($B37:$H37,1,MATCH(FALSE,ISBLANK(B37:H37),0)))^(1/INDEX($B$2:$H$2,1,MATCH(FALSE,ISBLANK(B37:H37),0)))</f>
        <v>1.0104712619797067</v>
      </c>
      <c r="J37" s="22" t="str">
        <f>_xlfn.IFNA(INDEX(saCAGRnameStd[EIW],MATCH(saCAGR[[#This Row],[Company]],saCAGRnameStd[SA CAGR],0)),saCAGR[[#This Row],[Company]])</f>
        <v>Goodwin Procter</v>
      </c>
      <c r="K37" s="23" t="str">
        <f t="shared" si="12"/>
        <v>U</v>
      </c>
      <c r="L37" s="23" t="str">
        <f t="shared" si="13"/>
        <v>U</v>
      </c>
      <c r="M37" s="23" t="str">
        <f t="shared" si="14"/>
        <v>D</v>
      </c>
      <c r="N37" s="23" t="str">
        <f t="shared" si="15"/>
        <v>D</v>
      </c>
      <c r="O37" s="23" t="str">
        <f t="shared" si="16"/>
        <v>U</v>
      </c>
      <c r="P37" s="23" t="str">
        <f t="shared" si="17"/>
        <v>D</v>
      </c>
      <c r="Q37" s="24" t="str">
        <f>saCAGR[[#This Row],[2011 ]]&amp;saCAGR[[#This Row],[  2012 ]]</f>
        <v>UU</v>
      </c>
      <c r="R37" s="24" t="str">
        <f>saCAGR[[#This Row],[  2012 ]]&amp;saCAGR[[#This Row],[2013 ]]</f>
        <v>UD</v>
      </c>
      <c r="S37" s="24" t="str">
        <f>saCAGR[[#This Row],[2013 ]]&amp;saCAGR[[#This Row],[2014 ]]</f>
        <v>DD</v>
      </c>
      <c r="T37" s="24" t="str">
        <f>saCAGR[[#This Row],[2014 ]]&amp;saCAGR[[#This Row],[2015 ]]</f>
        <v>DU</v>
      </c>
      <c r="U37" s="24" t="str">
        <f>saCAGR[[#This Row],[2015 ]]&amp;saCAGR[[#This Row],[2016 ]]</f>
        <v>UD</v>
      </c>
      <c r="V37" s="24">
        <f>COUNTIF(saCAGR[[#This Row],[11/12 pair]:[15/16 pair]],"UD")</f>
        <v>2</v>
      </c>
      <c r="W37" s="24">
        <f>COUNTIF(saCAGR[[#This Row],[11/12 pair]:[15/16 pair]],"DU")</f>
        <v>1</v>
      </c>
      <c r="X3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7" s="24">
        <f>IFERROR(saCAGR[[#This Row],[Count of UD]]/saCAGR[[#This Row],[Total pairs]],"")</f>
        <v>0.4</v>
      </c>
      <c r="Z37" s="24">
        <f>IFERROR(saCAGR[[#This Row],[Count of DU]]/saCAGR[[#This Row],[Total pairs]],"")</f>
        <v>0.2</v>
      </c>
      <c r="AA37" s="24">
        <f>IFERROR(saCAGR[[#This Row],[% UD]]+saCAGR[[#This Row],[% DU]],"")</f>
        <v>0.60000000000000009</v>
      </c>
      <c r="AB37" s="24">
        <f>STDEV(saCAGR[[#This Row],[2010]:[2016]])</f>
        <v>8.755950357709132</v>
      </c>
      <c r="AC37" s="24">
        <f>saCAGR[[#This Row],[Standard Deviation]]^2</f>
        <v>76.666666666666671</v>
      </c>
      <c r="AD37" s="24">
        <f t="shared" si="18"/>
        <v>-13</v>
      </c>
      <c r="AE37" s="24">
        <f t="shared" si="19"/>
        <v>5</v>
      </c>
      <c r="AF37" s="24">
        <f t="shared" si="20"/>
        <v>2</v>
      </c>
      <c r="AG37" s="24">
        <f t="shared" si="21"/>
        <v>-17</v>
      </c>
      <c r="AH37" s="24">
        <f t="shared" si="22"/>
        <v>8</v>
      </c>
      <c r="AI37" s="24">
        <f t="shared" si="23"/>
        <v>55.98952873802029</v>
      </c>
      <c r="AJ37" s="24">
        <f>AVERAGE(saCAGR[[#This Row],[2011 Delta]:[2016 Delta]])</f>
        <v>6.8315881230033817</v>
      </c>
    </row>
    <row r="38" spans="1:36" ht="15">
      <c r="A38" s="16" t="s">
        <v>666</v>
      </c>
      <c r="B38" s="21">
        <v>25</v>
      </c>
      <c r="C38" s="21">
        <v>28</v>
      </c>
      <c r="D38" s="21">
        <v>31</v>
      </c>
      <c r="E38" s="21">
        <v>33</v>
      </c>
      <c r="F38" s="21">
        <v>42</v>
      </c>
      <c r="G38" s="21">
        <v>46</v>
      </c>
      <c r="H38" s="21">
        <v>46</v>
      </c>
      <c r="I38" s="26">
        <f t="array" ref="I38">(H38/INDEX($B38:$H38,1,MATCH(FALSE,ISBLANK(B38:H38),0)))^(1/INDEX($B$2:$H$2,1,MATCH(FALSE,ISBLANK(B38:H38),0)))</f>
        <v>1.0180960664634566</v>
      </c>
      <c r="J38" s="22" t="str">
        <f>_xlfn.IFNA(INDEX(saCAGRnameStd[EIW],MATCH(saCAGR[[#This Row],[Company]],saCAGRnameStd[SA CAGR],0)),saCAGR[[#This Row],[Company]])</f>
        <v>Greenberg Traurig</v>
      </c>
      <c r="K38" s="23" t="str">
        <f t="shared" si="12"/>
        <v>U</v>
      </c>
      <c r="L38" s="23" t="str">
        <f t="shared" si="13"/>
        <v>U</v>
      </c>
      <c r="M38" s="23" t="str">
        <f t="shared" si="14"/>
        <v>U</v>
      </c>
      <c r="N38" s="23" t="str">
        <f t="shared" si="15"/>
        <v>U</v>
      </c>
      <c r="O38" s="23" t="str">
        <f t="shared" si="16"/>
        <v>U</v>
      </c>
      <c r="P38" s="23" t="str">
        <f t="shared" si="17"/>
        <v>S</v>
      </c>
      <c r="Q38" s="24" t="str">
        <f>saCAGR[[#This Row],[2011 ]]&amp;saCAGR[[#This Row],[  2012 ]]</f>
        <v>UU</v>
      </c>
      <c r="R38" s="24" t="str">
        <f>saCAGR[[#This Row],[  2012 ]]&amp;saCAGR[[#This Row],[2013 ]]</f>
        <v>UU</v>
      </c>
      <c r="S38" s="24" t="str">
        <f>saCAGR[[#This Row],[2013 ]]&amp;saCAGR[[#This Row],[2014 ]]</f>
        <v>UU</v>
      </c>
      <c r="T38" s="24" t="str">
        <f>saCAGR[[#This Row],[2014 ]]&amp;saCAGR[[#This Row],[2015 ]]</f>
        <v>UU</v>
      </c>
      <c r="U38" s="24" t="str">
        <f>saCAGR[[#This Row],[2015 ]]&amp;saCAGR[[#This Row],[2016 ]]</f>
        <v>US</v>
      </c>
      <c r="V38" s="24">
        <f>COUNTIF(saCAGR[[#This Row],[11/12 pair]:[15/16 pair]],"UD")</f>
        <v>0</v>
      </c>
      <c r="W38" s="24">
        <f>COUNTIF(saCAGR[[#This Row],[11/12 pair]:[15/16 pair]],"DU")</f>
        <v>0</v>
      </c>
      <c r="X3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38" s="24">
        <f>IFERROR(saCAGR[[#This Row],[Count of UD]]/saCAGR[[#This Row],[Total pairs]],"")</f>
        <v>0</v>
      </c>
      <c r="Z38" s="24">
        <f>IFERROR(saCAGR[[#This Row],[Count of DU]]/saCAGR[[#This Row],[Total pairs]],"")</f>
        <v>0</v>
      </c>
      <c r="AA38" s="24">
        <f>IFERROR(saCAGR[[#This Row],[% UD]]+saCAGR[[#This Row],[% DU]],"")</f>
        <v>0</v>
      </c>
      <c r="AB38" s="24">
        <f>STDEV(saCAGR[[#This Row],[2010]:[2016]])</f>
        <v>8.7068664747728768</v>
      </c>
      <c r="AC38" s="24">
        <f>saCAGR[[#This Row],[Standard Deviation]]^2</f>
        <v>75.809523809523867</v>
      </c>
      <c r="AD38" s="24">
        <f t="shared" si="18"/>
        <v>-3</v>
      </c>
      <c r="AE38" s="24">
        <f t="shared" si="19"/>
        <v>-2</v>
      </c>
      <c r="AF38" s="24">
        <f t="shared" si="20"/>
        <v>-9</v>
      </c>
      <c r="AG38" s="24">
        <f t="shared" si="21"/>
        <v>-4</v>
      </c>
      <c r="AH38" s="24">
        <f t="shared" si="22"/>
        <v>0</v>
      </c>
      <c r="AI38" s="24">
        <f t="shared" si="23"/>
        <v>44.981903933536543</v>
      </c>
      <c r="AJ38" s="24">
        <f>AVERAGE(saCAGR[[#This Row],[2011 Delta]:[2016 Delta]])</f>
        <v>4.4969839889227572</v>
      </c>
    </row>
    <row r="39" spans="1:36" ht="30">
      <c r="A39" s="16" t="s">
        <v>667</v>
      </c>
      <c r="B39" s="21"/>
      <c r="C39" s="21"/>
      <c r="D39" s="21"/>
      <c r="E39" s="21"/>
      <c r="F39" s="21">
        <v>2</v>
      </c>
      <c r="G39" s="21">
        <v>3</v>
      </c>
      <c r="H39" s="21">
        <v>3</v>
      </c>
      <c r="I39" s="26">
        <f t="array" ref="I39">(H39/INDEX($B39:$H39,1,MATCH(FALSE,ISBLANK(B39:H39),0)))^(1/INDEX($B$2:$H$2,1,MATCH(FALSE,ISBLANK(B39:H39),0)))</f>
        <v>1.0075368734362191</v>
      </c>
      <c r="J39" s="22" t="str">
        <f>_xlfn.IFNA(INDEX(saCAGRnameStd[EIW],MATCH(saCAGR[[#This Row],[Company]],saCAGRnameStd[SA CAGR],0)),saCAGR[[#This Row],[Company]])</f>
        <v>Harris, Wiltshire &amp; Grannis LLP</v>
      </c>
      <c r="K39" s="23" t="str">
        <f t="shared" si="12"/>
        <v>-</v>
      </c>
      <c r="L39" s="23" t="str">
        <f t="shared" si="13"/>
        <v>-</v>
      </c>
      <c r="M39" s="23" t="str">
        <f t="shared" si="14"/>
        <v>-</v>
      </c>
      <c r="N39" s="23" t="str">
        <f t="shared" si="15"/>
        <v>-</v>
      </c>
      <c r="O39" s="23" t="str">
        <f t="shared" si="16"/>
        <v>U</v>
      </c>
      <c r="P39" s="23" t="str">
        <f t="shared" si="17"/>
        <v>S</v>
      </c>
      <c r="Q39" s="24" t="str">
        <f>saCAGR[[#This Row],[2011 ]]&amp;saCAGR[[#This Row],[  2012 ]]</f>
        <v>--</v>
      </c>
      <c r="R39" s="24" t="str">
        <f>saCAGR[[#This Row],[  2012 ]]&amp;saCAGR[[#This Row],[2013 ]]</f>
        <v>--</v>
      </c>
      <c r="S39" s="24" t="str">
        <f>saCAGR[[#This Row],[2013 ]]&amp;saCAGR[[#This Row],[2014 ]]</f>
        <v>--</v>
      </c>
      <c r="T39" s="24" t="str">
        <f>saCAGR[[#This Row],[2014 ]]&amp;saCAGR[[#This Row],[2015 ]]</f>
        <v>-U</v>
      </c>
      <c r="U39" s="24" t="str">
        <f>saCAGR[[#This Row],[2015 ]]&amp;saCAGR[[#This Row],[2016 ]]</f>
        <v>US</v>
      </c>
      <c r="V39" s="24">
        <f>COUNTIF(saCAGR[[#This Row],[11/12 pair]:[15/16 pair]],"UD")</f>
        <v>0</v>
      </c>
      <c r="W39" s="24">
        <f>COUNTIF(saCAGR[[#This Row],[11/12 pair]:[15/16 pair]],"DU")</f>
        <v>0</v>
      </c>
      <c r="X39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39" s="24">
        <f>IFERROR(saCAGR[[#This Row],[Count of UD]]/saCAGR[[#This Row],[Total pairs]],"")</f>
        <v>0</v>
      </c>
      <c r="Z39" s="24">
        <f>IFERROR(saCAGR[[#This Row],[Count of DU]]/saCAGR[[#This Row],[Total pairs]],"")</f>
        <v>0</v>
      </c>
      <c r="AA39" s="24">
        <f>IFERROR(saCAGR[[#This Row],[% UD]]+saCAGR[[#This Row],[% DU]],"")</f>
        <v>0</v>
      </c>
      <c r="AB39" s="24">
        <f>STDEV(saCAGR[[#This Row],[2010]:[2016]])</f>
        <v>0.57735026918962629</v>
      </c>
      <c r="AC39" s="24">
        <f>saCAGR[[#This Row],[Standard Deviation]]^2</f>
        <v>0.33333333333333393</v>
      </c>
      <c r="AD39" s="24">
        <f t="shared" si="18"/>
        <v>0</v>
      </c>
      <c r="AE39" s="24">
        <f t="shared" si="19"/>
        <v>0</v>
      </c>
      <c r="AF39" s="24">
        <f t="shared" si="20"/>
        <v>-2</v>
      </c>
      <c r="AG39" s="24">
        <f t="shared" si="21"/>
        <v>-1</v>
      </c>
      <c r="AH39" s="24">
        <f t="shared" si="22"/>
        <v>0</v>
      </c>
      <c r="AI39" s="24">
        <f t="shared" si="23"/>
        <v>1.9924631265637809</v>
      </c>
      <c r="AJ39" s="24">
        <f>AVERAGE(saCAGR[[#This Row],[2011 Delta]:[2016 Delta]])</f>
        <v>-0.16792281223936986</v>
      </c>
    </row>
    <row r="40" spans="1:36" ht="15">
      <c r="A40" s="16" t="s">
        <v>618</v>
      </c>
      <c r="B40" s="21">
        <v>42</v>
      </c>
      <c r="C40" s="21">
        <v>46</v>
      </c>
      <c r="D40" s="21">
        <v>50</v>
      </c>
      <c r="E40" s="21">
        <v>52</v>
      </c>
      <c r="F40" s="21">
        <v>59</v>
      </c>
      <c r="G40" s="21">
        <v>60</v>
      </c>
      <c r="H40" s="21">
        <v>49</v>
      </c>
      <c r="I40" s="26">
        <f t="array" ref="I40">(H40/INDEX($B40:$H40,1,MATCH(FALSE,ISBLANK(B40:H40),0)))^(1/INDEX($B$2:$H$2,1,MATCH(FALSE,ISBLANK(B40:H40),0)))</f>
        <v>1.0045441369432537</v>
      </c>
      <c r="J40" s="22" t="str">
        <f>_xlfn.IFNA(INDEX(saCAGRnameStd[EIW],MATCH(saCAGR[[#This Row],[Company]],saCAGRnameStd[SA CAGR],0)),saCAGR[[#This Row],[Company]])</f>
        <v>Haynes and Boone, LLP</v>
      </c>
      <c r="K40" s="23" t="str">
        <f t="shared" si="12"/>
        <v>U</v>
      </c>
      <c r="L40" s="23" t="str">
        <f t="shared" si="13"/>
        <v>U</v>
      </c>
      <c r="M40" s="23" t="str">
        <f t="shared" si="14"/>
        <v>U</v>
      </c>
      <c r="N40" s="23" t="str">
        <f t="shared" si="15"/>
        <v>U</v>
      </c>
      <c r="O40" s="23" t="str">
        <f t="shared" si="16"/>
        <v>U</v>
      </c>
      <c r="P40" s="23" t="str">
        <f t="shared" si="17"/>
        <v>D</v>
      </c>
      <c r="Q40" s="24" t="str">
        <f>saCAGR[[#This Row],[2011 ]]&amp;saCAGR[[#This Row],[  2012 ]]</f>
        <v>UU</v>
      </c>
      <c r="R40" s="24" t="str">
        <f>saCAGR[[#This Row],[  2012 ]]&amp;saCAGR[[#This Row],[2013 ]]</f>
        <v>UU</v>
      </c>
      <c r="S40" s="24" t="str">
        <f>saCAGR[[#This Row],[2013 ]]&amp;saCAGR[[#This Row],[2014 ]]</f>
        <v>UU</v>
      </c>
      <c r="T40" s="24" t="str">
        <f>saCAGR[[#This Row],[2014 ]]&amp;saCAGR[[#This Row],[2015 ]]</f>
        <v>UU</v>
      </c>
      <c r="U40" s="24" t="str">
        <f>saCAGR[[#This Row],[2015 ]]&amp;saCAGR[[#This Row],[2016 ]]</f>
        <v>UD</v>
      </c>
      <c r="V40" s="24">
        <f>COUNTIF(saCAGR[[#This Row],[11/12 pair]:[15/16 pair]],"UD")</f>
        <v>1</v>
      </c>
      <c r="W40" s="24">
        <f>COUNTIF(saCAGR[[#This Row],[11/12 pair]:[15/16 pair]],"DU")</f>
        <v>0</v>
      </c>
      <c r="X4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0" s="24">
        <f>IFERROR(saCAGR[[#This Row],[Count of UD]]/saCAGR[[#This Row],[Total pairs]],"")</f>
        <v>0.2</v>
      </c>
      <c r="Z40" s="24">
        <f>IFERROR(saCAGR[[#This Row],[Count of DU]]/saCAGR[[#This Row],[Total pairs]],"")</f>
        <v>0</v>
      </c>
      <c r="AA40" s="24">
        <f>IFERROR(saCAGR[[#This Row],[% UD]]+saCAGR[[#This Row],[% DU]],"")</f>
        <v>0.2</v>
      </c>
      <c r="AB40" s="24">
        <f>STDEV(saCAGR[[#This Row],[2010]:[2016]])</f>
        <v>6.5428987314128246</v>
      </c>
      <c r="AC40" s="24">
        <f>saCAGR[[#This Row],[Standard Deviation]]^2</f>
        <v>42.809523809523547</v>
      </c>
      <c r="AD40" s="24">
        <f t="shared" si="18"/>
        <v>-4</v>
      </c>
      <c r="AE40" s="24">
        <f t="shared" si="19"/>
        <v>-2</v>
      </c>
      <c r="AF40" s="24">
        <f t="shared" si="20"/>
        <v>-7</v>
      </c>
      <c r="AG40" s="24">
        <f t="shared" si="21"/>
        <v>-1</v>
      </c>
      <c r="AH40" s="24">
        <f t="shared" si="22"/>
        <v>11</v>
      </c>
      <c r="AI40" s="24">
        <f t="shared" si="23"/>
        <v>47.995455863056748</v>
      </c>
      <c r="AJ40" s="24">
        <f>AVERAGE(saCAGR[[#This Row],[2011 Delta]:[2016 Delta]])</f>
        <v>7.4992426438427913</v>
      </c>
    </row>
    <row r="41" spans="1:36" ht="15">
      <c r="A41" s="16" t="s">
        <v>144</v>
      </c>
      <c r="B41" s="21">
        <v>65</v>
      </c>
      <c r="C41" s="21">
        <v>55</v>
      </c>
      <c r="D41" s="21">
        <v>76</v>
      </c>
      <c r="E41" s="21">
        <v>86</v>
      </c>
      <c r="F41" s="21">
        <v>69</v>
      </c>
      <c r="G41" s="21">
        <v>83</v>
      </c>
      <c r="H41" s="21">
        <v>110</v>
      </c>
      <c r="I41" s="26">
        <f t="array" ref="I41">(H41/INDEX($B41:$H41,1,MATCH(FALSE,ISBLANK(B41:H41),0)))^(1/INDEX($B$2:$H$2,1,MATCH(FALSE,ISBLANK(B41:H41),0)))</f>
        <v>1.0155936581071436</v>
      </c>
      <c r="J41" s="22" t="str">
        <f>_xlfn.IFNA(INDEX(saCAGRnameStd[EIW],MATCH(saCAGR[[#This Row],[Company]],saCAGRnameStd[SA CAGR],0)),saCAGR[[#This Row],[Company]])</f>
        <v>Hogan Lovells US</v>
      </c>
      <c r="K41" s="23" t="str">
        <f t="shared" si="12"/>
        <v>D</v>
      </c>
      <c r="L41" s="23" t="str">
        <f t="shared" si="13"/>
        <v>U</v>
      </c>
      <c r="M41" s="23" t="str">
        <f t="shared" si="14"/>
        <v>U</v>
      </c>
      <c r="N41" s="23" t="str">
        <f t="shared" si="15"/>
        <v>D</v>
      </c>
      <c r="O41" s="23" t="str">
        <f t="shared" si="16"/>
        <v>U</v>
      </c>
      <c r="P41" s="23" t="str">
        <f t="shared" si="17"/>
        <v>U</v>
      </c>
      <c r="Q41" s="24" t="str">
        <f>saCAGR[[#This Row],[2011 ]]&amp;saCAGR[[#This Row],[  2012 ]]</f>
        <v>DU</v>
      </c>
      <c r="R41" s="24" t="str">
        <f>saCAGR[[#This Row],[  2012 ]]&amp;saCAGR[[#This Row],[2013 ]]</f>
        <v>UU</v>
      </c>
      <c r="S41" s="24" t="str">
        <f>saCAGR[[#This Row],[2013 ]]&amp;saCAGR[[#This Row],[2014 ]]</f>
        <v>UD</v>
      </c>
      <c r="T41" s="24" t="str">
        <f>saCAGR[[#This Row],[2014 ]]&amp;saCAGR[[#This Row],[2015 ]]</f>
        <v>DU</v>
      </c>
      <c r="U41" s="24" t="str">
        <f>saCAGR[[#This Row],[2015 ]]&amp;saCAGR[[#This Row],[2016 ]]</f>
        <v>UU</v>
      </c>
      <c r="V41" s="24">
        <f>COUNTIF(saCAGR[[#This Row],[11/12 pair]:[15/16 pair]],"UD")</f>
        <v>1</v>
      </c>
      <c r="W41" s="24">
        <f>COUNTIF(saCAGR[[#This Row],[11/12 pair]:[15/16 pair]],"DU")</f>
        <v>2</v>
      </c>
      <c r="X4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1" s="24">
        <f>IFERROR(saCAGR[[#This Row],[Count of UD]]/saCAGR[[#This Row],[Total pairs]],"")</f>
        <v>0.2</v>
      </c>
      <c r="Z41" s="24">
        <f>IFERROR(saCAGR[[#This Row],[Count of DU]]/saCAGR[[#This Row],[Total pairs]],"")</f>
        <v>0.4</v>
      </c>
      <c r="AA41" s="24">
        <f>IFERROR(saCAGR[[#This Row],[% UD]]+saCAGR[[#This Row],[% DU]],"")</f>
        <v>0.60000000000000009</v>
      </c>
      <c r="AB41" s="24">
        <f>STDEV(saCAGR[[#This Row],[2010]:[2016]])</f>
        <v>17.773709852047268</v>
      </c>
      <c r="AC41" s="24">
        <f>saCAGR[[#This Row],[Standard Deviation]]^2</f>
        <v>315.90476190476215</v>
      </c>
      <c r="AD41" s="24">
        <f t="shared" si="18"/>
        <v>-21</v>
      </c>
      <c r="AE41" s="24">
        <f t="shared" si="19"/>
        <v>-10</v>
      </c>
      <c r="AF41" s="24">
        <f t="shared" si="20"/>
        <v>17</v>
      </c>
      <c r="AG41" s="24">
        <f t="shared" si="21"/>
        <v>-14</v>
      </c>
      <c r="AH41" s="24">
        <f t="shared" si="22"/>
        <v>-27</v>
      </c>
      <c r="AI41" s="24">
        <f t="shared" si="23"/>
        <v>108.98440634189285</v>
      </c>
      <c r="AJ41" s="24">
        <f>AVERAGE(saCAGR[[#This Row],[2011 Delta]:[2016 Delta]])</f>
        <v>8.9974010569821417</v>
      </c>
    </row>
    <row r="42" spans="1:36" ht="15">
      <c r="A42" s="16" t="s">
        <v>565</v>
      </c>
      <c r="B42" s="21">
        <v>26</v>
      </c>
      <c r="C42" s="21">
        <v>39</v>
      </c>
      <c r="D42" s="21">
        <v>40</v>
      </c>
      <c r="E42" s="21">
        <v>27</v>
      </c>
      <c r="F42" s="21">
        <v>23</v>
      </c>
      <c r="G42" s="21">
        <v>41</v>
      </c>
      <c r="H42" s="21">
        <v>45</v>
      </c>
      <c r="I42" s="26">
        <f t="array" ref="I42">(H42/INDEX($B42:$H42,1,MATCH(FALSE,ISBLANK(B42:H42),0)))^(1/INDEX($B$2:$H$2,1,MATCH(FALSE,ISBLANK(B42:H42),0)))</f>
        <v>1.0162651532323876</v>
      </c>
      <c r="J42" s="22" t="str">
        <f>_xlfn.IFNA(INDEX(saCAGRnameStd[EIW],MATCH(saCAGR[[#This Row],[Company]],saCAGRnameStd[SA CAGR],0)),saCAGR[[#This Row],[Company]])</f>
        <v>Holland &amp; Knight</v>
      </c>
      <c r="K42" s="23" t="str">
        <f t="shared" si="12"/>
        <v>U</v>
      </c>
      <c r="L42" s="23" t="str">
        <f t="shared" si="13"/>
        <v>U</v>
      </c>
      <c r="M42" s="23" t="str">
        <f t="shared" si="14"/>
        <v>D</v>
      </c>
      <c r="N42" s="23" t="str">
        <f t="shared" si="15"/>
        <v>D</v>
      </c>
      <c r="O42" s="23" t="str">
        <f t="shared" si="16"/>
        <v>U</v>
      </c>
      <c r="P42" s="23" t="str">
        <f t="shared" si="17"/>
        <v>U</v>
      </c>
      <c r="Q42" s="24" t="str">
        <f>saCAGR[[#This Row],[2011 ]]&amp;saCAGR[[#This Row],[  2012 ]]</f>
        <v>UU</v>
      </c>
      <c r="R42" s="24" t="str">
        <f>saCAGR[[#This Row],[  2012 ]]&amp;saCAGR[[#This Row],[2013 ]]</f>
        <v>UD</v>
      </c>
      <c r="S42" s="24" t="str">
        <f>saCAGR[[#This Row],[2013 ]]&amp;saCAGR[[#This Row],[2014 ]]</f>
        <v>DD</v>
      </c>
      <c r="T42" s="24" t="str">
        <f>saCAGR[[#This Row],[2014 ]]&amp;saCAGR[[#This Row],[2015 ]]</f>
        <v>DU</v>
      </c>
      <c r="U42" s="24" t="str">
        <f>saCAGR[[#This Row],[2015 ]]&amp;saCAGR[[#This Row],[2016 ]]</f>
        <v>UU</v>
      </c>
      <c r="V42" s="24">
        <f>COUNTIF(saCAGR[[#This Row],[11/12 pair]:[15/16 pair]],"UD")</f>
        <v>1</v>
      </c>
      <c r="W42" s="24">
        <f>COUNTIF(saCAGR[[#This Row],[11/12 pair]:[15/16 pair]],"DU")</f>
        <v>1</v>
      </c>
      <c r="X4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2" s="24">
        <f>IFERROR(saCAGR[[#This Row],[Count of UD]]/saCAGR[[#This Row],[Total pairs]],"")</f>
        <v>0.2</v>
      </c>
      <c r="Z42" s="24">
        <f>IFERROR(saCAGR[[#This Row],[Count of DU]]/saCAGR[[#This Row],[Total pairs]],"")</f>
        <v>0.2</v>
      </c>
      <c r="AA42" s="24">
        <f>IFERROR(saCAGR[[#This Row],[% UD]]+saCAGR[[#This Row],[% DU]],"")</f>
        <v>0.4</v>
      </c>
      <c r="AB42" s="24">
        <f>STDEV(saCAGR[[#This Row],[2010]:[2016]])</f>
        <v>8.7912293955802543</v>
      </c>
      <c r="AC42" s="24">
        <f>saCAGR[[#This Row],[Standard Deviation]]^2</f>
        <v>77.285714285714363</v>
      </c>
      <c r="AD42" s="24">
        <f t="shared" si="18"/>
        <v>-1</v>
      </c>
      <c r="AE42" s="24">
        <f t="shared" si="19"/>
        <v>13</v>
      </c>
      <c r="AF42" s="24">
        <f t="shared" si="20"/>
        <v>4</v>
      </c>
      <c r="AG42" s="24">
        <f t="shared" si="21"/>
        <v>-18</v>
      </c>
      <c r="AH42" s="24">
        <f t="shared" si="22"/>
        <v>-4</v>
      </c>
      <c r="AI42" s="24">
        <f t="shared" si="23"/>
        <v>43.983734846767611</v>
      </c>
      <c r="AJ42" s="24">
        <f>AVERAGE(saCAGR[[#This Row],[2011 Delta]:[2016 Delta]])</f>
        <v>6.3306224744612685</v>
      </c>
    </row>
    <row r="43" spans="1:36" ht="15">
      <c r="A43" s="16" t="s">
        <v>567</v>
      </c>
      <c r="B43" s="21">
        <v>10</v>
      </c>
      <c r="C43" s="21">
        <v>24</v>
      </c>
      <c r="D43" s="21">
        <v>35</v>
      </c>
      <c r="E43" s="21">
        <v>29</v>
      </c>
      <c r="F43" s="21">
        <v>29</v>
      </c>
      <c r="G43" s="21">
        <v>40</v>
      </c>
      <c r="H43" s="21">
        <v>35</v>
      </c>
      <c r="I43" s="26">
        <f t="array" ref="I43">(H43/INDEX($B43:$H43,1,MATCH(FALSE,ISBLANK(B43:H43),0)))^(1/INDEX($B$2:$H$2,1,MATCH(FALSE,ISBLANK(B43:H43),0)))</f>
        <v>1.0375331969402122</v>
      </c>
      <c r="J43" s="22" t="str">
        <f>_xlfn.IFNA(INDEX(saCAGRnameStd[EIW],MATCH(saCAGR[[#This Row],[Company]],saCAGRnameStd[SA CAGR],0)),saCAGR[[#This Row],[Company]])</f>
        <v>Hunton &amp; Williams</v>
      </c>
      <c r="K43" s="23" t="str">
        <f t="shared" si="12"/>
        <v>U</v>
      </c>
      <c r="L43" s="23" t="str">
        <f t="shared" si="13"/>
        <v>U</v>
      </c>
      <c r="M43" s="23" t="str">
        <f t="shared" si="14"/>
        <v>D</v>
      </c>
      <c r="N43" s="23" t="str">
        <f t="shared" si="15"/>
        <v>S</v>
      </c>
      <c r="O43" s="23" t="str">
        <f t="shared" si="16"/>
        <v>U</v>
      </c>
      <c r="P43" s="23" t="str">
        <f t="shared" si="17"/>
        <v>D</v>
      </c>
      <c r="Q43" s="24" t="str">
        <f>saCAGR[[#This Row],[2011 ]]&amp;saCAGR[[#This Row],[  2012 ]]</f>
        <v>UU</v>
      </c>
      <c r="R43" s="24" t="str">
        <f>saCAGR[[#This Row],[  2012 ]]&amp;saCAGR[[#This Row],[2013 ]]</f>
        <v>UD</v>
      </c>
      <c r="S43" s="24" t="str">
        <f>saCAGR[[#This Row],[2013 ]]&amp;saCAGR[[#This Row],[2014 ]]</f>
        <v>DS</v>
      </c>
      <c r="T43" s="24" t="str">
        <f>saCAGR[[#This Row],[2014 ]]&amp;saCAGR[[#This Row],[2015 ]]</f>
        <v>SU</v>
      </c>
      <c r="U43" s="24" t="str">
        <f>saCAGR[[#This Row],[2015 ]]&amp;saCAGR[[#This Row],[2016 ]]</f>
        <v>UD</v>
      </c>
      <c r="V43" s="24">
        <f>COUNTIF(saCAGR[[#This Row],[11/12 pair]:[15/16 pair]],"UD")</f>
        <v>2</v>
      </c>
      <c r="W43" s="24">
        <f>COUNTIF(saCAGR[[#This Row],[11/12 pair]:[15/16 pair]],"DU")</f>
        <v>0</v>
      </c>
      <c r="X4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3" s="24">
        <f>IFERROR(saCAGR[[#This Row],[Count of UD]]/saCAGR[[#This Row],[Total pairs]],"")</f>
        <v>0.4</v>
      </c>
      <c r="Z43" s="24">
        <f>IFERROR(saCAGR[[#This Row],[Count of DU]]/saCAGR[[#This Row],[Total pairs]],"")</f>
        <v>0</v>
      </c>
      <c r="AA43" s="24">
        <f>IFERROR(saCAGR[[#This Row],[% UD]]+saCAGR[[#This Row],[% DU]],"")</f>
        <v>0.4</v>
      </c>
      <c r="AB43" s="24">
        <f>STDEV(saCAGR[[#This Row],[2010]:[2016]])</f>
        <v>9.8222294045797227</v>
      </c>
      <c r="AC43" s="24">
        <f>saCAGR[[#This Row],[Standard Deviation]]^2</f>
        <v>96.476190476190538</v>
      </c>
      <c r="AD43" s="24">
        <f t="shared" si="18"/>
        <v>-11</v>
      </c>
      <c r="AE43" s="24">
        <f t="shared" si="19"/>
        <v>6</v>
      </c>
      <c r="AF43" s="24">
        <f t="shared" si="20"/>
        <v>0</v>
      </c>
      <c r="AG43" s="24">
        <f t="shared" si="21"/>
        <v>-11</v>
      </c>
      <c r="AH43" s="24">
        <f t="shared" si="22"/>
        <v>5</v>
      </c>
      <c r="AI43" s="24">
        <f t="shared" si="23"/>
        <v>33.96246680305979</v>
      </c>
      <c r="AJ43" s="24">
        <f>AVERAGE(saCAGR[[#This Row],[2011 Delta]:[2016 Delta]])</f>
        <v>3.827077800509965</v>
      </c>
    </row>
    <row r="44" spans="1:36" ht="15">
      <c r="A44" s="16" t="s">
        <v>568</v>
      </c>
      <c r="B44" s="21">
        <v>37</v>
      </c>
      <c r="C44" s="21">
        <v>29</v>
      </c>
      <c r="D44" s="21">
        <v>38</v>
      </c>
      <c r="E44" s="21">
        <v>37</v>
      </c>
      <c r="F44" s="21">
        <v>30</v>
      </c>
      <c r="G44" s="21">
        <v>24</v>
      </c>
      <c r="H44" s="21">
        <v>20</v>
      </c>
      <c r="I44" s="26">
        <f t="array" ref="I44">(H44/INDEX($B44:$H44,1,MATCH(FALSE,ISBLANK(B44:H44),0)))^(1/INDEX($B$2:$H$2,1,MATCH(FALSE,ISBLANK(B44:H44),0)))</f>
        <v>0.98206901282874803</v>
      </c>
      <c r="J44" s="22" t="str">
        <f>_xlfn.IFNA(INDEX(saCAGRnameStd[EIW],MATCH(saCAGR[[#This Row],[Company]],saCAGRnameStd[SA CAGR],0)),saCAGR[[#This Row],[Company]])</f>
        <v>Irell &amp; Manella</v>
      </c>
      <c r="K44" s="23" t="str">
        <f t="shared" si="12"/>
        <v>D</v>
      </c>
      <c r="L44" s="23" t="str">
        <f t="shared" si="13"/>
        <v>U</v>
      </c>
      <c r="M44" s="23" t="str">
        <f t="shared" si="14"/>
        <v>D</v>
      </c>
      <c r="N44" s="23" t="str">
        <f t="shared" si="15"/>
        <v>D</v>
      </c>
      <c r="O44" s="23" t="str">
        <f t="shared" si="16"/>
        <v>D</v>
      </c>
      <c r="P44" s="23" t="str">
        <f t="shared" si="17"/>
        <v>D</v>
      </c>
      <c r="Q44" s="24" t="str">
        <f>saCAGR[[#This Row],[2011 ]]&amp;saCAGR[[#This Row],[  2012 ]]</f>
        <v>DU</v>
      </c>
      <c r="R44" s="24" t="str">
        <f>saCAGR[[#This Row],[  2012 ]]&amp;saCAGR[[#This Row],[2013 ]]</f>
        <v>UD</v>
      </c>
      <c r="S44" s="24" t="str">
        <f>saCAGR[[#This Row],[2013 ]]&amp;saCAGR[[#This Row],[2014 ]]</f>
        <v>DD</v>
      </c>
      <c r="T44" s="24" t="str">
        <f>saCAGR[[#This Row],[2014 ]]&amp;saCAGR[[#This Row],[2015 ]]</f>
        <v>DD</v>
      </c>
      <c r="U44" s="24" t="str">
        <f>saCAGR[[#This Row],[2015 ]]&amp;saCAGR[[#This Row],[2016 ]]</f>
        <v>DD</v>
      </c>
      <c r="V44" s="24">
        <f>COUNTIF(saCAGR[[#This Row],[11/12 pair]:[15/16 pair]],"UD")</f>
        <v>1</v>
      </c>
      <c r="W44" s="24">
        <f>COUNTIF(saCAGR[[#This Row],[11/12 pair]:[15/16 pair]],"DU")</f>
        <v>1</v>
      </c>
      <c r="X4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4" s="24">
        <f>IFERROR(saCAGR[[#This Row],[Count of UD]]/saCAGR[[#This Row],[Total pairs]],"")</f>
        <v>0.2</v>
      </c>
      <c r="Z44" s="24">
        <f>IFERROR(saCAGR[[#This Row],[Count of DU]]/saCAGR[[#This Row],[Total pairs]],"")</f>
        <v>0.2</v>
      </c>
      <c r="AA44" s="24">
        <f>IFERROR(saCAGR[[#This Row],[% UD]]+saCAGR[[#This Row],[% DU]],"")</f>
        <v>0.4</v>
      </c>
      <c r="AB44" s="24">
        <f>STDEV(saCAGR[[#This Row],[2010]:[2016]])</f>
        <v>7.016986193380693</v>
      </c>
      <c r="AC44" s="24">
        <f>saCAGR[[#This Row],[Standard Deviation]]^2</f>
        <v>49.238095238095269</v>
      </c>
      <c r="AD44" s="24">
        <f t="shared" si="18"/>
        <v>-9</v>
      </c>
      <c r="AE44" s="24">
        <f t="shared" si="19"/>
        <v>1</v>
      </c>
      <c r="AF44" s="24">
        <f t="shared" si="20"/>
        <v>7</v>
      </c>
      <c r="AG44" s="24">
        <f t="shared" si="21"/>
        <v>6</v>
      </c>
      <c r="AH44" s="24">
        <f t="shared" si="22"/>
        <v>4</v>
      </c>
      <c r="AI44" s="24">
        <f t="shared" si="23"/>
        <v>19.017930987171251</v>
      </c>
      <c r="AJ44" s="24">
        <f>AVERAGE(saCAGR[[#This Row],[2011 Delta]:[2016 Delta]])</f>
        <v>4.6696551645285416</v>
      </c>
    </row>
    <row r="45" spans="1:36" ht="15">
      <c r="A45" s="16" t="s">
        <v>668</v>
      </c>
      <c r="B45" s="21">
        <v>18</v>
      </c>
      <c r="C45" s="21">
        <v>21</v>
      </c>
      <c r="D45" s="21">
        <v>21</v>
      </c>
      <c r="E45" s="21">
        <v>23</v>
      </c>
      <c r="F45" s="21">
        <v>17</v>
      </c>
      <c r="G45" s="21">
        <v>21</v>
      </c>
      <c r="H45" s="21">
        <v>26</v>
      </c>
      <c r="I45" s="26">
        <f t="array" ref="I45">(H45/INDEX($B45:$H45,1,MATCH(FALSE,ISBLANK(B45:H45),0)))^(1/INDEX($B$2:$H$2,1,MATCH(FALSE,ISBLANK(B45:H45),0)))</f>
        <v>1.0108741329483393</v>
      </c>
      <c r="J45" s="22" t="str">
        <f>_xlfn.IFNA(INDEX(saCAGRnameStd[EIW],MATCH(saCAGR[[#This Row],[Company]],saCAGRnameStd[SA CAGR],0)),saCAGR[[#This Row],[Company]])</f>
        <v>Jackson Walker LLP</v>
      </c>
      <c r="K45" s="23" t="str">
        <f t="shared" si="12"/>
        <v>U</v>
      </c>
      <c r="L45" s="23" t="str">
        <f t="shared" si="13"/>
        <v>S</v>
      </c>
      <c r="M45" s="23" t="str">
        <f t="shared" si="14"/>
        <v>U</v>
      </c>
      <c r="N45" s="23" t="str">
        <f t="shared" si="15"/>
        <v>D</v>
      </c>
      <c r="O45" s="23" t="str">
        <f t="shared" si="16"/>
        <v>U</v>
      </c>
      <c r="P45" s="23" t="str">
        <f t="shared" si="17"/>
        <v>U</v>
      </c>
      <c r="Q45" s="24" t="str">
        <f>saCAGR[[#This Row],[2011 ]]&amp;saCAGR[[#This Row],[  2012 ]]</f>
        <v>US</v>
      </c>
      <c r="R45" s="24" t="str">
        <f>saCAGR[[#This Row],[  2012 ]]&amp;saCAGR[[#This Row],[2013 ]]</f>
        <v>SU</v>
      </c>
      <c r="S45" s="24" t="str">
        <f>saCAGR[[#This Row],[2013 ]]&amp;saCAGR[[#This Row],[2014 ]]</f>
        <v>UD</v>
      </c>
      <c r="T45" s="24" t="str">
        <f>saCAGR[[#This Row],[2014 ]]&amp;saCAGR[[#This Row],[2015 ]]</f>
        <v>DU</v>
      </c>
      <c r="U45" s="24" t="str">
        <f>saCAGR[[#This Row],[2015 ]]&amp;saCAGR[[#This Row],[2016 ]]</f>
        <v>UU</v>
      </c>
      <c r="V45" s="24">
        <f>COUNTIF(saCAGR[[#This Row],[11/12 pair]:[15/16 pair]],"UD")</f>
        <v>1</v>
      </c>
      <c r="W45" s="24">
        <f>COUNTIF(saCAGR[[#This Row],[11/12 pair]:[15/16 pair]],"DU")</f>
        <v>1</v>
      </c>
      <c r="X4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5" s="24">
        <f>IFERROR(saCAGR[[#This Row],[Count of UD]]/saCAGR[[#This Row],[Total pairs]],"")</f>
        <v>0.2</v>
      </c>
      <c r="Z45" s="24">
        <f>IFERROR(saCAGR[[#This Row],[Count of DU]]/saCAGR[[#This Row],[Total pairs]],"")</f>
        <v>0.2</v>
      </c>
      <c r="AA45" s="24">
        <f>IFERROR(saCAGR[[#This Row],[% UD]]+saCAGR[[#This Row],[% DU]],"")</f>
        <v>0.4</v>
      </c>
      <c r="AB45" s="24">
        <f>STDEV(saCAGR[[#This Row],[2010]:[2016]])</f>
        <v>3</v>
      </c>
      <c r="AC45" s="24">
        <f>saCAGR[[#This Row],[Standard Deviation]]^2</f>
        <v>9</v>
      </c>
      <c r="AD45" s="24">
        <f t="shared" si="18"/>
        <v>0</v>
      </c>
      <c r="AE45" s="24">
        <f t="shared" si="19"/>
        <v>-2</v>
      </c>
      <c r="AF45" s="24">
        <f t="shared" si="20"/>
        <v>6</v>
      </c>
      <c r="AG45" s="24">
        <f t="shared" si="21"/>
        <v>-4</v>
      </c>
      <c r="AH45" s="24">
        <f t="shared" si="22"/>
        <v>-5</v>
      </c>
      <c r="AI45" s="24">
        <f t="shared" si="23"/>
        <v>24.989125867051662</v>
      </c>
      <c r="AJ45" s="24">
        <f>AVERAGE(saCAGR[[#This Row],[2011 Delta]:[2016 Delta]])</f>
        <v>3.3315209778419437</v>
      </c>
    </row>
    <row r="46" spans="1:36" ht="15">
      <c r="A46" s="16" t="s">
        <v>569</v>
      </c>
      <c r="B46" s="21">
        <v>30</v>
      </c>
      <c r="C46" s="21">
        <v>35</v>
      </c>
      <c r="D46" s="21">
        <v>35</v>
      </c>
      <c r="E46" s="21">
        <v>45</v>
      </c>
      <c r="F46" s="21">
        <v>33</v>
      </c>
      <c r="G46" s="21">
        <v>37</v>
      </c>
      <c r="H46" s="21">
        <v>39</v>
      </c>
      <c r="I46" s="26">
        <f t="array" ref="I46">(H46/INDEX($B46:$H46,1,MATCH(FALSE,ISBLANK(B46:H46),0)))^(1/INDEX($B$2:$H$2,1,MATCH(FALSE,ISBLANK(B46:H46),0)))</f>
        <v>1.0077464456706189</v>
      </c>
      <c r="J46" s="22" t="str">
        <f>_xlfn.IFNA(INDEX(saCAGRnameStd[EIW],MATCH(saCAGR[[#This Row],[Company]],saCAGRnameStd[SA CAGR],0)),saCAGR[[#This Row],[Company]])</f>
        <v>Jenner &amp; Block</v>
      </c>
      <c r="K46" s="23" t="str">
        <f t="shared" si="12"/>
        <v>U</v>
      </c>
      <c r="L46" s="23" t="str">
        <f t="shared" si="13"/>
        <v>S</v>
      </c>
      <c r="M46" s="23" t="str">
        <f t="shared" si="14"/>
        <v>U</v>
      </c>
      <c r="N46" s="23" t="str">
        <f t="shared" si="15"/>
        <v>D</v>
      </c>
      <c r="O46" s="23" t="str">
        <f t="shared" si="16"/>
        <v>U</v>
      </c>
      <c r="P46" s="23" t="str">
        <f t="shared" si="17"/>
        <v>U</v>
      </c>
      <c r="Q46" s="24" t="str">
        <f>saCAGR[[#This Row],[2011 ]]&amp;saCAGR[[#This Row],[  2012 ]]</f>
        <v>US</v>
      </c>
      <c r="R46" s="24" t="str">
        <f>saCAGR[[#This Row],[  2012 ]]&amp;saCAGR[[#This Row],[2013 ]]</f>
        <v>SU</v>
      </c>
      <c r="S46" s="24" t="str">
        <f>saCAGR[[#This Row],[2013 ]]&amp;saCAGR[[#This Row],[2014 ]]</f>
        <v>UD</v>
      </c>
      <c r="T46" s="24" t="str">
        <f>saCAGR[[#This Row],[2014 ]]&amp;saCAGR[[#This Row],[2015 ]]</f>
        <v>DU</v>
      </c>
      <c r="U46" s="24" t="str">
        <f>saCAGR[[#This Row],[2015 ]]&amp;saCAGR[[#This Row],[2016 ]]</f>
        <v>UU</v>
      </c>
      <c r="V46" s="24">
        <f>COUNTIF(saCAGR[[#This Row],[11/12 pair]:[15/16 pair]],"UD")</f>
        <v>1</v>
      </c>
      <c r="W46" s="24">
        <f>COUNTIF(saCAGR[[#This Row],[11/12 pair]:[15/16 pair]],"DU")</f>
        <v>1</v>
      </c>
      <c r="X4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6" s="24">
        <f>IFERROR(saCAGR[[#This Row],[Count of UD]]/saCAGR[[#This Row],[Total pairs]],"")</f>
        <v>0.2</v>
      </c>
      <c r="Z46" s="24">
        <f>IFERROR(saCAGR[[#This Row],[Count of DU]]/saCAGR[[#This Row],[Total pairs]],"")</f>
        <v>0.2</v>
      </c>
      <c r="AA46" s="24">
        <f>IFERROR(saCAGR[[#This Row],[% UD]]+saCAGR[[#This Row],[% DU]],"")</f>
        <v>0.4</v>
      </c>
      <c r="AB46" s="24">
        <f>STDEV(saCAGR[[#This Row],[2010]:[2016]])</f>
        <v>4.7858919654294096</v>
      </c>
      <c r="AC46" s="24">
        <f>saCAGR[[#This Row],[Standard Deviation]]^2</f>
        <v>22.904761904761777</v>
      </c>
      <c r="AD46" s="24">
        <f t="shared" si="18"/>
        <v>0</v>
      </c>
      <c r="AE46" s="24">
        <f t="shared" si="19"/>
        <v>-10</v>
      </c>
      <c r="AF46" s="24">
        <f t="shared" si="20"/>
        <v>12</v>
      </c>
      <c r="AG46" s="24">
        <f t="shared" si="21"/>
        <v>-4</v>
      </c>
      <c r="AH46" s="24">
        <f t="shared" si="22"/>
        <v>-2</v>
      </c>
      <c r="AI46" s="24">
        <f t="shared" si="23"/>
        <v>37.99225355432938</v>
      </c>
      <c r="AJ46" s="24">
        <f>AVERAGE(saCAGR[[#This Row],[2011 Delta]:[2016 Delta]])</f>
        <v>5.6653755923882301</v>
      </c>
    </row>
    <row r="47" spans="1:36" ht="15">
      <c r="A47" s="16" t="s">
        <v>321</v>
      </c>
      <c r="B47" s="21">
        <v>124</v>
      </c>
      <c r="C47" s="21">
        <v>166</v>
      </c>
      <c r="D47" s="21">
        <v>156</v>
      </c>
      <c r="E47" s="21">
        <v>181</v>
      </c>
      <c r="F47" s="21">
        <v>165</v>
      </c>
      <c r="G47" s="21">
        <v>158</v>
      </c>
      <c r="H47" s="21">
        <v>164</v>
      </c>
      <c r="I47" s="26">
        <f t="array" ref="I47">(H47/INDEX($B47:$H47,1,MATCH(FALSE,ISBLANK(B47:H47),0)))^(1/INDEX($B$2:$H$2,1,MATCH(FALSE,ISBLANK(B47:H47),0)))</f>
        <v>1.0082569866034281</v>
      </c>
      <c r="J47" s="22" t="str">
        <f>_xlfn.IFNA(INDEX(saCAGRnameStd[EIW],MATCH(saCAGR[[#This Row],[Company]],saCAGRnameStd[SA CAGR],0)),saCAGR[[#This Row],[Company]])</f>
        <v>Jones Day</v>
      </c>
      <c r="K47" s="23" t="str">
        <f t="shared" si="12"/>
        <v>U</v>
      </c>
      <c r="L47" s="23" t="str">
        <f t="shared" si="13"/>
        <v>D</v>
      </c>
      <c r="M47" s="23" t="str">
        <f t="shared" si="14"/>
        <v>U</v>
      </c>
      <c r="N47" s="23" t="str">
        <f t="shared" si="15"/>
        <v>D</v>
      </c>
      <c r="O47" s="23" t="str">
        <f t="shared" si="16"/>
        <v>D</v>
      </c>
      <c r="P47" s="23" t="str">
        <f t="shared" si="17"/>
        <v>U</v>
      </c>
      <c r="Q47" s="24" t="str">
        <f>saCAGR[[#This Row],[2011 ]]&amp;saCAGR[[#This Row],[  2012 ]]</f>
        <v>UD</v>
      </c>
      <c r="R47" s="24" t="str">
        <f>saCAGR[[#This Row],[  2012 ]]&amp;saCAGR[[#This Row],[2013 ]]</f>
        <v>DU</v>
      </c>
      <c r="S47" s="24" t="str">
        <f>saCAGR[[#This Row],[2013 ]]&amp;saCAGR[[#This Row],[2014 ]]</f>
        <v>UD</v>
      </c>
      <c r="T47" s="24" t="str">
        <f>saCAGR[[#This Row],[2014 ]]&amp;saCAGR[[#This Row],[2015 ]]</f>
        <v>DD</v>
      </c>
      <c r="U47" s="24" t="str">
        <f>saCAGR[[#This Row],[2015 ]]&amp;saCAGR[[#This Row],[2016 ]]</f>
        <v>DU</v>
      </c>
      <c r="V47" s="24">
        <f>COUNTIF(saCAGR[[#This Row],[11/12 pair]:[15/16 pair]],"UD")</f>
        <v>2</v>
      </c>
      <c r="W47" s="24">
        <f>COUNTIF(saCAGR[[#This Row],[11/12 pair]:[15/16 pair]],"DU")</f>
        <v>2</v>
      </c>
      <c r="X4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7" s="24">
        <f>IFERROR(saCAGR[[#This Row],[Count of UD]]/saCAGR[[#This Row],[Total pairs]],"")</f>
        <v>0.4</v>
      </c>
      <c r="Z47" s="24">
        <f>IFERROR(saCAGR[[#This Row],[Count of DU]]/saCAGR[[#This Row],[Total pairs]],"")</f>
        <v>0.4</v>
      </c>
      <c r="AA47" s="24">
        <f>IFERROR(saCAGR[[#This Row],[% UD]]+saCAGR[[#This Row],[% DU]],"")</f>
        <v>0.8</v>
      </c>
      <c r="AB47" s="24">
        <f>STDEV(saCAGR[[#This Row],[2010]:[2016]])</f>
        <v>17.458795027421615</v>
      </c>
      <c r="AC47" s="24">
        <f>saCAGR[[#This Row],[Standard Deviation]]^2</f>
        <v>304.80952380952175</v>
      </c>
      <c r="AD47" s="24">
        <f t="shared" si="18"/>
        <v>10</v>
      </c>
      <c r="AE47" s="24">
        <f t="shared" si="19"/>
        <v>-25</v>
      </c>
      <c r="AF47" s="24">
        <f t="shared" si="20"/>
        <v>16</v>
      </c>
      <c r="AG47" s="24">
        <f t="shared" si="21"/>
        <v>7</v>
      </c>
      <c r="AH47" s="24">
        <f t="shared" si="22"/>
        <v>-6</v>
      </c>
      <c r="AI47" s="24">
        <f t="shared" si="23"/>
        <v>162.99174301339656</v>
      </c>
      <c r="AJ47" s="24">
        <f>AVERAGE(saCAGR[[#This Row],[2011 Delta]:[2016 Delta]])</f>
        <v>27.498623835566093</v>
      </c>
    </row>
    <row r="48" spans="1:36" ht="15">
      <c r="A48" s="16" t="s">
        <v>269</v>
      </c>
      <c r="B48" s="21">
        <v>34</v>
      </c>
      <c r="C48" s="21">
        <v>75</v>
      </c>
      <c r="D48" s="21">
        <v>77</v>
      </c>
      <c r="E48" s="21">
        <v>83</v>
      </c>
      <c r="F48" s="21">
        <v>122</v>
      </c>
      <c r="G48" s="21">
        <v>92</v>
      </c>
      <c r="H48" s="21">
        <v>81</v>
      </c>
      <c r="I48" s="26">
        <f t="array" ref="I48">(H48/INDEX($B48:$H48,1,MATCH(FALSE,ISBLANK(B48:H48),0)))^(1/INDEX($B$2:$H$2,1,MATCH(FALSE,ISBLANK(B48:H48),0)))</f>
        <v>1.0258607522989689</v>
      </c>
      <c r="J48" s="22" t="str">
        <f>_xlfn.IFNA(INDEX(saCAGRnameStd[EIW],MATCH(saCAGR[[#This Row],[Company]],saCAGRnameStd[SA CAGR],0)),saCAGR[[#This Row],[Company]])</f>
        <v>K&amp;L Gates</v>
      </c>
      <c r="K48" s="23" t="str">
        <f t="shared" si="12"/>
        <v>U</v>
      </c>
      <c r="L48" s="23" t="str">
        <f t="shared" si="13"/>
        <v>U</v>
      </c>
      <c r="M48" s="23" t="str">
        <f t="shared" si="14"/>
        <v>U</v>
      </c>
      <c r="N48" s="23" t="str">
        <f t="shared" si="15"/>
        <v>U</v>
      </c>
      <c r="O48" s="23" t="str">
        <f t="shared" si="16"/>
        <v>D</v>
      </c>
      <c r="P48" s="23" t="str">
        <f t="shared" si="17"/>
        <v>D</v>
      </c>
      <c r="Q48" s="24" t="str">
        <f>saCAGR[[#This Row],[2011 ]]&amp;saCAGR[[#This Row],[  2012 ]]</f>
        <v>UU</v>
      </c>
      <c r="R48" s="24" t="str">
        <f>saCAGR[[#This Row],[  2012 ]]&amp;saCAGR[[#This Row],[2013 ]]</f>
        <v>UU</v>
      </c>
      <c r="S48" s="24" t="str">
        <f>saCAGR[[#This Row],[2013 ]]&amp;saCAGR[[#This Row],[2014 ]]</f>
        <v>UU</v>
      </c>
      <c r="T48" s="24" t="str">
        <f>saCAGR[[#This Row],[2014 ]]&amp;saCAGR[[#This Row],[2015 ]]</f>
        <v>UD</v>
      </c>
      <c r="U48" s="24" t="str">
        <f>saCAGR[[#This Row],[2015 ]]&amp;saCAGR[[#This Row],[2016 ]]</f>
        <v>DD</v>
      </c>
      <c r="V48" s="24">
        <f>COUNTIF(saCAGR[[#This Row],[11/12 pair]:[15/16 pair]],"UD")</f>
        <v>1</v>
      </c>
      <c r="W48" s="24">
        <f>COUNTIF(saCAGR[[#This Row],[11/12 pair]:[15/16 pair]],"DU")</f>
        <v>0</v>
      </c>
      <c r="X4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8" s="24">
        <f>IFERROR(saCAGR[[#This Row],[Count of UD]]/saCAGR[[#This Row],[Total pairs]],"")</f>
        <v>0.2</v>
      </c>
      <c r="Z48" s="24">
        <f>IFERROR(saCAGR[[#This Row],[Count of DU]]/saCAGR[[#This Row],[Total pairs]],"")</f>
        <v>0</v>
      </c>
      <c r="AA48" s="24">
        <f>IFERROR(saCAGR[[#This Row],[% UD]]+saCAGR[[#This Row],[% DU]],"")</f>
        <v>0.2</v>
      </c>
      <c r="AB48" s="24">
        <f>STDEV(saCAGR[[#This Row],[2010]:[2016]])</f>
        <v>26.031116910709905</v>
      </c>
      <c r="AC48" s="24">
        <f>saCAGR[[#This Row],[Standard Deviation]]^2</f>
        <v>677.61904761904714</v>
      </c>
      <c r="AD48" s="24">
        <f t="shared" si="18"/>
        <v>-2</v>
      </c>
      <c r="AE48" s="24">
        <f t="shared" si="19"/>
        <v>-6</v>
      </c>
      <c r="AF48" s="24">
        <f t="shared" si="20"/>
        <v>-39</v>
      </c>
      <c r="AG48" s="24">
        <f t="shared" si="21"/>
        <v>30</v>
      </c>
      <c r="AH48" s="24">
        <f t="shared" si="22"/>
        <v>11</v>
      </c>
      <c r="AI48" s="24">
        <f t="shared" si="23"/>
        <v>79.974139247701032</v>
      </c>
      <c r="AJ48" s="24">
        <f>AVERAGE(saCAGR[[#This Row],[2011 Delta]:[2016 Delta]])</f>
        <v>12.329023207950172</v>
      </c>
    </row>
    <row r="49" spans="1:36" ht="30">
      <c r="A49" s="16" t="s">
        <v>669</v>
      </c>
      <c r="B49" s="21">
        <v>21</v>
      </c>
      <c r="C49" s="21">
        <v>24</v>
      </c>
      <c r="D49" s="21">
        <v>21</v>
      </c>
      <c r="E49" s="21">
        <v>25</v>
      </c>
      <c r="F49" s="21">
        <v>14</v>
      </c>
      <c r="G49" s="21">
        <v>6</v>
      </c>
      <c r="H49" s="21">
        <v>9</v>
      </c>
      <c r="I49" s="26">
        <f t="array" ref="I49">(H49/INDEX($B49:$H49,1,MATCH(FALSE,ISBLANK(B49:H49),0)))^(1/INDEX($B$2:$H$2,1,MATCH(FALSE,ISBLANK(B49:H49),0)))</f>
        <v>0.97538742756584917</v>
      </c>
      <c r="J49" s="22" t="str">
        <f>_xlfn.IFNA(INDEX(saCAGRnameStd[EIW],MATCH(saCAGR[[#This Row],[Company]],saCAGRnameStd[SA CAGR],0)),saCAGR[[#This Row],[Company]])</f>
        <v>Kasowitz Benson Torres &amp; Friedman</v>
      </c>
      <c r="K49" s="23" t="str">
        <f t="shared" si="12"/>
        <v>U</v>
      </c>
      <c r="L49" s="23" t="str">
        <f t="shared" si="13"/>
        <v>D</v>
      </c>
      <c r="M49" s="23" t="str">
        <f t="shared" si="14"/>
        <v>U</v>
      </c>
      <c r="N49" s="23" t="str">
        <f t="shared" si="15"/>
        <v>D</v>
      </c>
      <c r="O49" s="23" t="str">
        <f t="shared" si="16"/>
        <v>D</v>
      </c>
      <c r="P49" s="23" t="str">
        <f t="shared" si="17"/>
        <v>U</v>
      </c>
      <c r="Q49" s="24" t="str">
        <f>saCAGR[[#This Row],[2011 ]]&amp;saCAGR[[#This Row],[  2012 ]]</f>
        <v>UD</v>
      </c>
      <c r="R49" s="24" t="str">
        <f>saCAGR[[#This Row],[  2012 ]]&amp;saCAGR[[#This Row],[2013 ]]</f>
        <v>DU</v>
      </c>
      <c r="S49" s="24" t="str">
        <f>saCAGR[[#This Row],[2013 ]]&amp;saCAGR[[#This Row],[2014 ]]</f>
        <v>UD</v>
      </c>
      <c r="T49" s="24" t="str">
        <f>saCAGR[[#This Row],[2014 ]]&amp;saCAGR[[#This Row],[2015 ]]</f>
        <v>DD</v>
      </c>
      <c r="U49" s="24" t="str">
        <f>saCAGR[[#This Row],[2015 ]]&amp;saCAGR[[#This Row],[2016 ]]</f>
        <v>DU</v>
      </c>
      <c r="V49" s="24">
        <f>COUNTIF(saCAGR[[#This Row],[11/12 pair]:[15/16 pair]],"UD")</f>
        <v>2</v>
      </c>
      <c r="W49" s="24">
        <f>COUNTIF(saCAGR[[#This Row],[11/12 pair]:[15/16 pair]],"DU")</f>
        <v>2</v>
      </c>
      <c r="X4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49" s="24">
        <f>IFERROR(saCAGR[[#This Row],[Count of UD]]/saCAGR[[#This Row],[Total pairs]],"")</f>
        <v>0.4</v>
      </c>
      <c r="Z49" s="24">
        <f>IFERROR(saCAGR[[#This Row],[Count of DU]]/saCAGR[[#This Row],[Total pairs]],"")</f>
        <v>0.4</v>
      </c>
      <c r="AA49" s="24">
        <f>IFERROR(saCAGR[[#This Row],[% UD]]+saCAGR[[#This Row],[% DU]],"")</f>
        <v>0.8</v>
      </c>
      <c r="AB49" s="24">
        <f>STDEV(saCAGR[[#This Row],[2010]:[2016]])</f>
        <v>7.5150642363316127</v>
      </c>
      <c r="AC49" s="24">
        <f>saCAGR[[#This Row],[Standard Deviation]]^2</f>
        <v>56.476190476190446</v>
      </c>
      <c r="AD49" s="24">
        <f t="shared" si="18"/>
        <v>3</v>
      </c>
      <c r="AE49" s="24">
        <f t="shared" si="19"/>
        <v>-4</v>
      </c>
      <c r="AF49" s="24">
        <f t="shared" si="20"/>
        <v>11</v>
      </c>
      <c r="AG49" s="24">
        <f t="shared" si="21"/>
        <v>8</v>
      </c>
      <c r="AH49" s="24">
        <f t="shared" si="22"/>
        <v>-3</v>
      </c>
      <c r="AI49" s="24">
        <f t="shared" si="23"/>
        <v>8.024612572434151</v>
      </c>
      <c r="AJ49" s="24">
        <f>AVERAGE(saCAGR[[#This Row],[2011 Delta]:[2016 Delta]])</f>
        <v>3.8374354287390253</v>
      </c>
    </row>
    <row r="50" spans="1:36" ht="30">
      <c r="A50" s="16" t="s">
        <v>571</v>
      </c>
      <c r="B50" s="21">
        <v>9</v>
      </c>
      <c r="C50" s="21">
        <v>35</v>
      </c>
      <c r="D50" s="21">
        <v>34</v>
      </c>
      <c r="E50" s="21">
        <v>35</v>
      </c>
      <c r="F50" s="21">
        <v>32</v>
      </c>
      <c r="G50" s="21">
        <v>37</v>
      </c>
      <c r="H50" s="21">
        <v>24</v>
      </c>
      <c r="I50" s="26">
        <f t="array" ref="I50">(H50/INDEX($B50:$H50,1,MATCH(FALSE,ISBLANK(B50:H50),0)))^(1/INDEX($B$2:$H$2,1,MATCH(FALSE,ISBLANK(B50:H50),0)))</f>
        <v>1.0292680506696286</v>
      </c>
      <c r="J50" s="22" t="str">
        <f>_xlfn.IFNA(INDEX(saCAGRnameStd[EIW],MATCH(saCAGR[[#This Row],[Company]],saCAGRnameStd[SA CAGR],0)),saCAGR[[#This Row],[Company]])</f>
        <v>Katten Muchin Rosenman</v>
      </c>
      <c r="K50" s="23" t="str">
        <f t="shared" si="12"/>
        <v>U</v>
      </c>
      <c r="L50" s="23" t="str">
        <f t="shared" si="13"/>
        <v>D</v>
      </c>
      <c r="M50" s="23" t="str">
        <f t="shared" si="14"/>
        <v>U</v>
      </c>
      <c r="N50" s="23" t="str">
        <f t="shared" si="15"/>
        <v>D</v>
      </c>
      <c r="O50" s="23" t="str">
        <f t="shared" si="16"/>
        <v>U</v>
      </c>
      <c r="P50" s="23" t="str">
        <f t="shared" si="17"/>
        <v>D</v>
      </c>
      <c r="Q50" s="24" t="str">
        <f>saCAGR[[#This Row],[2011 ]]&amp;saCAGR[[#This Row],[  2012 ]]</f>
        <v>UD</v>
      </c>
      <c r="R50" s="24" t="str">
        <f>saCAGR[[#This Row],[  2012 ]]&amp;saCAGR[[#This Row],[2013 ]]</f>
        <v>DU</v>
      </c>
      <c r="S50" s="24" t="str">
        <f>saCAGR[[#This Row],[2013 ]]&amp;saCAGR[[#This Row],[2014 ]]</f>
        <v>UD</v>
      </c>
      <c r="T50" s="24" t="str">
        <f>saCAGR[[#This Row],[2014 ]]&amp;saCAGR[[#This Row],[2015 ]]</f>
        <v>DU</v>
      </c>
      <c r="U50" s="24" t="str">
        <f>saCAGR[[#This Row],[2015 ]]&amp;saCAGR[[#This Row],[2016 ]]</f>
        <v>UD</v>
      </c>
      <c r="V50" s="24">
        <f>COUNTIF(saCAGR[[#This Row],[11/12 pair]:[15/16 pair]],"UD")</f>
        <v>3</v>
      </c>
      <c r="W50" s="24">
        <f>COUNTIF(saCAGR[[#This Row],[11/12 pair]:[15/16 pair]],"DU")</f>
        <v>2</v>
      </c>
      <c r="X5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0" s="24">
        <f>IFERROR(saCAGR[[#This Row],[Count of UD]]/saCAGR[[#This Row],[Total pairs]],"")</f>
        <v>0.6</v>
      </c>
      <c r="Z50" s="24">
        <f>IFERROR(saCAGR[[#This Row],[Count of DU]]/saCAGR[[#This Row],[Total pairs]],"")</f>
        <v>0.4</v>
      </c>
      <c r="AA50" s="24">
        <f>IFERROR(saCAGR[[#This Row],[% UD]]+saCAGR[[#This Row],[% DU]],"")</f>
        <v>1</v>
      </c>
      <c r="AB50" s="24">
        <f>STDEV(saCAGR[[#This Row],[2010]:[2016]])</f>
        <v>9.9474811360655959</v>
      </c>
      <c r="AC50" s="24">
        <f>saCAGR[[#This Row],[Standard Deviation]]^2</f>
        <v>98.952380952380878</v>
      </c>
      <c r="AD50" s="24">
        <f t="shared" si="18"/>
        <v>1</v>
      </c>
      <c r="AE50" s="24">
        <f t="shared" si="19"/>
        <v>-1</v>
      </c>
      <c r="AF50" s="24">
        <f t="shared" si="20"/>
        <v>3</v>
      </c>
      <c r="AG50" s="24">
        <f t="shared" si="21"/>
        <v>-5</v>
      </c>
      <c r="AH50" s="24">
        <f t="shared" si="22"/>
        <v>13</v>
      </c>
      <c r="AI50" s="24">
        <f t="shared" si="23"/>
        <v>22.970731949330371</v>
      </c>
      <c r="AJ50" s="24">
        <f>AVERAGE(saCAGR[[#This Row],[2011 Delta]:[2016 Delta]])</f>
        <v>5.6617886582217283</v>
      </c>
    </row>
    <row r="51" spans="1:36" ht="15">
      <c r="A51" s="16" t="s">
        <v>572</v>
      </c>
      <c r="B51" s="21">
        <v>13</v>
      </c>
      <c r="C51" s="21">
        <v>18</v>
      </c>
      <c r="D51" s="21">
        <v>20</v>
      </c>
      <c r="E51" s="21">
        <v>24</v>
      </c>
      <c r="F51" s="21">
        <v>16</v>
      </c>
      <c r="G51" s="21">
        <v>19</v>
      </c>
      <c r="H51" s="21">
        <v>25</v>
      </c>
      <c r="I51" s="26">
        <f t="array" ref="I51">(H51/INDEX($B51:$H51,1,MATCH(FALSE,ISBLANK(B51:H51),0)))^(1/INDEX($B$2:$H$2,1,MATCH(FALSE,ISBLANK(B51:H51),0)))</f>
        <v>1.0194192795547488</v>
      </c>
      <c r="J51" s="22" t="str">
        <f>_xlfn.IFNA(INDEX(saCAGRnameStd[EIW],MATCH(saCAGR[[#This Row],[Company]],saCAGRnameStd[SA CAGR],0)),saCAGR[[#This Row],[Company]])</f>
        <v>Kaye Scholer</v>
      </c>
      <c r="K51" s="23" t="str">
        <f t="shared" si="12"/>
        <v>U</v>
      </c>
      <c r="L51" s="23" t="str">
        <f t="shared" si="13"/>
        <v>U</v>
      </c>
      <c r="M51" s="23" t="str">
        <f t="shared" si="14"/>
        <v>U</v>
      </c>
      <c r="N51" s="23" t="str">
        <f t="shared" si="15"/>
        <v>D</v>
      </c>
      <c r="O51" s="23" t="str">
        <f t="shared" si="16"/>
        <v>U</v>
      </c>
      <c r="P51" s="23" t="str">
        <f t="shared" si="17"/>
        <v>U</v>
      </c>
      <c r="Q51" s="24" t="str">
        <f>saCAGR[[#This Row],[2011 ]]&amp;saCAGR[[#This Row],[  2012 ]]</f>
        <v>UU</v>
      </c>
      <c r="R51" s="24" t="str">
        <f>saCAGR[[#This Row],[  2012 ]]&amp;saCAGR[[#This Row],[2013 ]]</f>
        <v>UU</v>
      </c>
      <c r="S51" s="24" t="str">
        <f>saCAGR[[#This Row],[2013 ]]&amp;saCAGR[[#This Row],[2014 ]]</f>
        <v>UD</v>
      </c>
      <c r="T51" s="24" t="str">
        <f>saCAGR[[#This Row],[2014 ]]&amp;saCAGR[[#This Row],[2015 ]]</f>
        <v>DU</v>
      </c>
      <c r="U51" s="24" t="str">
        <f>saCAGR[[#This Row],[2015 ]]&amp;saCAGR[[#This Row],[2016 ]]</f>
        <v>UU</v>
      </c>
      <c r="V51" s="24">
        <f>COUNTIF(saCAGR[[#This Row],[11/12 pair]:[15/16 pair]],"UD")</f>
        <v>1</v>
      </c>
      <c r="W51" s="24">
        <f>COUNTIF(saCAGR[[#This Row],[11/12 pair]:[15/16 pair]],"DU")</f>
        <v>1</v>
      </c>
      <c r="X5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1" s="24">
        <f>IFERROR(saCAGR[[#This Row],[Count of UD]]/saCAGR[[#This Row],[Total pairs]],"")</f>
        <v>0.2</v>
      </c>
      <c r="Z51" s="24">
        <f>IFERROR(saCAGR[[#This Row],[Count of DU]]/saCAGR[[#This Row],[Total pairs]],"")</f>
        <v>0.2</v>
      </c>
      <c r="AA51" s="24">
        <f>IFERROR(saCAGR[[#This Row],[% UD]]+saCAGR[[#This Row],[% DU]],"")</f>
        <v>0.4</v>
      </c>
      <c r="AB51" s="24">
        <f>STDEV(saCAGR[[#This Row],[2010]:[2016]])</f>
        <v>4.2314018840996335</v>
      </c>
      <c r="AC51" s="24">
        <f>saCAGR[[#This Row],[Standard Deviation]]^2</f>
        <v>17.904761904761926</v>
      </c>
      <c r="AD51" s="24">
        <f t="shared" si="18"/>
        <v>-2</v>
      </c>
      <c r="AE51" s="24">
        <f t="shared" si="19"/>
        <v>-4</v>
      </c>
      <c r="AF51" s="24">
        <f t="shared" si="20"/>
        <v>8</v>
      </c>
      <c r="AG51" s="24">
        <f t="shared" si="21"/>
        <v>-3</v>
      </c>
      <c r="AH51" s="24">
        <f t="shared" si="22"/>
        <v>-6</v>
      </c>
      <c r="AI51" s="24">
        <f t="shared" si="23"/>
        <v>23.98058072044525</v>
      </c>
      <c r="AJ51" s="24">
        <f>AVERAGE(saCAGR[[#This Row],[2011 Delta]:[2016 Delta]])</f>
        <v>2.8300967867408748</v>
      </c>
    </row>
    <row r="52" spans="1:36" ht="15">
      <c r="A52" s="16" t="s">
        <v>652</v>
      </c>
      <c r="B52" s="21">
        <v>23</v>
      </c>
      <c r="C52" s="21">
        <v>24</v>
      </c>
      <c r="D52" s="21">
        <v>31</v>
      </c>
      <c r="E52" s="21">
        <v>41</v>
      </c>
      <c r="F52" s="21">
        <v>35</v>
      </c>
      <c r="G52" s="21">
        <v>46</v>
      </c>
      <c r="H52" s="21">
        <v>56</v>
      </c>
      <c r="I52" s="26">
        <f t="array" ref="I52">(H52/INDEX($B52:$H52,1,MATCH(FALSE,ISBLANK(B52:H52),0)))^(1/INDEX($B$2:$H$2,1,MATCH(FALSE,ISBLANK(B52:H52),0)))</f>
        <v>1.0265177803595402</v>
      </c>
      <c r="J52" s="22" t="str">
        <f>_xlfn.IFNA(INDEX(saCAGRnameStd[EIW],MATCH(saCAGR[[#This Row],[Company]],saCAGRnameStd[SA CAGR],0)),saCAGR[[#This Row],[Company]])</f>
        <v>King &amp; Spalding</v>
      </c>
      <c r="K52" s="23" t="str">
        <f t="shared" si="12"/>
        <v>U</v>
      </c>
      <c r="L52" s="23" t="str">
        <f t="shared" si="13"/>
        <v>U</v>
      </c>
      <c r="M52" s="23" t="str">
        <f t="shared" si="14"/>
        <v>U</v>
      </c>
      <c r="N52" s="23" t="str">
        <f t="shared" si="15"/>
        <v>D</v>
      </c>
      <c r="O52" s="23" t="str">
        <f t="shared" si="16"/>
        <v>U</v>
      </c>
      <c r="P52" s="23" t="str">
        <f t="shared" si="17"/>
        <v>U</v>
      </c>
      <c r="Q52" s="24" t="str">
        <f>saCAGR[[#This Row],[2011 ]]&amp;saCAGR[[#This Row],[  2012 ]]</f>
        <v>UU</v>
      </c>
      <c r="R52" s="24" t="str">
        <f>saCAGR[[#This Row],[  2012 ]]&amp;saCAGR[[#This Row],[2013 ]]</f>
        <v>UU</v>
      </c>
      <c r="S52" s="24" t="str">
        <f>saCAGR[[#This Row],[2013 ]]&amp;saCAGR[[#This Row],[2014 ]]</f>
        <v>UD</v>
      </c>
      <c r="T52" s="24" t="str">
        <f>saCAGR[[#This Row],[2014 ]]&amp;saCAGR[[#This Row],[2015 ]]</f>
        <v>DU</v>
      </c>
      <c r="U52" s="24" t="str">
        <f>saCAGR[[#This Row],[2015 ]]&amp;saCAGR[[#This Row],[2016 ]]</f>
        <v>UU</v>
      </c>
      <c r="V52" s="24">
        <f>COUNTIF(saCAGR[[#This Row],[11/12 pair]:[15/16 pair]],"UD")</f>
        <v>1</v>
      </c>
      <c r="W52" s="24">
        <f>COUNTIF(saCAGR[[#This Row],[11/12 pair]:[15/16 pair]],"DU")</f>
        <v>1</v>
      </c>
      <c r="X5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2" s="24">
        <f>IFERROR(saCAGR[[#This Row],[Count of UD]]/saCAGR[[#This Row],[Total pairs]],"")</f>
        <v>0.2</v>
      </c>
      <c r="Z52" s="24">
        <f>IFERROR(saCAGR[[#This Row],[Count of DU]]/saCAGR[[#This Row],[Total pairs]],"")</f>
        <v>0.2</v>
      </c>
      <c r="AA52" s="24">
        <f>IFERROR(saCAGR[[#This Row],[% UD]]+saCAGR[[#This Row],[% DU]],"")</f>
        <v>0.4</v>
      </c>
      <c r="AB52" s="24">
        <f>STDEV(saCAGR[[#This Row],[2010]:[2016]])</f>
        <v>11.984116472191335</v>
      </c>
      <c r="AC52" s="24">
        <f>saCAGR[[#This Row],[Standard Deviation]]^2</f>
        <v>143.61904761904771</v>
      </c>
      <c r="AD52" s="24">
        <f t="shared" si="18"/>
        <v>-7</v>
      </c>
      <c r="AE52" s="24">
        <f t="shared" si="19"/>
        <v>-10</v>
      </c>
      <c r="AF52" s="24">
        <f t="shared" si="20"/>
        <v>6</v>
      </c>
      <c r="AG52" s="24">
        <f t="shared" si="21"/>
        <v>-11</v>
      </c>
      <c r="AH52" s="24">
        <f t="shared" si="22"/>
        <v>-10</v>
      </c>
      <c r="AI52" s="24">
        <f t="shared" si="23"/>
        <v>54.973482219640459</v>
      </c>
      <c r="AJ52" s="24">
        <f>AVERAGE(saCAGR[[#This Row],[2011 Delta]:[2016 Delta]])</f>
        <v>3.8289137032734097</v>
      </c>
    </row>
    <row r="53" spans="1:36" ht="15">
      <c r="A53" s="16" t="s">
        <v>573</v>
      </c>
      <c r="B53" s="21">
        <v>72</v>
      </c>
      <c r="C53" s="21">
        <v>140</v>
      </c>
      <c r="D53" s="21">
        <v>166</v>
      </c>
      <c r="E53" s="21">
        <v>132</v>
      </c>
      <c r="F53" s="21">
        <v>109</v>
      </c>
      <c r="G53" s="21">
        <v>139</v>
      </c>
      <c r="H53" s="21">
        <v>165</v>
      </c>
      <c r="I53" s="26">
        <f t="array" ref="I53">(H53/INDEX($B53:$H53,1,MATCH(FALSE,ISBLANK(B53:H53),0)))^(1/INDEX($B$2:$H$2,1,MATCH(FALSE,ISBLANK(B53:H53),0)))</f>
        <v>1.0246904523384679</v>
      </c>
      <c r="J53" s="22" t="str">
        <f>_xlfn.IFNA(INDEX(saCAGRnameStd[EIW],MATCH(saCAGR[[#This Row],[Company]],saCAGRnameStd[SA CAGR],0)),saCAGR[[#This Row],[Company]])</f>
        <v>Kirkland &amp; Ellis</v>
      </c>
      <c r="K53" s="23" t="str">
        <f t="shared" si="12"/>
        <v>U</v>
      </c>
      <c r="L53" s="23" t="str">
        <f t="shared" si="13"/>
        <v>U</v>
      </c>
      <c r="M53" s="23" t="str">
        <f t="shared" si="14"/>
        <v>D</v>
      </c>
      <c r="N53" s="23" t="str">
        <f t="shared" si="15"/>
        <v>D</v>
      </c>
      <c r="O53" s="23" t="str">
        <f t="shared" si="16"/>
        <v>U</v>
      </c>
      <c r="P53" s="23" t="str">
        <f t="shared" si="17"/>
        <v>U</v>
      </c>
      <c r="Q53" s="24" t="str">
        <f>saCAGR[[#This Row],[2011 ]]&amp;saCAGR[[#This Row],[  2012 ]]</f>
        <v>UU</v>
      </c>
      <c r="R53" s="24" t="str">
        <f>saCAGR[[#This Row],[  2012 ]]&amp;saCAGR[[#This Row],[2013 ]]</f>
        <v>UD</v>
      </c>
      <c r="S53" s="24" t="str">
        <f>saCAGR[[#This Row],[2013 ]]&amp;saCAGR[[#This Row],[2014 ]]</f>
        <v>DD</v>
      </c>
      <c r="T53" s="24" t="str">
        <f>saCAGR[[#This Row],[2014 ]]&amp;saCAGR[[#This Row],[2015 ]]</f>
        <v>DU</v>
      </c>
      <c r="U53" s="24" t="str">
        <f>saCAGR[[#This Row],[2015 ]]&amp;saCAGR[[#This Row],[2016 ]]</f>
        <v>UU</v>
      </c>
      <c r="V53" s="24">
        <f>COUNTIF(saCAGR[[#This Row],[11/12 pair]:[15/16 pair]],"UD")</f>
        <v>1</v>
      </c>
      <c r="W53" s="24">
        <f>COUNTIF(saCAGR[[#This Row],[11/12 pair]:[15/16 pair]],"DU")</f>
        <v>1</v>
      </c>
      <c r="X5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3" s="24">
        <f>IFERROR(saCAGR[[#This Row],[Count of UD]]/saCAGR[[#This Row],[Total pairs]],"")</f>
        <v>0.2</v>
      </c>
      <c r="Z53" s="24">
        <f>IFERROR(saCAGR[[#This Row],[Count of DU]]/saCAGR[[#This Row],[Total pairs]],"")</f>
        <v>0.2</v>
      </c>
      <c r="AA53" s="24">
        <f>IFERROR(saCAGR[[#This Row],[% UD]]+saCAGR[[#This Row],[% DU]],"")</f>
        <v>0.4</v>
      </c>
      <c r="AB53" s="24">
        <f>STDEV(saCAGR[[#This Row],[2010]:[2016]])</f>
        <v>32.880736870436124</v>
      </c>
      <c r="AC53" s="24">
        <f>saCAGR[[#This Row],[Standard Deviation]]^2</f>
        <v>1081.1428571428576</v>
      </c>
      <c r="AD53" s="24">
        <f t="shared" si="18"/>
        <v>-26</v>
      </c>
      <c r="AE53" s="24">
        <f t="shared" si="19"/>
        <v>34</v>
      </c>
      <c r="AF53" s="24">
        <f t="shared" si="20"/>
        <v>23</v>
      </c>
      <c r="AG53" s="24">
        <f t="shared" si="21"/>
        <v>-30</v>
      </c>
      <c r="AH53" s="24">
        <f t="shared" si="22"/>
        <v>-26</v>
      </c>
      <c r="AI53" s="24">
        <f t="shared" si="23"/>
        <v>163.97530954766154</v>
      </c>
      <c r="AJ53" s="24">
        <f>AVERAGE(saCAGR[[#This Row],[2011 Delta]:[2016 Delta]])</f>
        <v>23.162551591276923</v>
      </c>
    </row>
    <row r="54" spans="1:36" ht="30">
      <c r="A54" s="16" t="s">
        <v>574</v>
      </c>
      <c r="B54" s="21">
        <v>19</v>
      </c>
      <c r="C54" s="21">
        <v>15</v>
      </c>
      <c r="D54" s="21">
        <v>18</v>
      </c>
      <c r="E54" s="21">
        <v>20</v>
      </c>
      <c r="F54" s="21">
        <v>16</v>
      </c>
      <c r="G54" s="21">
        <v>15</v>
      </c>
      <c r="H54" s="21">
        <v>15</v>
      </c>
      <c r="I54" s="26">
        <f t="array" ref="I54">(H54/INDEX($B54:$H54,1,MATCH(FALSE,ISBLANK(B54:H54),0)))^(1/INDEX($B$2:$H$2,1,MATCH(FALSE,ISBLANK(B54:H54),0)))</f>
        <v>0.99307150236489694</v>
      </c>
      <c r="J54" s="22" t="str">
        <f>_xlfn.IFNA(INDEX(saCAGRnameStd[EIW],MATCH(saCAGR[[#This Row],[Company]],saCAGRnameStd[SA CAGR],0)),saCAGR[[#This Row],[Company]])</f>
        <v>Kramer Levin Naftalis &amp; Frankel</v>
      </c>
      <c r="K54" s="23" t="str">
        <f t="shared" si="12"/>
        <v>D</v>
      </c>
      <c r="L54" s="23" t="str">
        <f t="shared" si="13"/>
        <v>U</v>
      </c>
      <c r="M54" s="23" t="str">
        <f t="shared" si="14"/>
        <v>U</v>
      </c>
      <c r="N54" s="23" t="str">
        <f t="shared" si="15"/>
        <v>D</v>
      </c>
      <c r="O54" s="23" t="str">
        <f t="shared" si="16"/>
        <v>D</v>
      </c>
      <c r="P54" s="23" t="str">
        <f t="shared" si="17"/>
        <v>S</v>
      </c>
      <c r="Q54" s="24" t="str">
        <f>saCAGR[[#This Row],[2011 ]]&amp;saCAGR[[#This Row],[  2012 ]]</f>
        <v>DU</v>
      </c>
      <c r="R54" s="24" t="str">
        <f>saCAGR[[#This Row],[  2012 ]]&amp;saCAGR[[#This Row],[2013 ]]</f>
        <v>UU</v>
      </c>
      <c r="S54" s="24" t="str">
        <f>saCAGR[[#This Row],[2013 ]]&amp;saCAGR[[#This Row],[2014 ]]</f>
        <v>UD</v>
      </c>
      <c r="T54" s="24" t="str">
        <f>saCAGR[[#This Row],[2014 ]]&amp;saCAGR[[#This Row],[2015 ]]</f>
        <v>DD</v>
      </c>
      <c r="U54" s="24" t="str">
        <f>saCAGR[[#This Row],[2015 ]]&amp;saCAGR[[#This Row],[2016 ]]</f>
        <v>DS</v>
      </c>
      <c r="V54" s="24">
        <f>COUNTIF(saCAGR[[#This Row],[11/12 pair]:[15/16 pair]],"UD")</f>
        <v>1</v>
      </c>
      <c r="W54" s="24">
        <f>COUNTIF(saCAGR[[#This Row],[11/12 pair]:[15/16 pair]],"DU")</f>
        <v>1</v>
      </c>
      <c r="X5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4" s="24">
        <f>IFERROR(saCAGR[[#This Row],[Count of UD]]/saCAGR[[#This Row],[Total pairs]],"")</f>
        <v>0.2</v>
      </c>
      <c r="Z54" s="24">
        <f>IFERROR(saCAGR[[#This Row],[Count of DU]]/saCAGR[[#This Row],[Total pairs]],"")</f>
        <v>0.2</v>
      </c>
      <c r="AA54" s="24">
        <f>IFERROR(saCAGR[[#This Row],[% UD]]+saCAGR[[#This Row],[% DU]],"")</f>
        <v>0.4</v>
      </c>
      <c r="AB54" s="24">
        <f>STDEV(saCAGR[[#This Row],[2010]:[2016]])</f>
        <v>2.1157009420498167</v>
      </c>
      <c r="AC54" s="24">
        <f>saCAGR[[#This Row],[Standard Deviation]]^2</f>
        <v>4.4761904761904816</v>
      </c>
      <c r="AD54" s="24">
        <f t="shared" si="18"/>
        <v>-3</v>
      </c>
      <c r="AE54" s="24">
        <f t="shared" si="19"/>
        <v>-2</v>
      </c>
      <c r="AF54" s="24">
        <f t="shared" si="20"/>
        <v>4</v>
      </c>
      <c r="AG54" s="24">
        <f t="shared" si="21"/>
        <v>1</v>
      </c>
      <c r="AH54" s="24">
        <f t="shared" si="22"/>
        <v>0</v>
      </c>
      <c r="AI54" s="24">
        <f t="shared" si="23"/>
        <v>14.006928497635103</v>
      </c>
      <c r="AJ54" s="24">
        <f>AVERAGE(saCAGR[[#This Row],[2011 Delta]:[2016 Delta]])</f>
        <v>2.3344880829391839</v>
      </c>
    </row>
    <row r="55" spans="1:36" ht="15">
      <c r="A55" s="16" t="s">
        <v>575</v>
      </c>
      <c r="B55" s="21">
        <v>110</v>
      </c>
      <c r="C55" s="21">
        <v>168</v>
      </c>
      <c r="D55" s="21">
        <v>122</v>
      </c>
      <c r="E55" s="21">
        <v>148</v>
      </c>
      <c r="F55" s="21">
        <v>162</v>
      </c>
      <c r="G55" s="21">
        <v>182</v>
      </c>
      <c r="H55" s="21">
        <v>202</v>
      </c>
      <c r="I55" s="26">
        <f t="array" ref="I55">(H55/INDEX($B55:$H55,1,MATCH(FALSE,ISBLANK(B55:H55),0)))^(1/INDEX($B$2:$H$2,1,MATCH(FALSE,ISBLANK(B55:H55),0)))</f>
        <v>1.0180368317639257</v>
      </c>
      <c r="J55" s="22" t="str">
        <f>_xlfn.IFNA(INDEX(saCAGRnameStd[EIW],MATCH(saCAGR[[#This Row],[Company]],saCAGRnameStd[SA CAGR],0)),saCAGR[[#This Row],[Company]])</f>
        <v>Latham &amp; Watkins</v>
      </c>
      <c r="K55" s="23" t="str">
        <f t="shared" si="12"/>
        <v>U</v>
      </c>
      <c r="L55" s="23" t="str">
        <f t="shared" si="13"/>
        <v>D</v>
      </c>
      <c r="M55" s="23" t="str">
        <f t="shared" si="14"/>
        <v>U</v>
      </c>
      <c r="N55" s="23" t="str">
        <f t="shared" si="15"/>
        <v>U</v>
      </c>
      <c r="O55" s="23" t="str">
        <f t="shared" si="16"/>
        <v>U</v>
      </c>
      <c r="P55" s="23" t="str">
        <f t="shared" si="17"/>
        <v>U</v>
      </c>
      <c r="Q55" s="24" t="str">
        <f>saCAGR[[#This Row],[2011 ]]&amp;saCAGR[[#This Row],[  2012 ]]</f>
        <v>UD</v>
      </c>
      <c r="R55" s="24" t="str">
        <f>saCAGR[[#This Row],[  2012 ]]&amp;saCAGR[[#This Row],[2013 ]]</f>
        <v>DU</v>
      </c>
      <c r="S55" s="24" t="str">
        <f>saCAGR[[#This Row],[2013 ]]&amp;saCAGR[[#This Row],[2014 ]]</f>
        <v>UU</v>
      </c>
      <c r="T55" s="24" t="str">
        <f>saCAGR[[#This Row],[2014 ]]&amp;saCAGR[[#This Row],[2015 ]]</f>
        <v>UU</v>
      </c>
      <c r="U55" s="24" t="str">
        <f>saCAGR[[#This Row],[2015 ]]&amp;saCAGR[[#This Row],[2016 ]]</f>
        <v>UU</v>
      </c>
      <c r="V55" s="24">
        <f>COUNTIF(saCAGR[[#This Row],[11/12 pair]:[15/16 pair]],"UD")</f>
        <v>1</v>
      </c>
      <c r="W55" s="24">
        <f>COUNTIF(saCAGR[[#This Row],[11/12 pair]:[15/16 pair]],"DU")</f>
        <v>1</v>
      </c>
      <c r="X5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5" s="24">
        <f>IFERROR(saCAGR[[#This Row],[Count of UD]]/saCAGR[[#This Row],[Total pairs]],"")</f>
        <v>0.2</v>
      </c>
      <c r="Z55" s="24">
        <f>IFERROR(saCAGR[[#This Row],[Count of DU]]/saCAGR[[#This Row],[Total pairs]],"")</f>
        <v>0.2</v>
      </c>
      <c r="AA55" s="24">
        <f>IFERROR(saCAGR[[#This Row],[% UD]]+saCAGR[[#This Row],[% DU]],"")</f>
        <v>0.4</v>
      </c>
      <c r="AB55" s="24">
        <f>STDEV(saCAGR[[#This Row],[2010]:[2016]])</f>
        <v>32.422802088007394</v>
      </c>
      <c r="AC55" s="24">
        <f>saCAGR[[#This Row],[Standard Deviation]]^2</f>
        <v>1051.2380952380965</v>
      </c>
      <c r="AD55" s="24">
        <f t="shared" si="18"/>
        <v>46</v>
      </c>
      <c r="AE55" s="24">
        <f t="shared" si="19"/>
        <v>-26</v>
      </c>
      <c r="AF55" s="24">
        <f t="shared" si="20"/>
        <v>-14</v>
      </c>
      <c r="AG55" s="24">
        <f t="shared" si="21"/>
        <v>-20</v>
      </c>
      <c r="AH55" s="24">
        <f t="shared" si="22"/>
        <v>-20</v>
      </c>
      <c r="AI55" s="24">
        <f t="shared" si="23"/>
        <v>200.98196316823606</v>
      </c>
      <c r="AJ55" s="24">
        <f>AVERAGE(saCAGR[[#This Row],[2011 Delta]:[2016 Delta]])</f>
        <v>27.830327194706012</v>
      </c>
    </row>
    <row r="56" spans="1:36" ht="15">
      <c r="A56" s="16" t="s">
        <v>286</v>
      </c>
      <c r="B56" s="21">
        <v>23</v>
      </c>
      <c r="C56" s="21">
        <v>25</v>
      </c>
      <c r="D56" s="21">
        <v>32</v>
      </c>
      <c r="E56" s="21">
        <v>23</v>
      </c>
      <c r="F56" s="21">
        <v>24</v>
      </c>
      <c r="G56" s="21">
        <v>25</v>
      </c>
      <c r="H56" s="21">
        <v>20</v>
      </c>
      <c r="I56" s="26">
        <f t="array" ref="I56">(H56/INDEX($B56:$H56,1,MATCH(FALSE,ISBLANK(B56:H56),0)))^(1/INDEX($B$2:$H$2,1,MATCH(FALSE,ISBLANK(B56:H56),0)))</f>
        <v>0.99589779177402582</v>
      </c>
      <c r="J56" s="22" t="str">
        <f>_xlfn.IFNA(INDEX(saCAGRnameStd[EIW],MATCH(saCAGR[[#This Row],[Company]],saCAGRnameStd[SA CAGR],0)),saCAGR[[#This Row],[Company]])</f>
        <v>Linklaters</v>
      </c>
      <c r="K56" s="23" t="str">
        <f t="shared" si="12"/>
        <v>U</v>
      </c>
      <c r="L56" s="23" t="str">
        <f t="shared" si="13"/>
        <v>U</v>
      </c>
      <c r="M56" s="23" t="str">
        <f t="shared" si="14"/>
        <v>D</v>
      </c>
      <c r="N56" s="23" t="str">
        <f t="shared" si="15"/>
        <v>U</v>
      </c>
      <c r="O56" s="23" t="str">
        <f t="shared" si="16"/>
        <v>U</v>
      </c>
      <c r="P56" s="23" t="str">
        <f t="shared" si="17"/>
        <v>D</v>
      </c>
      <c r="Q56" s="24" t="str">
        <f>saCAGR[[#This Row],[2011 ]]&amp;saCAGR[[#This Row],[  2012 ]]</f>
        <v>UU</v>
      </c>
      <c r="R56" s="24" t="str">
        <f>saCAGR[[#This Row],[  2012 ]]&amp;saCAGR[[#This Row],[2013 ]]</f>
        <v>UD</v>
      </c>
      <c r="S56" s="24" t="str">
        <f>saCAGR[[#This Row],[2013 ]]&amp;saCAGR[[#This Row],[2014 ]]</f>
        <v>DU</v>
      </c>
      <c r="T56" s="24" t="str">
        <f>saCAGR[[#This Row],[2014 ]]&amp;saCAGR[[#This Row],[2015 ]]</f>
        <v>UU</v>
      </c>
      <c r="U56" s="24" t="str">
        <f>saCAGR[[#This Row],[2015 ]]&amp;saCAGR[[#This Row],[2016 ]]</f>
        <v>UD</v>
      </c>
      <c r="V56" s="24">
        <f>COUNTIF(saCAGR[[#This Row],[11/12 pair]:[15/16 pair]],"UD")</f>
        <v>2</v>
      </c>
      <c r="W56" s="24">
        <f>COUNTIF(saCAGR[[#This Row],[11/12 pair]:[15/16 pair]],"DU")</f>
        <v>1</v>
      </c>
      <c r="X5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6" s="24">
        <f>IFERROR(saCAGR[[#This Row],[Count of UD]]/saCAGR[[#This Row],[Total pairs]],"")</f>
        <v>0.4</v>
      </c>
      <c r="Z56" s="24">
        <f>IFERROR(saCAGR[[#This Row],[Count of DU]]/saCAGR[[#This Row],[Total pairs]],"")</f>
        <v>0.2</v>
      </c>
      <c r="AA56" s="24">
        <f>IFERROR(saCAGR[[#This Row],[% UD]]+saCAGR[[#This Row],[% DU]],"")</f>
        <v>0.60000000000000009</v>
      </c>
      <c r="AB56" s="24">
        <f>STDEV(saCAGR[[#This Row],[2010]:[2016]])</f>
        <v>3.6903993847614318</v>
      </c>
      <c r="AC56" s="24">
        <f>saCAGR[[#This Row],[Standard Deviation]]^2</f>
        <v>13.619047619047555</v>
      </c>
      <c r="AD56" s="24">
        <f t="shared" si="18"/>
        <v>-7</v>
      </c>
      <c r="AE56" s="24">
        <f t="shared" si="19"/>
        <v>9</v>
      </c>
      <c r="AF56" s="24">
        <f t="shared" si="20"/>
        <v>-1</v>
      </c>
      <c r="AG56" s="24">
        <f t="shared" si="21"/>
        <v>-1</v>
      </c>
      <c r="AH56" s="24">
        <f t="shared" si="22"/>
        <v>5</v>
      </c>
      <c r="AI56" s="24">
        <f t="shared" si="23"/>
        <v>19.004102208225973</v>
      </c>
      <c r="AJ56" s="24">
        <f>AVERAGE(saCAGR[[#This Row],[2011 Delta]:[2016 Delta]])</f>
        <v>4.0006837013709955</v>
      </c>
    </row>
    <row r="57" spans="1:36" ht="15">
      <c r="A57" s="16" t="s">
        <v>577</v>
      </c>
      <c r="B57" s="21">
        <v>36</v>
      </c>
      <c r="C57" s="21">
        <v>35</v>
      </c>
      <c r="D57" s="21">
        <v>58</v>
      </c>
      <c r="E57" s="21">
        <v>71</v>
      </c>
      <c r="F57" s="21">
        <v>84</v>
      </c>
      <c r="G57" s="21">
        <v>63</v>
      </c>
      <c r="H57" s="21">
        <v>67</v>
      </c>
      <c r="I57" s="26">
        <f t="array" ref="I57">(H57/INDEX($B57:$H57,1,MATCH(FALSE,ISBLANK(B57:H57),0)))^(1/INDEX($B$2:$H$2,1,MATCH(FALSE,ISBLANK(B57:H57),0)))</f>
        <v>1.0184377282271837</v>
      </c>
      <c r="J57" s="22" t="str">
        <f>_xlfn.IFNA(INDEX(saCAGRnameStd[EIW],MATCH(saCAGR[[#This Row],[Company]],saCAGRnameStd[SA CAGR],0)),saCAGR[[#This Row],[Company]])</f>
        <v>Mayer Brown</v>
      </c>
      <c r="K57" s="23" t="str">
        <f t="shared" si="12"/>
        <v>D</v>
      </c>
      <c r="L57" s="23" t="str">
        <f t="shared" si="13"/>
        <v>U</v>
      </c>
      <c r="M57" s="23" t="str">
        <f t="shared" si="14"/>
        <v>U</v>
      </c>
      <c r="N57" s="23" t="str">
        <f t="shared" si="15"/>
        <v>U</v>
      </c>
      <c r="O57" s="23" t="str">
        <f t="shared" si="16"/>
        <v>D</v>
      </c>
      <c r="P57" s="23" t="str">
        <f t="shared" si="17"/>
        <v>U</v>
      </c>
      <c r="Q57" s="24" t="str">
        <f>saCAGR[[#This Row],[2011 ]]&amp;saCAGR[[#This Row],[  2012 ]]</f>
        <v>DU</v>
      </c>
      <c r="R57" s="24" t="str">
        <f>saCAGR[[#This Row],[  2012 ]]&amp;saCAGR[[#This Row],[2013 ]]</f>
        <v>UU</v>
      </c>
      <c r="S57" s="24" t="str">
        <f>saCAGR[[#This Row],[2013 ]]&amp;saCAGR[[#This Row],[2014 ]]</f>
        <v>UU</v>
      </c>
      <c r="T57" s="24" t="str">
        <f>saCAGR[[#This Row],[2014 ]]&amp;saCAGR[[#This Row],[2015 ]]</f>
        <v>UD</v>
      </c>
      <c r="U57" s="24" t="str">
        <f>saCAGR[[#This Row],[2015 ]]&amp;saCAGR[[#This Row],[2016 ]]</f>
        <v>DU</v>
      </c>
      <c r="V57" s="24">
        <f>COUNTIF(saCAGR[[#This Row],[11/12 pair]:[15/16 pair]],"UD")</f>
        <v>1</v>
      </c>
      <c r="W57" s="24">
        <f>COUNTIF(saCAGR[[#This Row],[11/12 pair]:[15/16 pair]],"DU")</f>
        <v>2</v>
      </c>
      <c r="X5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7" s="24">
        <f>IFERROR(saCAGR[[#This Row],[Count of UD]]/saCAGR[[#This Row],[Total pairs]],"")</f>
        <v>0.2</v>
      </c>
      <c r="Z57" s="24">
        <f>IFERROR(saCAGR[[#This Row],[Count of DU]]/saCAGR[[#This Row],[Total pairs]],"")</f>
        <v>0.4</v>
      </c>
      <c r="AA57" s="24">
        <f>IFERROR(saCAGR[[#This Row],[% UD]]+saCAGR[[#This Row],[% DU]],"")</f>
        <v>0.60000000000000009</v>
      </c>
      <c r="AB57" s="24">
        <f>STDEV(saCAGR[[#This Row],[2010]:[2016]])</f>
        <v>18.05019456431214</v>
      </c>
      <c r="AC57" s="24">
        <f>saCAGR[[#This Row],[Standard Deviation]]^2</f>
        <v>325.80952380952351</v>
      </c>
      <c r="AD57" s="24">
        <f t="shared" si="18"/>
        <v>-23</v>
      </c>
      <c r="AE57" s="24">
        <f t="shared" si="19"/>
        <v>-13</v>
      </c>
      <c r="AF57" s="24">
        <f t="shared" si="20"/>
        <v>-13</v>
      </c>
      <c r="AG57" s="24">
        <f t="shared" si="21"/>
        <v>21</v>
      </c>
      <c r="AH57" s="24">
        <f t="shared" si="22"/>
        <v>-4</v>
      </c>
      <c r="AI57" s="24">
        <f t="shared" si="23"/>
        <v>65.981562271772816</v>
      </c>
      <c r="AJ57" s="24">
        <f>AVERAGE(saCAGR[[#This Row],[2011 Delta]:[2016 Delta]])</f>
        <v>5.663593711962136</v>
      </c>
    </row>
    <row r="58" spans="1:36" ht="15">
      <c r="A58" s="16" t="s">
        <v>623</v>
      </c>
      <c r="B58" s="21"/>
      <c r="C58" s="21"/>
      <c r="D58" s="21"/>
      <c r="E58" s="21"/>
      <c r="F58" s="21">
        <v>16</v>
      </c>
      <c r="G58" s="21">
        <v>17</v>
      </c>
      <c r="H58" s="21">
        <v>22</v>
      </c>
      <c r="I58" s="26">
        <f t="array" ref="I58">(H58/INDEX($B58:$H58,1,MATCH(FALSE,ISBLANK(B58:H58),0)))^(1/INDEX($B$2:$H$2,1,MATCH(FALSE,ISBLANK(B58:H58),0)))</f>
        <v>1.0059147145726148</v>
      </c>
      <c r="J58" s="22" t="str">
        <f>_xlfn.IFNA(INDEX(saCAGRnameStd[EIW],MATCH(saCAGR[[#This Row],[Company]],saCAGRnameStd[SA CAGR],0)),saCAGR[[#This Row],[Company]])</f>
        <v>McGuireWoods LLP</v>
      </c>
      <c r="K58" s="23" t="str">
        <f t="shared" si="12"/>
        <v>-</v>
      </c>
      <c r="L58" s="23" t="str">
        <f t="shared" si="13"/>
        <v>-</v>
      </c>
      <c r="M58" s="23" t="str">
        <f t="shared" si="14"/>
        <v>-</v>
      </c>
      <c r="N58" s="23" t="str">
        <f t="shared" si="15"/>
        <v>-</v>
      </c>
      <c r="O58" s="23" t="str">
        <f t="shared" si="16"/>
        <v>U</v>
      </c>
      <c r="P58" s="23" t="str">
        <f t="shared" si="17"/>
        <v>U</v>
      </c>
      <c r="Q58" s="24" t="str">
        <f>saCAGR[[#This Row],[2011 ]]&amp;saCAGR[[#This Row],[  2012 ]]</f>
        <v>--</v>
      </c>
      <c r="R58" s="24" t="str">
        <f>saCAGR[[#This Row],[  2012 ]]&amp;saCAGR[[#This Row],[2013 ]]</f>
        <v>--</v>
      </c>
      <c r="S58" s="24" t="str">
        <f>saCAGR[[#This Row],[2013 ]]&amp;saCAGR[[#This Row],[2014 ]]</f>
        <v>--</v>
      </c>
      <c r="T58" s="24" t="str">
        <f>saCAGR[[#This Row],[2014 ]]&amp;saCAGR[[#This Row],[2015 ]]</f>
        <v>-U</v>
      </c>
      <c r="U58" s="24" t="str">
        <f>saCAGR[[#This Row],[2015 ]]&amp;saCAGR[[#This Row],[2016 ]]</f>
        <v>UU</v>
      </c>
      <c r="V58" s="24">
        <f>COUNTIF(saCAGR[[#This Row],[11/12 pair]:[15/16 pair]],"UD")</f>
        <v>0</v>
      </c>
      <c r="W58" s="24">
        <f>COUNTIF(saCAGR[[#This Row],[11/12 pair]:[15/16 pair]],"DU")</f>
        <v>0</v>
      </c>
      <c r="X58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58" s="24">
        <f>IFERROR(saCAGR[[#This Row],[Count of UD]]/saCAGR[[#This Row],[Total pairs]],"")</f>
        <v>0</v>
      </c>
      <c r="Z58" s="24">
        <f>IFERROR(saCAGR[[#This Row],[Count of DU]]/saCAGR[[#This Row],[Total pairs]],"")</f>
        <v>0</v>
      </c>
      <c r="AA58" s="24">
        <f>IFERROR(saCAGR[[#This Row],[% UD]]+saCAGR[[#This Row],[% DU]],"")</f>
        <v>0</v>
      </c>
      <c r="AB58" s="24">
        <f>STDEV(saCAGR[[#This Row],[2010]:[2016]])</f>
        <v>3.2145502536643153</v>
      </c>
      <c r="AC58" s="24">
        <f>saCAGR[[#This Row],[Standard Deviation]]^2</f>
        <v>10.333333333333314</v>
      </c>
      <c r="AD58" s="24">
        <f t="shared" si="18"/>
        <v>0</v>
      </c>
      <c r="AE58" s="24">
        <f t="shared" si="19"/>
        <v>0</v>
      </c>
      <c r="AF58" s="24">
        <f t="shared" si="20"/>
        <v>-16</v>
      </c>
      <c r="AG58" s="24">
        <f t="shared" si="21"/>
        <v>-1</v>
      </c>
      <c r="AH58" s="24">
        <f t="shared" si="22"/>
        <v>-5</v>
      </c>
      <c r="AI58" s="24">
        <f t="shared" si="23"/>
        <v>20.994085285427385</v>
      </c>
      <c r="AJ58" s="24">
        <f>AVERAGE(saCAGR[[#This Row],[2011 Delta]:[2016 Delta]])</f>
        <v>-0.16765245242876917</v>
      </c>
    </row>
    <row r="59" spans="1:36" ht="30">
      <c r="A59" s="16" t="s">
        <v>670</v>
      </c>
      <c r="B59" s="21">
        <v>20</v>
      </c>
      <c r="C59" s="21">
        <v>39</v>
      </c>
      <c r="D59" s="21">
        <v>45</v>
      </c>
      <c r="E59" s="21">
        <v>86</v>
      </c>
      <c r="F59" s="21">
        <v>47</v>
      </c>
      <c r="G59" s="21">
        <v>57</v>
      </c>
      <c r="H59" s="21">
        <v>67</v>
      </c>
      <c r="I59" s="26">
        <f t="array" ref="I59">(H59/INDEX($B59:$H59,1,MATCH(FALSE,ISBLANK(B59:H59),0)))^(1/INDEX($B$2:$H$2,1,MATCH(FALSE,ISBLANK(B59:H59),0)))</f>
        <v>1.0361973906775503</v>
      </c>
      <c r="J59" s="22" t="str">
        <f>_xlfn.IFNA(INDEX(saCAGRnameStd[EIW],MATCH(saCAGR[[#This Row],[Company]],saCAGRnameStd[SA CAGR],0)),saCAGR[[#This Row],[Company]])</f>
        <v>Milbank, Tweed, Hadley &amp; McCloy</v>
      </c>
      <c r="K59" s="23" t="str">
        <f t="shared" si="12"/>
        <v>U</v>
      </c>
      <c r="L59" s="23" t="str">
        <f t="shared" si="13"/>
        <v>U</v>
      </c>
      <c r="M59" s="23" t="str">
        <f t="shared" si="14"/>
        <v>U</v>
      </c>
      <c r="N59" s="23" t="str">
        <f t="shared" si="15"/>
        <v>D</v>
      </c>
      <c r="O59" s="23" t="str">
        <f t="shared" si="16"/>
        <v>U</v>
      </c>
      <c r="P59" s="23" t="str">
        <f t="shared" si="17"/>
        <v>U</v>
      </c>
      <c r="Q59" s="24" t="str">
        <f>saCAGR[[#This Row],[2011 ]]&amp;saCAGR[[#This Row],[  2012 ]]</f>
        <v>UU</v>
      </c>
      <c r="R59" s="24" t="str">
        <f>saCAGR[[#This Row],[  2012 ]]&amp;saCAGR[[#This Row],[2013 ]]</f>
        <v>UU</v>
      </c>
      <c r="S59" s="24" t="str">
        <f>saCAGR[[#This Row],[2013 ]]&amp;saCAGR[[#This Row],[2014 ]]</f>
        <v>UD</v>
      </c>
      <c r="T59" s="24" t="str">
        <f>saCAGR[[#This Row],[2014 ]]&amp;saCAGR[[#This Row],[2015 ]]</f>
        <v>DU</v>
      </c>
      <c r="U59" s="24" t="str">
        <f>saCAGR[[#This Row],[2015 ]]&amp;saCAGR[[#This Row],[2016 ]]</f>
        <v>UU</v>
      </c>
      <c r="V59" s="24">
        <f>COUNTIF(saCAGR[[#This Row],[11/12 pair]:[15/16 pair]],"UD")</f>
        <v>1</v>
      </c>
      <c r="W59" s="24">
        <f>COUNTIF(saCAGR[[#This Row],[11/12 pair]:[15/16 pair]],"DU")</f>
        <v>1</v>
      </c>
      <c r="X5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59" s="24">
        <f>IFERROR(saCAGR[[#This Row],[Count of UD]]/saCAGR[[#This Row],[Total pairs]],"")</f>
        <v>0.2</v>
      </c>
      <c r="Z59" s="24">
        <f>IFERROR(saCAGR[[#This Row],[Count of DU]]/saCAGR[[#This Row],[Total pairs]],"")</f>
        <v>0.2</v>
      </c>
      <c r="AA59" s="24">
        <f>IFERROR(saCAGR[[#This Row],[% UD]]+saCAGR[[#This Row],[% DU]],"")</f>
        <v>0.4</v>
      </c>
      <c r="AB59" s="24">
        <f>STDEV(saCAGR[[#This Row],[2010]:[2016]])</f>
        <v>21.101794101111743</v>
      </c>
      <c r="AC59" s="24">
        <f>saCAGR[[#This Row],[Standard Deviation]]^2</f>
        <v>445.28571428571433</v>
      </c>
      <c r="AD59" s="24">
        <f t="shared" si="18"/>
        <v>-6</v>
      </c>
      <c r="AE59" s="24">
        <f t="shared" si="19"/>
        <v>-41</v>
      </c>
      <c r="AF59" s="24">
        <f t="shared" si="20"/>
        <v>39</v>
      </c>
      <c r="AG59" s="24">
        <f t="shared" si="21"/>
        <v>-10</v>
      </c>
      <c r="AH59" s="24">
        <f t="shared" si="22"/>
        <v>-10</v>
      </c>
      <c r="AI59" s="24">
        <f t="shared" si="23"/>
        <v>65.963802609322443</v>
      </c>
      <c r="AJ59" s="24">
        <f>AVERAGE(saCAGR[[#This Row],[2011 Delta]:[2016 Delta]])</f>
        <v>6.3273004348870741</v>
      </c>
    </row>
    <row r="60" spans="1:36" ht="30">
      <c r="A60" s="16" t="s">
        <v>628</v>
      </c>
      <c r="B60" s="21"/>
      <c r="C60" s="21">
        <v>63</v>
      </c>
      <c r="D60" s="21">
        <v>69</v>
      </c>
      <c r="E60" s="21">
        <v>57</v>
      </c>
      <c r="F60" s="21">
        <v>59</v>
      </c>
      <c r="G60" s="21">
        <v>61</v>
      </c>
      <c r="H60" s="21">
        <v>62</v>
      </c>
      <c r="I60" s="26">
        <f t="array" ref="I60">(H60/INDEX($B60:$H60,1,MATCH(FALSE,ISBLANK(B60:H60),0)))^(1/INDEX($B$2:$H$2,1,MATCH(FALSE,ISBLANK(B60:H60),0)))</f>
        <v>0.99974196327548681</v>
      </c>
      <c r="J60" s="22" t="str">
        <f>_xlfn.IFNA(INDEX(saCAGRnameStd[EIW],MATCH(saCAGR[[#This Row],[Company]],saCAGRnameStd[SA CAGR],0)),saCAGR[[#This Row],[Company]])</f>
        <v>Morgan, Lewis &amp; Bockius</v>
      </c>
      <c r="K60" s="23" t="str">
        <f t="shared" si="12"/>
        <v>-</v>
      </c>
      <c r="L60" s="23" t="str">
        <f t="shared" si="13"/>
        <v>U</v>
      </c>
      <c r="M60" s="23" t="str">
        <f t="shared" si="14"/>
        <v>D</v>
      </c>
      <c r="N60" s="23" t="str">
        <f t="shared" si="15"/>
        <v>U</v>
      </c>
      <c r="O60" s="23" t="str">
        <f t="shared" si="16"/>
        <v>U</v>
      </c>
      <c r="P60" s="23" t="str">
        <f t="shared" si="17"/>
        <v>U</v>
      </c>
      <c r="Q60" s="24" t="str">
        <f>saCAGR[[#This Row],[2011 ]]&amp;saCAGR[[#This Row],[  2012 ]]</f>
        <v>-U</v>
      </c>
      <c r="R60" s="24" t="str">
        <f>saCAGR[[#This Row],[  2012 ]]&amp;saCAGR[[#This Row],[2013 ]]</f>
        <v>UD</v>
      </c>
      <c r="S60" s="24" t="str">
        <f>saCAGR[[#This Row],[2013 ]]&amp;saCAGR[[#This Row],[2014 ]]</f>
        <v>DU</v>
      </c>
      <c r="T60" s="24" t="str">
        <f>saCAGR[[#This Row],[2014 ]]&amp;saCAGR[[#This Row],[2015 ]]</f>
        <v>UU</v>
      </c>
      <c r="U60" s="24" t="str">
        <f>saCAGR[[#This Row],[2015 ]]&amp;saCAGR[[#This Row],[2016 ]]</f>
        <v>UU</v>
      </c>
      <c r="V60" s="24">
        <f>COUNTIF(saCAGR[[#This Row],[11/12 pair]:[15/16 pair]],"UD")</f>
        <v>1</v>
      </c>
      <c r="W60" s="24">
        <f>COUNTIF(saCAGR[[#This Row],[11/12 pair]:[15/16 pair]],"DU")</f>
        <v>1</v>
      </c>
      <c r="X60" s="24">
        <f>5-COUNTIF(saCAGR[[#This Row],[11/12 pair]:[15/16 pair]],"--")-COUNTIF(saCAGR[[#This Row],[11/12 pair]:[15/16 pair]],"-U")-COUNTIF(saCAGR[[#This Row],[11/12 pair]:[15/16 pair]],"-S")-COUNTIF(saCAGR[[#This Row],[11/12 pair]:[15/16 pair]],"-D")</f>
        <v>4</v>
      </c>
      <c r="Y60" s="24">
        <f>IFERROR(saCAGR[[#This Row],[Count of UD]]/saCAGR[[#This Row],[Total pairs]],"")</f>
        <v>0.25</v>
      </c>
      <c r="Z60" s="24">
        <f>IFERROR(saCAGR[[#This Row],[Count of DU]]/saCAGR[[#This Row],[Total pairs]],"")</f>
        <v>0.25</v>
      </c>
      <c r="AA60" s="24">
        <f>IFERROR(saCAGR[[#This Row],[% UD]]+saCAGR[[#This Row],[% DU]],"")</f>
        <v>0.5</v>
      </c>
      <c r="AB60" s="24">
        <f>STDEV(saCAGR[[#This Row],[2010]:[2016]])</f>
        <v>4.1190613817551522</v>
      </c>
      <c r="AC60" s="24">
        <f>saCAGR[[#This Row],[Standard Deviation]]^2</f>
        <v>16.966666666666665</v>
      </c>
      <c r="AD60" s="24">
        <f t="shared" si="18"/>
        <v>-6</v>
      </c>
      <c r="AE60" s="24">
        <f t="shared" si="19"/>
        <v>12</v>
      </c>
      <c r="AF60" s="24">
        <f t="shared" si="20"/>
        <v>-2</v>
      </c>
      <c r="AG60" s="24">
        <f t="shared" si="21"/>
        <v>-2</v>
      </c>
      <c r="AH60" s="24">
        <f t="shared" si="22"/>
        <v>-1</v>
      </c>
      <c r="AI60" s="24">
        <f t="shared" si="23"/>
        <v>61.00025803672451</v>
      </c>
      <c r="AJ60" s="24">
        <f>AVERAGE(saCAGR[[#This Row],[2011 Delta]:[2016 Delta]])</f>
        <v>10.333376339454086</v>
      </c>
    </row>
    <row r="61" spans="1:36" ht="15">
      <c r="A61" s="16" t="s">
        <v>580</v>
      </c>
      <c r="B61" s="21"/>
      <c r="C61" s="21"/>
      <c r="D61" s="21"/>
      <c r="E61" s="21"/>
      <c r="F61" s="21">
        <v>81</v>
      </c>
      <c r="G61" s="21">
        <v>88</v>
      </c>
      <c r="H61" s="21">
        <v>100</v>
      </c>
      <c r="I61" s="26">
        <f t="array" ref="I61">(H61/INDEX($B61:$H61,1,MATCH(FALSE,ISBLANK(B61:H61),0)))^(1/INDEX($B$2:$H$2,1,MATCH(FALSE,ISBLANK(B61:H61),0)))</f>
        <v>1.0039098649775466</v>
      </c>
      <c r="J61" s="22" t="str">
        <f>_xlfn.IFNA(INDEX(saCAGRnameStd[EIW],MATCH(saCAGR[[#This Row],[Company]],saCAGRnameStd[SA CAGR],0)),saCAGR[[#This Row],[Company]])</f>
        <v>Morrison &amp; Foerster</v>
      </c>
      <c r="K61" s="23" t="str">
        <f t="shared" si="12"/>
        <v>-</v>
      </c>
      <c r="L61" s="23" t="str">
        <f t="shared" si="13"/>
        <v>-</v>
      </c>
      <c r="M61" s="23" t="str">
        <f t="shared" si="14"/>
        <v>-</v>
      </c>
      <c r="N61" s="23" t="str">
        <f t="shared" si="15"/>
        <v>-</v>
      </c>
      <c r="O61" s="23" t="str">
        <f t="shared" si="16"/>
        <v>U</v>
      </c>
      <c r="P61" s="23" t="str">
        <f t="shared" si="17"/>
        <v>U</v>
      </c>
      <c r="Q61" s="24" t="str">
        <f>saCAGR[[#This Row],[2011 ]]&amp;saCAGR[[#This Row],[  2012 ]]</f>
        <v>--</v>
      </c>
      <c r="R61" s="24" t="str">
        <f>saCAGR[[#This Row],[  2012 ]]&amp;saCAGR[[#This Row],[2013 ]]</f>
        <v>--</v>
      </c>
      <c r="S61" s="24" t="str">
        <f>saCAGR[[#This Row],[2013 ]]&amp;saCAGR[[#This Row],[2014 ]]</f>
        <v>--</v>
      </c>
      <c r="T61" s="24" t="str">
        <f>saCAGR[[#This Row],[2014 ]]&amp;saCAGR[[#This Row],[2015 ]]</f>
        <v>-U</v>
      </c>
      <c r="U61" s="24" t="str">
        <f>saCAGR[[#This Row],[2015 ]]&amp;saCAGR[[#This Row],[2016 ]]</f>
        <v>UU</v>
      </c>
      <c r="V61" s="24">
        <f>COUNTIF(saCAGR[[#This Row],[11/12 pair]:[15/16 pair]],"UD")</f>
        <v>0</v>
      </c>
      <c r="W61" s="24">
        <f>COUNTIF(saCAGR[[#This Row],[11/12 pair]:[15/16 pair]],"DU")</f>
        <v>0</v>
      </c>
      <c r="X61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1" s="24">
        <f>IFERROR(saCAGR[[#This Row],[Count of UD]]/saCAGR[[#This Row],[Total pairs]],"")</f>
        <v>0</v>
      </c>
      <c r="Z61" s="24">
        <f>IFERROR(saCAGR[[#This Row],[Count of DU]]/saCAGR[[#This Row],[Total pairs]],"")</f>
        <v>0</v>
      </c>
      <c r="AA61" s="24">
        <f>IFERROR(saCAGR[[#This Row],[% UD]]+saCAGR[[#This Row],[% DU]],"")</f>
        <v>0</v>
      </c>
      <c r="AB61" s="24">
        <f>STDEV(saCAGR[[#This Row],[2010]:[2016]])</f>
        <v>9.6090235369330497</v>
      </c>
      <c r="AC61" s="24">
        <f>saCAGR[[#This Row],[Standard Deviation]]^2</f>
        <v>92.333333333333343</v>
      </c>
      <c r="AD61" s="24">
        <f t="shared" si="18"/>
        <v>0</v>
      </c>
      <c r="AE61" s="24">
        <f t="shared" si="19"/>
        <v>0</v>
      </c>
      <c r="AF61" s="24">
        <f t="shared" si="20"/>
        <v>-81</v>
      </c>
      <c r="AG61" s="24">
        <f t="shared" si="21"/>
        <v>-7</v>
      </c>
      <c r="AH61" s="24">
        <f t="shared" si="22"/>
        <v>-12</v>
      </c>
      <c r="AI61" s="24">
        <f t="shared" si="23"/>
        <v>98.996090135022456</v>
      </c>
      <c r="AJ61" s="24">
        <f>AVERAGE(saCAGR[[#This Row],[2011 Delta]:[2016 Delta]])</f>
        <v>-0.16731831082959067</v>
      </c>
    </row>
    <row r="62" spans="1:36" ht="30">
      <c r="A62" s="16" t="s">
        <v>631</v>
      </c>
      <c r="B62" s="21">
        <v>19</v>
      </c>
      <c r="C62" s="21">
        <v>27</v>
      </c>
      <c r="D62" s="21">
        <v>25</v>
      </c>
      <c r="E62" s="21">
        <v>29</v>
      </c>
      <c r="F62" s="21">
        <v>30</v>
      </c>
      <c r="G62" s="21">
        <v>32</v>
      </c>
      <c r="H62" s="21">
        <v>22</v>
      </c>
      <c r="I62" s="26">
        <f t="array" ref="I62">(H62/INDEX($B62:$H62,1,MATCH(FALSE,ISBLANK(B62:H62),0)))^(1/INDEX($B$2:$H$2,1,MATCH(FALSE,ISBLANK(B62:H62),0)))</f>
        <v>1.0043211763616207</v>
      </c>
      <c r="J62" s="22" t="str">
        <f>_xlfn.IFNA(INDEX(saCAGRnameStd[EIW],MATCH(saCAGR[[#This Row],[Company]],saCAGRnameStd[SA CAGR],0)),saCAGR[[#This Row],[Company]])</f>
        <v>Munger, Tolles &amp; Olson LLP</v>
      </c>
      <c r="K62" s="23" t="str">
        <f t="shared" si="12"/>
        <v>U</v>
      </c>
      <c r="L62" s="23" t="str">
        <f t="shared" si="13"/>
        <v>D</v>
      </c>
      <c r="M62" s="23" t="str">
        <f t="shared" si="14"/>
        <v>U</v>
      </c>
      <c r="N62" s="23" t="str">
        <f t="shared" si="15"/>
        <v>U</v>
      </c>
      <c r="O62" s="23" t="str">
        <f t="shared" si="16"/>
        <v>U</v>
      </c>
      <c r="P62" s="23" t="str">
        <f t="shared" si="17"/>
        <v>D</v>
      </c>
      <c r="Q62" s="24" t="str">
        <f>saCAGR[[#This Row],[2011 ]]&amp;saCAGR[[#This Row],[  2012 ]]</f>
        <v>UD</v>
      </c>
      <c r="R62" s="24" t="str">
        <f>saCAGR[[#This Row],[  2012 ]]&amp;saCAGR[[#This Row],[2013 ]]</f>
        <v>DU</v>
      </c>
      <c r="S62" s="24" t="str">
        <f>saCAGR[[#This Row],[2013 ]]&amp;saCAGR[[#This Row],[2014 ]]</f>
        <v>UU</v>
      </c>
      <c r="T62" s="24" t="str">
        <f>saCAGR[[#This Row],[2014 ]]&amp;saCAGR[[#This Row],[2015 ]]</f>
        <v>UU</v>
      </c>
      <c r="U62" s="24" t="str">
        <f>saCAGR[[#This Row],[2015 ]]&amp;saCAGR[[#This Row],[2016 ]]</f>
        <v>UD</v>
      </c>
      <c r="V62" s="24">
        <f>COUNTIF(saCAGR[[#This Row],[11/12 pair]:[15/16 pair]],"UD")</f>
        <v>2</v>
      </c>
      <c r="W62" s="24">
        <f>COUNTIF(saCAGR[[#This Row],[11/12 pair]:[15/16 pair]],"DU")</f>
        <v>1</v>
      </c>
      <c r="X6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62" s="24">
        <f>IFERROR(saCAGR[[#This Row],[Count of UD]]/saCAGR[[#This Row],[Total pairs]],"")</f>
        <v>0.4</v>
      </c>
      <c r="Z62" s="24">
        <f>IFERROR(saCAGR[[#This Row],[Count of DU]]/saCAGR[[#This Row],[Total pairs]],"")</f>
        <v>0.2</v>
      </c>
      <c r="AA62" s="24">
        <f>IFERROR(saCAGR[[#This Row],[% UD]]+saCAGR[[#This Row],[% DU]],"")</f>
        <v>0.60000000000000009</v>
      </c>
      <c r="AB62" s="24">
        <f>STDEV(saCAGR[[#This Row],[2010]:[2016]])</f>
        <v>4.6084807950229392</v>
      </c>
      <c r="AC62" s="24">
        <f>saCAGR[[#This Row],[Standard Deviation]]^2</f>
        <v>21.238095238095262</v>
      </c>
      <c r="AD62" s="24">
        <f t="shared" si="18"/>
        <v>2</v>
      </c>
      <c r="AE62" s="24">
        <f t="shared" si="19"/>
        <v>-4</v>
      </c>
      <c r="AF62" s="24">
        <f t="shared" si="20"/>
        <v>-1</v>
      </c>
      <c r="AG62" s="24">
        <f t="shared" si="21"/>
        <v>-2</v>
      </c>
      <c r="AH62" s="24">
        <f t="shared" si="22"/>
        <v>10</v>
      </c>
      <c r="AI62" s="24">
        <f t="shared" si="23"/>
        <v>20.995678823638379</v>
      </c>
      <c r="AJ62" s="24">
        <f>AVERAGE(saCAGR[[#This Row],[2011 Delta]:[2016 Delta]])</f>
        <v>4.3326131372730634</v>
      </c>
    </row>
    <row r="63" spans="1:36" ht="15">
      <c r="A63" s="16" t="s">
        <v>581</v>
      </c>
      <c r="B63" s="21"/>
      <c r="C63" s="21"/>
      <c r="D63" s="21"/>
      <c r="E63" s="21"/>
      <c r="F63" s="21">
        <v>27</v>
      </c>
      <c r="G63" s="21">
        <v>28</v>
      </c>
      <c r="H63" s="21">
        <v>22</v>
      </c>
      <c r="I63" s="26">
        <f t="array" ref="I63">(H63/INDEX($B63:$H63,1,MATCH(FALSE,ISBLANK(B63:H63),0)))^(1/INDEX($B$2:$H$2,1,MATCH(FALSE,ISBLANK(B63:H63),0)))</f>
        <v>0.99621469328120116</v>
      </c>
      <c r="J63" s="22" t="str">
        <f>_xlfn.IFNA(INDEX(saCAGRnameStd[EIW],MATCH(saCAGR[[#This Row],[Company]],saCAGRnameStd[SA CAGR],0)),saCAGR[[#This Row],[Company]])</f>
        <v>Nixon Peabody</v>
      </c>
      <c r="K63" s="23" t="str">
        <f t="shared" si="12"/>
        <v>-</v>
      </c>
      <c r="L63" s="23" t="str">
        <f t="shared" si="13"/>
        <v>-</v>
      </c>
      <c r="M63" s="23" t="str">
        <f t="shared" si="14"/>
        <v>-</v>
      </c>
      <c r="N63" s="23" t="str">
        <f t="shared" si="15"/>
        <v>-</v>
      </c>
      <c r="O63" s="23" t="str">
        <f t="shared" si="16"/>
        <v>U</v>
      </c>
      <c r="P63" s="23" t="str">
        <f t="shared" si="17"/>
        <v>D</v>
      </c>
      <c r="Q63" s="24" t="str">
        <f>saCAGR[[#This Row],[2011 ]]&amp;saCAGR[[#This Row],[  2012 ]]</f>
        <v>--</v>
      </c>
      <c r="R63" s="24" t="str">
        <f>saCAGR[[#This Row],[  2012 ]]&amp;saCAGR[[#This Row],[2013 ]]</f>
        <v>--</v>
      </c>
      <c r="S63" s="24" t="str">
        <f>saCAGR[[#This Row],[2013 ]]&amp;saCAGR[[#This Row],[2014 ]]</f>
        <v>--</v>
      </c>
      <c r="T63" s="24" t="str">
        <f>saCAGR[[#This Row],[2014 ]]&amp;saCAGR[[#This Row],[2015 ]]</f>
        <v>-U</v>
      </c>
      <c r="U63" s="24" t="str">
        <f>saCAGR[[#This Row],[2015 ]]&amp;saCAGR[[#This Row],[2016 ]]</f>
        <v>UD</v>
      </c>
      <c r="V63" s="24">
        <f>COUNTIF(saCAGR[[#This Row],[11/12 pair]:[15/16 pair]],"UD")</f>
        <v>1</v>
      </c>
      <c r="W63" s="24">
        <f>COUNTIF(saCAGR[[#This Row],[11/12 pair]:[15/16 pair]],"DU")</f>
        <v>0</v>
      </c>
      <c r="X63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3" s="24">
        <f>IFERROR(saCAGR[[#This Row],[Count of UD]]/saCAGR[[#This Row],[Total pairs]],"")</f>
        <v>1</v>
      </c>
      <c r="Z63" s="24">
        <f>IFERROR(saCAGR[[#This Row],[Count of DU]]/saCAGR[[#This Row],[Total pairs]],"")</f>
        <v>0</v>
      </c>
      <c r="AA63" s="24">
        <f>IFERROR(saCAGR[[#This Row],[% UD]]+saCAGR[[#This Row],[% DU]],"")</f>
        <v>1</v>
      </c>
      <c r="AB63" s="24">
        <f>STDEV(saCAGR[[#This Row],[2010]:[2016]])</f>
        <v>3.2145502536643242</v>
      </c>
      <c r="AC63" s="24">
        <f>saCAGR[[#This Row],[Standard Deviation]]^2</f>
        <v>10.333333333333371</v>
      </c>
      <c r="AD63" s="24">
        <f t="shared" si="18"/>
        <v>0</v>
      </c>
      <c r="AE63" s="24">
        <f t="shared" si="19"/>
        <v>0</v>
      </c>
      <c r="AF63" s="24">
        <f t="shared" si="20"/>
        <v>-27</v>
      </c>
      <c r="AG63" s="24">
        <f t="shared" si="21"/>
        <v>-1</v>
      </c>
      <c r="AH63" s="24">
        <f t="shared" si="22"/>
        <v>6</v>
      </c>
      <c r="AI63" s="24">
        <f t="shared" si="23"/>
        <v>21.0037853067188</v>
      </c>
      <c r="AJ63" s="24">
        <f>AVERAGE(saCAGR[[#This Row],[2011 Delta]:[2016 Delta]])</f>
        <v>-0.1660357822135333</v>
      </c>
    </row>
    <row r="64" spans="1:36" ht="30">
      <c r="A64" s="16" t="s">
        <v>671</v>
      </c>
      <c r="B64" s="21"/>
      <c r="C64" s="21"/>
      <c r="D64" s="21"/>
      <c r="E64" s="21"/>
      <c r="F64" s="21">
        <v>6</v>
      </c>
      <c r="G64" s="21">
        <v>7</v>
      </c>
      <c r="H64" s="21">
        <v>7</v>
      </c>
      <c r="I64" s="26">
        <f t="array" ref="I64">(H64/INDEX($B64:$H64,1,MATCH(FALSE,ISBLANK(B64:H64),0)))^(1/INDEX($B$2:$H$2,1,MATCH(FALSE,ISBLANK(B64:H64),0)))</f>
        <v>1.0028587205899626</v>
      </c>
      <c r="J64" s="22" t="str">
        <f>_xlfn.IFNA(INDEX(saCAGRnameStd[EIW],MATCH(saCAGR[[#This Row],[Company]],saCAGRnameStd[SA CAGR],0)),saCAGR[[#This Row],[Company]])</f>
        <v>Nutter McClennen &amp; Fish</v>
      </c>
      <c r="K64" s="23" t="str">
        <f t="shared" si="12"/>
        <v>-</v>
      </c>
      <c r="L64" s="23" t="str">
        <f t="shared" si="13"/>
        <v>-</v>
      </c>
      <c r="M64" s="23" t="str">
        <f t="shared" si="14"/>
        <v>-</v>
      </c>
      <c r="N64" s="23" t="str">
        <f t="shared" si="15"/>
        <v>-</v>
      </c>
      <c r="O64" s="23" t="str">
        <f t="shared" si="16"/>
        <v>U</v>
      </c>
      <c r="P64" s="23" t="str">
        <f t="shared" si="17"/>
        <v>S</v>
      </c>
      <c r="Q64" s="24" t="str">
        <f>saCAGR[[#This Row],[2011 ]]&amp;saCAGR[[#This Row],[  2012 ]]</f>
        <v>--</v>
      </c>
      <c r="R64" s="24" t="str">
        <f>saCAGR[[#This Row],[  2012 ]]&amp;saCAGR[[#This Row],[2013 ]]</f>
        <v>--</v>
      </c>
      <c r="S64" s="24" t="str">
        <f>saCAGR[[#This Row],[2013 ]]&amp;saCAGR[[#This Row],[2014 ]]</f>
        <v>--</v>
      </c>
      <c r="T64" s="24" t="str">
        <f>saCAGR[[#This Row],[2014 ]]&amp;saCAGR[[#This Row],[2015 ]]</f>
        <v>-U</v>
      </c>
      <c r="U64" s="24" t="str">
        <f>saCAGR[[#This Row],[2015 ]]&amp;saCAGR[[#This Row],[2016 ]]</f>
        <v>US</v>
      </c>
      <c r="V64" s="24">
        <f>COUNTIF(saCAGR[[#This Row],[11/12 pair]:[15/16 pair]],"UD")</f>
        <v>0</v>
      </c>
      <c r="W64" s="24">
        <f>COUNTIF(saCAGR[[#This Row],[11/12 pair]:[15/16 pair]],"DU")</f>
        <v>0</v>
      </c>
      <c r="X64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4" s="24">
        <f>IFERROR(saCAGR[[#This Row],[Count of UD]]/saCAGR[[#This Row],[Total pairs]],"")</f>
        <v>0</v>
      </c>
      <c r="Z64" s="24">
        <f>IFERROR(saCAGR[[#This Row],[Count of DU]]/saCAGR[[#This Row],[Total pairs]],"")</f>
        <v>0</v>
      </c>
      <c r="AA64" s="24">
        <f>IFERROR(saCAGR[[#This Row],[% UD]]+saCAGR[[#This Row],[% DU]],"")</f>
        <v>0</v>
      </c>
      <c r="AB64" s="24">
        <f>STDEV(saCAGR[[#This Row],[2010]:[2016]])</f>
        <v>0.57735026918962584</v>
      </c>
      <c r="AC64" s="24">
        <f>saCAGR[[#This Row],[Standard Deviation]]^2</f>
        <v>0.33333333333333343</v>
      </c>
      <c r="AD64" s="24">
        <f t="shared" si="18"/>
        <v>0</v>
      </c>
      <c r="AE64" s="24">
        <f t="shared" si="19"/>
        <v>0</v>
      </c>
      <c r="AF64" s="24">
        <f t="shared" si="20"/>
        <v>-6</v>
      </c>
      <c r="AG64" s="24">
        <f t="shared" si="21"/>
        <v>-1</v>
      </c>
      <c r="AH64" s="24">
        <f t="shared" si="22"/>
        <v>0</v>
      </c>
      <c r="AI64" s="24">
        <f t="shared" si="23"/>
        <v>5.9971412794100374</v>
      </c>
      <c r="AJ64" s="24">
        <f>AVERAGE(saCAGR[[#This Row],[2011 Delta]:[2016 Delta]])</f>
        <v>-0.1671431200983271</v>
      </c>
    </row>
    <row r="65" spans="1:36" ht="15">
      <c r="A65" s="16" t="s">
        <v>582</v>
      </c>
      <c r="B65" s="21"/>
      <c r="C65" s="21"/>
      <c r="D65" s="21"/>
      <c r="E65" s="21"/>
      <c r="F65" s="21">
        <v>69</v>
      </c>
      <c r="G65" s="21">
        <v>73</v>
      </c>
      <c r="H65" s="21">
        <v>92</v>
      </c>
      <c r="I65" s="26">
        <f t="array" ref="I65">(H65/INDEX($B65:$H65,1,MATCH(FALSE,ISBLANK(B65:H65),0)))^(1/INDEX($B$2:$H$2,1,MATCH(FALSE,ISBLANK(B65:H65),0)))</f>
        <v>1.0053416618593545</v>
      </c>
      <c r="J65" s="22" t="str">
        <f>_xlfn.IFNA(INDEX(saCAGRnameStd[EIW],MATCH(saCAGR[[#This Row],[Company]],saCAGRnameStd[SA CAGR],0)),saCAGR[[#This Row],[Company]])</f>
        <v>O'Melveny &amp; Myers</v>
      </c>
      <c r="K65" s="23" t="str">
        <f t="shared" si="12"/>
        <v>-</v>
      </c>
      <c r="L65" s="23" t="str">
        <f t="shared" si="13"/>
        <v>-</v>
      </c>
      <c r="M65" s="23" t="str">
        <f t="shared" si="14"/>
        <v>-</v>
      </c>
      <c r="N65" s="23" t="str">
        <f t="shared" si="15"/>
        <v>-</v>
      </c>
      <c r="O65" s="23" t="str">
        <f t="shared" si="16"/>
        <v>U</v>
      </c>
      <c r="P65" s="23" t="str">
        <f t="shared" si="17"/>
        <v>U</v>
      </c>
      <c r="Q65" s="24" t="str">
        <f>saCAGR[[#This Row],[2011 ]]&amp;saCAGR[[#This Row],[  2012 ]]</f>
        <v>--</v>
      </c>
      <c r="R65" s="24" t="str">
        <f>saCAGR[[#This Row],[  2012 ]]&amp;saCAGR[[#This Row],[2013 ]]</f>
        <v>--</v>
      </c>
      <c r="S65" s="24" t="str">
        <f>saCAGR[[#This Row],[2013 ]]&amp;saCAGR[[#This Row],[2014 ]]</f>
        <v>--</v>
      </c>
      <c r="T65" s="24" t="str">
        <f>saCAGR[[#This Row],[2014 ]]&amp;saCAGR[[#This Row],[2015 ]]</f>
        <v>-U</v>
      </c>
      <c r="U65" s="24" t="str">
        <f>saCAGR[[#This Row],[2015 ]]&amp;saCAGR[[#This Row],[2016 ]]</f>
        <v>UU</v>
      </c>
      <c r="V65" s="24">
        <f>COUNTIF(saCAGR[[#This Row],[11/12 pair]:[15/16 pair]],"UD")</f>
        <v>0</v>
      </c>
      <c r="W65" s="24">
        <f>COUNTIF(saCAGR[[#This Row],[11/12 pair]:[15/16 pair]],"DU")</f>
        <v>0</v>
      </c>
      <c r="X65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5" s="24">
        <f>IFERROR(saCAGR[[#This Row],[Count of UD]]/saCAGR[[#This Row],[Total pairs]],"")</f>
        <v>0</v>
      </c>
      <c r="Z65" s="24">
        <f>IFERROR(saCAGR[[#This Row],[Count of DU]]/saCAGR[[#This Row],[Total pairs]],"")</f>
        <v>0</v>
      </c>
      <c r="AA65" s="24">
        <f>IFERROR(saCAGR[[#This Row],[% UD]]+saCAGR[[#This Row],[% DU]],"")</f>
        <v>0</v>
      </c>
      <c r="AB65" s="24">
        <f>STDEV(saCAGR[[#This Row],[2010]:[2016]])</f>
        <v>12.288205727444508</v>
      </c>
      <c r="AC65" s="24">
        <f>saCAGR[[#This Row],[Standard Deviation]]^2</f>
        <v>151</v>
      </c>
      <c r="AD65" s="24">
        <f t="shared" si="18"/>
        <v>0</v>
      </c>
      <c r="AE65" s="24">
        <f t="shared" si="19"/>
        <v>0</v>
      </c>
      <c r="AF65" s="24">
        <f t="shared" si="20"/>
        <v>-69</v>
      </c>
      <c r="AG65" s="24">
        <f t="shared" si="21"/>
        <v>-4</v>
      </c>
      <c r="AH65" s="24">
        <f t="shared" si="22"/>
        <v>-19</v>
      </c>
      <c r="AI65" s="24">
        <f t="shared" si="23"/>
        <v>90.994658338140653</v>
      </c>
      <c r="AJ65" s="24">
        <f>AVERAGE(saCAGR[[#This Row],[2011 Delta]:[2016 Delta]])</f>
        <v>-0.16755694364322457</v>
      </c>
    </row>
    <row r="66" spans="1:36" ht="30">
      <c r="A66" s="16" t="s">
        <v>630</v>
      </c>
      <c r="B66" s="21">
        <v>28</v>
      </c>
      <c r="C66" s="21">
        <v>56</v>
      </c>
      <c r="D66" s="21">
        <v>45</v>
      </c>
      <c r="E66" s="21">
        <v>34</v>
      </c>
      <c r="F66" s="21">
        <v>40</v>
      </c>
      <c r="G66" s="21">
        <v>34</v>
      </c>
      <c r="H66" s="21">
        <v>50</v>
      </c>
      <c r="I66" s="26">
        <f t="array" ref="I66">(H66/INDEX($B66:$H66,1,MATCH(FALSE,ISBLANK(B66:H66),0)))^(1/INDEX($B$2:$H$2,1,MATCH(FALSE,ISBLANK(B66:H66),0)))</f>
        <v>1.0171997259548329</v>
      </c>
      <c r="J66" s="22" t="str">
        <f>_xlfn.IFNA(INDEX(saCAGRnameStd[EIW],MATCH(saCAGR[[#This Row],[Company]],saCAGRnameStd[SA CAGR],0)),saCAGR[[#This Row],[Company]])</f>
        <v>Orrick Herrington &amp; Sutcliffe</v>
      </c>
      <c r="K66" s="23" t="str">
        <f t="shared" ref="K66:K95" si="24">IF(B66="","-",IF(C66&gt;B66,"U",IF(C66=B66,"S","D")))</f>
        <v>U</v>
      </c>
      <c r="L66" s="23" t="str">
        <f t="shared" ref="L66:L95" si="25">IF(C66="","-",IF(D66&gt;C66,"U",IF(D66=C66,"S","D")))</f>
        <v>D</v>
      </c>
      <c r="M66" s="23" t="str">
        <f t="shared" ref="M66:M95" si="26">IF(D66="","-",IF(E66&gt;D66,"U",IF(E66=D66,"S","D")))</f>
        <v>D</v>
      </c>
      <c r="N66" s="23" t="str">
        <f t="shared" ref="N66:N95" si="27">IF(E66="","-",IF(F66&gt;E66,"U",IF(F66=E66,"S","D")))</f>
        <v>U</v>
      </c>
      <c r="O66" s="23" t="str">
        <f t="shared" ref="O66:O95" si="28">IF(F66="","-",IF(G66&gt;F66,"U",IF(G66=F66,"S","D")))</f>
        <v>D</v>
      </c>
      <c r="P66" s="23" t="str">
        <f t="shared" ref="P66:P95" si="29">IF(G66="","-",IF(H66&gt;G66,"U",IF(H66=G66,"S","D")))</f>
        <v>U</v>
      </c>
      <c r="Q66" s="24" t="str">
        <f>saCAGR[[#This Row],[2011 ]]&amp;saCAGR[[#This Row],[  2012 ]]</f>
        <v>UD</v>
      </c>
      <c r="R66" s="24" t="str">
        <f>saCAGR[[#This Row],[  2012 ]]&amp;saCAGR[[#This Row],[2013 ]]</f>
        <v>DD</v>
      </c>
      <c r="S66" s="24" t="str">
        <f>saCAGR[[#This Row],[2013 ]]&amp;saCAGR[[#This Row],[2014 ]]</f>
        <v>DU</v>
      </c>
      <c r="T66" s="24" t="str">
        <f>saCAGR[[#This Row],[2014 ]]&amp;saCAGR[[#This Row],[2015 ]]</f>
        <v>UD</v>
      </c>
      <c r="U66" s="24" t="str">
        <f>saCAGR[[#This Row],[2015 ]]&amp;saCAGR[[#This Row],[2016 ]]</f>
        <v>DU</v>
      </c>
      <c r="V66" s="24">
        <f>COUNTIF(saCAGR[[#This Row],[11/12 pair]:[15/16 pair]],"UD")</f>
        <v>2</v>
      </c>
      <c r="W66" s="24">
        <f>COUNTIF(saCAGR[[#This Row],[11/12 pair]:[15/16 pair]],"DU")</f>
        <v>2</v>
      </c>
      <c r="X6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66" s="24">
        <f>IFERROR(saCAGR[[#This Row],[Count of UD]]/saCAGR[[#This Row],[Total pairs]],"")</f>
        <v>0.4</v>
      </c>
      <c r="Z66" s="24">
        <f>IFERROR(saCAGR[[#This Row],[Count of DU]]/saCAGR[[#This Row],[Total pairs]],"")</f>
        <v>0.4</v>
      </c>
      <c r="AA66" s="24">
        <f>IFERROR(saCAGR[[#This Row],[% UD]]+saCAGR[[#This Row],[% DU]],"")</f>
        <v>0.8</v>
      </c>
      <c r="AB66" s="24">
        <f>STDEV(saCAGR[[#This Row],[2010]:[2016]])</f>
        <v>9.9163165204290102</v>
      </c>
      <c r="AC66" s="24">
        <f>saCAGR[[#This Row],[Standard Deviation]]^2</f>
        <v>98.333333333333314</v>
      </c>
      <c r="AD66" s="24">
        <f t="shared" ref="AD66:AD95" si="30">C66-D66</f>
        <v>11</v>
      </c>
      <c r="AE66" s="24">
        <f t="shared" ref="AE66:AE95" si="31">D66-E66</f>
        <v>11</v>
      </c>
      <c r="AF66" s="24">
        <f t="shared" ref="AF66:AF95" si="32">E66-F66</f>
        <v>-6</v>
      </c>
      <c r="AG66" s="24">
        <f t="shared" ref="AG66:AG95" si="33">F66-G66</f>
        <v>6</v>
      </c>
      <c r="AH66" s="24">
        <f t="shared" ref="AH66:AH95" si="34">G66-H66</f>
        <v>-16</v>
      </c>
      <c r="AI66" s="24">
        <f t="shared" ref="AI66:AI95" si="35">H66-I66</f>
        <v>48.982800274045168</v>
      </c>
      <c r="AJ66" s="24">
        <f>AVERAGE(saCAGR[[#This Row],[2011 Delta]:[2016 Delta]])</f>
        <v>9.1638000456741953</v>
      </c>
    </row>
    <row r="67" spans="1:36" ht="45">
      <c r="A67" s="16" t="s">
        <v>614</v>
      </c>
      <c r="B67" s="21">
        <v>9</v>
      </c>
      <c r="C67" s="21">
        <v>11</v>
      </c>
      <c r="D67" s="21">
        <v>9</v>
      </c>
      <c r="E67" s="21">
        <v>9</v>
      </c>
      <c r="F67" s="21">
        <v>7</v>
      </c>
      <c r="G67" s="21" t="s">
        <v>672</v>
      </c>
      <c r="H67" s="21"/>
      <c r="I67" s="26">
        <f t="array" ref="I67">(H67/INDEX($B67:$H67,1,MATCH(FALSE,ISBLANK(B67:H67),0)))^(1/INDEX($B$2:$H$2,1,MATCH(FALSE,ISBLANK(B67:H67),0)))</f>
        <v>0</v>
      </c>
      <c r="J67" s="22" t="str">
        <f>_xlfn.IFNA(INDEX(saCAGRnameStd[EIW],MATCH(saCAGR[[#This Row],[Company]],saCAGRnameStd[SA CAGR],0)),saCAGR[[#This Row],[Company]])</f>
        <v>Patterson Belknap Webb &amp; Tyler LLP</v>
      </c>
      <c r="K67" s="23" t="str">
        <f t="shared" si="24"/>
        <v>U</v>
      </c>
      <c r="L67" s="23" t="str">
        <f t="shared" si="25"/>
        <v>D</v>
      </c>
      <c r="M67" s="23" t="str">
        <f t="shared" si="26"/>
        <v>S</v>
      </c>
      <c r="N67" s="23" t="str">
        <f t="shared" si="27"/>
        <v>D</v>
      </c>
      <c r="O67" s="23" t="str">
        <f t="shared" si="28"/>
        <v>U</v>
      </c>
      <c r="P67" s="23" t="str">
        <f t="shared" si="29"/>
        <v>D</v>
      </c>
      <c r="Q67" s="24" t="str">
        <f>saCAGR[[#This Row],[2011 ]]&amp;saCAGR[[#This Row],[  2012 ]]</f>
        <v>UD</v>
      </c>
      <c r="R67" s="24" t="str">
        <f>saCAGR[[#This Row],[  2012 ]]&amp;saCAGR[[#This Row],[2013 ]]</f>
        <v>DS</v>
      </c>
      <c r="S67" s="24" t="str">
        <f>saCAGR[[#This Row],[2013 ]]&amp;saCAGR[[#This Row],[2014 ]]</f>
        <v>SD</v>
      </c>
      <c r="T67" s="24" t="str">
        <f>saCAGR[[#This Row],[2014 ]]&amp;saCAGR[[#This Row],[2015 ]]</f>
        <v>DU</v>
      </c>
      <c r="U67" s="24" t="str">
        <f>saCAGR[[#This Row],[2015 ]]&amp;saCAGR[[#This Row],[2016 ]]</f>
        <v>UD</v>
      </c>
      <c r="V67" s="24">
        <f>COUNTIF(saCAGR[[#This Row],[11/12 pair]:[15/16 pair]],"UD")</f>
        <v>2</v>
      </c>
      <c r="W67" s="24">
        <f>COUNTIF(saCAGR[[#This Row],[11/12 pair]:[15/16 pair]],"DU")</f>
        <v>1</v>
      </c>
      <c r="X6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67" s="24">
        <f>IFERROR(saCAGR[[#This Row],[Count of UD]]/saCAGR[[#This Row],[Total pairs]],"")</f>
        <v>0.4</v>
      </c>
      <c r="Z67" s="24">
        <f>IFERROR(saCAGR[[#This Row],[Count of DU]]/saCAGR[[#This Row],[Total pairs]],"")</f>
        <v>0.2</v>
      </c>
      <c r="AA67" s="24">
        <f>IFERROR(saCAGR[[#This Row],[% UD]]+saCAGR[[#This Row],[% DU]],"")</f>
        <v>0.60000000000000009</v>
      </c>
      <c r="AB67" s="24">
        <f>STDEV(saCAGR[[#This Row],[2010]:[2016]])</f>
        <v>1.4142135623730951</v>
      </c>
      <c r="AC67" s="24">
        <f>saCAGR[[#This Row],[Standard Deviation]]^2</f>
        <v>2.0000000000000004</v>
      </c>
      <c r="AD67" s="24">
        <f t="shared" si="30"/>
        <v>2</v>
      </c>
      <c r="AE67" s="24">
        <f t="shared" si="31"/>
        <v>0</v>
      </c>
      <c r="AF67" s="24">
        <f t="shared" si="32"/>
        <v>2</v>
      </c>
      <c r="AG67" s="24" t="e">
        <f t="shared" si="33"/>
        <v>#VALUE!</v>
      </c>
      <c r="AH67" s="24" t="e">
        <f t="shared" si="34"/>
        <v>#VALUE!</v>
      </c>
      <c r="AI67" s="24">
        <f t="shared" si="35"/>
        <v>0</v>
      </c>
      <c r="AJ67" s="24" t="e">
        <f>AVERAGE(saCAGR[[#This Row],[2011 Delta]:[2016 Delta]])</f>
        <v>#VALUE!</v>
      </c>
    </row>
    <row r="68" spans="1:36" ht="15">
      <c r="A68" s="16" t="s">
        <v>583</v>
      </c>
      <c r="B68" s="21"/>
      <c r="C68" s="21"/>
      <c r="D68" s="21"/>
      <c r="E68" s="21"/>
      <c r="F68" s="21">
        <v>63</v>
      </c>
      <c r="G68" s="21">
        <v>69</v>
      </c>
      <c r="H68" s="21">
        <v>132</v>
      </c>
      <c r="I68" s="26">
        <f t="array" ref="I68">(H68/INDEX($B68:$H68,1,MATCH(FALSE,ISBLANK(B68:H68),0)))^(1/INDEX($B$2:$H$2,1,MATCH(FALSE,ISBLANK(B68:H68),0)))</f>
        <v>1.0137917817793485</v>
      </c>
      <c r="J68" s="22" t="str">
        <f>_xlfn.IFNA(INDEX(saCAGRnameStd[EIW],MATCH(saCAGR[[#This Row],[Company]],saCAGRnameStd[SA CAGR],0)),saCAGR[[#This Row],[Company]])</f>
        <v>Paul Hastings</v>
      </c>
      <c r="K68" s="23" t="str">
        <f t="shared" si="24"/>
        <v>-</v>
      </c>
      <c r="L68" s="23" t="str">
        <f t="shared" si="25"/>
        <v>-</v>
      </c>
      <c r="M68" s="23" t="str">
        <f t="shared" si="26"/>
        <v>-</v>
      </c>
      <c r="N68" s="23" t="str">
        <f t="shared" si="27"/>
        <v>-</v>
      </c>
      <c r="O68" s="23" t="str">
        <f t="shared" si="28"/>
        <v>U</v>
      </c>
      <c r="P68" s="23" t="str">
        <f t="shared" si="29"/>
        <v>U</v>
      </c>
      <c r="Q68" s="24" t="str">
        <f>saCAGR[[#This Row],[2011 ]]&amp;saCAGR[[#This Row],[  2012 ]]</f>
        <v>--</v>
      </c>
      <c r="R68" s="24" t="str">
        <f>saCAGR[[#This Row],[  2012 ]]&amp;saCAGR[[#This Row],[2013 ]]</f>
        <v>--</v>
      </c>
      <c r="S68" s="24" t="str">
        <f>saCAGR[[#This Row],[2013 ]]&amp;saCAGR[[#This Row],[2014 ]]</f>
        <v>--</v>
      </c>
      <c r="T68" s="24" t="str">
        <f>saCAGR[[#This Row],[2014 ]]&amp;saCAGR[[#This Row],[2015 ]]</f>
        <v>-U</v>
      </c>
      <c r="U68" s="24" t="str">
        <f>saCAGR[[#This Row],[2015 ]]&amp;saCAGR[[#This Row],[2016 ]]</f>
        <v>UU</v>
      </c>
      <c r="V68" s="24">
        <f>COUNTIF(saCAGR[[#This Row],[11/12 pair]:[15/16 pair]],"UD")</f>
        <v>0</v>
      </c>
      <c r="W68" s="24">
        <f>COUNTIF(saCAGR[[#This Row],[11/12 pair]:[15/16 pair]],"DU")</f>
        <v>0</v>
      </c>
      <c r="X68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68" s="24">
        <f>IFERROR(saCAGR[[#This Row],[Count of UD]]/saCAGR[[#This Row],[Total pairs]],"")</f>
        <v>0</v>
      </c>
      <c r="Z68" s="24">
        <f>IFERROR(saCAGR[[#This Row],[Count of DU]]/saCAGR[[#This Row],[Total pairs]],"")</f>
        <v>0</v>
      </c>
      <c r="AA68" s="24">
        <f>IFERROR(saCAGR[[#This Row],[% UD]]+saCAGR[[#This Row],[% DU]],"")</f>
        <v>0</v>
      </c>
      <c r="AB68" s="24">
        <f>STDEV(saCAGR[[#This Row],[2010]:[2016]])</f>
        <v>38.223029707232783</v>
      </c>
      <c r="AC68" s="24">
        <f>saCAGR[[#This Row],[Standard Deviation]]^2</f>
        <v>1460.9999999999998</v>
      </c>
      <c r="AD68" s="24">
        <f t="shared" si="30"/>
        <v>0</v>
      </c>
      <c r="AE68" s="24">
        <f t="shared" si="31"/>
        <v>0</v>
      </c>
      <c r="AF68" s="24">
        <f t="shared" si="32"/>
        <v>-63</v>
      </c>
      <c r="AG68" s="24">
        <f t="shared" si="33"/>
        <v>-6</v>
      </c>
      <c r="AH68" s="24">
        <f t="shared" si="34"/>
        <v>-63</v>
      </c>
      <c r="AI68" s="24">
        <f t="shared" si="35"/>
        <v>130.98620821822064</v>
      </c>
      <c r="AJ68" s="24">
        <f>AVERAGE(saCAGR[[#This Row],[2011 Delta]:[2016 Delta]])</f>
        <v>-0.16896529696322679</v>
      </c>
    </row>
    <row r="69" spans="1:36" ht="30">
      <c r="A69" s="16" t="s">
        <v>673</v>
      </c>
      <c r="B69" s="21">
        <v>80</v>
      </c>
      <c r="C69" s="21">
        <v>101</v>
      </c>
      <c r="D69" s="21">
        <v>120</v>
      </c>
      <c r="E69" s="21">
        <v>118</v>
      </c>
      <c r="F69" s="21">
        <v>110</v>
      </c>
      <c r="G69" s="21">
        <v>149</v>
      </c>
      <c r="H69" s="21">
        <v>144</v>
      </c>
      <c r="I69" s="26">
        <f t="array" ref="I69">(H69/INDEX($B69:$H69,1,MATCH(FALSE,ISBLANK(B69:H69),0)))^(1/INDEX($B$2:$H$2,1,MATCH(FALSE,ISBLANK(B69:H69),0)))</f>
        <v>1.017438142714215</v>
      </c>
      <c r="J69" s="22" t="str">
        <f>_xlfn.IFNA(INDEX(saCAGRnameStd[EIW],MATCH(saCAGR[[#This Row],[Company]],saCAGRnameStd[SA CAGR],0)),saCAGR[[#This Row],[Company]])</f>
        <v>Paul Weiss Rifkind Wharton &amp; Garrison</v>
      </c>
      <c r="K69" s="23" t="str">
        <f t="shared" si="24"/>
        <v>U</v>
      </c>
      <c r="L69" s="23" t="str">
        <f t="shared" si="25"/>
        <v>U</v>
      </c>
      <c r="M69" s="23" t="str">
        <f t="shared" si="26"/>
        <v>D</v>
      </c>
      <c r="N69" s="23" t="str">
        <f t="shared" si="27"/>
        <v>D</v>
      </c>
      <c r="O69" s="23" t="str">
        <f t="shared" si="28"/>
        <v>U</v>
      </c>
      <c r="P69" s="23" t="str">
        <f t="shared" si="29"/>
        <v>D</v>
      </c>
      <c r="Q69" s="24" t="str">
        <f>saCAGR[[#This Row],[2011 ]]&amp;saCAGR[[#This Row],[  2012 ]]</f>
        <v>UU</v>
      </c>
      <c r="R69" s="24" t="str">
        <f>saCAGR[[#This Row],[  2012 ]]&amp;saCAGR[[#This Row],[2013 ]]</f>
        <v>UD</v>
      </c>
      <c r="S69" s="24" t="str">
        <f>saCAGR[[#This Row],[2013 ]]&amp;saCAGR[[#This Row],[2014 ]]</f>
        <v>DD</v>
      </c>
      <c r="T69" s="24" t="str">
        <f>saCAGR[[#This Row],[2014 ]]&amp;saCAGR[[#This Row],[2015 ]]</f>
        <v>DU</v>
      </c>
      <c r="U69" s="24" t="str">
        <f>saCAGR[[#This Row],[2015 ]]&amp;saCAGR[[#This Row],[2016 ]]</f>
        <v>UD</v>
      </c>
      <c r="V69" s="24">
        <f>COUNTIF(saCAGR[[#This Row],[11/12 pair]:[15/16 pair]],"UD")</f>
        <v>2</v>
      </c>
      <c r="W69" s="24">
        <f>COUNTIF(saCAGR[[#This Row],[11/12 pair]:[15/16 pair]],"DU")</f>
        <v>1</v>
      </c>
      <c r="X6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69" s="24">
        <f>IFERROR(saCAGR[[#This Row],[Count of UD]]/saCAGR[[#This Row],[Total pairs]],"")</f>
        <v>0.4</v>
      </c>
      <c r="Z69" s="24">
        <f>IFERROR(saCAGR[[#This Row],[Count of DU]]/saCAGR[[#This Row],[Total pairs]],"")</f>
        <v>0.2</v>
      </c>
      <c r="AA69" s="24">
        <f>IFERROR(saCAGR[[#This Row],[% UD]]+saCAGR[[#This Row],[% DU]],"")</f>
        <v>0.60000000000000009</v>
      </c>
      <c r="AB69" s="24">
        <f>STDEV(saCAGR[[#This Row],[2010]:[2016]])</f>
        <v>23.929459827147127</v>
      </c>
      <c r="AC69" s="24">
        <f>saCAGR[[#This Row],[Standard Deviation]]^2</f>
        <v>572.61904761904827</v>
      </c>
      <c r="AD69" s="24">
        <f t="shared" si="30"/>
        <v>-19</v>
      </c>
      <c r="AE69" s="24">
        <f t="shared" si="31"/>
        <v>2</v>
      </c>
      <c r="AF69" s="24">
        <f t="shared" si="32"/>
        <v>8</v>
      </c>
      <c r="AG69" s="24">
        <f t="shared" si="33"/>
        <v>-39</v>
      </c>
      <c r="AH69" s="24">
        <f t="shared" si="34"/>
        <v>5</v>
      </c>
      <c r="AI69" s="24">
        <f t="shared" si="35"/>
        <v>142.98256185728579</v>
      </c>
      <c r="AJ69" s="24">
        <f>AVERAGE(saCAGR[[#This Row],[2011 Delta]:[2016 Delta]])</f>
        <v>16.66376030954763</v>
      </c>
    </row>
    <row r="70" spans="1:36" ht="15">
      <c r="A70" s="16" t="s">
        <v>584</v>
      </c>
      <c r="B70" s="21"/>
      <c r="C70" s="21"/>
      <c r="D70" s="21"/>
      <c r="E70" s="21"/>
      <c r="F70" s="21">
        <v>18</v>
      </c>
      <c r="G70" s="21">
        <v>23</v>
      </c>
      <c r="H70" s="21">
        <v>23</v>
      </c>
      <c r="I70" s="26">
        <f t="array" ref="I70">(H70/INDEX($B70:$H70,1,MATCH(FALSE,ISBLANK(B70:H70),0)))^(1/INDEX($B$2:$H$2,1,MATCH(FALSE,ISBLANK(B70:H70),0)))</f>
        <v>1.0045496230289779</v>
      </c>
      <c r="J70" s="22" t="str">
        <f>_xlfn.IFNA(INDEX(saCAGRnameStd[EIW],MATCH(saCAGR[[#This Row],[Company]],saCAGRnameStd[SA CAGR],0)),saCAGR[[#This Row],[Company]])</f>
        <v>Pepper Hamilton</v>
      </c>
      <c r="K70" s="23" t="str">
        <f t="shared" si="24"/>
        <v>-</v>
      </c>
      <c r="L70" s="23" t="str">
        <f t="shared" si="25"/>
        <v>-</v>
      </c>
      <c r="M70" s="23" t="str">
        <f t="shared" si="26"/>
        <v>-</v>
      </c>
      <c r="N70" s="23" t="str">
        <f t="shared" si="27"/>
        <v>-</v>
      </c>
      <c r="O70" s="23" t="str">
        <f t="shared" si="28"/>
        <v>U</v>
      </c>
      <c r="P70" s="23" t="str">
        <f t="shared" si="29"/>
        <v>S</v>
      </c>
      <c r="Q70" s="24" t="str">
        <f>saCAGR[[#This Row],[2011 ]]&amp;saCAGR[[#This Row],[  2012 ]]</f>
        <v>--</v>
      </c>
      <c r="R70" s="24" t="str">
        <f>saCAGR[[#This Row],[  2012 ]]&amp;saCAGR[[#This Row],[2013 ]]</f>
        <v>--</v>
      </c>
      <c r="S70" s="24" t="str">
        <f>saCAGR[[#This Row],[2013 ]]&amp;saCAGR[[#This Row],[2014 ]]</f>
        <v>--</v>
      </c>
      <c r="T70" s="24" t="str">
        <f>saCAGR[[#This Row],[2014 ]]&amp;saCAGR[[#This Row],[2015 ]]</f>
        <v>-U</v>
      </c>
      <c r="U70" s="24" t="str">
        <f>saCAGR[[#This Row],[2015 ]]&amp;saCAGR[[#This Row],[2016 ]]</f>
        <v>US</v>
      </c>
      <c r="V70" s="24">
        <f>COUNTIF(saCAGR[[#This Row],[11/12 pair]:[15/16 pair]],"UD")</f>
        <v>0</v>
      </c>
      <c r="W70" s="24">
        <f>COUNTIF(saCAGR[[#This Row],[11/12 pair]:[15/16 pair]],"DU")</f>
        <v>0</v>
      </c>
      <c r="X70" s="24">
        <f>5-COUNTIF(saCAGR[[#This Row],[11/12 pair]:[15/16 pair]],"--")-COUNTIF(saCAGR[[#This Row],[11/12 pair]:[15/16 pair]],"-U")-COUNTIF(saCAGR[[#This Row],[11/12 pair]:[15/16 pair]],"-S")-COUNTIF(saCAGR[[#This Row],[11/12 pair]:[15/16 pair]],"-D")</f>
        <v>1</v>
      </c>
      <c r="Y70" s="24">
        <f>IFERROR(saCAGR[[#This Row],[Count of UD]]/saCAGR[[#This Row],[Total pairs]],"")</f>
        <v>0</v>
      </c>
      <c r="Z70" s="24">
        <f>IFERROR(saCAGR[[#This Row],[Count of DU]]/saCAGR[[#This Row],[Total pairs]],"")</f>
        <v>0</v>
      </c>
      <c r="AA70" s="24">
        <f>IFERROR(saCAGR[[#This Row],[% UD]]+saCAGR[[#This Row],[% DU]],"")</f>
        <v>0</v>
      </c>
      <c r="AB70" s="24">
        <f>STDEV(saCAGR[[#This Row],[2010]:[2016]])</f>
        <v>2.8867513459481353</v>
      </c>
      <c r="AC70" s="24">
        <f>saCAGR[[#This Row],[Standard Deviation]]^2</f>
        <v>8.3333333333333712</v>
      </c>
      <c r="AD70" s="24">
        <f t="shared" si="30"/>
        <v>0</v>
      </c>
      <c r="AE70" s="24">
        <f t="shared" si="31"/>
        <v>0</v>
      </c>
      <c r="AF70" s="24">
        <f t="shared" si="32"/>
        <v>-18</v>
      </c>
      <c r="AG70" s="24">
        <f t="shared" si="33"/>
        <v>-5</v>
      </c>
      <c r="AH70" s="24">
        <f t="shared" si="34"/>
        <v>0</v>
      </c>
      <c r="AI70" s="24">
        <f t="shared" si="35"/>
        <v>21.995450376971021</v>
      </c>
      <c r="AJ70" s="24">
        <f>AVERAGE(saCAGR[[#This Row],[2011 Delta]:[2016 Delta]])</f>
        <v>-0.16742493717149642</v>
      </c>
    </row>
    <row r="71" spans="1:36" ht="15">
      <c r="A71" s="16" t="s">
        <v>585</v>
      </c>
      <c r="B71" s="21">
        <v>31</v>
      </c>
      <c r="C71" s="21">
        <v>38</v>
      </c>
      <c r="D71" s="21">
        <v>44</v>
      </c>
      <c r="E71" s="21">
        <v>49</v>
      </c>
      <c r="F71" s="21">
        <v>42</v>
      </c>
      <c r="G71" s="21">
        <v>57</v>
      </c>
      <c r="H71" s="21">
        <v>47</v>
      </c>
      <c r="I71" s="26">
        <f t="array" ref="I71">(H71/INDEX($B71:$H71,1,MATCH(FALSE,ISBLANK(B71:H71),0)))^(1/INDEX($B$2:$H$2,1,MATCH(FALSE,ISBLANK(B71:H71),0)))</f>
        <v>1.012315227192385</v>
      </c>
      <c r="J71" s="22" t="str">
        <f>_xlfn.IFNA(INDEX(saCAGRnameStd[EIW],MATCH(saCAGR[[#This Row],[Company]],saCAGRnameStd[SA CAGR],0)),saCAGR[[#This Row],[Company]])</f>
        <v>Perkins Coie</v>
      </c>
      <c r="K71" s="23" t="str">
        <f t="shared" si="24"/>
        <v>U</v>
      </c>
      <c r="L71" s="23" t="str">
        <f t="shared" si="25"/>
        <v>U</v>
      </c>
      <c r="M71" s="23" t="str">
        <f t="shared" si="26"/>
        <v>U</v>
      </c>
      <c r="N71" s="23" t="str">
        <f t="shared" si="27"/>
        <v>D</v>
      </c>
      <c r="O71" s="23" t="str">
        <f t="shared" si="28"/>
        <v>U</v>
      </c>
      <c r="P71" s="23" t="str">
        <f t="shared" si="29"/>
        <v>D</v>
      </c>
      <c r="Q71" s="24" t="str">
        <f>saCAGR[[#This Row],[2011 ]]&amp;saCAGR[[#This Row],[  2012 ]]</f>
        <v>UU</v>
      </c>
      <c r="R71" s="24" t="str">
        <f>saCAGR[[#This Row],[  2012 ]]&amp;saCAGR[[#This Row],[2013 ]]</f>
        <v>UU</v>
      </c>
      <c r="S71" s="24" t="str">
        <f>saCAGR[[#This Row],[2013 ]]&amp;saCAGR[[#This Row],[2014 ]]</f>
        <v>UD</v>
      </c>
      <c r="T71" s="24" t="str">
        <f>saCAGR[[#This Row],[2014 ]]&amp;saCAGR[[#This Row],[2015 ]]</f>
        <v>DU</v>
      </c>
      <c r="U71" s="24" t="str">
        <f>saCAGR[[#This Row],[2015 ]]&amp;saCAGR[[#This Row],[2016 ]]</f>
        <v>UD</v>
      </c>
      <c r="V71" s="24">
        <f>COUNTIF(saCAGR[[#This Row],[11/12 pair]:[15/16 pair]],"UD")</f>
        <v>2</v>
      </c>
      <c r="W71" s="24">
        <f>COUNTIF(saCAGR[[#This Row],[11/12 pair]:[15/16 pair]],"DU")</f>
        <v>1</v>
      </c>
      <c r="X7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1" s="24">
        <f>IFERROR(saCAGR[[#This Row],[Count of UD]]/saCAGR[[#This Row],[Total pairs]],"")</f>
        <v>0.4</v>
      </c>
      <c r="Z71" s="24">
        <f>IFERROR(saCAGR[[#This Row],[Count of DU]]/saCAGR[[#This Row],[Total pairs]],"")</f>
        <v>0.2</v>
      </c>
      <c r="AA71" s="24">
        <f>IFERROR(saCAGR[[#This Row],[% UD]]+saCAGR[[#This Row],[% DU]],"")</f>
        <v>0.60000000000000009</v>
      </c>
      <c r="AB71" s="24">
        <f>STDEV(saCAGR[[#This Row],[2010]:[2016]])</f>
        <v>8.2865352631040352</v>
      </c>
      <c r="AC71" s="24">
        <f>saCAGR[[#This Row],[Standard Deviation]]^2</f>
        <v>68.666666666666657</v>
      </c>
      <c r="AD71" s="24">
        <f t="shared" si="30"/>
        <v>-6</v>
      </c>
      <c r="AE71" s="24">
        <f t="shared" si="31"/>
        <v>-5</v>
      </c>
      <c r="AF71" s="24">
        <f t="shared" si="32"/>
        <v>7</v>
      </c>
      <c r="AG71" s="24">
        <f t="shared" si="33"/>
        <v>-15</v>
      </c>
      <c r="AH71" s="24">
        <f t="shared" si="34"/>
        <v>10</v>
      </c>
      <c r="AI71" s="24">
        <f t="shared" si="35"/>
        <v>45.987684772807611</v>
      </c>
      <c r="AJ71" s="24">
        <f>AVERAGE(saCAGR[[#This Row],[2011 Delta]:[2016 Delta]])</f>
        <v>6.1646141288012686</v>
      </c>
    </row>
    <row r="72" spans="1:36" ht="30">
      <c r="A72" s="16" t="s">
        <v>586</v>
      </c>
      <c r="B72" s="21">
        <v>17</v>
      </c>
      <c r="C72" s="21">
        <v>25</v>
      </c>
      <c r="D72" s="21">
        <v>29</v>
      </c>
      <c r="E72" s="21">
        <v>31</v>
      </c>
      <c r="F72" s="21">
        <v>35</v>
      </c>
      <c r="G72" s="21">
        <v>37</v>
      </c>
      <c r="H72" s="21">
        <v>43</v>
      </c>
      <c r="I72" s="26">
        <f t="array" ref="I72">(H72/INDEX($B72:$H72,1,MATCH(FALSE,ISBLANK(B72:H72),0)))^(1/INDEX($B$2:$H$2,1,MATCH(FALSE,ISBLANK(B72:H72),0)))</f>
        <v>1.0276696143700124</v>
      </c>
      <c r="J72" s="22" t="str">
        <f>_xlfn.IFNA(INDEX(saCAGRnameStd[EIW],MATCH(saCAGR[[#This Row],[Company]],saCAGRnameStd[SA CAGR],0)),saCAGR[[#This Row],[Company]])</f>
        <v>Pillsbury Winthrop Shaw Pittman</v>
      </c>
      <c r="K72" s="23" t="str">
        <f t="shared" si="24"/>
        <v>U</v>
      </c>
      <c r="L72" s="23" t="str">
        <f t="shared" si="25"/>
        <v>U</v>
      </c>
      <c r="M72" s="23" t="str">
        <f t="shared" si="26"/>
        <v>U</v>
      </c>
      <c r="N72" s="23" t="str">
        <f t="shared" si="27"/>
        <v>U</v>
      </c>
      <c r="O72" s="23" t="str">
        <f t="shared" si="28"/>
        <v>U</v>
      </c>
      <c r="P72" s="23" t="str">
        <f t="shared" si="29"/>
        <v>U</v>
      </c>
      <c r="Q72" s="24" t="str">
        <f>saCAGR[[#This Row],[2011 ]]&amp;saCAGR[[#This Row],[  2012 ]]</f>
        <v>UU</v>
      </c>
      <c r="R72" s="24" t="str">
        <f>saCAGR[[#This Row],[  2012 ]]&amp;saCAGR[[#This Row],[2013 ]]</f>
        <v>UU</v>
      </c>
      <c r="S72" s="24" t="str">
        <f>saCAGR[[#This Row],[2013 ]]&amp;saCAGR[[#This Row],[2014 ]]</f>
        <v>UU</v>
      </c>
      <c r="T72" s="24" t="str">
        <f>saCAGR[[#This Row],[2014 ]]&amp;saCAGR[[#This Row],[2015 ]]</f>
        <v>UU</v>
      </c>
      <c r="U72" s="24" t="str">
        <f>saCAGR[[#This Row],[2015 ]]&amp;saCAGR[[#This Row],[2016 ]]</f>
        <v>UU</v>
      </c>
      <c r="V72" s="24">
        <f>COUNTIF(saCAGR[[#This Row],[11/12 pair]:[15/16 pair]],"UD")</f>
        <v>0</v>
      </c>
      <c r="W72" s="24">
        <f>COUNTIF(saCAGR[[#This Row],[11/12 pair]:[15/16 pair]],"DU")</f>
        <v>0</v>
      </c>
      <c r="X7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2" s="24">
        <f>IFERROR(saCAGR[[#This Row],[Count of UD]]/saCAGR[[#This Row],[Total pairs]],"")</f>
        <v>0</v>
      </c>
      <c r="Z72" s="24">
        <f>IFERROR(saCAGR[[#This Row],[Count of DU]]/saCAGR[[#This Row],[Total pairs]],"")</f>
        <v>0</v>
      </c>
      <c r="AA72" s="24">
        <f>IFERROR(saCAGR[[#This Row],[% UD]]+saCAGR[[#This Row],[% DU]],"")</f>
        <v>0</v>
      </c>
      <c r="AB72" s="24">
        <f>STDEV(saCAGR[[#This Row],[2010]:[2016]])</f>
        <v>8.4852813742385695</v>
      </c>
      <c r="AC72" s="24">
        <f>saCAGR[[#This Row],[Standard Deviation]]^2</f>
        <v>71.999999999999986</v>
      </c>
      <c r="AD72" s="24">
        <f t="shared" si="30"/>
        <v>-4</v>
      </c>
      <c r="AE72" s="24">
        <f t="shared" si="31"/>
        <v>-2</v>
      </c>
      <c r="AF72" s="24">
        <f t="shared" si="32"/>
        <v>-4</v>
      </c>
      <c r="AG72" s="24">
        <f t="shared" si="33"/>
        <v>-2</v>
      </c>
      <c r="AH72" s="24">
        <f t="shared" si="34"/>
        <v>-6</v>
      </c>
      <c r="AI72" s="24">
        <f t="shared" si="35"/>
        <v>41.972330385629988</v>
      </c>
      <c r="AJ72" s="24">
        <f>AVERAGE(saCAGR[[#This Row],[2011 Delta]:[2016 Delta]])</f>
        <v>3.995388397604998</v>
      </c>
    </row>
    <row r="73" spans="1:36" ht="15">
      <c r="A73" s="16" t="s">
        <v>587</v>
      </c>
      <c r="B73" s="21">
        <v>42</v>
      </c>
      <c r="C73" s="21">
        <v>47</v>
      </c>
      <c r="D73" s="21">
        <v>53</v>
      </c>
      <c r="E73" s="21">
        <v>42</v>
      </c>
      <c r="F73" s="21">
        <v>74</v>
      </c>
      <c r="G73" s="21">
        <v>75</v>
      </c>
      <c r="H73" s="21">
        <v>77</v>
      </c>
      <c r="I73" s="26">
        <f t="array" ref="I73">(H73/INDEX($B73:$H73,1,MATCH(FALSE,ISBLANK(B73:H73),0)))^(1/INDEX($B$2:$H$2,1,MATCH(FALSE,ISBLANK(B73:H73),0)))</f>
        <v>1.0179873824833936</v>
      </c>
      <c r="J73" s="22" t="str">
        <f>_xlfn.IFNA(INDEX(saCAGRnameStd[EIW],MATCH(saCAGR[[#This Row],[Company]],saCAGRnameStd[SA CAGR],0)),saCAGR[[#This Row],[Company]])</f>
        <v>Proskauer Rose</v>
      </c>
      <c r="K73" s="23" t="str">
        <f t="shared" si="24"/>
        <v>U</v>
      </c>
      <c r="L73" s="23" t="str">
        <f t="shared" si="25"/>
        <v>U</v>
      </c>
      <c r="M73" s="23" t="str">
        <f t="shared" si="26"/>
        <v>D</v>
      </c>
      <c r="N73" s="23" t="str">
        <f t="shared" si="27"/>
        <v>U</v>
      </c>
      <c r="O73" s="23" t="str">
        <f t="shared" si="28"/>
        <v>U</v>
      </c>
      <c r="P73" s="23" t="str">
        <f t="shared" si="29"/>
        <v>U</v>
      </c>
      <c r="Q73" s="24" t="str">
        <f>saCAGR[[#This Row],[2011 ]]&amp;saCAGR[[#This Row],[  2012 ]]</f>
        <v>UU</v>
      </c>
      <c r="R73" s="24" t="str">
        <f>saCAGR[[#This Row],[  2012 ]]&amp;saCAGR[[#This Row],[2013 ]]</f>
        <v>UD</v>
      </c>
      <c r="S73" s="24" t="str">
        <f>saCAGR[[#This Row],[2013 ]]&amp;saCAGR[[#This Row],[2014 ]]</f>
        <v>DU</v>
      </c>
      <c r="T73" s="24" t="str">
        <f>saCAGR[[#This Row],[2014 ]]&amp;saCAGR[[#This Row],[2015 ]]</f>
        <v>UU</v>
      </c>
      <c r="U73" s="24" t="str">
        <f>saCAGR[[#This Row],[2015 ]]&amp;saCAGR[[#This Row],[2016 ]]</f>
        <v>UU</v>
      </c>
      <c r="V73" s="24">
        <f>COUNTIF(saCAGR[[#This Row],[11/12 pair]:[15/16 pair]],"UD")</f>
        <v>1</v>
      </c>
      <c r="W73" s="24">
        <f>COUNTIF(saCAGR[[#This Row],[11/12 pair]:[15/16 pair]],"DU")</f>
        <v>1</v>
      </c>
      <c r="X7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3" s="24">
        <f>IFERROR(saCAGR[[#This Row],[Count of UD]]/saCAGR[[#This Row],[Total pairs]],"")</f>
        <v>0.2</v>
      </c>
      <c r="Z73" s="24">
        <f>IFERROR(saCAGR[[#This Row],[Count of DU]]/saCAGR[[#This Row],[Total pairs]],"")</f>
        <v>0.2</v>
      </c>
      <c r="AA73" s="24">
        <f>IFERROR(saCAGR[[#This Row],[% UD]]+saCAGR[[#This Row],[% DU]],"")</f>
        <v>0.4</v>
      </c>
      <c r="AB73" s="24">
        <f>STDEV(saCAGR[[#This Row],[2010]:[2016]])</f>
        <v>16.133372687870146</v>
      </c>
      <c r="AC73" s="24">
        <f>saCAGR[[#This Row],[Standard Deviation]]^2</f>
        <v>260.28571428571439</v>
      </c>
      <c r="AD73" s="24">
        <f t="shared" si="30"/>
        <v>-6</v>
      </c>
      <c r="AE73" s="24">
        <f t="shared" si="31"/>
        <v>11</v>
      </c>
      <c r="AF73" s="24">
        <f t="shared" si="32"/>
        <v>-32</v>
      </c>
      <c r="AG73" s="24">
        <f t="shared" si="33"/>
        <v>-1</v>
      </c>
      <c r="AH73" s="24">
        <f t="shared" si="34"/>
        <v>-2</v>
      </c>
      <c r="AI73" s="24">
        <f t="shared" si="35"/>
        <v>75.982012617516602</v>
      </c>
      <c r="AJ73" s="24">
        <f>AVERAGE(saCAGR[[#This Row],[2011 Delta]:[2016 Delta]])</f>
        <v>7.6636687695861001</v>
      </c>
    </row>
    <row r="74" spans="1:36" ht="15">
      <c r="A74" s="16" t="s">
        <v>588</v>
      </c>
      <c r="B74" s="21">
        <v>21</v>
      </c>
      <c r="C74" s="21">
        <v>42</v>
      </c>
      <c r="D74" s="21">
        <v>34</v>
      </c>
      <c r="E74" s="21">
        <v>47</v>
      </c>
      <c r="F74" s="21">
        <v>41</v>
      </c>
      <c r="G74" s="21">
        <v>56</v>
      </c>
      <c r="H74" s="21">
        <v>47</v>
      </c>
      <c r="I74" s="26">
        <f t="array" ref="I74">(H74/INDEX($B74:$H74,1,MATCH(FALSE,ISBLANK(B74:H74),0)))^(1/INDEX($B$2:$H$2,1,MATCH(FALSE,ISBLANK(B74:H74),0)))</f>
        <v>1.0239778113349269</v>
      </c>
      <c r="J74" s="22" t="str">
        <f>_xlfn.IFNA(INDEX(saCAGRnameStd[EIW],MATCH(saCAGR[[#This Row],[Company]],saCAGRnameStd[SA CAGR],0)),saCAGR[[#This Row],[Company]])</f>
        <v>Reed Smith</v>
      </c>
      <c r="K74" s="23" t="str">
        <f t="shared" si="24"/>
        <v>U</v>
      </c>
      <c r="L74" s="23" t="str">
        <f t="shared" si="25"/>
        <v>D</v>
      </c>
      <c r="M74" s="23" t="str">
        <f t="shared" si="26"/>
        <v>U</v>
      </c>
      <c r="N74" s="23" t="str">
        <f t="shared" si="27"/>
        <v>D</v>
      </c>
      <c r="O74" s="23" t="str">
        <f t="shared" si="28"/>
        <v>U</v>
      </c>
      <c r="P74" s="23" t="str">
        <f t="shared" si="29"/>
        <v>D</v>
      </c>
      <c r="Q74" s="24" t="str">
        <f>saCAGR[[#This Row],[2011 ]]&amp;saCAGR[[#This Row],[  2012 ]]</f>
        <v>UD</v>
      </c>
      <c r="R74" s="24" t="str">
        <f>saCAGR[[#This Row],[  2012 ]]&amp;saCAGR[[#This Row],[2013 ]]</f>
        <v>DU</v>
      </c>
      <c r="S74" s="24" t="str">
        <f>saCAGR[[#This Row],[2013 ]]&amp;saCAGR[[#This Row],[2014 ]]</f>
        <v>UD</v>
      </c>
      <c r="T74" s="24" t="str">
        <f>saCAGR[[#This Row],[2014 ]]&amp;saCAGR[[#This Row],[2015 ]]</f>
        <v>DU</v>
      </c>
      <c r="U74" s="24" t="str">
        <f>saCAGR[[#This Row],[2015 ]]&amp;saCAGR[[#This Row],[2016 ]]</f>
        <v>UD</v>
      </c>
      <c r="V74" s="24">
        <f>COUNTIF(saCAGR[[#This Row],[11/12 pair]:[15/16 pair]],"UD")</f>
        <v>3</v>
      </c>
      <c r="W74" s="24">
        <f>COUNTIF(saCAGR[[#This Row],[11/12 pair]:[15/16 pair]],"DU")</f>
        <v>2</v>
      </c>
      <c r="X7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4" s="24">
        <f>IFERROR(saCAGR[[#This Row],[Count of UD]]/saCAGR[[#This Row],[Total pairs]],"")</f>
        <v>0.6</v>
      </c>
      <c r="Z74" s="24">
        <f>IFERROR(saCAGR[[#This Row],[Count of DU]]/saCAGR[[#This Row],[Total pairs]],"")</f>
        <v>0.4</v>
      </c>
      <c r="AA74" s="24">
        <f>IFERROR(saCAGR[[#This Row],[% UD]]+saCAGR[[#This Row],[% DU]],"")</f>
        <v>1</v>
      </c>
      <c r="AB74" s="24">
        <f>STDEV(saCAGR[[#This Row],[2010]:[2016]])</f>
        <v>11.156889820921892</v>
      </c>
      <c r="AC74" s="24">
        <f>saCAGR[[#This Row],[Standard Deviation]]^2</f>
        <v>124.47619047619052</v>
      </c>
      <c r="AD74" s="24">
        <f t="shared" si="30"/>
        <v>8</v>
      </c>
      <c r="AE74" s="24">
        <f t="shared" si="31"/>
        <v>-13</v>
      </c>
      <c r="AF74" s="24">
        <f t="shared" si="32"/>
        <v>6</v>
      </c>
      <c r="AG74" s="24">
        <f t="shared" si="33"/>
        <v>-15</v>
      </c>
      <c r="AH74" s="24">
        <f t="shared" si="34"/>
        <v>9</v>
      </c>
      <c r="AI74" s="24">
        <f t="shared" si="35"/>
        <v>45.97602218866507</v>
      </c>
      <c r="AJ74" s="24">
        <f>AVERAGE(saCAGR[[#This Row],[2011 Delta]:[2016 Delta]])</f>
        <v>6.8293370314441786</v>
      </c>
    </row>
    <row r="75" spans="1:36" ht="15">
      <c r="A75" s="16" t="s">
        <v>589</v>
      </c>
      <c r="B75" s="21">
        <v>82</v>
      </c>
      <c r="C75" s="21">
        <v>124</v>
      </c>
      <c r="D75" s="21">
        <v>125</v>
      </c>
      <c r="E75" s="21">
        <v>80</v>
      </c>
      <c r="F75" s="21">
        <v>100</v>
      </c>
      <c r="G75" s="21">
        <v>141</v>
      </c>
      <c r="H75" s="21">
        <v>144</v>
      </c>
      <c r="I75" s="26">
        <f t="array" ref="I75">(H75/INDEX($B75:$H75,1,MATCH(FALSE,ISBLANK(B75:H75),0)))^(1/INDEX($B$2:$H$2,1,MATCH(FALSE,ISBLANK(B75:H75),0)))</f>
        <v>1.0166994931496538</v>
      </c>
      <c r="J75" s="22" t="str">
        <f>_xlfn.IFNA(INDEX(saCAGRnameStd[EIW],MATCH(saCAGR[[#This Row],[Company]],saCAGRnameStd[SA CAGR],0)),saCAGR[[#This Row],[Company]])</f>
        <v>Ropes &amp; Gray</v>
      </c>
      <c r="K75" s="23" t="str">
        <f t="shared" si="24"/>
        <v>U</v>
      </c>
      <c r="L75" s="23" t="str">
        <f t="shared" si="25"/>
        <v>U</v>
      </c>
      <c r="M75" s="23" t="str">
        <f t="shared" si="26"/>
        <v>D</v>
      </c>
      <c r="N75" s="23" t="str">
        <f t="shared" si="27"/>
        <v>U</v>
      </c>
      <c r="O75" s="23" t="str">
        <f t="shared" si="28"/>
        <v>U</v>
      </c>
      <c r="P75" s="23" t="str">
        <f t="shared" si="29"/>
        <v>U</v>
      </c>
      <c r="Q75" s="24" t="str">
        <f>saCAGR[[#This Row],[2011 ]]&amp;saCAGR[[#This Row],[  2012 ]]</f>
        <v>UU</v>
      </c>
      <c r="R75" s="24" t="str">
        <f>saCAGR[[#This Row],[  2012 ]]&amp;saCAGR[[#This Row],[2013 ]]</f>
        <v>UD</v>
      </c>
      <c r="S75" s="24" t="str">
        <f>saCAGR[[#This Row],[2013 ]]&amp;saCAGR[[#This Row],[2014 ]]</f>
        <v>DU</v>
      </c>
      <c r="T75" s="24" t="str">
        <f>saCAGR[[#This Row],[2014 ]]&amp;saCAGR[[#This Row],[2015 ]]</f>
        <v>UU</v>
      </c>
      <c r="U75" s="24" t="str">
        <f>saCAGR[[#This Row],[2015 ]]&amp;saCAGR[[#This Row],[2016 ]]</f>
        <v>UU</v>
      </c>
      <c r="V75" s="24">
        <f>COUNTIF(saCAGR[[#This Row],[11/12 pair]:[15/16 pair]],"UD")</f>
        <v>1</v>
      </c>
      <c r="W75" s="24">
        <f>COUNTIF(saCAGR[[#This Row],[11/12 pair]:[15/16 pair]],"DU")</f>
        <v>1</v>
      </c>
      <c r="X7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5" s="24">
        <f>IFERROR(saCAGR[[#This Row],[Count of UD]]/saCAGR[[#This Row],[Total pairs]],"")</f>
        <v>0.2</v>
      </c>
      <c r="Z75" s="24">
        <f>IFERROR(saCAGR[[#This Row],[Count of DU]]/saCAGR[[#This Row],[Total pairs]],"")</f>
        <v>0.2</v>
      </c>
      <c r="AA75" s="24">
        <f>IFERROR(saCAGR[[#This Row],[% UD]]+saCAGR[[#This Row],[% DU]],"")</f>
        <v>0.4</v>
      </c>
      <c r="AB75" s="24">
        <f>STDEV(saCAGR[[#This Row],[2010]:[2016]])</f>
        <v>26.537484719507503</v>
      </c>
      <c r="AC75" s="24">
        <f>saCAGR[[#This Row],[Standard Deviation]]^2</f>
        <v>704.23809523809427</v>
      </c>
      <c r="AD75" s="24">
        <f t="shared" si="30"/>
        <v>-1</v>
      </c>
      <c r="AE75" s="24">
        <f t="shared" si="31"/>
        <v>45</v>
      </c>
      <c r="AF75" s="24">
        <f t="shared" si="32"/>
        <v>-20</v>
      </c>
      <c r="AG75" s="24">
        <f t="shared" si="33"/>
        <v>-41</v>
      </c>
      <c r="AH75" s="24">
        <f t="shared" si="34"/>
        <v>-3</v>
      </c>
      <c r="AI75" s="24">
        <f t="shared" si="35"/>
        <v>142.98330050685036</v>
      </c>
      <c r="AJ75" s="24">
        <f>AVERAGE(saCAGR[[#This Row],[2011 Delta]:[2016 Delta]])</f>
        <v>20.497216751141725</v>
      </c>
    </row>
    <row r="76" spans="1:36" ht="15">
      <c r="A76" s="16" t="s">
        <v>674</v>
      </c>
      <c r="B76" s="21">
        <v>2</v>
      </c>
      <c r="C76" s="21">
        <v>10</v>
      </c>
      <c r="D76" s="21" t="s">
        <v>675</v>
      </c>
      <c r="E76" s="21" t="s">
        <v>676</v>
      </c>
      <c r="F76" s="21" t="s">
        <v>677</v>
      </c>
      <c r="G76" s="21"/>
      <c r="H76" s="21">
        <v>3</v>
      </c>
      <c r="I76" s="26">
        <f t="array" ref="I76">(H76/INDEX($B76:$H76,1,MATCH(FALSE,ISBLANK(B76:H76),0)))^(1/INDEX($B$2:$H$2,1,MATCH(FALSE,ISBLANK(B76:H76),0)))</f>
        <v>1.011996835977685</v>
      </c>
      <c r="J76" s="22" t="str">
        <f>_xlfn.IFNA(INDEX(saCAGRnameStd[EIW],MATCH(saCAGR[[#This Row],[Company]],saCAGRnameStd[SA CAGR],0)),saCAGR[[#This Row],[Company]])</f>
        <v>Sedgwick LLP</v>
      </c>
      <c r="K76" s="23" t="str">
        <f t="shared" si="24"/>
        <v>U</v>
      </c>
      <c r="L76" s="23" t="str">
        <f t="shared" si="25"/>
        <v>U</v>
      </c>
      <c r="M76" s="23" t="str">
        <f t="shared" si="26"/>
        <v>U</v>
      </c>
      <c r="N76" s="23" t="str">
        <f t="shared" si="27"/>
        <v>D</v>
      </c>
      <c r="O76" s="23" t="str">
        <f t="shared" si="28"/>
        <v>D</v>
      </c>
      <c r="P76" s="23" t="str">
        <f t="shared" si="29"/>
        <v>-</v>
      </c>
      <c r="Q76" s="24" t="str">
        <f>saCAGR[[#This Row],[2011 ]]&amp;saCAGR[[#This Row],[  2012 ]]</f>
        <v>UU</v>
      </c>
      <c r="R76" s="24" t="str">
        <f>saCAGR[[#This Row],[  2012 ]]&amp;saCAGR[[#This Row],[2013 ]]</f>
        <v>UU</v>
      </c>
      <c r="S76" s="24" t="str">
        <f>saCAGR[[#This Row],[2013 ]]&amp;saCAGR[[#This Row],[2014 ]]</f>
        <v>UD</v>
      </c>
      <c r="T76" s="24" t="str">
        <f>saCAGR[[#This Row],[2014 ]]&amp;saCAGR[[#This Row],[2015 ]]</f>
        <v>DD</v>
      </c>
      <c r="U76" s="24" t="str">
        <f>saCAGR[[#This Row],[2015 ]]&amp;saCAGR[[#This Row],[2016 ]]</f>
        <v>D-</v>
      </c>
      <c r="V76" s="24">
        <f>COUNTIF(saCAGR[[#This Row],[11/12 pair]:[15/16 pair]],"UD")</f>
        <v>1</v>
      </c>
      <c r="W76" s="24">
        <f>COUNTIF(saCAGR[[#This Row],[11/12 pair]:[15/16 pair]],"DU")</f>
        <v>0</v>
      </c>
      <c r="X7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6" s="24">
        <f>IFERROR(saCAGR[[#This Row],[Count of UD]]/saCAGR[[#This Row],[Total pairs]],"")</f>
        <v>0.2</v>
      </c>
      <c r="Z76" s="24">
        <f>IFERROR(saCAGR[[#This Row],[Count of DU]]/saCAGR[[#This Row],[Total pairs]],"")</f>
        <v>0</v>
      </c>
      <c r="AA76" s="24">
        <f>IFERROR(saCAGR[[#This Row],[% UD]]+saCAGR[[#This Row],[% DU]],"")</f>
        <v>0.2</v>
      </c>
      <c r="AB76" s="24">
        <f>STDEV(saCAGR[[#This Row],[2010]:[2016]])</f>
        <v>4.358898943540674</v>
      </c>
      <c r="AC76" s="24">
        <f>saCAGR[[#This Row],[Standard Deviation]]^2</f>
        <v>19.000000000000004</v>
      </c>
      <c r="AD76" s="24" t="e">
        <f t="shared" si="30"/>
        <v>#VALUE!</v>
      </c>
      <c r="AE76" s="24" t="e">
        <f t="shared" si="31"/>
        <v>#VALUE!</v>
      </c>
      <c r="AF76" s="24" t="e">
        <f t="shared" si="32"/>
        <v>#VALUE!</v>
      </c>
      <c r="AG76" s="24" t="e">
        <f t="shared" si="33"/>
        <v>#VALUE!</v>
      </c>
      <c r="AH76" s="24">
        <f t="shared" si="34"/>
        <v>-3</v>
      </c>
      <c r="AI76" s="24">
        <f t="shared" si="35"/>
        <v>1.988003164022315</v>
      </c>
      <c r="AJ76" s="24" t="e">
        <f>AVERAGE(saCAGR[[#This Row],[2011 Delta]:[2016 Delta]])</f>
        <v>#VALUE!</v>
      </c>
    </row>
    <row r="77" spans="1:36" ht="15">
      <c r="A77" s="16" t="s">
        <v>591</v>
      </c>
      <c r="B77" s="21">
        <v>9</v>
      </c>
      <c r="C77" s="21">
        <v>11</v>
      </c>
      <c r="D77" s="21">
        <v>12</v>
      </c>
      <c r="E77" s="21">
        <v>11</v>
      </c>
      <c r="F77" s="21">
        <v>14</v>
      </c>
      <c r="G77" s="21">
        <v>17</v>
      </c>
      <c r="H77" s="21">
        <v>18</v>
      </c>
      <c r="I77" s="26">
        <f t="array" ref="I77">(H77/INDEX($B77:$H77,1,MATCH(FALSE,ISBLANK(B77:H77),0)))^(1/INDEX($B$2:$H$2,1,MATCH(FALSE,ISBLANK(B77:H77),0)))</f>
        <v>1.0205959095795867</v>
      </c>
      <c r="J77" s="22" t="str">
        <f>_xlfn.IFNA(INDEX(saCAGRnameStd[EIW],MATCH(saCAGR[[#This Row],[Company]],saCAGRnameStd[SA CAGR],0)),saCAGR[[#This Row],[Company]])</f>
        <v>Seward &amp; Kissel</v>
      </c>
      <c r="K77" s="23" t="str">
        <f t="shared" si="24"/>
        <v>U</v>
      </c>
      <c r="L77" s="23" t="str">
        <f t="shared" si="25"/>
        <v>U</v>
      </c>
      <c r="M77" s="23" t="str">
        <f t="shared" si="26"/>
        <v>D</v>
      </c>
      <c r="N77" s="23" t="str">
        <f t="shared" si="27"/>
        <v>U</v>
      </c>
      <c r="O77" s="23" t="str">
        <f t="shared" si="28"/>
        <v>U</v>
      </c>
      <c r="P77" s="23" t="str">
        <f t="shared" si="29"/>
        <v>U</v>
      </c>
      <c r="Q77" s="24" t="str">
        <f>saCAGR[[#This Row],[2011 ]]&amp;saCAGR[[#This Row],[  2012 ]]</f>
        <v>UU</v>
      </c>
      <c r="R77" s="24" t="str">
        <f>saCAGR[[#This Row],[  2012 ]]&amp;saCAGR[[#This Row],[2013 ]]</f>
        <v>UD</v>
      </c>
      <c r="S77" s="24" t="str">
        <f>saCAGR[[#This Row],[2013 ]]&amp;saCAGR[[#This Row],[2014 ]]</f>
        <v>DU</v>
      </c>
      <c r="T77" s="24" t="str">
        <f>saCAGR[[#This Row],[2014 ]]&amp;saCAGR[[#This Row],[2015 ]]</f>
        <v>UU</v>
      </c>
      <c r="U77" s="24" t="str">
        <f>saCAGR[[#This Row],[2015 ]]&amp;saCAGR[[#This Row],[2016 ]]</f>
        <v>UU</v>
      </c>
      <c r="V77" s="24">
        <f>COUNTIF(saCAGR[[#This Row],[11/12 pair]:[15/16 pair]],"UD")</f>
        <v>1</v>
      </c>
      <c r="W77" s="24">
        <f>COUNTIF(saCAGR[[#This Row],[11/12 pair]:[15/16 pair]],"DU")</f>
        <v>1</v>
      </c>
      <c r="X7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7" s="24">
        <f>IFERROR(saCAGR[[#This Row],[Count of UD]]/saCAGR[[#This Row],[Total pairs]],"")</f>
        <v>0.2</v>
      </c>
      <c r="Z77" s="24">
        <f>IFERROR(saCAGR[[#This Row],[Count of DU]]/saCAGR[[#This Row],[Total pairs]],"")</f>
        <v>0.2</v>
      </c>
      <c r="AA77" s="24">
        <f>IFERROR(saCAGR[[#This Row],[% UD]]+saCAGR[[#This Row],[% DU]],"")</f>
        <v>0.4</v>
      </c>
      <c r="AB77" s="24">
        <f>STDEV(saCAGR[[#This Row],[2010]:[2016]])</f>
        <v>3.3380918415851215</v>
      </c>
      <c r="AC77" s="24">
        <f>saCAGR[[#This Row],[Standard Deviation]]^2</f>
        <v>11.142857142857148</v>
      </c>
      <c r="AD77" s="24">
        <f t="shared" si="30"/>
        <v>-1</v>
      </c>
      <c r="AE77" s="24">
        <f t="shared" si="31"/>
        <v>1</v>
      </c>
      <c r="AF77" s="24">
        <f t="shared" si="32"/>
        <v>-3</v>
      </c>
      <c r="AG77" s="24">
        <f t="shared" si="33"/>
        <v>-3</v>
      </c>
      <c r="AH77" s="24">
        <f t="shared" si="34"/>
        <v>-1</v>
      </c>
      <c r="AI77" s="24">
        <f t="shared" si="35"/>
        <v>16.979404090420413</v>
      </c>
      <c r="AJ77" s="24">
        <f>AVERAGE(saCAGR[[#This Row],[2011 Delta]:[2016 Delta]])</f>
        <v>1.6632340150700688</v>
      </c>
    </row>
    <row r="78" spans="1:36" ht="15">
      <c r="A78" s="16" t="s">
        <v>592</v>
      </c>
      <c r="B78" s="21">
        <v>28</v>
      </c>
      <c r="C78" s="21">
        <v>41</v>
      </c>
      <c r="D78" s="21">
        <v>33</v>
      </c>
      <c r="E78" s="21">
        <v>44</v>
      </c>
      <c r="F78" s="21">
        <v>52</v>
      </c>
      <c r="G78" s="21">
        <v>67</v>
      </c>
      <c r="H78" s="21">
        <v>78</v>
      </c>
      <c r="I78" s="26">
        <f t="array" ref="I78">(H78/INDEX($B78:$H78,1,MATCH(FALSE,ISBLANK(B78:H78),0)))^(1/INDEX($B$2:$H$2,1,MATCH(FALSE,ISBLANK(B78:H78),0)))</f>
        <v>1.0305910575076485</v>
      </c>
      <c r="J78" s="22" t="str">
        <f>_xlfn.IFNA(INDEX(saCAGRnameStd[EIW],MATCH(saCAGR[[#This Row],[Company]],saCAGRnameStd[SA CAGR],0)),saCAGR[[#This Row],[Company]])</f>
        <v>Shearman &amp; Sterling</v>
      </c>
      <c r="K78" s="23" t="str">
        <f t="shared" si="24"/>
        <v>U</v>
      </c>
      <c r="L78" s="23" t="str">
        <f t="shared" si="25"/>
        <v>D</v>
      </c>
      <c r="M78" s="23" t="str">
        <f t="shared" si="26"/>
        <v>U</v>
      </c>
      <c r="N78" s="23" t="str">
        <f t="shared" si="27"/>
        <v>U</v>
      </c>
      <c r="O78" s="23" t="str">
        <f t="shared" si="28"/>
        <v>U</v>
      </c>
      <c r="P78" s="23" t="str">
        <f t="shared" si="29"/>
        <v>U</v>
      </c>
      <c r="Q78" s="24" t="str">
        <f>saCAGR[[#This Row],[2011 ]]&amp;saCAGR[[#This Row],[  2012 ]]</f>
        <v>UD</v>
      </c>
      <c r="R78" s="24" t="str">
        <f>saCAGR[[#This Row],[  2012 ]]&amp;saCAGR[[#This Row],[2013 ]]</f>
        <v>DU</v>
      </c>
      <c r="S78" s="24" t="str">
        <f>saCAGR[[#This Row],[2013 ]]&amp;saCAGR[[#This Row],[2014 ]]</f>
        <v>UU</v>
      </c>
      <c r="T78" s="24" t="str">
        <f>saCAGR[[#This Row],[2014 ]]&amp;saCAGR[[#This Row],[2015 ]]</f>
        <v>UU</v>
      </c>
      <c r="U78" s="24" t="str">
        <f>saCAGR[[#This Row],[2015 ]]&amp;saCAGR[[#This Row],[2016 ]]</f>
        <v>UU</v>
      </c>
      <c r="V78" s="24">
        <f>COUNTIF(saCAGR[[#This Row],[11/12 pair]:[15/16 pair]],"UD")</f>
        <v>1</v>
      </c>
      <c r="W78" s="24">
        <f>COUNTIF(saCAGR[[#This Row],[11/12 pair]:[15/16 pair]],"DU")</f>
        <v>1</v>
      </c>
      <c r="X7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8" s="24">
        <f>IFERROR(saCAGR[[#This Row],[Count of UD]]/saCAGR[[#This Row],[Total pairs]],"")</f>
        <v>0.2</v>
      </c>
      <c r="Z78" s="24">
        <f>IFERROR(saCAGR[[#This Row],[Count of DU]]/saCAGR[[#This Row],[Total pairs]],"")</f>
        <v>0.2</v>
      </c>
      <c r="AA78" s="24">
        <f>IFERROR(saCAGR[[#This Row],[% UD]]+saCAGR[[#This Row],[% DU]],"")</f>
        <v>0.4</v>
      </c>
      <c r="AB78" s="24">
        <f>STDEV(saCAGR[[#This Row],[2010]:[2016]])</f>
        <v>18.073922282301279</v>
      </c>
      <c r="AC78" s="24">
        <f>saCAGR[[#This Row],[Standard Deviation]]^2</f>
        <v>326.66666666666669</v>
      </c>
      <c r="AD78" s="24">
        <f t="shared" si="30"/>
        <v>8</v>
      </c>
      <c r="AE78" s="24">
        <f t="shared" si="31"/>
        <v>-11</v>
      </c>
      <c r="AF78" s="24">
        <f t="shared" si="32"/>
        <v>-8</v>
      </c>
      <c r="AG78" s="24">
        <f t="shared" si="33"/>
        <v>-15</v>
      </c>
      <c r="AH78" s="24">
        <f t="shared" si="34"/>
        <v>-11</v>
      </c>
      <c r="AI78" s="24">
        <f t="shared" si="35"/>
        <v>76.96940894249235</v>
      </c>
      <c r="AJ78" s="24">
        <f>AVERAGE(saCAGR[[#This Row],[2011 Delta]:[2016 Delta]])</f>
        <v>6.6615681570820584</v>
      </c>
    </row>
    <row r="79" spans="1:36" ht="30">
      <c r="A79" s="16" t="s">
        <v>678</v>
      </c>
      <c r="B79" s="21">
        <v>27</v>
      </c>
      <c r="C79" s="21">
        <v>31</v>
      </c>
      <c r="D79" s="21">
        <v>30</v>
      </c>
      <c r="E79" s="21">
        <v>33</v>
      </c>
      <c r="F79" s="21">
        <v>33</v>
      </c>
      <c r="G79" s="21">
        <v>33</v>
      </c>
      <c r="H79" s="21">
        <v>32</v>
      </c>
      <c r="I79" s="26">
        <f t="array" ref="I79">(H79/INDEX($B79:$H79,1,MATCH(FALSE,ISBLANK(B79:H79),0)))^(1/INDEX($B$2:$H$2,1,MATCH(FALSE,ISBLANK(B79:H79),0)))</f>
        <v>1.0050095364731035</v>
      </c>
      <c r="J79" s="22" t="str">
        <f>_xlfn.IFNA(INDEX(saCAGRnameStd[EIW],MATCH(saCAGR[[#This Row],[Company]],saCAGRnameStd[SA CAGR],0)),saCAGR[[#This Row],[Company]])</f>
        <v>Sheppard Mullin Richter &amp; Hampton</v>
      </c>
      <c r="K79" s="23" t="str">
        <f t="shared" si="24"/>
        <v>U</v>
      </c>
      <c r="L79" s="23" t="str">
        <f t="shared" si="25"/>
        <v>D</v>
      </c>
      <c r="M79" s="23" t="str">
        <f t="shared" si="26"/>
        <v>U</v>
      </c>
      <c r="N79" s="23" t="str">
        <f t="shared" si="27"/>
        <v>S</v>
      </c>
      <c r="O79" s="23" t="str">
        <f t="shared" si="28"/>
        <v>S</v>
      </c>
      <c r="P79" s="23" t="str">
        <f t="shared" si="29"/>
        <v>D</v>
      </c>
      <c r="Q79" s="24" t="str">
        <f>saCAGR[[#This Row],[2011 ]]&amp;saCAGR[[#This Row],[  2012 ]]</f>
        <v>UD</v>
      </c>
      <c r="R79" s="24" t="str">
        <f>saCAGR[[#This Row],[  2012 ]]&amp;saCAGR[[#This Row],[2013 ]]</f>
        <v>DU</v>
      </c>
      <c r="S79" s="24" t="str">
        <f>saCAGR[[#This Row],[2013 ]]&amp;saCAGR[[#This Row],[2014 ]]</f>
        <v>US</v>
      </c>
      <c r="T79" s="24" t="str">
        <f>saCAGR[[#This Row],[2014 ]]&amp;saCAGR[[#This Row],[2015 ]]</f>
        <v>SS</v>
      </c>
      <c r="U79" s="24" t="str">
        <f>saCAGR[[#This Row],[2015 ]]&amp;saCAGR[[#This Row],[2016 ]]</f>
        <v>SD</v>
      </c>
      <c r="V79" s="24">
        <f>COUNTIF(saCAGR[[#This Row],[11/12 pair]:[15/16 pair]],"UD")</f>
        <v>1</v>
      </c>
      <c r="W79" s="24">
        <f>COUNTIF(saCAGR[[#This Row],[11/12 pair]:[15/16 pair]],"DU")</f>
        <v>1</v>
      </c>
      <c r="X7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79" s="24">
        <f>IFERROR(saCAGR[[#This Row],[Count of UD]]/saCAGR[[#This Row],[Total pairs]],"")</f>
        <v>0.2</v>
      </c>
      <c r="Z79" s="24">
        <f>IFERROR(saCAGR[[#This Row],[Count of DU]]/saCAGR[[#This Row],[Total pairs]],"")</f>
        <v>0.2</v>
      </c>
      <c r="AA79" s="24">
        <f>IFERROR(saCAGR[[#This Row],[% UD]]+saCAGR[[#This Row],[% DU]],"")</f>
        <v>0.4</v>
      </c>
      <c r="AB79" s="24">
        <f>STDEV(saCAGR[[#This Row],[2010]:[2016]])</f>
        <v>2.2146697055682827</v>
      </c>
      <c r="AC79" s="24">
        <f>saCAGR[[#This Row],[Standard Deviation]]^2</f>
        <v>4.9047619047619042</v>
      </c>
      <c r="AD79" s="24">
        <f t="shared" si="30"/>
        <v>1</v>
      </c>
      <c r="AE79" s="24">
        <f t="shared" si="31"/>
        <v>-3</v>
      </c>
      <c r="AF79" s="24">
        <f t="shared" si="32"/>
        <v>0</v>
      </c>
      <c r="AG79" s="24">
        <f t="shared" si="33"/>
        <v>0</v>
      </c>
      <c r="AH79" s="24">
        <f t="shared" si="34"/>
        <v>1</v>
      </c>
      <c r="AI79" s="24">
        <f t="shared" si="35"/>
        <v>30.994990463526896</v>
      </c>
      <c r="AJ79" s="24">
        <f>AVERAGE(saCAGR[[#This Row],[2011 Delta]:[2016 Delta]])</f>
        <v>4.9991650772544824</v>
      </c>
    </row>
    <row r="80" spans="1:36" ht="15">
      <c r="A80" s="16" t="s">
        <v>593</v>
      </c>
      <c r="B80" s="21">
        <v>50</v>
      </c>
      <c r="C80" s="21">
        <v>118</v>
      </c>
      <c r="D80" s="21">
        <v>111</v>
      </c>
      <c r="E80" s="21">
        <v>113</v>
      </c>
      <c r="F80" s="21">
        <v>111</v>
      </c>
      <c r="G80" s="21">
        <v>106</v>
      </c>
      <c r="H80" s="21">
        <v>188</v>
      </c>
      <c r="I80" s="26">
        <f t="array" ref="I80">(H80/INDEX($B80:$H80,1,MATCH(FALSE,ISBLANK(B80:H80),0)))^(1/INDEX($B$2:$H$2,1,MATCH(FALSE,ISBLANK(B80:H80),0)))</f>
        <v>1.039722134144117</v>
      </c>
      <c r="J80" s="22" t="str">
        <f>_xlfn.IFNA(INDEX(saCAGRnameStd[EIW],MATCH(saCAGR[[#This Row],[Company]],saCAGRnameStd[SA CAGR],0)),saCAGR[[#This Row],[Company]])</f>
        <v>Sidley Austin</v>
      </c>
      <c r="K80" s="23" t="str">
        <f t="shared" si="24"/>
        <v>U</v>
      </c>
      <c r="L80" s="23" t="str">
        <f t="shared" si="25"/>
        <v>D</v>
      </c>
      <c r="M80" s="23" t="str">
        <f t="shared" si="26"/>
        <v>U</v>
      </c>
      <c r="N80" s="23" t="str">
        <f t="shared" si="27"/>
        <v>D</v>
      </c>
      <c r="O80" s="23" t="str">
        <f t="shared" si="28"/>
        <v>D</v>
      </c>
      <c r="P80" s="23" t="str">
        <f t="shared" si="29"/>
        <v>U</v>
      </c>
      <c r="Q80" s="24" t="str">
        <f>saCAGR[[#This Row],[2011 ]]&amp;saCAGR[[#This Row],[  2012 ]]</f>
        <v>UD</v>
      </c>
      <c r="R80" s="24" t="str">
        <f>saCAGR[[#This Row],[  2012 ]]&amp;saCAGR[[#This Row],[2013 ]]</f>
        <v>DU</v>
      </c>
      <c r="S80" s="24" t="str">
        <f>saCAGR[[#This Row],[2013 ]]&amp;saCAGR[[#This Row],[2014 ]]</f>
        <v>UD</v>
      </c>
      <c r="T80" s="24" t="str">
        <f>saCAGR[[#This Row],[2014 ]]&amp;saCAGR[[#This Row],[2015 ]]</f>
        <v>DD</v>
      </c>
      <c r="U80" s="24" t="str">
        <f>saCAGR[[#This Row],[2015 ]]&amp;saCAGR[[#This Row],[2016 ]]</f>
        <v>DU</v>
      </c>
      <c r="V80" s="24">
        <f>COUNTIF(saCAGR[[#This Row],[11/12 pair]:[15/16 pair]],"UD")</f>
        <v>2</v>
      </c>
      <c r="W80" s="24">
        <f>COUNTIF(saCAGR[[#This Row],[11/12 pair]:[15/16 pair]],"DU")</f>
        <v>2</v>
      </c>
      <c r="X8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0" s="24">
        <f>IFERROR(saCAGR[[#This Row],[Count of UD]]/saCAGR[[#This Row],[Total pairs]],"")</f>
        <v>0.4</v>
      </c>
      <c r="Z80" s="24">
        <f>IFERROR(saCAGR[[#This Row],[Count of DU]]/saCAGR[[#This Row],[Total pairs]],"")</f>
        <v>0.4</v>
      </c>
      <c r="AA80" s="24">
        <f>IFERROR(saCAGR[[#This Row],[% UD]]+saCAGR[[#This Row],[% DU]],"")</f>
        <v>0.8</v>
      </c>
      <c r="AB80" s="24">
        <f>STDEV(saCAGR[[#This Row],[2010]:[2016]])</f>
        <v>40.147347655972546</v>
      </c>
      <c r="AC80" s="24">
        <f>saCAGR[[#This Row],[Standard Deviation]]^2</f>
        <v>1611.8095238095243</v>
      </c>
      <c r="AD80" s="24">
        <f t="shared" si="30"/>
        <v>7</v>
      </c>
      <c r="AE80" s="24">
        <f t="shared" si="31"/>
        <v>-2</v>
      </c>
      <c r="AF80" s="24">
        <f t="shared" si="32"/>
        <v>2</v>
      </c>
      <c r="AG80" s="24">
        <f t="shared" si="33"/>
        <v>5</v>
      </c>
      <c r="AH80" s="24">
        <f t="shared" si="34"/>
        <v>-82</v>
      </c>
      <c r="AI80" s="24">
        <f t="shared" si="35"/>
        <v>186.96027786585589</v>
      </c>
      <c r="AJ80" s="24">
        <f>AVERAGE(saCAGR[[#This Row],[2011 Delta]:[2016 Delta]])</f>
        <v>19.493379644309314</v>
      </c>
    </row>
    <row r="81" spans="1:36" ht="30">
      <c r="A81" s="16" t="s">
        <v>594</v>
      </c>
      <c r="B81" s="21">
        <v>72</v>
      </c>
      <c r="C81" s="21">
        <v>100</v>
      </c>
      <c r="D81" s="21">
        <v>107</v>
      </c>
      <c r="E81" s="21">
        <v>79</v>
      </c>
      <c r="F81" s="21">
        <v>105</v>
      </c>
      <c r="G81" s="21">
        <v>129</v>
      </c>
      <c r="H81" s="21">
        <v>140</v>
      </c>
      <c r="I81" s="26">
        <f t="array" ref="I81">(H81/INDEX($B81:$H81,1,MATCH(FALSE,ISBLANK(B81:H81),0)))^(1/INDEX($B$2:$H$2,1,MATCH(FALSE,ISBLANK(B81:H81),0)))</f>
        <v>1.0197506397513165</v>
      </c>
      <c r="J81" s="22" t="str">
        <f>_xlfn.IFNA(INDEX(saCAGRnameStd[EIW],MATCH(saCAGR[[#This Row],[Company]],saCAGRnameStd[SA CAGR],0)),saCAGR[[#This Row],[Company]])</f>
        <v>Simpson Thacher &amp; Bartlett</v>
      </c>
      <c r="K81" s="23" t="str">
        <f t="shared" si="24"/>
        <v>U</v>
      </c>
      <c r="L81" s="23" t="str">
        <f t="shared" si="25"/>
        <v>U</v>
      </c>
      <c r="M81" s="23" t="str">
        <f t="shared" si="26"/>
        <v>D</v>
      </c>
      <c r="N81" s="23" t="str">
        <f t="shared" si="27"/>
        <v>U</v>
      </c>
      <c r="O81" s="23" t="str">
        <f t="shared" si="28"/>
        <v>U</v>
      </c>
      <c r="P81" s="23" t="str">
        <f t="shared" si="29"/>
        <v>U</v>
      </c>
      <c r="Q81" s="24" t="str">
        <f>saCAGR[[#This Row],[2011 ]]&amp;saCAGR[[#This Row],[  2012 ]]</f>
        <v>UU</v>
      </c>
      <c r="R81" s="24" t="str">
        <f>saCAGR[[#This Row],[  2012 ]]&amp;saCAGR[[#This Row],[2013 ]]</f>
        <v>UD</v>
      </c>
      <c r="S81" s="24" t="str">
        <f>saCAGR[[#This Row],[2013 ]]&amp;saCAGR[[#This Row],[2014 ]]</f>
        <v>DU</v>
      </c>
      <c r="T81" s="24" t="str">
        <f>saCAGR[[#This Row],[2014 ]]&amp;saCAGR[[#This Row],[2015 ]]</f>
        <v>UU</v>
      </c>
      <c r="U81" s="24" t="str">
        <f>saCAGR[[#This Row],[2015 ]]&amp;saCAGR[[#This Row],[2016 ]]</f>
        <v>UU</v>
      </c>
      <c r="V81" s="24">
        <f>COUNTIF(saCAGR[[#This Row],[11/12 pair]:[15/16 pair]],"UD")</f>
        <v>1</v>
      </c>
      <c r="W81" s="24">
        <f>COUNTIF(saCAGR[[#This Row],[11/12 pair]:[15/16 pair]],"DU")</f>
        <v>1</v>
      </c>
      <c r="X8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1" s="24">
        <f>IFERROR(saCAGR[[#This Row],[Count of UD]]/saCAGR[[#This Row],[Total pairs]],"")</f>
        <v>0.2</v>
      </c>
      <c r="Z81" s="24">
        <f>IFERROR(saCAGR[[#This Row],[Count of DU]]/saCAGR[[#This Row],[Total pairs]],"")</f>
        <v>0.2</v>
      </c>
      <c r="AA81" s="24">
        <f>IFERROR(saCAGR[[#This Row],[% UD]]+saCAGR[[#This Row],[% DU]],"")</f>
        <v>0.4</v>
      </c>
      <c r="AB81" s="24">
        <f>STDEV(saCAGR[[#This Row],[2010]:[2016]])</f>
        <v>24.473503650936081</v>
      </c>
      <c r="AC81" s="24">
        <f>saCAGR[[#This Row],[Standard Deviation]]^2</f>
        <v>598.95238095238165</v>
      </c>
      <c r="AD81" s="24">
        <f t="shared" si="30"/>
        <v>-7</v>
      </c>
      <c r="AE81" s="24">
        <f t="shared" si="31"/>
        <v>28</v>
      </c>
      <c r="AF81" s="24">
        <f t="shared" si="32"/>
        <v>-26</v>
      </c>
      <c r="AG81" s="24">
        <f t="shared" si="33"/>
        <v>-24</v>
      </c>
      <c r="AH81" s="24">
        <f t="shared" si="34"/>
        <v>-11</v>
      </c>
      <c r="AI81" s="24">
        <f t="shared" si="35"/>
        <v>138.98024936024868</v>
      </c>
      <c r="AJ81" s="24">
        <f>AVERAGE(saCAGR[[#This Row],[2011 Delta]:[2016 Delta]])</f>
        <v>16.496708226708112</v>
      </c>
    </row>
    <row r="82" spans="1:36" ht="30">
      <c r="A82" s="16" t="s">
        <v>679</v>
      </c>
      <c r="B82" s="21">
        <v>78</v>
      </c>
      <c r="C82" s="21">
        <v>94</v>
      </c>
      <c r="D82" s="21">
        <v>156</v>
      </c>
      <c r="E82" s="21">
        <v>174</v>
      </c>
      <c r="F82" s="21">
        <v>207</v>
      </c>
      <c r="G82" s="21">
        <v>220</v>
      </c>
      <c r="H82" s="21">
        <v>212</v>
      </c>
      <c r="I82" s="26">
        <f t="array" ref="I82">(H82/INDEX($B82:$H82,1,MATCH(FALSE,ISBLANK(B82:H82),0)))^(1/INDEX($B$2:$H$2,1,MATCH(FALSE,ISBLANK(B82:H82),0)))</f>
        <v>1.0298448504193451</v>
      </c>
      <c r="J82" s="22" t="str">
        <f>_xlfn.IFNA(INDEX(saCAGRnameStd[EIW],MATCH(saCAGR[[#This Row],[Company]],saCAGRnameStd[SA CAGR],0)),saCAGR[[#This Row],[Company]])</f>
        <v>Skadden, Arps, Slate, Meagher &amp; Flom</v>
      </c>
      <c r="K82" s="23" t="str">
        <f t="shared" si="24"/>
        <v>U</v>
      </c>
      <c r="L82" s="23" t="str">
        <f t="shared" si="25"/>
        <v>U</v>
      </c>
      <c r="M82" s="23" t="str">
        <f t="shared" si="26"/>
        <v>U</v>
      </c>
      <c r="N82" s="23" t="str">
        <f t="shared" si="27"/>
        <v>U</v>
      </c>
      <c r="O82" s="23" t="str">
        <f t="shared" si="28"/>
        <v>U</v>
      </c>
      <c r="P82" s="23" t="str">
        <f t="shared" si="29"/>
        <v>D</v>
      </c>
      <c r="Q82" s="24" t="str">
        <f>saCAGR[[#This Row],[2011 ]]&amp;saCAGR[[#This Row],[  2012 ]]</f>
        <v>UU</v>
      </c>
      <c r="R82" s="24" t="str">
        <f>saCAGR[[#This Row],[  2012 ]]&amp;saCAGR[[#This Row],[2013 ]]</f>
        <v>UU</v>
      </c>
      <c r="S82" s="24" t="str">
        <f>saCAGR[[#This Row],[2013 ]]&amp;saCAGR[[#This Row],[2014 ]]</f>
        <v>UU</v>
      </c>
      <c r="T82" s="24" t="str">
        <f>saCAGR[[#This Row],[2014 ]]&amp;saCAGR[[#This Row],[2015 ]]</f>
        <v>UU</v>
      </c>
      <c r="U82" s="24" t="str">
        <f>saCAGR[[#This Row],[2015 ]]&amp;saCAGR[[#This Row],[2016 ]]</f>
        <v>UD</v>
      </c>
      <c r="V82" s="24">
        <f>COUNTIF(saCAGR[[#This Row],[11/12 pair]:[15/16 pair]],"UD")</f>
        <v>1</v>
      </c>
      <c r="W82" s="24">
        <f>COUNTIF(saCAGR[[#This Row],[11/12 pair]:[15/16 pair]],"DU")</f>
        <v>0</v>
      </c>
      <c r="X8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2" s="24">
        <f>IFERROR(saCAGR[[#This Row],[Count of UD]]/saCAGR[[#This Row],[Total pairs]],"")</f>
        <v>0.2</v>
      </c>
      <c r="Z82" s="24">
        <f>IFERROR(saCAGR[[#This Row],[Count of DU]]/saCAGR[[#This Row],[Total pairs]],"")</f>
        <v>0</v>
      </c>
      <c r="AA82" s="24">
        <f>IFERROR(saCAGR[[#This Row],[% UD]]+saCAGR[[#This Row],[% DU]],"")</f>
        <v>0.2</v>
      </c>
      <c r="AB82" s="24">
        <f>STDEV(saCAGR[[#This Row],[2010]:[2016]])</f>
        <v>57.361427225386691</v>
      </c>
      <c r="AC82" s="24">
        <f>saCAGR[[#This Row],[Standard Deviation]]^2</f>
        <v>3290.3333333333335</v>
      </c>
      <c r="AD82" s="24">
        <f t="shared" si="30"/>
        <v>-62</v>
      </c>
      <c r="AE82" s="24">
        <f t="shared" si="31"/>
        <v>-18</v>
      </c>
      <c r="AF82" s="24">
        <f t="shared" si="32"/>
        <v>-33</v>
      </c>
      <c r="AG82" s="24">
        <f t="shared" si="33"/>
        <v>-13</v>
      </c>
      <c r="AH82" s="24">
        <f t="shared" si="34"/>
        <v>8</v>
      </c>
      <c r="AI82" s="24">
        <f t="shared" si="35"/>
        <v>210.97015514958065</v>
      </c>
      <c r="AJ82" s="24">
        <f>AVERAGE(saCAGR[[#This Row],[2011 Delta]:[2016 Delta]])</f>
        <v>15.495025858263441</v>
      </c>
    </row>
    <row r="83" spans="1:36" ht="15">
      <c r="A83" s="16" t="s">
        <v>680</v>
      </c>
      <c r="B83" s="21">
        <v>20</v>
      </c>
      <c r="C83" s="21">
        <v>20</v>
      </c>
      <c r="D83" s="21">
        <v>22</v>
      </c>
      <c r="E83" s="21">
        <v>25</v>
      </c>
      <c r="F83" s="21">
        <v>18</v>
      </c>
      <c r="G83" s="21">
        <v>19</v>
      </c>
      <c r="H83" s="21">
        <v>30</v>
      </c>
      <c r="I83" s="26">
        <f t="array" ref="I83">(H83/INDEX($B83:$H83,1,MATCH(FALSE,ISBLANK(B83:H83),0)))^(1/INDEX($B$2:$H$2,1,MATCH(FALSE,ISBLANK(B83:H83),0)))</f>
        <v>1.011996835977685</v>
      </c>
      <c r="J83" s="22" t="str">
        <f>_xlfn.IFNA(INDEX(saCAGRnameStd[EIW],MATCH(saCAGR[[#This Row],[Company]],saCAGRnameStd[SA CAGR],0)),saCAGR[[#This Row],[Company]])</f>
        <v>Snell &amp; Wilmer LLP</v>
      </c>
      <c r="K83" s="23" t="str">
        <f t="shared" si="24"/>
        <v>S</v>
      </c>
      <c r="L83" s="23" t="str">
        <f t="shared" si="25"/>
        <v>U</v>
      </c>
      <c r="M83" s="23" t="str">
        <f t="shared" si="26"/>
        <v>U</v>
      </c>
      <c r="N83" s="23" t="str">
        <f t="shared" si="27"/>
        <v>D</v>
      </c>
      <c r="O83" s="23" t="str">
        <f t="shared" si="28"/>
        <v>U</v>
      </c>
      <c r="P83" s="23" t="str">
        <f t="shared" si="29"/>
        <v>U</v>
      </c>
      <c r="Q83" s="24" t="str">
        <f>saCAGR[[#This Row],[2011 ]]&amp;saCAGR[[#This Row],[  2012 ]]</f>
        <v>SU</v>
      </c>
      <c r="R83" s="24" t="str">
        <f>saCAGR[[#This Row],[  2012 ]]&amp;saCAGR[[#This Row],[2013 ]]</f>
        <v>UU</v>
      </c>
      <c r="S83" s="24" t="str">
        <f>saCAGR[[#This Row],[2013 ]]&amp;saCAGR[[#This Row],[2014 ]]</f>
        <v>UD</v>
      </c>
      <c r="T83" s="24" t="str">
        <f>saCAGR[[#This Row],[2014 ]]&amp;saCAGR[[#This Row],[2015 ]]</f>
        <v>DU</v>
      </c>
      <c r="U83" s="24" t="str">
        <f>saCAGR[[#This Row],[2015 ]]&amp;saCAGR[[#This Row],[2016 ]]</f>
        <v>UU</v>
      </c>
      <c r="V83" s="24">
        <f>COUNTIF(saCAGR[[#This Row],[11/12 pair]:[15/16 pair]],"UD")</f>
        <v>1</v>
      </c>
      <c r="W83" s="24">
        <f>COUNTIF(saCAGR[[#This Row],[11/12 pair]:[15/16 pair]],"DU")</f>
        <v>1</v>
      </c>
      <c r="X8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3" s="24">
        <f>IFERROR(saCAGR[[#This Row],[Count of UD]]/saCAGR[[#This Row],[Total pairs]],"")</f>
        <v>0.2</v>
      </c>
      <c r="Z83" s="24">
        <f>IFERROR(saCAGR[[#This Row],[Count of DU]]/saCAGR[[#This Row],[Total pairs]],"")</f>
        <v>0.2</v>
      </c>
      <c r="AA83" s="24">
        <f>IFERROR(saCAGR[[#This Row],[% UD]]+saCAGR[[#This Row],[% DU]],"")</f>
        <v>0.4</v>
      </c>
      <c r="AB83" s="24">
        <f>STDEV(saCAGR[[#This Row],[2010]:[2016]])</f>
        <v>4.2031734043061642</v>
      </c>
      <c r="AC83" s="24">
        <f>saCAGR[[#This Row],[Standard Deviation]]^2</f>
        <v>17.666666666666668</v>
      </c>
      <c r="AD83" s="24">
        <f t="shared" si="30"/>
        <v>-2</v>
      </c>
      <c r="AE83" s="24">
        <f t="shared" si="31"/>
        <v>-3</v>
      </c>
      <c r="AF83" s="24">
        <f t="shared" si="32"/>
        <v>7</v>
      </c>
      <c r="AG83" s="24">
        <f t="shared" si="33"/>
        <v>-1</v>
      </c>
      <c r="AH83" s="24">
        <f t="shared" si="34"/>
        <v>-11</v>
      </c>
      <c r="AI83" s="24">
        <f t="shared" si="35"/>
        <v>28.988003164022317</v>
      </c>
      <c r="AJ83" s="24">
        <f>AVERAGE(saCAGR[[#This Row],[2011 Delta]:[2016 Delta]])</f>
        <v>3.1646671940037194</v>
      </c>
    </row>
    <row r="84" spans="1:36" ht="15">
      <c r="A84" s="16" t="s">
        <v>681</v>
      </c>
      <c r="B84" s="21">
        <v>8</v>
      </c>
      <c r="C84" s="21">
        <v>2</v>
      </c>
      <c r="D84" s="21">
        <v>32</v>
      </c>
      <c r="E84" s="21">
        <v>12</v>
      </c>
      <c r="F84" s="21">
        <v>16</v>
      </c>
      <c r="G84" s="21">
        <v>26</v>
      </c>
      <c r="H84" s="21">
        <v>28</v>
      </c>
      <c r="I84" s="26">
        <f t="array" ref="I84">(H84/INDEX($B84:$H84,1,MATCH(FALSE,ISBLANK(B84:H84),0)))^(1/INDEX($B$2:$H$2,1,MATCH(FALSE,ISBLANK(B84:H84),0)))</f>
        <v>1.0375331969402122</v>
      </c>
      <c r="J84" s="22" t="str">
        <f>_xlfn.IFNA(INDEX(saCAGRnameStd[EIW],MATCH(saCAGR[[#This Row],[Company]],saCAGRnameStd[SA CAGR],0)),saCAGR[[#This Row],[Company]])</f>
        <v>Squire Patton Boggs</v>
      </c>
      <c r="K84" s="23" t="str">
        <f t="shared" si="24"/>
        <v>D</v>
      </c>
      <c r="L84" s="23" t="str">
        <f t="shared" si="25"/>
        <v>U</v>
      </c>
      <c r="M84" s="23" t="str">
        <f t="shared" si="26"/>
        <v>D</v>
      </c>
      <c r="N84" s="23" t="str">
        <f t="shared" si="27"/>
        <v>U</v>
      </c>
      <c r="O84" s="23" t="str">
        <f t="shared" si="28"/>
        <v>U</v>
      </c>
      <c r="P84" s="23" t="str">
        <f t="shared" si="29"/>
        <v>U</v>
      </c>
      <c r="Q84" s="24" t="str">
        <f>saCAGR[[#This Row],[2011 ]]&amp;saCAGR[[#This Row],[  2012 ]]</f>
        <v>DU</v>
      </c>
      <c r="R84" s="24" t="str">
        <f>saCAGR[[#This Row],[  2012 ]]&amp;saCAGR[[#This Row],[2013 ]]</f>
        <v>UD</v>
      </c>
      <c r="S84" s="24" t="str">
        <f>saCAGR[[#This Row],[2013 ]]&amp;saCAGR[[#This Row],[2014 ]]</f>
        <v>DU</v>
      </c>
      <c r="T84" s="24" t="str">
        <f>saCAGR[[#This Row],[2014 ]]&amp;saCAGR[[#This Row],[2015 ]]</f>
        <v>UU</v>
      </c>
      <c r="U84" s="24" t="str">
        <f>saCAGR[[#This Row],[2015 ]]&amp;saCAGR[[#This Row],[2016 ]]</f>
        <v>UU</v>
      </c>
      <c r="V84" s="24">
        <f>COUNTIF(saCAGR[[#This Row],[11/12 pair]:[15/16 pair]],"UD")</f>
        <v>1</v>
      </c>
      <c r="W84" s="24">
        <f>COUNTIF(saCAGR[[#This Row],[11/12 pair]:[15/16 pair]],"DU")</f>
        <v>2</v>
      </c>
      <c r="X8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4" s="24">
        <f>IFERROR(saCAGR[[#This Row],[Count of UD]]/saCAGR[[#This Row],[Total pairs]],"")</f>
        <v>0.2</v>
      </c>
      <c r="Z84" s="24">
        <f>IFERROR(saCAGR[[#This Row],[Count of DU]]/saCAGR[[#This Row],[Total pairs]],"")</f>
        <v>0.4</v>
      </c>
      <c r="AA84" s="24">
        <f>IFERROR(saCAGR[[#This Row],[% UD]]+saCAGR[[#This Row],[% DU]],"")</f>
        <v>0.60000000000000009</v>
      </c>
      <c r="AB84" s="24">
        <f>STDEV(saCAGR[[#This Row],[2010]:[2016]])</f>
        <v>11.220729116450585</v>
      </c>
      <c r="AC84" s="24">
        <f>saCAGR[[#This Row],[Standard Deviation]]^2</f>
        <v>125.90476190476191</v>
      </c>
      <c r="AD84" s="24">
        <f t="shared" si="30"/>
        <v>-30</v>
      </c>
      <c r="AE84" s="24">
        <f t="shared" si="31"/>
        <v>20</v>
      </c>
      <c r="AF84" s="24">
        <f t="shared" si="32"/>
        <v>-4</v>
      </c>
      <c r="AG84" s="24">
        <f t="shared" si="33"/>
        <v>-10</v>
      </c>
      <c r="AH84" s="24">
        <f t="shared" si="34"/>
        <v>-2</v>
      </c>
      <c r="AI84" s="24">
        <f t="shared" si="35"/>
        <v>26.962466803059787</v>
      </c>
      <c r="AJ84" s="24">
        <f>AVERAGE(saCAGR[[#This Row],[2011 Delta]:[2016 Delta]])</f>
        <v>0.16041113384329778</v>
      </c>
    </row>
    <row r="85" spans="1:36" ht="30">
      <c r="A85" s="16" t="s">
        <v>596</v>
      </c>
      <c r="B85" s="21">
        <v>19</v>
      </c>
      <c r="C85" s="21">
        <v>25</v>
      </c>
      <c r="D85" s="21">
        <v>21</v>
      </c>
      <c r="E85" s="21">
        <v>27</v>
      </c>
      <c r="F85" s="21">
        <v>16</v>
      </c>
      <c r="G85" s="21">
        <v>14</v>
      </c>
      <c r="H85" s="21">
        <v>14</v>
      </c>
      <c r="I85" s="26">
        <f t="array" ref="I85">(H85/INDEX($B85:$H85,1,MATCH(FALSE,ISBLANK(B85:H85),0)))^(1/INDEX($B$2:$H$2,1,MATCH(FALSE,ISBLANK(B85:H85),0)))</f>
        <v>0.99105840276804735</v>
      </c>
      <c r="J85" s="22" t="str">
        <f>_xlfn.IFNA(INDEX(saCAGRnameStd[EIW],MATCH(saCAGR[[#This Row],[Company]],saCAGRnameStd[SA CAGR],0)),saCAGR[[#This Row],[Company]])</f>
        <v>Stroock &amp; Stroock &amp; Lavan</v>
      </c>
      <c r="K85" s="23" t="str">
        <f t="shared" si="24"/>
        <v>U</v>
      </c>
      <c r="L85" s="23" t="str">
        <f t="shared" si="25"/>
        <v>D</v>
      </c>
      <c r="M85" s="23" t="str">
        <f t="shared" si="26"/>
        <v>U</v>
      </c>
      <c r="N85" s="23" t="str">
        <f t="shared" si="27"/>
        <v>D</v>
      </c>
      <c r="O85" s="23" t="str">
        <f t="shared" si="28"/>
        <v>D</v>
      </c>
      <c r="P85" s="23" t="str">
        <f t="shared" si="29"/>
        <v>S</v>
      </c>
      <c r="Q85" s="24" t="str">
        <f>saCAGR[[#This Row],[2011 ]]&amp;saCAGR[[#This Row],[  2012 ]]</f>
        <v>UD</v>
      </c>
      <c r="R85" s="24" t="str">
        <f>saCAGR[[#This Row],[  2012 ]]&amp;saCAGR[[#This Row],[2013 ]]</f>
        <v>DU</v>
      </c>
      <c r="S85" s="24" t="str">
        <f>saCAGR[[#This Row],[2013 ]]&amp;saCAGR[[#This Row],[2014 ]]</f>
        <v>UD</v>
      </c>
      <c r="T85" s="24" t="str">
        <f>saCAGR[[#This Row],[2014 ]]&amp;saCAGR[[#This Row],[2015 ]]</f>
        <v>DD</v>
      </c>
      <c r="U85" s="24" t="str">
        <f>saCAGR[[#This Row],[2015 ]]&amp;saCAGR[[#This Row],[2016 ]]</f>
        <v>DS</v>
      </c>
      <c r="V85" s="24">
        <f>COUNTIF(saCAGR[[#This Row],[11/12 pair]:[15/16 pair]],"UD")</f>
        <v>2</v>
      </c>
      <c r="W85" s="24">
        <f>COUNTIF(saCAGR[[#This Row],[11/12 pair]:[15/16 pair]],"DU")</f>
        <v>1</v>
      </c>
      <c r="X8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5" s="24">
        <f>IFERROR(saCAGR[[#This Row],[Count of UD]]/saCAGR[[#This Row],[Total pairs]],"")</f>
        <v>0.4</v>
      </c>
      <c r="Z85" s="24">
        <f>IFERROR(saCAGR[[#This Row],[Count of DU]]/saCAGR[[#This Row],[Total pairs]],"")</f>
        <v>0.2</v>
      </c>
      <c r="AA85" s="24">
        <f>IFERROR(saCAGR[[#This Row],[% UD]]+saCAGR[[#This Row],[% DU]],"")</f>
        <v>0.60000000000000009</v>
      </c>
      <c r="AB85" s="24">
        <f>STDEV(saCAGR[[#This Row],[2010]:[2016]])</f>
        <v>5.1915682555833707</v>
      </c>
      <c r="AC85" s="24">
        <f>saCAGR[[#This Row],[Standard Deviation]]^2</f>
        <v>26.952380952380963</v>
      </c>
      <c r="AD85" s="24">
        <f t="shared" si="30"/>
        <v>4</v>
      </c>
      <c r="AE85" s="24">
        <f t="shared" si="31"/>
        <v>-6</v>
      </c>
      <c r="AF85" s="24">
        <f t="shared" si="32"/>
        <v>11</v>
      </c>
      <c r="AG85" s="24">
        <f t="shared" si="33"/>
        <v>2</v>
      </c>
      <c r="AH85" s="24">
        <f t="shared" si="34"/>
        <v>0</v>
      </c>
      <c r="AI85" s="24">
        <f t="shared" si="35"/>
        <v>13.008941597231953</v>
      </c>
      <c r="AJ85" s="24">
        <f>AVERAGE(saCAGR[[#This Row],[2011 Delta]:[2016 Delta]])</f>
        <v>4.0014902662053258</v>
      </c>
    </row>
    <row r="86" spans="1:36" ht="15">
      <c r="A86" s="16" t="s">
        <v>597</v>
      </c>
      <c r="B86" s="21">
        <v>77</v>
      </c>
      <c r="C86" s="21">
        <v>137</v>
      </c>
      <c r="D86" s="21">
        <v>122</v>
      </c>
      <c r="E86" s="21">
        <v>150</v>
      </c>
      <c r="F86" s="21">
        <v>126</v>
      </c>
      <c r="G86" s="21">
        <v>125</v>
      </c>
      <c r="H86" s="21">
        <v>144</v>
      </c>
      <c r="I86" s="26">
        <f t="array" ref="I86">(H86/INDEX($B86:$H86,1,MATCH(FALSE,ISBLANK(B86:H86),0)))^(1/INDEX($B$2:$H$2,1,MATCH(FALSE,ISBLANK(B86:H86),0)))</f>
        <v>1.0185825422982304</v>
      </c>
      <c r="J86" s="22" t="str">
        <f>_xlfn.IFNA(INDEX(saCAGRnameStd[EIW],MATCH(saCAGR[[#This Row],[Company]],saCAGRnameStd[SA CAGR],0)),saCAGR[[#This Row],[Company]])</f>
        <v>Sullivan &amp; Cromwell</v>
      </c>
      <c r="K86" s="23" t="str">
        <f t="shared" si="24"/>
        <v>U</v>
      </c>
      <c r="L86" s="23" t="str">
        <f t="shared" si="25"/>
        <v>D</v>
      </c>
      <c r="M86" s="23" t="str">
        <f t="shared" si="26"/>
        <v>U</v>
      </c>
      <c r="N86" s="23" t="str">
        <f t="shared" si="27"/>
        <v>D</v>
      </c>
      <c r="O86" s="23" t="str">
        <f t="shared" si="28"/>
        <v>D</v>
      </c>
      <c r="P86" s="23" t="str">
        <f t="shared" si="29"/>
        <v>U</v>
      </c>
      <c r="Q86" s="24" t="str">
        <f>saCAGR[[#This Row],[2011 ]]&amp;saCAGR[[#This Row],[  2012 ]]</f>
        <v>UD</v>
      </c>
      <c r="R86" s="24" t="str">
        <f>saCAGR[[#This Row],[  2012 ]]&amp;saCAGR[[#This Row],[2013 ]]</f>
        <v>DU</v>
      </c>
      <c r="S86" s="24" t="str">
        <f>saCAGR[[#This Row],[2013 ]]&amp;saCAGR[[#This Row],[2014 ]]</f>
        <v>UD</v>
      </c>
      <c r="T86" s="24" t="str">
        <f>saCAGR[[#This Row],[2014 ]]&amp;saCAGR[[#This Row],[2015 ]]</f>
        <v>DD</v>
      </c>
      <c r="U86" s="24" t="str">
        <f>saCAGR[[#This Row],[2015 ]]&amp;saCAGR[[#This Row],[2016 ]]</f>
        <v>DU</v>
      </c>
      <c r="V86" s="24">
        <f>COUNTIF(saCAGR[[#This Row],[11/12 pair]:[15/16 pair]],"UD")</f>
        <v>2</v>
      </c>
      <c r="W86" s="24">
        <f>COUNTIF(saCAGR[[#This Row],[11/12 pair]:[15/16 pair]],"DU")</f>
        <v>2</v>
      </c>
      <c r="X86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6" s="24">
        <f>IFERROR(saCAGR[[#This Row],[Count of UD]]/saCAGR[[#This Row],[Total pairs]],"")</f>
        <v>0.4</v>
      </c>
      <c r="Z86" s="24">
        <f>IFERROR(saCAGR[[#This Row],[Count of DU]]/saCAGR[[#This Row],[Total pairs]],"")</f>
        <v>0.4</v>
      </c>
      <c r="AA86" s="24">
        <f>IFERROR(saCAGR[[#This Row],[% UD]]+saCAGR[[#This Row],[% DU]],"")</f>
        <v>0.8</v>
      </c>
      <c r="AB86" s="24">
        <f>STDEV(saCAGR[[#This Row],[2010]:[2016]])</f>
        <v>23.94040219258769</v>
      </c>
      <c r="AC86" s="24">
        <f>saCAGR[[#This Row],[Standard Deviation]]^2</f>
        <v>573.14285714285745</v>
      </c>
      <c r="AD86" s="24">
        <f t="shared" si="30"/>
        <v>15</v>
      </c>
      <c r="AE86" s="24">
        <f t="shared" si="31"/>
        <v>-28</v>
      </c>
      <c r="AF86" s="24">
        <f t="shared" si="32"/>
        <v>24</v>
      </c>
      <c r="AG86" s="24">
        <f t="shared" si="33"/>
        <v>1</v>
      </c>
      <c r="AH86" s="24">
        <f t="shared" si="34"/>
        <v>-19</v>
      </c>
      <c r="AI86" s="24">
        <f t="shared" si="35"/>
        <v>142.98141745770178</v>
      </c>
      <c r="AJ86" s="24">
        <f>AVERAGE(saCAGR[[#This Row],[2011 Delta]:[2016 Delta]])</f>
        <v>22.663569576283631</v>
      </c>
    </row>
    <row r="87" spans="1:36" ht="15">
      <c r="A87" s="16" t="s">
        <v>599</v>
      </c>
      <c r="B87" s="21">
        <v>17</v>
      </c>
      <c r="C87" s="21">
        <v>29</v>
      </c>
      <c r="D87" s="21">
        <v>30</v>
      </c>
      <c r="E87" s="21">
        <v>29</v>
      </c>
      <c r="F87" s="21">
        <v>31</v>
      </c>
      <c r="G87" s="21">
        <v>37</v>
      </c>
      <c r="H87" s="21">
        <v>36</v>
      </c>
      <c r="I87" s="26">
        <f t="array" ref="I87">(H87/INDEX($B87:$H87,1,MATCH(FALSE,ISBLANK(B87:H87),0)))^(1/INDEX($B$2:$H$2,1,MATCH(FALSE,ISBLANK(B87:H87),0)))</f>
        <v>1.0223131068074527</v>
      </c>
      <c r="J87" s="22" t="str">
        <f>_xlfn.IFNA(INDEX(saCAGRnameStd[EIW],MATCH(saCAGR[[#This Row],[Company]],saCAGRnameStd[SA CAGR],0)),saCAGR[[#This Row],[Company]])</f>
        <v>Venable</v>
      </c>
      <c r="K87" s="23" t="str">
        <f t="shared" si="24"/>
        <v>U</v>
      </c>
      <c r="L87" s="23" t="str">
        <f t="shared" si="25"/>
        <v>U</v>
      </c>
      <c r="M87" s="23" t="str">
        <f t="shared" si="26"/>
        <v>D</v>
      </c>
      <c r="N87" s="23" t="str">
        <f t="shared" si="27"/>
        <v>U</v>
      </c>
      <c r="O87" s="23" t="str">
        <f t="shared" si="28"/>
        <v>U</v>
      </c>
      <c r="P87" s="23" t="str">
        <f t="shared" si="29"/>
        <v>D</v>
      </c>
      <c r="Q87" s="24" t="str">
        <f>saCAGR[[#This Row],[2011 ]]&amp;saCAGR[[#This Row],[  2012 ]]</f>
        <v>UU</v>
      </c>
      <c r="R87" s="24" t="str">
        <f>saCAGR[[#This Row],[  2012 ]]&amp;saCAGR[[#This Row],[2013 ]]</f>
        <v>UD</v>
      </c>
      <c r="S87" s="24" t="str">
        <f>saCAGR[[#This Row],[2013 ]]&amp;saCAGR[[#This Row],[2014 ]]</f>
        <v>DU</v>
      </c>
      <c r="T87" s="24" t="str">
        <f>saCAGR[[#This Row],[2014 ]]&amp;saCAGR[[#This Row],[2015 ]]</f>
        <v>UU</v>
      </c>
      <c r="U87" s="24" t="str">
        <f>saCAGR[[#This Row],[2015 ]]&amp;saCAGR[[#This Row],[2016 ]]</f>
        <v>UD</v>
      </c>
      <c r="V87" s="24">
        <f>COUNTIF(saCAGR[[#This Row],[11/12 pair]:[15/16 pair]],"UD")</f>
        <v>2</v>
      </c>
      <c r="W87" s="24">
        <f>COUNTIF(saCAGR[[#This Row],[11/12 pair]:[15/16 pair]],"DU")</f>
        <v>1</v>
      </c>
      <c r="X87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7" s="24">
        <f>IFERROR(saCAGR[[#This Row],[Count of UD]]/saCAGR[[#This Row],[Total pairs]],"")</f>
        <v>0.4</v>
      </c>
      <c r="Z87" s="24">
        <f>IFERROR(saCAGR[[#This Row],[Count of DU]]/saCAGR[[#This Row],[Total pairs]],"")</f>
        <v>0.2</v>
      </c>
      <c r="AA87" s="24">
        <f>IFERROR(saCAGR[[#This Row],[% UD]]+saCAGR[[#This Row],[% DU]],"")</f>
        <v>0.60000000000000009</v>
      </c>
      <c r="AB87" s="24">
        <f>STDEV(saCAGR[[#This Row],[2010]:[2016]])</f>
        <v>6.5428987314128477</v>
      </c>
      <c r="AC87" s="24">
        <f>saCAGR[[#This Row],[Standard Deviation]]^2</f>
        <v>42.809523809523853</v>
      </c>
      <c r="AD87" s="24">
        <f t="shared" si="30"/>
        <v>-1</v>
      </c>
      <c r="AE87" s="24">
        <f t="shared" si="31"/>
        <v>1</v>
      </c>
      <c r="AF87" s="24">
        <f t="shared" si="32"/>
        <v>-2</v>
      </c>
      <c r="AG87" s="24">
        <f t="shared" si="33"/>
        <v>-6</v>
      </c>
      <c r="AH87" s="24">
        <f t="shared" si="34"/>
        <v>1</v>
      </c>
      <c r="AI87" s="24">
        <f t="shared" si="35"/>
        <v>34.977686893192548</v>
      </c>
      <c r="AJ87" s="24">
        <f>AVERAGE(saCAGR[[#This Row],[2011 Delta]:[2016 Delta]])</f>
        <v>4.6629478155320916</v>
      </c>
    </row>
    <row r="88" spans="1:36" ht="15">
      <c r="A88" s="16" t="s">
        <v>600</v>
      </c>
      <c r="B88" s="21">
        <v>98</v>
      </c>
      <c r="C88" s="21">
        <v>104</v>
      </c>
      <c r="D88" s="21">
        <v>103</v>
      </c>
      <c r="E88" s="21">
        <v>89</v>
      </c>
      <c r="F88" s="21">
        <v>78</v>
      </c>
      <c r="G88" s="21">
        <v>91</v>
      </c>
      <c r="H88" s="21">
        <v>68</v>
      </c>
      <c r="I88" s="26">
        <f t="array" ref="I88">(H88/INDEX($B88:$H88,1,MATCH(FALSE,ISBLANK(B88:H88),0)))^(1/INDEX($B$2:$H$2,1,MATCH(FALSE,ISBLANK(B88:H88),0)))</f>
        <v>0.98930874523842427</v>
      </c>
      <c r="J88" s="22" t="str">
        <f>_xlfn.IFNA(INDEX(saCAGRnameStd[EIW],MATCH(saCAGR[[#This Row],[Company]],saCAGRnameStd[SA CAGR],0)),saCAGR[[#This Row],[Company]])</f>
        <v>Vinson &amp; Elkins</v>
      </c>
      <c r="K88" s="23" t="str">
        <f t="shared" si="24"/>
        <v>U</v>
      </c>
      <c r="L88" s="23" t="str">
        <f t="shared" si="25"/>
        <v>D</v>
      </c>
      <c r="M88" s="23" t="str">
        <f t="shared" si="26"/>
        <v>D</v>
      </c>
      <c r="N88" s="23" t="str">
        <f t="shared" si="27"/>
        <v>D</v>
      </c>
      <c r="O88" s="23" t="str">
        <f t="shared" si="28"/>
        <v>U</v>
      </c>
      <c r="P88" s="23" t="str">
        <f t="shared" si="29"/>
        <v>D</v>
      </c>
      <c r="Q88" s="24" t="str">
        <f>saCAGR[[#This Row],[2011 ]]&amp;saCAGR[[#This Row],[  2012 ]]</f>
        <v>UD</v>
      </c>
      <c r="R88" s="24" t="str">
        <f>saCAGR[[#This Row],[  2012 ]]&amp;saCAGR[[#This Row],[2013 ]]</f>
        <v>DD</v>
      </c>
      <c r="S88" s="24" t="str">
        <f>saCAGR[[#This Row],[2013 ]]&amp;saCAGR[[#This Row],[2014 ]]</f>
        <v>DD</v>
      </c>
      <c r="T88" s="24" t="str">
        <f>saCAGR[[#This Row],[2014 ]]&amp;saCAGR[[#This Row],[2015 ]]</f>
        <v>DU</v>
      </c>
      <c r="U88" s="24" t="str">
        <f>saCAGR[[#This Row],[2015 ]]&amp;saCAGR[[#This Row],[2016 ]]</f>
        <v>UD</v>
      </c>
      <c r="V88" s="24">
        <f>COUNTIF(saCAGR[[#This Row],[11/12 pair]:[15/16 pair]],"UD")</f>
        <v>2</v>
      </c>
      <c r="W88" s="24">
        <f>COUNTIF(saCAGR[[#This Row],[11/12 pair]:[15/16 pair]],"DU")</f>
        <v>1</v>
      </c>
      <c r="X88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8" s="24">
        <f>IFERROR(saCAGR[[#This Row],[Count of UD]]/saCAGR[[#This Row],[Total pairs]],"")</f>
        <v>0.4</v>
      </c>
      <c r="Z88" s="24">
        <f>IFERROR(saCAGR[[#This Row],[Count of DU]]/saCAGR[[#This Row],[Total pairs]],"")</f>
        <v>0.2</v>
      </c>
      <c r="AA88" s="24">
        <f>IFERROR(saCAGR[[#This Row],[% UD]]+saCAGR[[#This Row],[% DU]],"")</f>
        <v>0.60000000000000009</v>
      </c>
      <c r="AB88" s="24">
        <f>STDEV(saCAGR[[#This Row],[2010]:[2016]])</f>
        <v>13.284434142115005</v>
      </c>
      <c r="AC88" s="24">
        <f>saCAGR[[#This Row],[Standard Deviation]]^2</f>
        <v>176.47619047619082</v>
      </c>
      <c r="AD88" s="24">
        <f t="shared" si="30"/>
        <v>1</v>
      </c>
      <c r="AE88" s="24">
        <f t="shared" si="31"/>
        <v>14</v>
      </c>
      <c r="AF88" s="24">
        <f t="shared" si="32"/>
        <v>11</v>
      </c>
      <c r="AG88" s="24">
        <f t="shared" si="33"/>
        <v>-13</v>
      </c>
      <c r="AH88" s="24">
        <f t="shared" si="34"/>
        <v>23</v>
      </c>
      <c r="AI88" s="24">
        <f t="shared" si="35"/>
        <v>67.010691254761582</v>
      </c>
      <c r="AJ88" s="24">
        <f>AVERAGE(saCAGR[[#This Row],[2011 Delta]:[2016 Delta]])</f>
        <v>17.168448542460265</v>
      </c>
    </row>
    <row r="89" spans="1:36" ht="15">
      <c r="A89" s="16" t="s">
        <v>682</v>
      </c>
      <c r="B89" s="21">
        <v>6</v>
      </c>
      <c r="C89" s="21">
        <v>8</v>
      </c>
      <c r="D89" s="21">
        <v>7</v>
      </c>
      <c r="E89" s="21">
        <v>7</v>
      </c>
      <c r="F89" s="21">
        <v>8</v>
      </c>
      <c r="G89" s="21">
        <v>8</v>
      </c>
      <c r="H89" s="21">
        <v>9</v>
      </c>
      <c r="I89" s="26">
        <f t="array" ref="I89">(H89/INDEX($B89:$H89,1,MATCH(FALSE,ISBLANK(B89:H89),0)))^(1/INDEX($B$2:$H$2,1,MATCH(FALSE,ISBLANK(B89:H89),0)))</f>
        <v>1.011996835977685</v>
      </c>
      <c r="J89" s="22" t="str">
        <f>_xlfn.IFNA(INDEX(saCAGRnameStd[EIW],MATCH(saCAGR[[#This Row],[Company]],saCAGRnameStd[SA CAGR],0)),saCAGR[[#This Row],[Company]])</f>
        <v>Waller</v>
      </c>
      <c r="K89" s="23" t="str">
        <f t="shared" si="24"/>
        <v>U</v>
      </c>
      <c r="L89" s="23" t="str">
        <f t="shared" si="25"/>
        <v>D</v>
      </c>
      <c r="M89" s="23" t="str">
        <f t="shared" si="26"/>
        <v>S</v>
      </c>
      <c r="N89" s="23" t="str">
        <f t="shared" si="27"/>
        <v>U</v>
      </c>
      <c r="O89" s="23" t="str">
        <f t="shared" si="28"/>
        <v>S</v>
      </c>
      <c r="P89" s="23" t="str">
        <f t="shared" si="29"/>
        <v>U</v>
      </c>
      <c r="Q89" s="24" t="str">
        <f>saCAGR[[#This Row],[2011 ]]&amp;saCAGR[[#This Row],[  2012 ]]</f>
        <v>UD</v>
      </c>
      <c r="R89" s="24" t="str">
        <f>saCAGR[[#This Row],[  2012 ]]&amp;saCAGR[[#This Row],[2013 ]]</f>
        <v>DS</v>
      </c>
      <c r="S89" s="24" t="str">
        <f>saCAGR[[#This Row],[2013 ]]&amp;saCAGR[[#This Row],[2014 ]]</f>
        <v>SU</v>
      </c>
      <c r="T89" s="24" t="str">
        <f>saCAGR[[#This Row],[2014 ]]&amp;saCAGR[[#This Row],[2015 ]]</f>
        <v>US</v>
      </c>
      <c r="U89" s="24" t="str">
        <f>saCAGR[[#This Row],[2015 ]]&amp;saCAGR[[#This Row],[2016 ]]</f>
        <v>SU</v>
      </c>
      <c r="V89" s="24">
        <f>COUNTIF(saCAGR[[#This Row],[11/12 pair]:[15/16 pair]],"UD")</f>
        <v>1</v>
      </c>
      <c r="W89" s="24">
        <f>COUNTIF(saCAGR[[#This Row],[11/12 pair]:[15/16 pair]],"DU")</f>
        <v>0</v>
      </c>
      <c r="X89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89" s="24">
        <f>IFERROR(saCAGR[[#This Row],[Count of UD]]/saCAGR[[#This Row],[Total pairs]],"")</f>
        <v>0.2</v>
      </c>
      <c r="Z89" s="24">
        <f>IFERROR(saCAGR[[#This Row],[Count of DU]]/saCAGR[[#This Row],[Total pairs]],"")</f>
        <v>0</v>
      </c>
      <c r="AA89" s="24">
        <f>IFERROR(saCAGR[[#This Row],[% UD]]+saCAGR[[#This Row],[% DU]],"")</f>
        <v>0.2</v>
      </c>
      <c r="AB89" s="24">
        <f>STDEV(saCAGR[[#This Row],[2010]:[2016]])</f>
        <v>0.97590007294853387</v>
      </c>
      <c r="AC89" s="24">
        <f>saCAGR[[#This Row],[Standard Deviation]]^2</f>
        <v>0.95238095238095377</v>
      </c>
      <c r="AD89" s="24">
        <f t="shared" si="30"/>
        <v>1</v>
      </c>
      <c r="AE89" s="24">
        <f t="shared" si="31"/>
        <v>0</v>
      </c>
      <c r="AF89" s="24">
        <f t="shared" si="32"/>
        <v>-1</v>
      </c>
      <c r="AG89" s="24">
        <f t="shared" si="33"/>
        <v>0</v>
      </c>
      <c r="AH89" s="24">
        <f t="shared" si="34"/>
        <v>-1</v>
      </c>
      <c r="AI89" s="24">
        <f t="shared" si="35"/>
        <v>7.9880031640223148</v>
      </c>
      <c r="AJ89" s="24">
        <f>AVERAGE(saCAGR[[#This Row],[2011 Delta]:[2016 Delta]])</f>
        <v>1.1646671940037192</v>
      </c>
    </row>
    <row r="90" spans="1:36" ht="30">
      <c r="A90" s="16" t="s">
        <v>601</v>
      </c>
      <c r="B90" s="21">
        <v>42</v>
      </c>
      <c r="C90" s="21">
        <v>71</v>
      </c>
      <c r="D90" s="21">
        <v>110</v>
      </c>
      <c r="E90" s="21">
        <v>101</v>
      </c>
      <c r="F90" s="21">
        <v>76</v>
      </c>
      <c r="G90" s="21">
        <v>94</v>
      </c>
      <c r="H90" s="21">
        <v>97</v>
      </c>
      <c r="I90" s="26">
        <f t="array" ref="I90">(H90/INDEX($B90:$H90,1,MATCH(FALSE,ISBLANK(B90:H90),0)))^(1/INDEX($B$2:$H$2,1,MATCH(FALSE,ISBLANK(B90:H90),0)))</f>
        <v>1.0249244100065287</v>
      </c>
      <c r="J90" s="22" t="str">
        <f>_xlfn.IFNA(INDEX(saCAGRnameStd[EIW],MATCH(saCAGR[[#This Row],[Company]],saCAGRnameStd[SA CAGR],0)),saCAGR[[#This Row],[Company]])</f>
        <v>Weil, Gotshal &amp; Manges</v>
      </c>
      <c r="K90" s="23" t="str">
        <f t="shared" si="24"/>
        <v>U</v>
      </c>
      <c r="L90" s="23" t="str">
        <f t="shared" si="25"/>
        <v>U</v>
      </c>
      <c r="M90" s="23" t="str">
        <f t="shared" si="26"/>
        <v>D</v>
      </c>
      <c r="N90" s="23" t="str">
        <f t="shared" si="27"/>
        <v>D</v>
      </c>
      <c r="O90" s="23" t="str">
        <f t="shared" si="28"/>
        <v>U</v>
      </c>
      <c r="P90" s="23" t="str">
        <f t="shared" si="29"/>
        <v>U</v>
      </c>
      <c r="Q90" s="24" t="str">
        <f>saCAGR[[#This Row],[2011 ]]&amp;saCAGR[[#This Row],[  2012 ]]</f>
        <v>UU</v>
      </c>
      <c r="R90" s="24" t="str">
        <f>saCAGR[[#This Row],[  2012 ]]&amp;saCAGR[[#This Row],[2013 ]]</f>
        <v>UD</v>
      </c>
      <c r="S90" s="24" t="str">
        <f>saCAGR[[#This Row],[2013 ]]&amp;saCAGR[[#This Row],[2014 ]]</f>
        <v>DD</v>
      </c>
      <c r="T90" s="24" t="str">
        <f>saCAGR[[#This Row],[2014 ]]&amp;saCAGR[[#This Row],[2015 ]]</f>
        <v>DU</v>
      </c>
      <c r="U90" s="24" t="str">
        <f>saCAGR[[#This Row],[2015 ]]&amp;saCAGR[[#This Row],[2016 ]]</f>
        <v>UU</v>
      </c>
      <c r="V90" s="24">
        <f>COUNTIF(saCAGR[[#This Row],[11/12 pair]:[15/16 pair]],"UD")</f>
        <v>1</v>
      </c>
      <c r="W90" s="24">
        <f>COUNTIF(saCAGR[[#This Row],[11/12 pair]:[15/16 pair]],"DU")</f>
        <v>1</v>
      </c>
      <c r="X90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0" s="24">
        <f>IFERROR(saCAGR[[#This Row],[Count of UD]]/saCAGR[[#This Row],[Total pairs]],"")</f>
        <v>0.2</v>
      </c>
      <c r="Z90" s="24">
        <f>IFERROR(saCAGR[[#This Row],[Count of DU]]/saCAGR[[#This Row],[Total pairs]],"")</f>
        <v>0.2</v>
      </c>
      <c r="AA90" s="24">
        <f>IFERROR(saCAGR[[#This Row],[% UD]]+saCAGR[[#This Row],[% DU]],"")</f>
        <v>0.4</v>
      </c>
      <c r="AB90" s="24">
        <f>STDEV(saCAGR[[#This Row],[2010]:[2016]])</f>
        <v>23.200985200756321</v>
      </c>
      <c r="AC90" s="24">
        <f>saCAGR[[#This Row],[Standard Deviation]]^2</f>
        <v>538.28571428571388</v>
      </c>
      <c r="AD90" s="24">
        <f t="shared" si="30"/>
        <v>-39</v>
      </c>
      <c r="AE90" s="24">
        <f t="shared" si="31"/>
        <v>9</v>
      </c>
      <c r="AF90" s="24">
        <f t="shared" si="32"/>
        <v>25</v>
      </c>
      <c r="AG90" s="24">
        <f t="shared" si="33"/>
        <v>-18</v>
      </c>
      <c r="AH90" s="24">
        <f t="shared" si="34"/>
        <v>-3</v>
      </c>
      <c r="AI90" s="24">
        <f t="shared" si="35"/>
        <v>95.975075589993466</v>
      </c>
      <c r="AJ90" s="24">
        <f>AVERAGE(saCAGR[[#This Row],[2011 Delta]:[2016 Delta]])</f>
        <v>11.662512598332244</v>
      </c>
    </row>
    <row r="91" spans="1:36" ht="15">
      <c r="A91" s="16" t="s">
        <v>602</v>
      </c>
      <c r="B91" s="21">
        <v>47</v>
      </c>
      <c r="C91" s="21">
        <v>60</v>
      </c>
      <c r="D91" s="21">
        <v>56</v>
      </c>
      <c r="E91" s="21">
        <v>56</v>
      </c>
      <c r="F91" s="21">
        <v>57</v>
      </c>
      <c r="G91" s="21">
        <v>66</v>
      </c>
      <c r="H91" s="21">
        <v>102</v>
      </c>
      <c r="I91" s="26">
        <f t="array" ref="I91">(H91/INDEX($B91:$H91,1,MATCH(FALSE,ISBLANK(B91:H91),0)))^(1/INDEX($B$2:$H$2,1,MATCH(FALSE,ISBLANK(B91:H91),0)))</f>
        <v>1.0230506293606809</v>
      </c>
      <c r="J91" s="22" t="str">
        <f>_xlfn.IFNA(INDEX(saCAGRnameStd[EIW],MATCH(saCAGR[[#This Row],[Company]],saCAGRnameStd[SA CAGR],0)),saCAGR[[#This Row],[Company]])</f>
        <v>White &amp; Case</v>
      </c>
      <c r="K91" s="23" t="str">
        <f t="shared" si="24"/>
        <v>U</v>
      </c>
      <c r="L91" s="23" t="str">
        <f t="shared" si="25"/>
        <v>D</v>
      </c>
      <c r="M91" s="23" t="str">
        <f t="shared" si="26"/>
        <v>S</v>
      </c>
      <c r="N91" s="23" t="str">
        <f t="shared" si="27"/>
        <v>U</v>
      </c>
      <c r="O91" s="23" t="str">
        <f t="shared" si="28"/>
        <v>U</v>
      </c>
      <c r="P91" s="23" t="str">
        <f t="shared" si="29"/>
        <v>U</v>
      </c>
      <c r="Q91" s="24" t="str">
        <f>saCAGR[[#This Row],[2011 ]]&amp;saCAGR[[#This Row],[  2012 ]]</f>
        <v>UD</v>
      </c>
      <c r="R91" s="24" t="str">
        <f>saCAGR[[#This Row],[  2012 ]]&amp;saCAGR[[#This Row],[2013 ]]</f>
        <v>DS</v>
      </c>
      <c r="S91" s="24" t="str">
        <f>saCAGR[[#This Row],[2013 ]]&amp;saCAGR[[#This Row],[2014 ]]</f>
        <v>SU</v>
      </c>
      <c r="T91" s="24" t="str">
        <f>saCAGR[[#This Row],[2014 ]]&amp;saCAGR[[#This Row],[2015 ]]</f>
        <v>UU</v>
      </c>
      <c r="U91" s="24" t="str">
        <f>saCAGR[[#This Row],[2015 ]]&amp;saCAGR[[#This Row],[2016 ]]</f>
        <v>UU</v>
      </c>
      <c r="V91" s="24">
        <f>COUNTIF(saCAGR[[#This Row],[11/12 pair]:[15/16 pair]],"UD")</f>
        <v>1</v>
      </c>
      <c r="W91" s="24">
        <f>COUNTIF(saCAGR[[#This Row],[11/12 pair]:[15/16 pair]],"DU")</f>
        <v>0</v>
      </c>
      <c r="X91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1" s="24">
        <f>IFERROR(saCAGR[[#This Row],[Count of UD]]/saCAGR[[#This Row],[Total pairs]],"")</f>
        <v>0.2</v>
      </c>
      <c r="Z91" s="24">
        <f>IFERROR(saCAGR[[#This Row],[Count of DU]]/saCAGR[[#This Row],[Total pairs]],"")</f>
        <v>0</v>
      </c>
      <c r="AA91" s="24">
        <f>IFERROR(saCAGR[[#This Row],[% UD]]+saCAGR[[#This Row],[% DU]],"")</f>
        <v>0.2</v>
      </c>
      <c r="AB91" s="24">
        <f>STDEV(saCAGR[[#This Row],[2010]:[2016]])</f>
        <v>17.924444601875798</v>
      </c>
      <c r="AC91" s="24">
        <f>saCAGR[[#This Row],[Standard Deviation]]^2</f>
        <v>321.28571428571445</v>
      </c>
      <c r="AD91" s="24">
        <f t="shared" si="30"/>
        <v>4</v>
      </c>
      <c r="AE91" s="24">
        <f t="shared" si="31"/>
        <v>0</v>
      </c>
      <c r="AF91" s="24">
        <f t="shared" si="32"/>
        <v>-1</v>
      </c>
      <c r="AG91" s="24">
        <f t="shared" si="33"/>
        <v>-9</v>
      </c>
      <c r="AH91" s="24">
        <f t="shared" si="34"/>
        <v>-36</v>
      </c>
      <c r="AI91" s="24">
        <f t="shared" si="35"/>
        <v>100.97694937063932</v>
      </c>
      <c r="AJ91" s="24">
        <f>AVERAGE(saCAGR[[#This Row],[2011 Delta]:[2016 Delta]])</f>
        <v>9.829491561773219</v>
      </c>
    </row>
    <row r="92" spans="1:36" ht="15">
      <c r="A92" s="16" t="s">
        <v>683</v>
      </c>
      <c r="B92" s="21">
        <v>13</v>
      </c>
      <c r="C92" s="21">
        <v>15</v>
      </c>
      <c r="D92" s="21">
        <v>13</v>
      </c>
      <c r="E92" s="21">
        <v>19</v>
      </c>
      <c r="F92" s="21">
        <v>17</v>
      </c>
      <c r="G92" s="21">
        <v>10</v>
      </c>
      <c r="H92" s="21">
        <v>11</v>
      </c>
      <c r="I92" s="26">
        <f t="array" ref="I92">(H92/INDEX($B92:$H92,1,MATCH(FALSE,ISBLANK(B92:H92),0)))^(1/INDEX($B$2:$H$2,1,MATCH(FALSE,ISBLANK(B92:H92),0)))</f>
        <v>0.99509869535485052</v>
      </c>
      <c r="J92" s="22" t="str">
        <f>_xlfn.IFNA(INDEX(saCAGRnameStd[EIW],MATCH(saCAGR[[#This Row],[Company]],saCAGRnameStd[SA CAGR],0)),saCAGR[[#This Row],[Company]])</f>
        <v>Wiley Rein LLP</v>
      </c>
      <c r="K92" s="23" t="str">
        <f t="shared" si="24"/>
        <v>U</v>
      </c>
      <c r="L92" s="23" t="str">
        <f t="shared" si="25"/>
        <v>D</v>
      </c>
      <c r="M92" s="23" t="str">
        <f t="shared" si="26"/>
        <v>U</v>
      </c>
      <c r="N92" s="23" t="str">
        <f t="shared" si="27"/>
        <v>D</v>
      </c>
      <c r="O92" s="23" t="str">
        <f t="shared" si="28"/>
        <v>D</v>
      </c>
      <c r="P92" s="23" t="str">
        <f t="shared" si="29"/>
        <v>U</v>
      </c>
      <c r="Q92" s="24" t="str">
        <f>saCAGR[[#This Row],[2011 ]]&amp;saCAGR[[#This Row],[  2012 ]]</f>
        <v>UD</v>
      </c>
      <c r="R92" s="24" t="str">
        <f>saCAGR[[#This Row],[  2012 ]]&amp;saCAGR[[#This Row],[2013 ]]</f>
        <v>DU</v>
      </c>
      <c r="S92" s="24" t="str">
        <f>saCAGR[[#This Row],[2013 ]]&amp;saCAGR[[#This Row],[2014 ]]</f>
        <v>UD</v>
      </c>
      <c r="T92" s="24" t="str">
        <f>saCAGR[[#This Row],[2014 ]]&amp;saCAGR[[#This Row],[2015 ]]</f>
        <v>DD</v>
      </c>
      <c r="U92" s="24" t="str">
        <f>saCAGR[[#This Row],[2015 ]]&amp;saCAGR[[#This Row],[2016 ]]</f>
        <v>DU</v>
      </c>
      <c r="V92" s="24">
        <f>COUNTIF(saCAGR[[#This Row],[11/12 pair]:[15/16 pair]],"UD")</f>
        <v>2</v>
      </c>
      <c r="W92" s="24">
        <f>COUNTIF(saCAGR[[#This Row],[11/12 pair]:[15/16 pair]],"DU")</f>
        <v>2</v>
      </c>
      <c r="X92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2" s="24">
        <f>IFERROR(saCAGR[[#This Row],[Count of UD]]/saCAGR[[#This Row],[Total pairs]],"")</f>
        <v>0.4</v>
      </c>
      <c r="Z92" s="24">
        <f>IFERROR(saCAGR[[#This Row],[Count of DU]]/saCAGR[[#This Row],[Total pairs]],"")</f>
        <v>0.4</v>
      </c>
      <c r="AA92" s="24">
        <f>IFERROR(saCAGR[[#This Row],[% UD]]+saCAGR[[#This Row],[% DU]],"")</f>
        <v>0.8</v>
      </c>
      <c r="AB92" s="24">
        <f>STDEV(saCAGR[[#This Row],[2010]:[2016]])</f>
        <v>3.2145502536643185</v>
      </c>
      <c r="AC92" s="24">
        <f>saCAGR[[#This Row],[Standard Deviation]]^2</f>
        <v>10.333333333333334</v>
      </c>
      <c r="AD92" s="24">
        <f t="shared" si="30"/>
        <v>2</v>
      </c>
      <c r="AE92" s="24">
        <f t="shared" si="31"/>
        <v>-6</v>
      </c>
      <c r="AF92" s="24">
        <f t="shared" si="32"/>
        <v>2</v>
      </c>
      <c r="AG92" s="24">
        <f t="shared" si="33"/>
        <v>7</v>
      </c>
      <c r="AH92" s="24">
        <f t="shared" si="34"/>
        <v>-1</v>
      </c>
      <c r="AI92" s="24">
        <f t="shared" si="35"/>
        <v>10.00490130464515</v>
      </c>
      <c r="AJ92" s="24">
        <f>AVERAGE(saCAGR[[#This Row],[2011 Delta]:[2016 Delta]])</f>
        <v>2.3341502174408584</v>
      </c>
    </row>
    <row r="93" spans="1:36" ht="30">
      <c r="A93" s="16" t="s">
        <v>603</v>
      </c>
      <c r="B93" s="21">
        <v>18</v>
      </c>
      <c r="C93" s="21">
        <v>20</v>
      </c>
      <c r="D93" s="21">
        <v>43</v>
      </c>
      <c r="E93" s="21">
        <v>45</v>
      </c>
      <c r="F93" s="21">
        <v>54</v>
      </c>
      <c r="G93" s="21">
        <v>78</v>
      </c>
      <c r="H93" s="21">
        <v>64</v>
      </c>
      <c r="I93" s="26">
        <f t="array" ref="I93">(H93/INDEX($B93:$H93,1,MATCH(FALSE,ISBLANK(B93:H93),0)))^(1/INDEX($B$2:$H$2,1,MATCH(FALSE,ISBLANK(B93:H93),0)))</f>
        <v>1.0380138801121124</v>
      </c>
      <c r="J93" s="22" t="str">
        <f>_xlfn.IFNA(INDEX(saCAGRnameStd[EIW],MATCH(saCAGR[[#This Row],[Company]],saCAGRnameStd[SA CAGR],0)),saCAGR[[#This Row],[Company]])</f>
        <v>Willkie Farr &amp; Gallagher</v>
      </c>
      <c r="K93" s="23" t="str">
        <f t="shared" si="24"/>
        <v>U</v>
      </c>
      <c r="L93" s="23" t="str">
        <f t="shared" si="25"/>
        <v>U</v>
      </c>
      <c r="M93" s="23" t="str">
        <f t="shared" si="26"/>
        <v>U</v>
      </c>
      <c r="N93" s="23" t="str">
        <f t="shared" si="27"/>
        <v>U</v>
      </c>
      <c r="O93" s="23" t="str">
        <f t="shared" si="28"/>
        <v>U</v>
      </c>
      <c r="P93" s="23" t="str">
        <f t="shared" si="29"/>
        <v>D</v>
      </c>
      <c r="Q93" s="24" t="str">
        <f>saCAGR[[#This Row],[2011 ]]&amp;saCAGR[[#This Row],[  2012 ]]</f>
        <v>UU</v>
      </c>
      <c r="R93" s="24" t="str">
        <f>saCAGR[[#This Row],[  2012 ]]&amp;saCAGR[[#This Row],[2013 ]]</f>
        <v>UU</v>
      </c>
      <c r="S93" s="24" t="str">
        <f>saCAGR[[#This Row],[2013 ]]&amp;saCAGR[[#This Row],[2014 ]]</f>
        <v>UU</v>
      </c>
      <c r="T93" s="24" t="str">
        <f>saCAGR[[#This Row],[2014 ]]&amp;saCAGR[[#This Row],[2015 ]]</f>
        <v>UU</v>
      </c>
      <c r="U93" s="24" t="str">
        <f>saCAGR[[#This Row],[2015 ]]&amp;saCAGR[[#This Row],[2016 ]]</f>
        <v>UD</v>
      </c>
      <c r="V93" s="24">
        <f>COUNTIF(saCAGR[[#This Row],[11/12 pair]:[15/16 pair]],"UD")</f>
        <v>1</v>
      </c>
      <c r="W93" s="24">
        <f>COUNTIF(saCAGR[[#This Row],[11/12 pair]:[15/16 pair]],"DU")</f>
        <v>0</v>
      </c>
      <c r="X93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3" s="24">
        <f>IFERROR(saCAGR[[#This Row],[Count of UD]]/saCAGR[[#This Row],[Total pairs]],"")</f>
        <v>0.2</v>
      </c>
      <c r="Z93" s="24">
        <f>IFERROR(saCAGR[[#This Row],[Count of DU]]/saCAGR[[#This Row],[Total pairs]],"")</f>
        <v>0</v>
      </c>
      <c r="AA93" s="24">
        <f>IFERROR(saCAGR[[#This Row],[% UD]]+saCAGR[[#This Row],[% DU]],"")</f>
        <v>0.2</v>
      </c>
      <c r="AB93" s="24">
        <f>STDEV(saCAGR[[#This Row],[2010]:[2016]])</f>
        <v>21.916508237703681</v>
      </c>
      <c r="AC93" s="24">
        <f>saCAGR[[#This Row],[Standard Deviation]]^2</f>
        <v>480.33333333333331</v>
      </c>
      <c r="AD93" s="24">
        <f t="shared" si="30"/>
        <v>-23</v>
      </c>
      <c r="AE93" s="24">
        <f t="shared" si="31"/>
        <v>-2</v>
      </c>
      <c r="AF93" s="24">
        <f t="shared" si="32"/>
        <v>-9</v>
      </c>
      <c r="AG93" s="24">
        <f t="shared" si="33"/>
        <v>-24</v>
      </c>
      <c r="AH93" s="24">
        <f t="shared" si="34"/>
        <v>14</v>
      </c>
      <c r="AI93" s="24">
        <f t="shared" si="35"/>
        <v>62.961986119887889</v>
      </c>
      <c r="AJ93" s="24">
        <f>AVERAGE(saCAGR[[#This Row],[2011 Delta]:[2016 Delta]])</f>
        <v>3.160331019981315</v>
      </c>
    </row>
    <row r="94" spans="1:36" ht="15">
      <c r="A94" s="16" t="s">
        <v>252</v>
      </c>
      <c r="B94" s="21">
        <v>66</v>
      </c>
      <c r="C94" s="21">
        <v>89</v>
      </c>
      <c r="D94" s="21">
        <v>91</v>
      </c>
      <c r="E94" s="21">
        <v>128</v>
      </c>
      <c r="F94" s="21">
        <v>93</v>
      </c>
      <c r="G94" s="21">
        <v>83</v>
      </c>
      <c r="H94" s="21">
        <v>108</v>
      </c>
      <c r="I94" s="26">
        <f t="array" ref="I94">(H94/INDEX($B94:$H94,1,MATCH(FALSE,ISBLANK(B94:H94),0)))^(1/INDEX($B$2:$H$2,1,MATCH(FALSE,ISBLANK(B94:H94),0)))</f>
        <v>1.014590012684325</v>
      </c>
      <c r="J94" s="22" t="str">
        <f>_xlfn.IFNA(INDEX(saCAGRnameStd[EIW],MATCH(saCAGR[[#This Row],[Company]],saCAGRnameStd[SA CAGR],0)),saCAGR[[#This Row],[Company]])</f>
        <v>WilmerHale</v>
      </c>
      <c r="K94" s="23" t="str">
        <f t="shared" si="24"/>
        <v>U</v>
      </c>
      <c r="L94" s="23" t="str">
        <f t="shared" si="25"/>
        <v>U</v>
      </c>
      <c r="M94" s="23" t="str">
        <f t="shared" si="26"/>
        <v>U</v>
      </c>
      <c r="N94" s="23" t="str">
        <f t="shared" si="27"/>
        <v>D</v>
      </c>
      <c r="O94" s="23" t="str">
        <f t="shared" si="28"/>
        <v>D</v>
      </c>
      <c r="P94" s="23" t="str">
        <f t="shared" si="29"/>
        <v>U</v>
      </c>
      <c r="Q94" s="24" t="str">
        <f>saCAGR[[#This Row],[2011 ]]&amp;saCAGR[[#This Row],[  2012 ]]</f>
        <v>UU</v>
      </c>
      <c r="R94" s="24" t="str">
        <f>saCAGR[[#This Row],[  2012 ]]&amp;saCAGR[[#This Row],[2013 ]]</f>
        <v>UU</v>
      </c>
      <c r="S94" s="24" t="str">
        <f>saCAGR[[#This Row],[2013 ]]&amp;saCAGR[[#This Row],[2014 ]]</f>
        <v>UD</v>
      </c>
      <c r="T94" s="24" t="str">
        <f>saCAGR[[#This Row],[2014 ]]&amp;saCAGR[[#This Row],[2015 ]]</f>
        <v>DD</v>
      </c>
      <c r="U94" s="24" t="str">
        <f>saCAGR[[#This Row],[2015 ]]&amp;saCAGR[[#This Row],[2016 ]]</f>
        <v>DU</v>
      </c>
      <c r="V94" s="24">
        <f>COUNTIF(saCAGR[[#This Row],[11/12 pair]:[15/16 pair]],"UD")</f>
        <v>1</v>
      </c>
      <c r="W94" s="24">
        <f>COUNTIF(saCAGR[[#This Row],[11/12 pair]:[15/16 pair]],"DU")</f>
        <v>1</v>
      </c>
      <c r="X94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4" s="24">
        <f>IFERROR(saCAGR[[#This Row],[Count of UD]]/saCAGR[[#This Row],[Total pairs]],"")</f>
        <v>0.2</v>
      </c>
      <c r="Z94" s="24">
        <f>IFERROR(saCAGR[[#This Row],[Count of DU]]/saCAGR[[#This Row],[Total pairs]],"")</f>
        <v>0.2</v>
      </c>
      <c r="AA94" s="24">
        <f>IFERROR(saCAGR[[#This Row],[% UD]]+saCAGR[[#This Row],[% DU]],"")</f>
        <v>0.4</v>
      </c>
      <c r="AB94" s="24">
        <f>STDEV(saCAGR[[#This Row],[2010]:[2016]])</f>
        <v>19.544820285692065</v>
      </c>
      <c r="AC94" s="24">
        <f>saCAGR[[#This Row],[Standard Deviation]]^2</f>
        <v>382.00000000000006</v>
      </c>
      <c r="AD94" s="24">
        <f t="shared" si="30"/>
        <v>-2</v>
      </c>
      <c r="AE94" s="24">
        <f t="shared" si="31"/>
        <v>-37</v>
      </c>
      <c r="AF94" s="24">
        <f t="shared" si="32"/>
        <v>35</v>
      </c>
      <c r="AG94" s="24">
        <f t="shared" si="33"/>
        <v>10</v>
      </c>
      <c r="AH94" s="24">
        <f t="shared" si="34"/>
        <v>-25</v>
      </c>
      <c r="AI94" s="24">
        <f t="shared" si="35"/>
        <v>106.98540998731568</v>
      </c>
      <c r="AJ94" s="24">
        <f>AVERAGE(saCAGR[[#This Row],[2011 Delta]:[2016 Delta]])</f>
        <v>14.664234997885947</v>
      </c>
    </row>
    <row r="95" spans="1:36" ht="15">
      <c r="A95" s="16" t="s">
        <v>604</v>
      </c>
      <c r="B95" s="21">
        <v>43</v>
      </c>
      <c r="C95" s="21">
        <v>52</v>
      </c>
      <c r="D95" s="21">
        <v>61</v>
      </c>
      <c r="E95" s="21">
        <v>36</v>
      </c>
      <c r="F95" s="21">
        <v>59</v>
      </c>
      <c r="G95" s="21">
        <v>64</v>
      </c>
      <c r="H95" s="21">
        <v>67</v>
      </c>
      <c r="I95" s="26">
        <f t="array" ref="I95">(H95/INDEX($B95:$H95,1,MATCH(FALSE,ISBLANK(B95:H95),0)))^(1/INDEX($B$2:$H$2,1,MATCH(FALSE,ISBLANK(B95:H95),0)))</f>
        <v>1.0131293398920969</v>
      </c>
      <c r="J95" s="22" t="str">
        <f>_xlfn.IFNA(INDEX(saCAGRnameStd[EIW],MATCH(saCAGR[[#This Row],[Company]],saCAGRnameStd[SA CAGR],0)),saCAGR[[#This Row],[Company]])</f>
        <v>Winston &amp; Strawn</v>
      </c>
      <c r="K95" s="23" t="str">
        <f t="shared" si="24"/>
        <v>U</v>
      </c>
      <c r="L95" s="23" t="str">
        <f t="shared" si="25"/>
        <v>U</v>
      </c>
      <c r="M95" s="23" t="str">
        <f t="shared" si="26"/>
        <v>D</v>
      </c>
      <c r="N95" s="23" t="str">
        <f t="shared" si="27"/>
        <v>U</v>
      </c>
      <c r="O95" s="23" t="str">
        <f t="shared" si="28"/>
        <v>U</v>
      </c>
      <c r="P95" s="23" t="str">
        <f t="shared" si="29"/>
        <v>U</v>
      </c>
      <c r="Q95" s="24" t="str">
        <f>saCAGR[[#This Row],[2011 ]]&amp;saCAGR[[#This Row],[  2012 ]]</f>
        <v>UU</v>
      </c>
      <c r="R95" s="24" t="str">
        <f>saCAGR[[#This Row],[  2012 ]]&amp;saCAGR[[#This Row],[2013 ]]</f>
        <v>UD</v>
      </c>
      <c r="S95" s="24" t="str">
        <f>saCAGR[[#This Row],[2013 ]]&amp;saCAGR[[#This Row],[2014 ]]</f>
        <v>DU</v>
      </c>
      <c r="T95" s="24" t="str">
        <f>saCAGR[[#This Row],[2014 ]]&amp;saCAGR[[#This Row],[2015 ]]</f>
        <v>UU</v>
      </c>
      <c r="U95" s="24" t="str">
        <f>saCAGR[[#This Row],[2015 ]]&amp;saCAGR[[#This Row],[2016 ]]</f>
        <v>UU</v>
      </c>
      <c r="V95" s="24">
        <f>COUNTIF(saCAGR[[#This Row],[11/12 pair]:[15/16 pair]],"UD")</f>
        <v>1</v>
      </c>
      <c r="W95" s="24">
        <f>COUNTIF(saCAGR[[#This Row],[11/12 pair]:[15/16 pair]],"DU")</f>
        <v>1</v>
      </c>
      <c r="X95" s="24">
        <f>5-COUNTIF(saCAGR[[#This Row],[11/12 pair]:[15/16 pair]],"--")-COUNTIF(saCAGR[[#This Row],[11/12 pair]:[15/16 pair]],"-U")-COUNTIF(saCAGR[[#This Row],[11/12 pair]:[15/16 pair]],"-S")-COUNTIF(saCAGR[[#This Row],[11/12 pair]:[15/16 pair]],"-D")</f>
        <v>5</v>
      </c>
      <c r="Y95" s="24">
        <f>IFERROR(saCAGR[[#This Row],[Count of UD]]/saCAGR[[#This Row],[Total pairs]],"")</f>
        <v>0.2</v>
      </c>
      <c r="Z95" s="24">
        <f>IFERROR(saCAGR[[#This Row],[Count of DU]]/saCAGR[[#This Row],[Total pairs]],"")</f>
        <v>0.2</v>
      </c>
      <c r="AA95" s="24">
        <f>IFERROR(saCAGR[[#This Row],[% UD]]+saCAGR[[#This Row],[% DU]],"")</f>
        <v>0.4</v>
      </c>
      <c r="AB95" s="24">
        <f>STDEV(saCAGR[[#This Row],[2010]:[2016]])</f>
        <v>11.472534489773727</v>
      </c>
      <c r="AC95" s="24">
        <f>saCAGR[[#This Row],[Standard Deviation]]^2</f>
        <v>131.61904761904771</v>
      </c>
      <c r="AD95" s="24">
        <f t="shared" si="30"/>
        <v>-9</v>
      </c>
      <c r="AE95" s="24">
        <f t="shared" si="31"/>
        <v>25</v>
      </c>
      <c r="AF95" s="24">
        <f t="shared" si="32"/>
        <v>-23</v>
      </c>
      <c r="AG95" s="24">
        <f t="shared" si="33"/>
        <v>-5</v>
      </c>
      <c r="AH95" s="24">
        <f t="shared" si="34"/>
        <v>-3</v>
      </c>
      <c r="AI95" s="24">
        <f t="shared" si="35"/>
        <v>65.986870660107897</v>
      </c>
      <c r="AJ95" s="24">
        <f>AVERAGE(saCAGR[[#This Row],[2011 Delta]:[2016 Delta]])</f>
        <v>8.4978117766846495</v>
      </c>
    </row>
  </sheetData>
  <hyperlinks>
    <hyperlink ref="A2" r:id="rId1" display="http://www.chambers-associate.com/true-picture/3522/1"/>
    <hyperlink ref="A3" r:id="rId2" display="http://www.chambers-associate.com/true-picture/7/1"/>
    <hyperlink ref="A4" r:id="rId3" display="http://www.chambers-associate.com/true-picture/2806/1"/>
    <hyperlink ref="A5" r:id="rId4" display="http://www.chambers-associate.com/true-picture/3811/1"/>
    <hyperlink ref="A6" r:id="rId5" display="http://www.chambers-associate.com/true-picture/64283/1"/>
    <hyperlink ref="A7" r:id="rId6" display="http://www.chambers-associate.com/true-picture/2692/1"/>
    <hyperlink ref="A8" r:id="rId7" display="http://www.chambers-associate.com/true-picture/3573/1"/>
    <hyperlink ref="A9" r:id="rId8" display="http://www.chambers-associate.com/true-picture/3517/1"/>
    <hyperlink ref="A10" r:id="rId9" display="http://www.chambers-associate.com/true-picture/62744/1"/>
    <hyperlink ref="A11" r:id="rId10" display="http://www.chambers-associate.com/true-picture/3518/1"/>
    <hyperlink ref="A12" r:id="rId11" display="http://www.chambers-associate.com/true-picture/3549/1"/>
    <hyperlink ref="A13" r:id="rId12" display="http://www.chambers-associate.com/true-picture/3823/1"/>
    <hyperlink ref="A14" r:id="rId13" display="http://www.chambers-associate.com/true-picture/3578/1"/>
    <hyperlink ref="A15" r:id="rId14" display="http://www.chambers-associate.com/true-picture/3824/1"/>
    <hyperlink ref="A16" r:id="rId15" display="http://www.chambers-associate.com/true-picture/9129/1"/>
    <hyperlink ref="A17" r:id="rId16" display="http://www.chambers-associate.com/true-picture/3562/1"/>
    <hyperlink ref="A18" r:id="rId17" display="http://www.chambers-associate.com/true-picture/2818/1"/>
    <hyperlink ref="A19" r:id="rId18" display="http://www.chambers-associate.com/true-picture/3830/1"/>
    <hyperlink ref="A20" r:id="rId19" display="http://www.chambers-associate.com/true-picture/2838/1"/>
    <hyperlink ref="A21" r:id="rId20" display="http://www.chambers-associate.com/true-picture/3832/1"/>
    <hyperlink ref="A22" r:id="rId21" display="http://www.chambers-associate.com/true-picture/8053/1"/>
    <hyperlink ref="A23" r:id="rId22" display="http://www.chambers-associate.com/true-picture/3833/1"/>
    <hyperlink ref="A24" r:id="rId23" display="http://www.chambers-associate.com/true-picture/3835/1"/>
    <hyperlink ref="A25" r:id="rId24" display="http://www.chambers-associate.com/true-picture/7960/1"/>
    <hyperlink ref="A26" r:id="rId25" display="http://www.chambers-associate.com/true-picture/2840/1"/>
    <hyperlink ref="A27" r:id="rId26" display="http://www.chambers-associate.com/true-picture/2847/1"/>
    <hyperlink ref="A28" r:id="rId27" display="http://www.chambers-associate.com/true-picture/3400/1"/>
    <hyperlink ref="A29" r:id="rId28" display="http://www.chambers-associate.com/true-picture/2442/1"/>
    <hyperlink ref="A30" r:id="rId29" display="http://www.chambers-associate.com/true-picture/9578/1"/>
    <hyperlink ref="A31" r:id="rId30" display="http://www.chambers-associate.com/true-picture/1499/1"/>
    <hyperlink ref="A32" r:id="rId31" display="http://www.chambers-associate.com/true-picture/3838/1"/>
    <hyperlink ref="A33" r:id="rId32" display="http://www.chambers-associate.com/true-picture/76482/1"/>
    <hyperlink ref="A34" r:id="rId33" display="http://www.chambers-associate.com/true-picture/147/1"/>
    <hyperlink ref="A35" r:id="rId34" display="http://www.chambers-associate.com/true-picture/3840/1"/>
    <hyperlink ref="A36" r:id="rId35" display="http://www.chambers-associate.com/true-picture/3688/1"/>
    <hyperlink ref="A37" r:id="rId36" display="http://www.chambers-associate.com/true-picture/3620/1"/>
    <hyperlink ref="A38" r:id="rId37" display="http://www.chambers-associate.com/true-picture/3579/1"/>
    <hyperlink ref="A39" r:id="rId38" display="http://www.chambers-associate.com/true-picture/1456/1"/>
    <hyperlink ref="A40" r:id="rId39" display="http://www.chambers-associate.com/true-picture/65740/1"/>
    <hyperlink ref="A41" r:id="rId40" display="http://www.chambers-associate.com/true-picture/257/1"/>
    <hyperlink ref="A42" r:id="rId41" display="http://www.chambers-associate.com/true-picture/8471/1"/>
    <hyperlink ref="A43" r:id="rId42" display="http://www.chambers-associate.com/true-picture/7268/1"/>
    <hyperlink ref="A44" r:id="rId43" display="http://www.chambers-associate.com/true-picture/3628/1"/>
    <hyperlink ref="A45" r:id="rId44" display="http://www.chambers-associate.com/true-picture/1761/1"/>
    <hyperlink ref="A46" r:id="rId45" display="http://www.chambers-associate.com/true-picture/3580/1"/>
    <hyperlink ref="A47" r:id="rId46" display="http://www.chambers-associate.com/true-picture/8429/1"/>
    <hyperlink ref="A48" r:id="rId47" display="http://www.chambers-associate.com/true-picture/3581/1"/>
    <hyperlink ref="A49" r:id="rId48" display="http://www.chambers-associate.com/true-picture/63253/1"/>
    <hyperlink ref="A50" r:id="rId49" display="http://www.chambers-associate.com/true-picture/3629/1"/>
    <hyperlink ref="A51" r:id="rId50" display="http://www.chambers-associate.com/true-picture/3630/1"/>
    <hyperlink ref="A52" r:id="rId51" display="http://www.chambers-associate.com/true-picture/3635/1"/>
    <hyperlink ref="A53" r:id="rId52" display="http://www.chambers-associate.com/true-picture/3636/1"/>
    <hyperlink ref="A54" r:id="rId53" display="http://www.chambers-associate.com/true-picture/2683/1"/>
    <hyperlink ref="A55" r:id="rId54" display="http://www.chambers-associate.com/true-picture/3689/1"/>
    <hyperlink ref="A56" r:id="rId55" display="http://www.chambers-associate.com/true-picture/255/1"/>
    <hyperlink ref="A57" r:id="rId56" display="http://www.chambers-associate.com/true-picture/3690/1"/>
    <hyperlink ref="A58" r:id="rId57" display="http://www.chambers-associate.com/true-picture/2805/1"/>
    <hyperlink ref="A59" r:id="rId58" display="http://www.chambers-associate.com/true-picture/3640/1"/>
    <hyperlink ref="A60" r:id="rId59" display="http://www.chambers-associate.com/true-picture/3516/1"/>
    <hyperlink ref="A61" r:id="rId60" display="http://www.chambers-associate.com/true-picture/7854/1"/>
    <hyperlink ref="A62" r:id="rId61" display="http://www.chambers-associate.com/true-picture/3535/1"/>
    <hyperlink ref="A63" r:id="rId62" display="http://www.chambers-associate.com/true-picture/8939/1"/>
    <hyperlink ref="A64" r:id="rId63" display="http://www.chambers-associate.com/true-picture/65528/1"/>
    <hyperlink ref="A65" r:id="rId64" display="http://www.chambers-associate.com/true-picture/3691/1"/>
    <hyperlink ref="A66" r:id="rId65" display="http://www.chambers-associate.com/true-picture/7290/1"/>
    <hyperlink ref="A67" r:id="rId66" display="http://www.chambers-associate.com/true-picture/1769/1"/>
    <hyperlink ref="A68" r:id="rId67" display="http://www.chambers-associate.com/true-picture/25003/1"/>
    <hyperlink ref="A69" r:id="rId68" display="http://www.chambers-associate.com/true-picture/3642/1"/>
    <hyperlink ref="A70" r:id="rId69" display="http://www.chambers-associate.com/true-picture/3643/1"/>
    <hyperlink ref="A71" r:id="rId70" display="http://www.chambers-associate.com/true-picture/3644/1"/>
    <hyperlink ref="A72" r:id="rId71" display="http://www.chambers-associate.com/true-picture/3678/1"/>
    <hyperlink ref="A73" r:id="rId72" display="http://www.chambers-associate.com/true-picture/3550/1"/>
    <hyperlink ref="A74" r:id="rId73" display="http://www.chambers-associate.com/true-picture/66079/1"/>
    <hyperlink ref="A75" r:id="rId74" display="http://www.chambers-associate.com/true-picture/3650/1"/>
    <hyperlink ref="A76" r:id="rId75" display="http://www.chambers-associate.com/true-picture/62790/1"/>
    <hyperlink ref="A77" r:id="rId76" display="http://www.chambers-associate.com/true-picture/3652/1"/>
    <hyperlink ref="A78" r:id="rId77" display="http://www.chambers-associate.com/true-picture/3654/1"/>
    <hyperlink ref="A79" r:id="rId78" display="http://www.chambers-associate.com/true-picture/2839/1"/>
    <hyperlink ref="A80" r:id="rId79" display="http://www.chambers-associate.com/true-picture/3692/1"/>
    <hyperlink ref="A81" r:id="rId80" display="http://www.chambers-associate.com/true-picture/3655/1"/>
    <hyperlink ref="A82" r:id="rId81" display="http://www.chambers-associate.com/true-picture/3656/1"/>
    <hyperlink ref="A83" r:id="rId82" display="http://www.chambers-associate.com/true-picture/65230/1"/>
    <hyperlink ref="A84" r:id="rId83" display="http://www.chambers-associate.com/true-picture/3680/1"/>
    <hyperlink ref="A85" r:id="rId84" display="http://www.chambers-associate.com/true-picture/3662/1"/>
    <hyperlink ref="A86" r:id="rId85" display="http://www.chambers-associate.com/true-picture/3663/1"/>
    <hyperlink ref="A87" r:id="rId86" display="http://www.chambers-associate.com/true-picture/78998/1"/>
    <hyperlink ref="A88" r:id="rId87" display="http://www.chambers-associate.com/true-picture/3666/1"/>
    <hyperlink ref="A89" r:id="rId88" display="http://www.chambers-associate.com/true-picture/65866/1"/>
    <hyperlink ref="A90" r:id="rId89" display="http://www.chambers-associate.com/true-picture/3667/1"/>
    <hyperlink ref="A91" r:id="rId90" display="http://www.chambers-associate.com/true-picture/3672/1"/>
    <hyperlink ref="A92" r:id="rId91" display="http://www.chambers-associate.com/true-picture/2865/1"/>
    <hyperlink ref="A93" r:id="rId92" display="http://www.chambers-associate.com/true-picture/3674/1"/>
    <hyperlink ref="A94" r:id="rId93" display="http://www.chambers-associate.com/true-picture/3675/1"/>
    <hyperlink ref="A95" r:id="rId94" display="http://www.chambers-associate.com/true-picture/3677/1"/>
  </hyperlinks>
  <pageMargins left="0.7" right="0.7" top="0.75" bottom="0.75" header="0.3" footer="0.3"/>
  <pageSetup orientation="portrait"/>
  <tableParts count="1">
    <tablePart r:id="rId95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18"/>
  <sheetViews>
    <sheetView workbookViewId="0">
      <selection activeCell="F1" sqref="F1"/>
    </sheetView>
  </sheetViews>
  <sheetFormatPr defaultColWidth="8.83203125" defaultRowHeight="12.75"/>
  <cols>
    <col min="1" max="1" width="21.6640625" bestFit="1" customWidth="1"/>
    <col min="2" max="2" width="56.5" bestFit="1" customWidth="1"/>
    <col min="3" max="3" width="12.1640625" bestFit="1" customWidth="1"/>
    <col min="4" max="4" width="16.33203125" bestFit="1" customWidth="1"/>
    <col min="5" max="5" width="25.1640625" style="6" bestFit="1" customWidth="1"/>
    <col min="6" max="6" width="18.1640625" bestFit="1" customWidth="1"/>
    <col min="7" max="7" width="14.5" bestFit="1" customWidth="1"/>
    <col min="8" max="8" width="22.33203125" customWidth="1"/>
  </cols>
  <sheetData>
    <row r="1" spans="1:8" ht="30">
      <c r="A1" s="29" t="s">
        <v>649</v>
      </c>
      <c r="B1" s="29" t="s">
        <v>685</v>
      </c>
      <c r="C1" s="29" t="s">
        <v>291</v>
      </c>
      <c r="D1" s="30" t="s">
        <v>292</v>
      </c>
      <c r="E1" s="31" t="s">
        <v>0</v>
      </c>
      <c r="F1" s="29" t="s">
        <v>1</v>
      </c>
      <c r="G1" s="29" t="s">
        <v>2</v>
      </c>
      <c r="H1" s="18" t="s">
        <v>3</v>
      </c>
    </row>
    <row r="2" spans="1:8" ht="30">
      <c r="A2" s="32" t="s">
        <v>4</v>
      </c>
      <c r="B2" s="32" t="str">
        <f>_xlfn.IFNA(INDEX(nameStd[EIW],MATCH(Table2[[#This Row],[Name]],nameStd[Salary],0)),Table2[[#This Row],[Name]])</f>
        <v>Cravath, Swaine &amp; Moore</v>
      </c>
      <c r="C2" s="33" t="s">
        <v>5</v>
      </c>
      <c r="D2" s="33" t="s">
        <v>6</v>
      </c>
      <c r="E2" s="34">
        <v>42527</v>
      </c>
      <c r="F2" s="33" t="s">
        <v>7</v>
      </c>
      <c r="G2" s="33" t="s">
        <v>8</v>
      </c>
      <c r="H2" s="33" t="s">
        <v>9</v>
      </c>
    </row>
    <row r="3" spans="1:8" ht="30">
      <c r="A3" s="32" t="s">
        <v>10</v>
      </c>
      <c r="B3" s="32" t="str">
        <f>_xlfn.IFNA(INDEX(nameStd[EIW],MATCH(Table2[[#This Row],[Name]],nameStd[Salary],0)),Table2[[#This Row],[Name]])</f>
        <v>Hueston Hennigan</v>
      </c>
      <c r="C3" s="33" t="s">
        <v>5</v>
      </c>
      <c r="D3" s="33" t="s">
        <v>6</v>
      </c>
      <c r="E3" s="34">
        <v>42527</v>
      </c>
      <c r="F3" s="33" t="s">
        <v>11</v>
      </c>
      <c r="G3" s="33" t="s">
        <v>8</v>
      </c>
      <c r="H3" s="33" t="s">
        <v>13</v>
      </c>
    </row>
    <row r="4" spans="1:8" ht="30">
      <c r="A4" s="15" t="s">
        <v>10</v>
      </c>
      <c r="B4" s="15" t="str">
        <f>_xlfn.IFNA(INDEX(nameStd[EIW],MATCH(Table2[[#This Row],[Name]],nameStd[Salary],0)),Table2[[#This Row],[Name]])</f>
        <v>Hueston Hennigan</v>
      </c>
      <c r="C4" s="33" t="s">
        <v>5</v>
      </c>
      <c r="D4" s="33" t="s">
        <v>6</v>
      </c>
      <c r="E4" s="34">
        <v>42527</v>
      </c>
      <c r="F4" s="33" t="s">
        <v>12</v>
      </c>
      <c r="G4" s="33" t="s">
        <v>8</v>
      </c>
      <c r="H4" s="33" t="s">
        <v>13</v>
      </c>
    </row>
    <row r="5" spans="1:8" ht="30">
      <c r="A5" s="32" t="s">
        <v>14</v>
      </c>
      <c r="B5" s="32" t="str">
        <f>_xlfn.IFNA(INDEX(nameStd[EIW],MATCH(Table2[[#This Row],[Name]],nameStd[Salary],0)),Table2[[#This Row],[Name]])</f>
        <v>Milbank, Tweed, Hadley &amp; McCloy</v>
      </c>
      <c r="C5" s="33" t="s">
        <v>5</v>
      </c>
      <c r="D5" s="33" t="s">
        <v>6</v>
      </c>
      <c r="E5" s="34">
        <v>42528</v>
      </c>
      <c r="F5" s="33" t="s">
        <v>7</v>
      </c>
      <c r="G5" s="33" t="s">
        <v>16</v>
      </c>
      <c r="H5" s="33" t="s">
        <v>17</v>
      </c>
    </row>
    <row r="6" spans="1:8" ht="30">
      <c r="A6" s="15" t="s">
        <v>14</v>
      </c>
      <c r="B6" s="15" t="str">
        <f>_xlfn.IFNA(INDEX(nameStd[EIW],MATCH(Table2[[#This Row],[Name]],nameStd[Salary],0)),Table2[[#This Row],[Name]])</f>
        <v>Milbank, Tweed, Hadley &amp; McCloy</v>
      </c>
      <c r="C6" s="33" t="s">
        <v>5</v>
      </c>
      <c r="D6" s="33" t="s">
        <v>6</v>
      </c>
      <c r="E6" s="34">
        <v>42528</v>
      </c>
      <c r="F6" s="33" t="s">
        <v>15</v>
      </c>
      <c r="G6" s="33" t="s">
        <v>16</v>
      </c>
      <c r="H6" s="33" t="s">
        <v>17</v>
      </c>
    </row>
    <row r="7" spans="1:8" ht="30">
      <c r="A7" s="15" t="s">
        <v>14</v>
      </c>
      <c r="B7" s="15" t="str">
        <f>_xlfn.IFNA(INDEX(nameStd[EIW],MATCH(Table2[[#This Row],[Name]],nameStd[Salary],0)),Table2[[#This Row],[Name]])</f>
        <v>Milbank, Tweed, Hadley &amp; McCloy</v>
      </c>
      <c r="C7" s="33" t="s">
        <v>5</v>
      </c>
      <c r="D7" s="15" t="s">
        <v>6</v>
      </c>
      <c r="E7" s="34">
        <v>42528</v>
      </c>
      <c r="F7" s="33" t="s">
        <v>11</v>
      </c>
      <c r="G7" s="33" t="s">
        <v>16</v>
      </c>
      <c r="H7" s="33" t="s">
        <v>17</v>
      </c>
    </row>
    <row r="8" spans="1:8" ht="30">
      <c r="A8" s="32" t="s">
        <v>18</v>
      </c>
      <c r="B8" s="32" t="str">
        <f>_xlfn.IFNA(INDEX(nameStd[EIW],MATCH(Table2[[#This Row],[Name]],nameStd[Salary],0)),Table2[[#This Row],[Name]])</f>
        <v>Paul Weiss Rifkind Wharton &amp; Garrison</v>
      </c>
      <c r="C8" s="33" t="s">
        <v>5</v>
      </c>
      <c r="D8" s="33" t="s">
        <v>19</v>
      </c>
      <c r="E8" s="34">
        <v>42528</v>
      </c>
      <c r="F8" s="33" t="s">
        <v>7</v>
      </c>
      <c r="G8" s="33" t="s">
        <v>16</v>
      </c>
      <c r="H8" s="33" t="s">
        <v>21</v>
      </c>
    </row>
    <row r="9" spans="1:8" ht="30">
      <c r="A9" s="15" t="s">
        <v>18</v>
      </c>
      <c r="B9" s="15" t="str">
        <f>_xlfn.IFNA(INDEX(nameStd[EIW],MATCH(Table2[[#This Row],[Name]],nameStd[Salary],0)),Table2[[#This Row],[Name]])</f>
        <v>Paul Weiss Rifkind Wharton &amp; Garrison</v>
      </c>
      <c r="C9" s="33" t="s">
        <v>5</v>
      </c>
      <c r="D9" s="33" t="s">
        <v>19</v>
      </c>
      <c r="E9" s="34">
        <v>42528</v>
      </c>
      <c r="F9" s="33" t="s">
        <v>15</v>
      </c>
      <c r="G9" s="33" t="s">
        <v>16</v>
      </c>
      <c r="H9" s="33" t="s">
        <v>21</v>
      </c>
    </row>
    <row r="10" spans="1:8" ht="30">
      <c r="A10" s="15" t="s">
        <v>18</v>
      </c>
      <c r="B10" s="15" t="str">
        <f>_xlfn.IFNA(INDEX(nameStd[EIW],MATCH(Table2[[#This Row],[Name]],nameStd[Salary],0)),Table2[[#This Row],[Name]])</f>
        <v>Paul Weiss Rifkind Wharton &amp; Garrison</v>
      </c>
      <c r="C10" s="33" t="s">
        <v>5</v>
      </c>
      <c r="D10" s="15" t="s">
        <v>19</v>
      </c>
      <c r="E10" s="34">
        <v>42528</v>
      </c>
      <c r="F10" s="33" t="s">
        <v>20</v>
      </c>
      <c r="G10" s="33" t="s">
        <v>16</v>
      </c>
      <c r="H10" s="33" t="s">
        <v>21</v>
      </c>
    </row>
    <row r="11" spans="1:8" ht="30">
      <c r="A11" s="32" t="s">
        <v>22</v>
      </c>
      <c r="B11" s="32" t="str">
        <f>_xlfn.IFNA(INDEX(nameStd[EIW],MATCH(Table2[[#This Row],[Name]],nameStd[Salary],0)),Table2[[#This Row],[Name]])</f>
        <v>Cahill Gordon &amp; Reindel</v>
      </c>
      <c r="C11" s="33" t="s">
        <v>5</v>
      </c>
      <c r="D11" s="33" t="s">
        <v>6</v>
      </c>
      <c r="E11" s="34">
        <v>42528</v>
      </c>
      <c r="F11" s="33" t="s">
        <v>7</v>
      </c>
      <c r="G11" s="33" t="s">
        <v>16</v>
      </c>
      <c r="H11" s="33" t="s">
        <v>23</v>
      </c>
    </row>
    <row r="12" spans="1:8" ht="30">
      <c r="A12" s="15" t="s">
        <v>22</v>
      </c>
      <c r="B12" s="15" t="str">
        <f>_xlfn.IFNA(INDEX(nameStd[EIW],MATCH(Table2[[#This Row],[Name]],nameStd[Salary],0)),Table2[[#This Row],[Name]])</f>
        <v>Cahill Gordon &amp; Reindel</v>
      </c>
      <c r="C12" s="33" t="s">
        <v>5</v>
      </c>
      <c r="D12" s="33" t="s">
        <v>6</v>
      </c>
      <c r="E12" s="34">
        <v>42528</v>
      </c>
      <c r="F12" s="33" t="s">
        <v>15</v>
      </c>
      <c r="G12" s="33" t="s">
        <v>16</v>
      </c>
      <c r="H12" s="33" t="s">
        <v>23</v>
      </c>
    </row>
    <row r="13" spans="1:8" ht="30">
      <c r="A13" s="32" t="s">
        <v>24</v>
      </c>
      <c r="B13" s="32" t="str">
        <f>_xlfn.IFNA(INDEX(nameStd[EIW],MATCH(Table2[[#This Row],[Name]],nameStd[Salary],0)),Table2[[#This Row],[Name]])</f>
        <v>Irell &amp; Manella</v>
      </c>
      <c r="C13" s="33" t="s">
        <v>5</v>
      </c>
      <c r="D13" s="33" t="s">
        <v>6</v>
      </c>
      <c r="E13" s="34">
        <v>42528</v>
      </c>
      <c r="F13" s="33" t="s">
        <v>11</v>
      </c>
      <c r="G13" s="33" t="s">
        <v>8</v>
      </c>
      <c r="H13" s="33" t="s">
        <v>25</v>
      </c>
    </row>
    <row r="14" spans="1:8" ht="30">
      <c r="A14" s="15" t="s">
        <v>24</v>
      </c>
      <c r="B14" s="15" t="str">
        <f>_xlfn.IFNA(INDEX(nameStd[EIW],MATCH(Table2[[#This Row],[Name]],nameStd[Salary],0)),Table2[[#This Row],[Name]])</f>
        <v>Irell &amp; Manella</v>
      </c>
      <c r="C14" s="33" t="s">
        <v>5</v>
      </c>
      <c r="D14" s="33" t="s">
        <v>6</v>
      </c>
      <c r="E14" s="34">
        <v>42528</v>
      </c>
      <c r="F14" s="33" t="s">
        <v>12</v>
      </c>
      <c r="G14" s="33" t="s">
        <v>8</v>
      </c>
      <c r="H14" s="33" t="s">
        <v>25</v>
      </c>
    </row>
    <row r="15" spans="1:8" ht="30">
      <c r="A15" s="32" t="s">
        <v>26</v>
      </c>
      <c r="B15" s="32" t="str">
        <f>_xlfn.IFNA(INDEX(nameStd[EIW],MATCH(Table2[[#This Row],[Name]],nameStd[Salary],0)),Table2[[#This Row],[Name]])</f>
        <v>Weil, Gotshal &amp; Manges</v>
      </c>
      <c r="C15" s="33" t="s">
        <v>5</v>
      </c>
      <c r="D15" s="33" t="s">
        <v>27</v>
      </c>
      <c r="E15" s="34">
        <v>42528</v>
      </c>
      <c r="F15" s="33" t="s">
        <v>28</v>
      </c>
      <c r="G15" s="33" t="s">
        <v>16</v>
      </c>
      <c r="H15" s="33" t="s">
        <v>35</v>
      </c>
    </row>
    <row r="16" spans="1:8" ht="30">
      <c r="A16" s="15" t="s">
        <v>26</v>
      </c>
      <c r="B16" s="15" t="str">
        <f>_xlfn.IFNA(INDEX(nameStd[EIW],MATCH(Table2[[#This Row],[Name]],nameStd[Salary],0)),Table2[[#This Row],[Name]])</f>
        <v>Weil, Gotshal &amp; Manges</v>
      </c>
      <c r="C16" s="33" t="s">
        <v>5</v>
      </c>
      <c r="D16" s="33" t="s">
        <v>27</v>
      </c>
      <c r="E16" s="34">
        <v>42528</v>
      </c>
      <c r="F16" s="33" t="s">
        <v>29</v>
      </c>
      <c r="G16" s="33" t="s">
        <v>16</v>
      </c>
      <c r="H16" s="33" t="s">
        <v>35</v>
      </c>
    </row>
    <row r="17" spans="1:8" ht="30">
      <c r="A17" s="15" t="s">
        <v>26</v>
      </c>
      <c r="B17" s="15" t="str">
        <f>_xlfn.IFNA(INDEX(nameStd[EIW],MATCH(Table2[[#This Row],[Name]],nameStd[Salary],0)),Table2[[#This Row],[Name]])</f>
        <v>Weil, Gotshal &amp; Manges</v>
      </c>
      <c r="C17" s="33" t="s">
        <v>5</v>
      </c>
      <c r="D17" s="33" t="s">
        <v>27</v>
      </c>
      <c r="E17" s="34">
        <v>42528</v>
      </c>
      <c r="F17" s="33" t="s">
        <v>30</v>
      </c>
      <c r="G17" s="33" t="s">
        <v>16</v>
      </c>
      <c r="H17" s="33" t="s">
        <v>35</v>
      </c>
    </row>
    <row r="18" spans="1:8" ht="30">
      <c r="A18" s="15" t="s">
        <v>26</v>
      </c>
      <c r="B18" s="15" t="str">
        <f>_xlfn.IFNA(INDEX(nameStd[EIW],MATCH(Table2[[#This Row],[Name]],nameStd[Salary],0)),Table2[[#This Row],[Name]])</f>
        <v>Weil, Gotshal &amp; Manges</v>
      </c>
      <c r="C18" s="33" t="s">
        <v>5</v>
      </c>
      <c r="D18" s="33" t="s">
        <v>27</v>
      </c>
      <c r="E18" s="34">
        <v>42528</v>
      </c>
      <c r="F18" s="33" t="s">
        <v>31</v>
      </c>
      <c r="G18" s="33" t="s">
        <v>16</v>
      </c>
      <c r="H18" s="33" t="s">
        <v>35</v>
      </c>
    </row>
    <row r="19" spans="1:8" ht="30">
      <c r="A19" s="15" t="s">
        <v>26</v>
      </c>
      <c r="B19" s="15" t="str">
        <f>_xlfn.IFNA(INDEX(nameStd[EIW],MATCH(Table2[[#This Row],[Name]],nameStd[Salary],0)),Table2[[#This Row],[Name]])</f>
        <v>Weil, Gotshal &amp; Manges</v>
      </c>
      <c r="C19" s="33" t="s">
        <v>5</v>
      </c>
      <c r="D19" s="33" t="s">
        <v>27</v>
      </c>
      <c r="E19" s="34">
        <v>42528</v>
      </c>
      <c r="F19" s="33" t="s">
        <v>7</v>
      </c>
      <c r="G19" s="33" t="s">
        <v>16</v>
      </c>
      <c r="H19" s="33" t="s">
        <v>35</v>
      </c>
    </row>
    <row r="20" spans="1:8" ht="30">
      <c r="A20" s="15" t="s">
        <v>26</v>
      </c>
      <c r="B20" s="15" t="str">
        <f>_xlfn.IFNA(INDEX(nameStd[EIW],MATCH(Table2[[#This Row],[Name]],nameStd[Salary],0)),Table2[[#This Row],[Name]])</f>
        <v>Weil, Gotshal &amp; Manges</v>
      </c>
      <c r="C20" s="33" t="s">
        <v>5</v>
      </c>
      <c r="D20" s="33" t="s">
        <v>27</v>
      </c>
      <c r="E20" s="34">
        <v>42528</v>
      </c>
      <c r="F20" s="33" t="s">
        <v>32</v>
      </c>
      <c r="G20" s="33" t="s">
        <v>16</v>
      </c>
      <c r="H20" s="33" t="s">
        <v>35</v>
      </c>
    </row>
    <row r="21" spans="1:8" ht="30">
      <c r="A21" s="33" t="s">
        <v>26</v>
      </c>
      <c r="B21" s="33" t="str">
        <f>_xlfn.IFNA(INDEX(nameStd[EIW],MATCH(Table2[[#This Row],[Name]],nameStd[Salary],0)),Table2[[#This Row],[Name]])</f>
        <v>Weil, Gotshal &amp; Manges</v>
      </c>
      <c r="C21" s="33" t="s">
        <v>5</v>
      </c>
      <c r="D21" s="33" t="s">
        <v>27</v>
      </c>
      <c r="E21" s="34">
        <v>42528</v>
      </c>
      <c r="F21" s="33" t="s">
        <v>33</v>
      </c>
      <c r="G21" s="33" t="s">
        <v>16</v>
      </c>
      <c r="H21" s="33" t="s">
        <v>35</v>
      </c>
    </row>
    <row r="22" spans="1:8" ht="30">
      <c r="A22" s="33" t="s">
        <v>26</v>
      </c>
      <c r="B22" s="33" t="str">
        <f>_xlfn.IFNA(INDEX(nameStd[EIW],MATCH(Table2[[#This Row],[Name]],nameStd[Salary],0)),Table2[[#This Row],[Name]])</f>
        <v>Weil, Gotshal &amp; Manges</v>
      </c>
      <c r="C22" s="33" t="s">
        <v>5</v>
      </c>
      <c r="D22" s="33" t="s">
        <v>27</v>
      </c>
      <c r="E22" s="34">
        <v>42528</v>
      </c>
      <c r="F22" s="33" t="s">
        <v>34</v>
      </c>
      <c r="G22" s="33" t="s">
        <v>16</v>
      </c>
      <c r="H22" s="33" t="s">
        <v>35</v>
      </c>
    </row>
    <row r="23" spans="1:8" ht="30">
      <c r="A23" s="33" t="s">
        <v>26</v>
      </c>
      <c r="B23" s="33" t="str">
        <f>_xlfn.IFNA(INDEX(nameStd[EIW],MATCH(Table2[[#This Row],[Name]],nameStd[Salary],0)),Table2[[#This Row],[Name]])</f>
        <v>Weil, Gotshal &amp; Manges</v>
      </c>
      <c r="C23" s="33" t="s">
        <v>5</v>
      </c>
      <c r="D23" s="33" t="s">
        <v>27</v>
      </c>
      <c r="E23" s="34">
        <v>42528</v>
      </c>
      <c r="F23" s="33" t="s">
        <v>15</v>
      </c>
      <c r="G23" s="33" t="s">
        <v>16</v>
      </c>
      <c r="H23" s="33" t="s">
        <v>35</v>
      </c>
    </row>
    <row r="24" spans="1:8" ht="30">
      <c r="A24" s="32" t="s">
        <v>36</v>
      </c>
      <c r="B24" s="32" t="str">
        <f>_xlfn.IFNA(INDEX(nameStd[EIW],MATCH(Table2[[#This Row],[Name]],nameStd[Salary],0)),Table2[[#This Row],[Name]])</f>
        <v>Cleary Gottlieb Steen &amp; Hamilton</v>
      </c>
      <c r="C24" s="33" t="s">
        <v>5</v>
      </c>
      <c r="D24" s="33" t="s">
        <v>19</v>
      </c>
      <c r="E24" s="34">
        <v>42529</v>
      </c>
      <c r="F24" s="33" t="s">
        <v>7</v>
      </c>
      <c r="G24" s="33" t="s">
        <v>16</v>
      </c>
      <c r="H24" s="33" t="s">
        <v>38</v>
      </c>
    </row>
    <row r="25" spans="1:8" ht="30">
      <c r="A25" s="15" t="s">
        <v>36</v>
      </c>
      <c r="B25" s="15" t="str">
        <f>_xlfn.IFNA(INDEX(nameStd[EIW],MATCH(Table2[[#This Row],[Name]],nameStd[Salary],0)),Table2[[#This Row],[Name]])</f>
        <v>Cleary Gottlieb Steen &amp; Hamilton</v>
      </c>
      <c r="C25" s="33" t="s">
        <v>5</v>
      </c>
      <c r="D25" s="33" t="s">
        <v>19</v>
      </c>
      <c r="E25" s="34">
        <v>42529</v>
      </c>
      <c r="F25" s="33" t="s">
        <v>15</v>
      </c>
      <c r="G25" s="33" t="s">
        <v>16</v>
      </c>
      <c r="H25" s="33" t="s">
        <v>38</v>
      </c>
    </row>
    <row r="26" spans="1:8" ht="30">
      <c r="A26" s="15" t="s">
        <v>36</v>
      </c>
      <c r="B26" s="15" t="str">
        <f>_xlfn.IFNA(INDEX(nameStd[EIW],MATCH(Table2[[#This Row],[Name]],nameStd[Salary],0)),Table2[[#This Row],[Name]])</f>
        <v>Cleary Gottlieb Steen &amp; Hamilton</v>
      </c>
      <c r="C26" s="33" t="s">
        <v>5</v>
      </c>
      <c r="D26" s="33" t="s">
        <v>19</v>
      </c>
      <c r="E26" s="34">
        <v>42529</v>
      </c>
      <c r="F26" s="32" t="s">
        <v>37</v>
      </c>
      <c r="G26" s="33" t="s">
        <v>16</v>
      </c>
      <c r="H26" s="33" t="s">
        <v>38</v>
      </c>
    </row>
    <row r="27" spans="1:8" ht="30">
      <c r="A27" s="32" t="s">
        <v>39</v>
      </c>
      <c r="B27" s="32" t="str">
        <f>_xlfn.IFNA(INDEX(nameStd[EIW],MATCH(Table2[[#This Row],[Name]],nameStd[Salary],0)),Table2[[#This Row],[Name]])</f>
        <v>Simpson Thacher &amp; Bartlett</v>
      </c>
      <c r="C27" s="33" t="s">
        <v>5</v>
      </c>
      <c r="D27" s="33" t="s">
        <v>6</v>
      </c>
      <c r="E27" s="34">
        <v>42529</v>
      </c>
      <c r="F27" s="33" t="s">
        <v>7</v>
      </c>
      <c r="G27" s="33" t="s">
        <v>16</v>
      </c>
      <c r="H27" s="33" t="s">
        <v>42</v>
      </c>
    </row>
    <row r="28" spans="1:8" ht="30">
      <c r="A28" s="15" t="s">
        <v>39</v>
      </c>
      <c r="B28" s="15" t="str">
        <f>_xlfn.IFNA(INDEX(nameStd[EIW],MATCH(Table2[[#This Row],[Name]],nameStd[Salary],0)),Table2[[#This Row],[Name]])</f>
        <v>Simpson Thacher &amp; Bartlett</v>
      </c>
      <c r="C28" s="33" t="s">
        <v>5</v>
      </c>
      <c r="D28" s="33" t="s">
        <v>6</v>
      </c>
      <c r="E28" s="34">
        <v>42529</v>
      </c>
      <c r="F28" s="33" t="s">
        <v>30</v>
      </c>
      <c r="G28" s="33" t="s">
        <v>16</v>
      </c>
      <c r="H28" s="33" t="s">
        <v>42</v>
      </c>
    </row>
    <row r="29" spans="1:8" ht="30">
      <c r="A29" s="15" t="s">
        <v>39</v>
      </c>
      <c r="B29" s="15" t="str">
        <f>_xlfn.IFNA(INDEX(nameStd[EIW],MATCH(Table2[[#This Row],[Name]],nameStd[Salary],0)),Table2[[#This Row],[Name]])</f>
        <v>Simpson Thacher &amp; Bartlett</v>
      </c>
      <c r="C29" s="33" t="s">
        <v>5</v>
      </c>
      <c r="D29" s="33" t="s">
        <v>6</v>
      </c>
      <c r="E29" s="34">
        <v>42529</v>
      </c>
      <c r="F29" s="33" t="s">
        <v>11</v>
      </c>
      <c r="G29" s="33" t="s">
        <v>16</v>
      </c>
      <c r="H29" s="33" t="s">
        <v>42</v>
      </c>
    </row>
    <row r="30" spans="1:8" ht="30">
      <c r="A30" s="33" t="s">
        <v>39</v>
      </c>
      <c r="B30" s="33" t="str">
        <f>_xlfn.IFNA(INDEX(nameStd[EIW],MATCH(Table2[[#This Row],[Name]],nameStd[Salary],0)),Table2[[#This Row],[Name]])</f>
        <v>Simpson Thacher &amp; Bartlett</v>
      </c>
      <c r="C30" s="33" t="s">
        <v>5</v>
      </c>
      <c r="D30" s="33" t="s">
        <v>6</v>
      </c>
      <c r="E30" s="34">
        <v>42529</v>
      </c>
      <c r="F30" s="33" t="s">
        <v>40</v>
      </c>
      <c r="G30" s="33" t="s">
        <v>16</v>
      </c>
      <c r="H30" s="33" t="s">
        <v>42</v>
      </c>
    </row>
    <row r="31" spans="1:8" ht="30">
      <c r="A31" s="33" t="s">
        <v>39</v>
      </c>
      <c r="B31" s="33" t="str">
        <f>_xlfn.IFNA(INDEX(nameStd[EIW],MATCH(Table2[[#This Row],[Name]],nameStd[Salary],0)),Table2[[#This Row],[Name]])</f>
        <v>Simpson Thacher &amp; Bartlett</v>
      </c>
      <c r="C31" s="33" t="s">
        <v>5</v>
      </c>
      <c r="D31" s="33" t="s">
        <v>6</v>
      </c>
      <c r="E31" s="34">
        <v>42529</v>
      </c>
      <c r="F31" s="33" t="s">
        <v>15</v>
      </c>
      <c r="G31" s="33" t="s">
        <v>16</v>
      </c>
      <c r="H31" s="33" t="s">
        <v>42</v>
      </c>
    </row>
    <row r="32" spans="1:8" ht="30">
      <c r="A32" s="33" t="s">
        <v>39</v>
      </c>
      <c r="B32" s="33" t="str">
        <f>_xlfn.IFNA(INDEX(nameStd[EIW],MATCH(Table2[[#This Row],[Name]],nameStd[Salary],0)),Table2[[#This Row],[Name]])</f>
        <v>Simpson Thacher &amp; Bartlett</v>
      </c>
      <c r="C32" s="33" t="s">
        <v>5</v>
      </c>
      <c r="D32" s="33" t="s">
        <v>6</v>
      </c>
      <c r="E32" s="34">
        <v>42529</v>
      </c>
      <c r="F32" s="33" t="s">
        <v>41</v>
      </c>
      <c r="G32" s="33" t="s">
        <v>16</v>
      </c>
      <c r="H32" s="33" t="s">
        <v>42</v>
      </c>
    </row>
    <row r="33" spans="1:8" ht="12" customHeight="1">
      <c r="A33" s="32" t="s">
        <v>43</v>
      </c>
      <c r="B33" s="32" t="str">
        <f>_xlfn.IFNA(INDEX(nameStd[EIW],MATCH(Table2[[#This Row],[Name]],nameStd[Salary],0)),Table2[[#This Row],[Name]])</f>
        <v>Holwell Shuster</v>
      </c>
      <c r="C33" s="33" t="s">
        <v>5</v>
      </c>
      <c r="D33" s="33" t="s">
        <v>6</v>
      </c>
      <c r="E33" s="34">
        <v>42529</v>
      </c>
      <c r="F33" s="33" t="s">
        <v>7</v>
      </c>
      <c r="G33" s="33" t="s">
        <v>8</v>
      </c>
      <c r="H33" s="33" t="s">
        <v>13</v>
      </c>
    </row>
    <row r="34" spans="1:8" ht="30">
      <c r="A34" s="32" t="s">
        <v>44</v>
      </c>
      <c r="B34" s="32" t="str">
        <f>_xlfn.IFNA(INDEX(nameStd[EIW],MATCH(Table2[[#This Row],[Name]],nameStd[Salary],0)),Table2[[#This Row],[Name]])</f>
        <v>Debevoise &amp; Plimpton</v>
      </c>
      <c r="C34" s="33" t="s">
        <v>5</v>
      </c>
      <c r="D34" s="33" t="s">
        <v>19</v>
      </c>
      <c r="E34" s="34">
        <v>42529</v>
      </c>
      <c r="F34" s="33" t="s">
        <v>7</v>
      </c>
      <c r="G34" s="33" t="s">
        <v>16</v>
      </c>
      <c r="H34" s="33" t="s">
        <v>45</v>
      </c>
    </row>
    <row r="35" spans="1:8" ht="30">
      <c r="A35" s="15" t="s">
        <v>44</v>
      </c>
      <c r="B35" s="15" t="str">
        <f>_xlfn.IFNA(INDEX(nameStd[EIW],MATCH(Table2[[#This Row],[Name]],nameStd[Salary],0)),Table2[[#This Row],[Name]])</f>
        <v>Debevoise &amp; Plimpton</v>
      </c>
      <c r="C35" s="33" t="s">
        <v>5</v>
      </c>
      <c r="D35" s="33" t="s">
        <v>19</v>
      </c>
      <c r="E35" s="34">
        <v>42529</v>
      </c>
      <c r="F35" s="33" t="s">
        <v>15</v>
      </c>
      <c r="G35" s="33" t="s">
        <v>16</v>
      </c>
      <c r="H35" s="33" t="s">
        <v>45</v>
      </c>
    </row>
    <row r="36" spans="1:8" ht="30">
      <c r="A36" s="32" t="s">
        <v>46</v>
      </c>
      <c r="B36" s="32" t="str">
        <f>_xlfn.IFNA(INDEX(nameStd[EIW],MATCH(Table2[[#This Row],[Name]],nameStd[Salary],0)),Table2[[#This Row],[Name]])</f>
        <v>Quinn Emanuel</v>
      </c>
      <c r="C36" s="33" t="s">
        <v>5</v>
      </c>
      <c r="D36" s="33" t="s">
        <v>47</v>
      </c>
      <c r="E36" s="34">
        <v>42529</v>
      </c>
      <c r="F36" s="33" t="s">
        <v>48</v>
      </c>
      <c r="G36" s="33" t="s">
        <v>8</v>
      </c>
      <c r="H36" s="33" t="s">
        <v>51</v>
      </c>
    </row>
    <row r="37" spans="1:8" ht="30">
      <c r="A37" s="15" t="s">
        <v>46</v>
      </c>
      <c r="B37" s="15" t="str">
        <f>_xlfn.IFNA(INDEX(nameStd[EIW],MATCH(Table2[[#This Row],[Name]],nameStd[Salary],0)),Table2[[#This Row],[Name]])</f>
        <v>Quinn Emanuel</v>
      </c>
      <c r="C37" s="33" t="s">
        <v>5</v>
      </c>
      <c r="D37" s="33" t="s">
        <v>47</v>
      </c>
      <c r="E37" s="34">
        <v>42529</v>
      </c>
      <c r="F37" s="33" t="s">
        <v>30</v>
      </c>
      <c r="G37" s="33" t="s">
        <v>8</v>
      </c>
      <c r="H37" s="33" t="s">
        <v>51</v>
      </c>
    </row>
    <row r="38" spans="1:8" ht="30">
      <c r="A38" s="15" t="s">
        <v>46</v>
      </c>
      <c r="B38" s="15" t="str">
        <f>_xlfn.IFNA(INDEX(nameStd[EIW],MATCH(Table2[[#This Row],[Name]],nameStd[Salary],0)),Table2[[#This Row],[Name]])</f>
        <v>Quinn Emanuel</v>
      </c>
      <c r="C38" s="33" t="s">
        <v>5</v>
      </c>
      <c r="D38" s="33" t="s">
        <v>47</v>
      </c>
      <c r="E38" s="34">
        <v>42529</v>
      </c>
      <c r="F38" s="33" t="s">
        <v>11</v>
      </c>
      <c r="G38" s="33" t="s">
        <v>8</v>
      </c>
      <c r="H38" s="33" t="s">
        <v>51</v>
      </c>
    </row>
    <row r="39" spans="1:8" ht="30">
      <c r="A39" s="33" t="s">
        <v>46</v>
      </c>
      <c r="B39" s="33" t="str">
        <f>_xlfn.IFNA(INDEX(nameStd[EIW],MATCH(Table2[[#This Row],[Name]],nameStd[Salary],0)),Table2[[#This Row],[Name]])</f>
        <v>Quinn Emanuel</v>
      </c>
      <c r="C39" s="33" t="s">
        <v>5</v>
      </c>
      <c r="D39" s="33" t="s">
        <v>47</v>
      </c>
      <c r="E39" s="34">
        <v>42529</v>
      </c>
      <c r="F39" s="33" t="s">
        <v>49</v>
      </c>
      <c r="G39" s="33" t="s">
        <v>8</v>
      </c>
      <c r="H39" s="33" t="s">
        <v>51</v>
      </c>
    </row>
    <row r="40" spans="1:8" ht="30">
      <c r="A40" s="33" t="s">
        <v>46</v>
      </c>
      <c r="B40" s="33" t="str">
        <f>_xlfn.IFNA(INDEX(nameStd[EIW],MATCH(Table2[[#This Row],[Name]],nameStd[Salary],0)),Table2[[#This Row],[Name]])</f>
        <v>Quinn Emanuel</v>
      </c>
      <c r="C40" s="33" t="s">
        <v>5</v>
      </c>
      <c r="D40" s="33" t="s">
        <v>47</v>
      </c>
      <c r="E40" s="34">
        <v>42529</v>
      </c>
      <c r="F40" s="33" t="s">
        <v>34</v>
      </c>
      <c r="G40" s="33" t="s">
        <v>8</v>
      </c>
      <c r="H40" s="33" t="s">
        <v>51</v>
      </c>
    </row>
    <row r="41" spans="1:8" ht="30">
      <c r="A41" s="33" t="s">
        <v>46</v>
      </c>
      <c r="B41" s="33" t="str">
        <f>_xlfn.IFNA(INDEX(nameStd[EIW],MATCH(Table2[[#This Row],[Name]],nameStd[Salary],0)),Table2[[#This Row],[Name]])</f>
        <v>Quinn Emanuel</v>
      </c>
      <c r="C41" s="33" t="s">
        <v>5</v>
      </c>
      <c r="D41" s="33" t="s">
        <v>47</v>
      </c>
      <c r="E41" s="34">
        <v>42529</v>
      </c>
      <c r="F41" s="33" t="s">
        <v>7</v>
      </c>
      <c r="G41" s="33" t="s">
        <v>8</v>
      </c>
      <c r="H41" s="33" t="s">
        <v>51</v>
      </c>
    </row>
    <row r="42" spans="1:8" ht="30">
      <c r="A42" s="33" t="s">
        <v>46</v>
      </c>
      <c r="B42" s="33" t="str">
        <f>_xlfn.IFNA(INDEX(nameStd[EIW],MATCH(Table2[[#This Row],[Name]],nameStd[Salary],0)),Table2[[#This Row],[Name]])</f>
        <v>Quinn Emanuel</v>
      </c>
      <c r="C42" s="33" t="s">
        <v>5</v>
      </c>
      <c r="D42" s="33" t="s">
        <v>47</v>
      </c>
      <c r="E42" s="34">
        <v>42529</v>
      </c>
      <c r="F42" s="33" t="s">
        <v>50</v>
      </c>
      <c r="G42" s="33" t="s">
        <v>8</v>
      </c>
      <c r="H42" s="33" t="s">
        <v>51</v>
      </c>
    </row>
    <row r="43" spans="1:8" ht="30">
      <c r="A43" s="33" t="s">
        <v>46</v>
      </c>
      <c r="B43" s="33" t="str">
        <f>_xlfn.IFNA(INDEX(nameStd[EIW],MATCH(Table2[[#This Row],[Name]],nameStd[Salary],0)),Table2[[#This Row],[Name]])</f>
        <v>Quinn Emanuel</v>
      </c>
      <c r="C43" s="33" t="s">
        <v>5</v>
      </c>
      <c r="D43" s="33" t="s">
        <v>47</v>
      </c>
      <c r="E43" s="34">
        <v>42529</v>
      </c>
      <c r="F43" s="33" t="s">
        <v>15</v>
      </c>
      <c r="G43" s="33" t="s">
        <v>8</v>
      </c>
      <c r="H43" s="33" t="s">
        <v>51</v>
      </c>
    </row>
    <row r="44" spans="1:8" ht="30">
      <c r="A44" s="32" t="s">
        <v>52</v>
      </c>
      <c r="B44" s="32" t="str">
        <f>_xlfn.IFNA(INDEX(nameStd[EIW],MATCH(Table2[[#This Row],[Name]],nameStd[Salary],0)),Table2[[#This Row],[Name]])</f>
        <v>Winston &amp; Strawn</v>
      </c>
      <c r="C44" s="33" t="s">
        <v>5</v>
      </c>
      <c r="D44" s="33" t="s">
        <v>6</v>
      </c>
      <c r="E44" s="34">
        <v>42529</v>
      </c>
      <c r="F44" s="33" t="s">
        <v>53</v>
      </c>
      <c r="G44" s="33" t="s">
        <v>16</v>
      </c>
      <c r="H44" s="33" t="s">
        <v>56</v>
      </c>
    </row>
    <row r="45" spans="1:8" ht="30">
      <c r="A45" s="15" t="s">
        <v>52</v>
      </c>
      <c r="B45" s="15" t="str">
        <f>_xlfn.IFNA(INDEX(nameStd[EIW],MATCH(Table2[[#This Row],[Name]],nameStd[Salary],0)),Table2[[#This Row],[Name]])</f>
        <v>Winston &amp; Strawn</v>
      </c>
      <c r="C45" s="33" t="s">
        <v>5</v>
      </c>
      <c r="D45" s="33" t="s">
        <v>6</v>
      </c>
      <c r="E45" s="34">
        <v>42529</v>
      </c>
      <c r="F45" s="33" t="s">
        <v>48</v>
      </c>
      <c r="G45" s="33" t="s">
        <v>16</v>
      </c>
      <c r="H45" s="33" t="s">
        <v>56</v>
      </c>
    </row>
    <row r="46" spans="1:8" ht="30">
      <c r="A46" s="15" t="s">
        <v>52</v>
      </c>
      <c r="B46" s="15" t="str">
        <f>_xlfn.IFNA(INDEX(nameStd[EIW],MATCH(Table2[[#This Row],[Name]],nameStd[Salary],0)),Table2[[#This Row],[Name]])</f>
        <v>Winston &amp; Strawn</v>
      </c>
      <c r="C46" s="33" t="s">
        <v>5</v>
      </c>
      <c r="D46" s="33" t="s">
        <v>6</v>
      </c>
      <c r="E46" s="34">
        <v>42529</v>
      </c>
      <c r="F46" s="33" t="s">
        <v>30</v>
      </c>
      <c r="G46" s="33" t="s">
        <v>16</v>
      </c>
      <c r="H46" s="33" t="s">
        <v>56</v>
      </c>
    </row>
    <row r="47" spans="1:8" ht="30">
      <c r="A47" s="33" t="s">
        <v>52</v>
      </c>
      <c r="B47" s="33" t="str">
        <f>_xlfn.IFNA(INDEX(nameStd[EIW],MATCH(Table2[[#This Row],[Name]],nameStd[Salary],0)),Table2[[#This Row],[Name]])</f>
        <v>Winston &amp; Strawn</v>
      </c>
      <c r="C47" s="33" t="s">
        <v>5</v>
      </c>
      <c r="D47" s="33" t="s">
        <v>6</v>
      </c>
      <c r="E47" s="34">
        <v>42529</v>
      </c>
      <c r="F47" s="33" t="s">
        <v>11</v>
      </c>
      <c r="G47" s="33" t="s">
        <v>16</v>
      </c>
      <c r="H47" s="33" t="s">
        <v>56</v>
      </c>
    </row>
    <row r="48" spans="1:8" ht="30">
      <c r="A48" s="33" t="s">
        <v>52</v>
      </c>
      <c r="B48" s="33" t="str">
        <f>_xlfn.IFNA(INDEX(nameStd[EIW],MATCH(Table2[[#This Row],[Name]],nameStd[Salary],0)),Table2[[#This Row],[Name]])</f>
        <v>Winston &amp; Strawn</v>
      </c>
      <c r="C48" s="33" t="s">
        <v>5</v>
      </c>
      <c r="D48" s="33" t="s">
        <v>6</v>
      </c>
      <c r="E48" s="34">
        <v>42529</v>
      </c>
      <c r="F48" s="33" t="s">
        <v>49</v>
      </c>
      <c r="G48" s="33" t="s">
        <v>16</v>
      </c>
      <c r="H48" s="33" t="s">
        <v>56</v>
      </c>
    </row>
    <row r="49" spans="1:8" ht="30">
      <c r="A49" s="33" t="s">
        <v>52</v>
      </c>
      <c r="B49" s="33" t="str">
        <f>_xlfn.IFNA(INDEX(nameStd[EIW],MATCH(Table2[[#This Row],[Name]],nameStd[Salary],0)),Table2[[#This Row],[Name]])</f>
        <v>Winston &amp; Strawn</v>
      </c>
      <c r="C49" s="33" t="s">
        <v>5</v>
      </c>
      <c r="D49" s="33" t="s">
        <v>6</v>
      </c>
      <c r="E49" s="34">
        <v>42529</v>
      </c>
      <c r="F49" s="33" t="s">
        <v>54</v>
      </c>
      <c r="G49" s="33" t="s">
        <v>16</v>
      </c>
      <c r="H49" s="33" t="s">
        <v>56</v>
      </c>
    </row>
    <row r="50" spans="1:8" ht="30">
      <c r="A50" s="33" t="s">
        <v>52</v>
      </c>
      <c r="B50" s="33" t="str">
        <f>_xlfn.IFNA(INDEX(nameStd[EIW],MATCH(Table2[[#This Row],[Name]],nameStd[Salary],0)),Table2[[#This Row],[Name]])</f>
        <v>Winston &amp; Strawn</v>
      </c>
      <c r="C50" s="33" t="s">
        <v>5</v>
      </c>
      <c r="D50" s="33" t="s">
        <v>6</v>
      </c>
      <c r="E50" s="34">
        <v>42529</v>
      </c>
      <c r="F50" s="33" t="s">
        <v>7</v>
      </c>
      <c r="G50" s="33" t="s">
        <v>16</v>
      </c>
      <c r="H50" s="33" t="s">
        <v>56</v>
      </c>
    </row>
    <row r="51" spans="1:8" ht="30">
      <c r="A51" s="33" t="s">
        <v>52</v>
      </c>
      <c r="B51" s="33" t="str">
        <f>_xlfn.IFNA(INDEX(nameStd[EIW],MATCH(Table2[[#This Row],[Name]],nameStd[Salary],0)),Table2[[#This Row],[Name]])</f>
        <v>Winston &amp; Strawn</v>
      </c>
      <c r="C51" s="33" t="s">
        <v>5</v>
      </c>
      <c r="D51" s="33" t="s">
        <v>6</v>
      </c>
      <c r="E51" s="34">
        <v>42529</v>
      </c>
      <c r="F51" s="33" t="s">
        <v>55</v>
      </c>
      <c r="G51" s="33" t="s">
        <v>16</v>
      </c>
      <c r="H51" s="33" t="s">
        <v>56</v>
      </c>
    </row>
    <row r="52" spans="1:8" ht="30">
      <c r="A52" s="33" t="s">
        <v>52</v>
      </c>
      <c r="B52" s="33" t="str">
        <f>_xlfn.IFNA(INDEX(nameStd[EIW],MATCH(Table2[[#This Row],[Name]],nameStd[Salary],0)),Table2[[#This Row],[Name]])</f>
        <v>Winston &amp; Strawn</v>
      </c>
      <c r="C52" s="33" t="s">
        <v>5</v>
      </c>
      <c r="D52" s="33" t="s">
        <v>6</v>
      </c>
      <c r="E52" s="34">
        <v>42529</v>
      </c>
      <c r="F52" s="33" t="s">
        <v>15</v>
      </c>
      <c r="G52" s="33" t="s">
        <v>16</v>
      </c>
      <c r="H52" s="33" t="s">
        <v>56</v>
      </c>
    </row>
    <row r="53" spans="1:8" ht="30">
      <c r="A53" s="32" t="s">
        <v>57</v>
      </c>
      <c r="B53" s="32" t="str">
        <f>_xlfn.IFNA(INDEX(nameStd[EIW],MATCH(Table2[[#This Row],[Name]],nameStd[Salary],0)),Table2[[#This Row],[Name]])</f>
        <v>Skadden, Arps, Slate, Meagher &amp; Flom</v>
      </c>
      <c r="C53" s="33" t="s">
        <v>5</v>
      </c>
      <c r="D53" s="33" t="s">
        <v>6</v>
      </c>
      <c r="E53" s="34">
        <v>42529</v>
      </c>
      <c r="F53" s="33" t="s">
        <v>28</v>
      </c>
      <c r="G53" s="33" t="s">
        <v>16</v>
      </c>
      <c r="H53" s="33" t="s">
        <v>58</v>
      </c>
    </row>
    <row r="54" spans="1:8" ht="30">
      <c r="A54" s="15" t="s">
        <v>57</v>
      </c>
      <c r="B54" s="15" t="str">
        <f>_xlfn.IFNA(INDEX(nameStd[EIW],MATCH(Table2[[#This Row],[Name]],nameStd[Salary],0)),Table2[[#This Row],[Name]])</f>
        <v>Skadden, Arps, Slate, Meagher &amp; Flom</v>
      </c>
      <c r="C54" s="33" t="s">
        <v>5</v>
      </c>
      <c r="D54" s="33" t="s">
        <v>6</v>
      </c>
      <c r="E54" s="34">
        <v>42529</v>
      </c>
      <c r="F54" s="33" t="s">
        <v>48</v>
      </c>
      <c r="G54" s="33" t="s">
        <v>16</v>
      </c>
      <c r="H54" s="33" t="s">
        <v>58</v>
      </c>
    </row>
    <row r="55" spans="1:8" ht="30">
      <c r="A55" s="15" t="s">
        <v>57</v>
      </c>
      <c r="B55" s="15" t="str">
        <f>_xlfn.IFNA(INDEX(nameStd[EIW],MATCH(Table2[[#This Row],[Name]],nameStd[Salary],0)),Table2[[#This Row],[Name]])</f>
        <v>Skadden, Arps, Slate, Meagher &amp; Flom</v>
      </c>
      <c r="C55" s="33" t="s">
        <v>5</v>
      </c>
      <c r="D55" s="33" t="s">
        <v>6</v>
      </c>
      <c r="E55" s="34">
        <v>42529</v>
      </c>
      <c r="F55" s="33" t="s">
        <v>30</v>
      </c>
      <c r="G55" s="33" t="s">
        <v>16</v>
      </c>
      <c r="H55" s="33" t="s">
        <v>58</v>
      </c>
    </row>
    <row r="56" spans="1:8" ht="30">
      <c r="A56" s="33" t="s">
        <v>57</v>
      </c>
      <c r="B56" s="33" t="str">
        <f>_xlfn.IFNA(INDEX(nameStd[EIW],MATCH(Table2[[#This Row],[Name]],nameStd[Salary],0)),Table2[[#This Row],[Name]])</f>
        <v>Skadden, Arps, Slate, Meagher &amp; Flom</v>
      </c>
      <c r="C56" s="33" t="s">
        <v>5</v>
      </c>
      <c r="D56" s="33" t="s">
        <v>6</v>
      </c>
      <c r="E56" s="34">
        <v>42529</v>
      </c>
      <c r="F56" s="33" t="s">
        <v>11</v>
      </c>
      <c r="G56" s="33" t="s">
        <v>16</v>
      </c>
      <c r="H56" s="33" t="s">
        <v>58</v>
      </c>
    </row>
    <row r="57" spans="1:8" ht="30">
      <c r="A57" s="33" t="s">
        <v>57</v>
      </c>
      <c r="B57" s="33" t="str">
        <f>_xlfn.IFNA(INDEX(nameStd[EIW],MATCH(Table2[[#This Row],[Name]],nameStd[Salary],0)),Table2[[#This Row],[Name]])</f>
        <v>Skadden, Arps, Slate, Meagher &amp; Flom</v>
      </c>
      <c r="C57" s="33" t="s">
        <v>5</v>
      </c>
      <c r="D57" s="33" t="s">
        <v>6</v>
      </c>
      <c r="E57" s="34">
        <v>42529</v>
      </c>
      <c r="F57" s="33" t="s">
        <v>40</v>
      </c>
      <c r="G57" s="33" t="s">
        <v>16</v>
      </c>
      <c r="H57" s="33" t="s">
        <v>58</v>
      </c>
    </row>
    <row r="58" spans="1:8" ht="30">
      <c r="A58" s="33" t="s">
        <v>57</v>
      </c>
      <c r="B58" s="33" t="str">
        <f>_xlfn.IFNA(INDEX(nameStd[EIW],MATCH(Table2[[#This Row],[Name]],nameStd[Salary],0)),Table2[[#This Row],[Name]])</f>
        <v>Skadden, Arps, Slate, Meagher &amp; Flom</v>
      </c>
      <c r="C58" s="33" t="s">
        <v>5</v>
      </c>
      <c r="D58" s="33" t="s">
        <v>6</v>
      </c>
      <c r="E58" s="34">
        <v>42529</v>
      </c>
      <c r="F58" s="33" t="s">
        <v>7</v>
      </c>
      <c r="G58" s="33" t="s">
        <v>16</v>
      </c>
      <c r="H58" s="33" t="s">
        <v>58</v>
      </c>
    </row>
    <row r="59" spans="1:8" ht="30">
      <c r="A59" s="33" t="s">
        <v>57</v>
      </c>
      <c r="B59" s="33" t="str">
        <f>_xlfn.IFNA(INDEX(nameStd[EIW],MATCH(Table2[[#This Row],[Name]],nameStd[Salary],0)),Table2[[#This Row],[Name]])</f>
        <v>Skadden, Arps, Slate, Meagher &amp; Flom</v>
      </c>
      <c r="C59" s="33" t="s">
        <v>5</v>
      </c>
      <c r="D59" s="33" t="s">
        <v>6</v>
      </c>
      <c r="E59" s="34">
        <v>42529</v>
      </c>
      <c r="F59" s="33" t="s">
        <v>15</v>
      </c>
      <c r="G59" s="33" t="s">
        <v>16</v>
      </c>
      <c r="H59" s="33" t="s">
        <v>58</v>
      </c>
    </row>
    <row r="60" spans="1:8" ht="30">
      <c r="A60" s="33" t="s">
        <v>57</v>
      </c>
      <c r="B60" s="33" t="str">
        <f>_xlfn.IFNA(INDEX(nameStd[EIW],MATCH(Table2[[#This Row],[Name]],nameStd[Salary],0)),Table2[[#This Row],[Name]])</f>
        <v>Skadden, Arps, Slate, Meagher &amp; Flom</v>
      </c>
      <c r="C60" s="33" t="s">
        <v>5</v>
      </c>
      <c r="D60" s="33" t="s">
        <v>6</v>
      </c>
      <c r="E60" s="34">
        <v>42529</v>
      </c>
      <c r="F60" s="33" t="s">
        <v>20</v>
      </c>
      <c r="G60" s="33" t="s">
        <v>16</v>
      </c>
      <c r="H60" s="33" t="s">
        <v>58</v>
      </c>
    </row>
    <row r="61" spans="1:8" ht="30">
      <c r="A61" s="32" t="s">
        <v>59</v>
      </c>
      <c r="B61" s="32" t="str">
        <f>_xlfn.IFNA(INDEX(nameStd[EIW],MATCH(Table2[[#This Row],[Name]],nameStd[Salary],0)),Table2[[#This Row],[Name]])</f>
        <v>Sullivan &amp; Cromwell</v>
      </c>
      <c r="C61" s="33" t="s">
        <v>5</v>
      </c>
      <c r="D61" s="33" t="s">
        <v>60</v>
      </c>
      <c r="E61" s="34">
        <v>42529</v>
      </c>
      <c r="F61" s="33" t="s">
        <v>11</v>
      </c>
      <c r="G61" s="33" t="s">
        <v>16</v>
      </c>
      <c r="H61" s="33" t="s">
        <v>62</v>
      </c>
    </row>
    <row r="62" spans="1:8" ht="30">
      <c r="A62" s="15" t="s">
        <v>59</v>
      </c>
      <c r="B62" s="15" t="str">
        <f>_xlfn.IFNA(INDEX(nameStd[EIW],MATCH(Table2[[#This Row],[Name]],nameStd[Salary],0)),Table2[[#This Row],[Name]])</f>
        <v>Sullivan &amp; Cromwell</v>
      </c>
      <c r="C62" s="33" t="s">
        <v>5</v>
      </c>
      <c r="D62" s="33" t="s">
        <v>60</v>
      </c>
      <c r="E62" s="34">
        <v>42529</v>
      </c>
      <c r="F62" s="33" t="s">
        <v>61</v>
      </c>
      <c r="G62" s="33" t="s">
        <v>16</v>
      </c>
      <c r="H62" s="33" t="s">
        <v>62</v>
      </c>
    </row>
    <row r="63" spans="1:8" ht="30">
      <c r="A63" s="15" t="s">
        <v>59</v>
      </c>
      <c r="B63" s="15" t="str">
        <f>_xlfn.IFNA(INDEX(nameStd[EIW],MATCH(Table2[[#This Row],[Name]],nameStd[Salary],0)),Table2[[#This Row],[Name]])</f>
        <v>Sullivan &amp; Cromwell</v>
      </c>
      <c r="C63" s="33" t="s">
        <v>5</v>
      </c>
      <c r="D63" s="33" t="s">
        <v>60</v>
      </c>
      <c r="E63" s="34">
        <v>42529</v>
      </c>
      <c r="F63" s="33" t="s">
        <v>7</v>
      </c>
      <c r="G63" s="33" t="s">
        <v>16</v>
      </c>
      <c r="H63" s="33" t="s">
        <v>62</v>
      </c>
    </row>
    <row r="64" spans="1:8" ht="30">
      <c r="A64" s="33" t="s">
        <v>59</v>
      </c>
      <c r="B64" s="33" t="str">
        <f>_xlfn.IFNA(INDEX(nameStd[EIW],MATCH(Table2[[#This Row],[Name]],nameStd[Salary],0)),Table2[[#This Row],[Name]])</f>
        <v>Sullivan &amp; Cromwell</v>
      </c>
      <c r="C64" s="33" t="s">
        <v>5</v>
      </c>
      <c r="D64" s="33" t="s">
        <v>60</v>
      </c>
      <c r="E64" s="34">
        <v>42529</v>
      </c>
      <c r="F64" s="33" t="s">
        <v>15</v>
      </c>
      <c r="G64" s="33" t="s">
        <v>16</v>
      </c>
      <c r="H64" s="33" t="s">
        <v>62</v>
      </c>
    </row>
    <row r="65" spans="1:8" ht="30">
      <c r="A65" s="32" t="s">
        <v>63</v>
      </c>
      <c r="B65" s="32" t="str">
        <f>_xlfn.IFNA(INDEX(nameStd[EIW],MATCH(Table2[[#This Row],[Name]],nameStd[Salary],0)),Table2[[#This Row],[Name]])</f>
        <v>Kirkland &amp; Ellis</v>
      </c>
      <c r="C65" s="33" t="s">
        <v>5</v>
      </c>
      <c r="D65" s="33" t="s">
        <v>64</v>
      </c>
      <c r="E65" s="34">
        <v>42529</v>
      </c>
      <c r="F65" s="33" t="s">
        <v>48</v>
      </c>
      <c r="G65" s="33" t="s">
        <v>16</v>
      </c>
      <c r="H65" s="33" t="s">
        <v>65</v>
      </c>
    </row>
    <row r="66" spans="1:8" ht="30">
      <c r="A66" s="15" t="s">
        <v>63</v>
      </c>
      <c r="B66" s="15" t="str">
        <f>_xlfn.IFNA(INDEX(nameStd[EIW],MATCH(Table2[[#This Row],[Name]],nameStd[Salary],0)),Table2[[#This Row],[Name]])</f>
        <v>Kirkland &amp; Ellis</v>
      </c>
      <c r="C66" s="33" t="s">
        <v>5</v>
      </c>
      <c r="D66" s="33" t="s">
        <v>64</v>
      </c>
      <c r="E66" s="34">
        <v>42529</v>
      </c>
      <c r="F66" s="33" t="s">
        <v>30</v>
      </c>
      <c r="G66" s="33" t="s">
        <v>16</v>
      </c>
      <c r="H66" s="33" t="s">
        <v>65</v>
      </c>
    </row>
    <row r="67" spans="1:8" ht="30">
      <c r="A67" s="15" t="s">
        <v>63</v>
      </c>
      <c r="B67" s="15" t="str">
        <f>_xlfn.IFNA(INDEX(nameStd[EIW],MATCH(Table2[[#This Row],[Name]],nameStd[Salary],0)),Table2[[#This Row],[Name]])</f>
        <v>Kirkland &amp; Ellis</v>
      </c>
      <c r="C67" s="33" t="s">
        <v>5</v>
      </c>
      <c r="D67" s="33" t="s">
        <v>64</v>
      </c>
      <c r="E67" s="34">
        <v>42529</v>
      </c>
      <c r="F67" s="33" t="s">
        <v>11</v>
      </c>
      <c r="G67" s="33" t="s">
        <v>16</v>
      </c>
      <c r="H67" s="33" t="s">
        <v>65</v>
      </c>
    </row>
    <row r="68" spans="1:8" ht="30">
      <c r="A68" s="33" t="s">
        <v>63</v>
      </c>
      <c r="B68" s="33" t="str">
        <f>_xlfn.IFNA(INDEX(nameStd[EIW],MATCH(Table2[[#This Row],[Name]],nameStd[Salary],0)),Table2[[#This Row],[Name]])</f>
        <v>Kirkland &amp; Ellis</v>
      </c>
      <c r="C68" s="33" t="s">
        <v>5</v>
      </c>
      <c r="D68" s="33" t="s">
        <v>64</v>
      </c>
      <c r="E68" s="34">
        <v>42529</v>
      </c>
      <c r="F68" s="33" t="s">
        <v>49</v>
      </c>
      <c r="G68" s="33" t="s">
        <v>16</v>
      </c>
      <c r="H68" s="33" t="s">
        <v>65</v>
      </c>
    </row>
    <row r="69" spans="1:8" ht="30">
      <c r="A69" s="33" t="s">
        <v>63</v>
      </c>
      <c r="B69" s="33" t="str">
        <f>_xlfn.IFNA(INDEX(nameStd[EIW],MATCH(Table2[[#This Row],[Name]],nameStd[Salary],0)),Table2[[#This Row],[Name]])</f>
        <v>Kirkland &amp; Ellis</v>
      </c>
      <c r="C69" s="33" t="s">
        <v>5</v>
      </c>
      <c r="D69" s="33" t="s">
        <v>64</v>
      </c>
      <c r="E69" s="34">
        <v>42529</v>
      </c>
      <c r="F69" s="33" t="s">
        <v>40</v>
      </c>
      <c r="G69" s="33" t="s">
        <v>16</v>
      </c>
      <c r="H69" s="33" t="s">
        <v>65</v>
      </c>
    </row>
    <row r="70" spans="1:8" ht="30">
      <c r="A70" s="33" t="s">
        <v>63</v>
      </c>
      <c r="B70" s="33" t="str">
        <f>_xlfn.IFNA(INDEX(nameStd[EIW],MATCH(Table2[[#This Row],[Name]],nameStd[Salary],0)),Table2[[#This Row],[Name]])</f>
        <v>Kirkland &amp; Ellis</v>
      </c>
      <c r="C70" s="33" t="s">
        <v>5</v>
      </c>
      <c r="D70" s="33" t="s">
        <v>64</v>
      </c>
      <c r="E70" s="34">
        <v>42529</v>
      </c>
      <c r="F70" s="33" t="s">
        <v>7</v>
      </c>
      <c r="G70" s="33" t="s">
        <v>16</v>
      </c>
      <c r="H70" s="33" t="s">
        <v>65</v>
      </c>
    </row>
    <row r="71" spans="1:8" ht="30">
      <c r="A71" s="33" t="s">
        <v>63</v>
      </c>
      <c r="B71" s="33" t="str">
        <f>_xlfn.IFNA(INDEX(nameStd[EIW],MATCH(Table2[[#This Row],[Name]],nameStd[Salary],0)),Table2[[#This Row],[Name]])</f>
        <v>Kirkland &amp; Ellis</v>
      </c>
      <c r="C71" s="33" t="s">
        <v>5</v>
      </c>
      <c r="D71" s="33" t="s">
        <v>64</v>
      </c>
      <c r="E71" s="34">
        <v>42529</v>
      </c>
      <c r="F71" s="33" t="s">
        <v>15</v>
      </c>
      <c r="G71" s="33" t="s">
        <v>16</v>
      </c>
      <c r="H71" s="33" t="s">
        <v>65</v>
      </c>
    </row>
    <row r="72" spans="1:8" ht="30">
      <c r="A72" s="32" t="s">
        <v>66</v>
      </c>
      <c r="B72" s="32" t="str">
        <f>_xlfn.IFNA(INDEX(nameStd[EIW],MATCH(Table2[[#This Row],[Name]],nameStd[Salary],0)),Table2[[#This Row],[Name]])</f>
        <v>Freshfields Bruckhaus Deringer</v>
      </c>
      <c r="C72" s="33" t="s">
        <v>5</v>
      </c>
      <c r="D72" s="33" t="s">
        <v>19</v>
      </c>
      <c r="E72" s="34">
        <v>42529</v>
      </c>
      <c r="F72" s="33" t="s">
        <v>7</v>
      </c>
      <c r="G72" s="33" t="s">
        <v>16</v>
      </c>
      <c r="H72" s="33" t="s">
        <v>13</v>
      </c>
    </row>
    <row r="73" spans="1:8" ht="30">
      <c r="A73" s="15" t="s">
        <v>66</v>
      </c>
      <c r="B73" s="15" t="str">
        <f>_xlfn.IFNA(INDEX(nameStd[EIW],MATCH(Table2[[#This Row],[Name]],nameStd[Salary],0)),Table2[[#This Row],[Name]])</f>
        <v>Freshfields Bruckhaus Deringer</v>
      </c>
      <c r="C73" s="33" t="s">
        <v>5</v>
      </c>
      <c r="D73" s="33" t="s">
        <v>19</v>
      </c>
      <c r="E73" s="34">
        <v>42529</v>
      </c>
      <c r="F73" s="33" t="s">
        <v>15</v>
      </c>
      <c r="G73" s="33" t="s">
        <v>16</v>
      </c>
      <c r="H73" s="33" t="s">
        <v>13</v>
      </c>
    </row>
    <row r="74" spans="1:8" ht="30">
      <c r="A74" s="32" t="s">
        <v>67</v>
      </c>
      <c r="B74" s="32" t="str">
        <f>_xlfn.IFNA(INDEX(nameStd[EIW],MATCH(Table2[[#This Row],[Name]],nameStd[Salary],0)),Table2[[#This Row],[Name]])</f>
        <v>Cooley</v>
      </c>
      <c r="C74" s="33" t="s">
        <v>5</v>
      </c>
      <c r="D74" s="33" t="s">
        <v>27</v>
      </c>
      <c r="E74" s="34">
        <v>42529</v>
      </c>
      <c r="F74" s="33" t="s">
        <v>28</v>
      </c>
      <c r="G74" s="33" t="s">
        <v>16</v>
      </c>
      <c r="H74" s="33" t="s">
        <v>71</v>
      </c>
    </row>
    <row r="75" spans="1:8" ht="30">
      <c r="A75" s="15" t="s">
        <v>67</v>
      </c>
      <c r="B75" s="15" t="str">
        <f>_xlfn.IFNA(INDEX(nameStd[EIW],MATCH(Table2[[#This Row],[Name]],nameStd[Salary],0)),Table2[[#This Row],[Name]])</f>
        <v>Cooley</v>
      </c>
      <c r="C75" s="33" t="s">
        <v>5</v>
      </c>
      <c r="D75" s="33" t="s">
        <v>27</v>
      </c>
      <c r="E75" s="34">
        <v>42529</v>
      </c>
      <c r="F75" s="33" t="s">
        <v>68</v>
      </c>
      <c r="G75" s="33" t="s">
        <v>16</v>
      </c>
      <c r="H75" s="33" t="s">
        <v>71</v>
      </c>
    </row>
    <row r="76" spans="1:8" ht="30">
      <c r="A76" s="15" t="s">
        <v>67</v>
      </c>
      <c r="B76" s="15" t="str">
        <f>_xlfn.IFNA(INDEX(nameStd[EIW],MATCH(Table2[[#This Row],[Name]],nameStd[Salary],0)),Table2[[#This Row],[Name]])</f>
        <v>Cooley</v>
      </c>
      <c r="C76" s="33" t="s">
        <v>5</v>
      </c>
      <c r="D76" s="33" t="s">
        <v>27</v>
      </c>
      <c r="E76" s="34">
        <v>42529</v>
      </c>
      <c r="F76" s="33" t="s">
        <v>11</v>
      </c>
      <c r="G76" s="33" t="s">
        <v>16</v>
      </c>
      <c r="H76" s="33" t="s">
        <v>71</v>
      </c>
    </row>
    <row r="77" spans="1:8" ht="30">
      <c r="A77" s="33" t="s">
        <v>67</v>
      </c>
      <c r="B77" s="33" t="str">
        <f>_xlfn.IFNA(INDEX(nameStd[EIW],MATCH(Table2[[#This Row],[Name]],nameStd[Salary],0)),Table2[[#This Row],[Name]])</f>
        <v>Cooley</v>
      </c>
      <c r="C77" s="33" t="s">
        <v>5</v>
      </c>
      <c r="D77" s="33" t="s">
        <v>27</v>
      </c>
      <c r="E77" s="34">
        <v>42529</v>
      </c>
      <c r="F77" s="33" t="s">
        <v>40</v>
      </c>
      <c r="G77" s="33" t="s">
        <v>16</v>
      </c>
      <c r="H77" s="33" t="s">
        <v>71</v>
      </c>
    </row>
    <row r="78" spans="1:8" ht="30">
      <c r="A78" s="33" t="s">
        <v>67</v>
      </c>
      <c r="B78" s="33" t="str">
        <f>_xlfn.IFNA(INDEX(nameStd[EIW],MATCH(Table2[[#This Row],[Name]],nameStd[Salary],0)),Table2[[#This Row],[Name]])</f>
        <v>Cooley</v>
      </c>
      <c r="C78" s="33" t="s">
        <v>5</v>
      </c>
      <c r="D78" s="33" t="s">
        <v>27</v>
      </c>
      <c r="E78" s="34">
        <v>42529</v>
      </c>
      <c r="F78" s="33" t="s">
        <v>49</v>
      </c>
      <c r="G78" s="33" t="s">
        <v>16</v>
      </c>
      <c r="H78" s="33" t="s">
        <v>71</v>
      </c>
    </row>
    <row r="79" spans="1:8" ht="30">
      <c r="A79" s="33" t="s">
        <v>67</v>
      </c>
      <c r="B79" s="33" t="str">
        <f>_xlfn.IFNA(INDEX(nameStd[EIW],MATCH(Table2[[#This Row],[Name]],nameStd[Salary],0)),Table2[[#This Row],[Name]])</f>
        <v>Cooley</v>
      </c>
      <c r="C79" s="33" t="s">
        <v>5</v>
      </c>
      <c r="D79" s="33" t="s">
        <v>27</v>
      </c>
      <c r="E79" s="34">
        <v>42529</v>
      </c>
      <c r="F79" s="33" t="s">
        <v>69</v>
      </c>
      <c r="G79" s="33" t="s">
        <v>16</v>
      </c>
      <c r="H79" s="33" t="s">
        <v>71</v>
      </c>
    </row>
    <row r="80" spans="1:8" ht="30">
      <c r="A80" s="33" t="s">
        <v>67</v>
      </c>
      <c r="B80" s="33" t="str">
        <f>_xlfn.IFNA(INDEX(nameStd[EIW],MATCH(Table2[[#This Row],[Name]],nameStd[Salary],0)),Table2[[#This Row],[Name]])</f>
        <v>Cooley</v>
      </c>
      <c r="C80" s="33" t="s">
        <v>5</v>
      </c>
      <c r="D80" s="33" t="s">
        <v>27</v>
      </c>
      <c r="E80" s="34">
        <v>42529</v>
      </c>
      <c r="F80" s="33" t="s">
        <v>7</v>
      </c>
      <c r="G80" s="33" t="s">
        <v>16</v>
      </c>
      <c r="H80" s="33" t="s">
        <v>71</v>
      </c>
    </row>
    <row r="81" spans="1:8" ht="30">
      <c r="A81" s="33" t="s">
        <v>67</v>
      </c>
      <c r="B81" s="33" t="str">
        <f>_xlfn.IFNA(INDEX(nameStd[EIW],MATCH(Table2[[#This Row],[Name]],nameStd[Salary],0)),Table2[[#This Row],[Name]])</f>
        <v>Cooley</v>
      </c>
      <c r="C81" s="33" t="s">
        <v>5</v>
      </c>
      <c r="D81" s="33" t="s">
        <v>27</v>
      </c>
      <c r="E81" s="34">
        <v>42529</v>
      </c>
      <c r="F81" s="33" t="s">
        <v>70</v>
      </c>
      <c r="G81" s="33" t="s">
        <v>16</v>
      </c>
      <c r="H81" s="33" t="s">
        <v>71</v>
      </c>
    </row>
    <row r="82" spans="1:8" ht="30">
      <c r="A82" s="33" t="s">
        <v>67</v>
      </c>
      <c r="B82" s="33" t="str">
        <f>_xlfn.IFNA(INDEX(nameStd[EIW],MATCH(Table2[[#This Row],[Name]],nameStd[Salary],0)),Table2[[#This Row],[Name]])</f>
        <v>Cooley</v>
      </c>
      <c r="C82" s="33" t="s">
        <v>5</v>
      </c>
      <c r="D82" s="33" t="s">
        <v>27</v>
      </c>
      <c r="E82" s="34">
        <v>42529</v>
      </c>
      <c r="F82" s="33" t="s">
        <v>50</v>
      </c>
      <c r="G82" s="33" t="s">
        <v>16</v>
      </c>
      <c r="H82" s="33" t="s">
        <v>71</v>
      </c>
    </row>
    <row r="83" spans="1:8" ht="30">
      <c r="A83" s="33" t="s">
        <v>67</v>
      </c>
      <c r="B83" s="33" t="str">
        <f>_xlfn.IFNA(INDEX(nameStd[EIW],MATCH(Table2[[#This Row],[Name]],nameStd[Salary],0)),Table2[[#This Row],[Name]])</f>
        <v>Cooley</v>
      </c>
      <c r="C83" s="33" t="s">
        <v>5</v>
      </c>
      <c r="D83" s="33" t="s">
        <v>27</v>
      </c>
      <c r="E83" s="34">
        <v>42529</v>
      </c>
      <c r="F83" s="33" t="s">
        <v>15</v>
      </c>
      <c r="G83" s="33" t="s">
        <v>16</v>
      </c>
      <c r="H83" s="33" t="s">
        <v>71</v>
      </c>
    </row>
    <row r="84" spans="1:8" ht="30">
      <c r="A84" s="32" t="s">
        <v>72</v>
      </c>
      <c r="B84" s="32" t="str">
        <f>_xlfn.IFNA(INDEX(nameStd[EIW],MATCH(Table2[[#This Row],[Name]],nameStd[Salary],0)),Table2[[#This Row],[Name]])</f>
        <v>Davis Polk &amp; Wardwell</v>
      </c>
      <c r="C84" s="33" t="s">
        <v>5</v>
      </c>
      <c r="D84" s="33" t="s">
        <v>19</v>
      </c>
      <c r="E84" s="34">
        <v>42529</v>
      </c>
      <c r="F84" s="33" t="s">
        <v>7</v>
      </c>
      <c r="G84" s="33" t="s">
        <v>16</v>
      </c>
      <c r="H84" s="33" t="s">
        <v>78</v>
      </c>
    </row>
    <row r="85" spans="1:8" ht="30">
      <c r="A85" s="15" t="s">
        <v>72</v>
      </c>
      <c r="B85" s="15" t="str">
        <f>_xlfn.IFNA(INDEX(nameStd[EIW],MATCH(Table2[[#This Row],[Name]],nameStd[Salary],0)),Table2[[#This Row],[Name]])</f>
        <v>Davis Polk &amp; Wardwell</v>
      </c>
      <c r="C85" s="33" t="s">
        <v>5</v>
      </c>
      <c r="D85" s="33" t="s">
        <v>19</v>
      </c>
      <c r="E85" s="34">
        <v>42529</v>
      </c>
      <c r="F85" s="33" t="s">
        <v>54</v>
      </c>
      <c r="G85" s="33" t="s">
        <v>16</v>
      </c>
      <c r="H85" s="33" t="s">
        <v>78</v>
      </c>
    </row>
    <row r="86" spans="1:8" ht="30">
      <c r="A86" s="15" t="s">
        <v>72</v>
      </c>
      <c r="B86" s="15" t="str">
        <f>_xlfn.IFNA(INDEX(nameStd[EIW],MATCH(Table2[[#This Row],[Name]],nameStd[Salary],0)),Table2[[#This Row],[Name]])</f>
        <v>Davis Polk &amp; Wardwell</v>
      </c>
      <c r="C86" s="33" t="s">
        <v>5</v>
      </c>
      <c r="D86" s="33" t="s">
        <v>19</v>
      </c>
      <c r="E86" s="34">
        <v>42529</v>
      </c>
      <c r="F86" s="33" t="s">
        <v>15</v>
      </c>
      <c r="G86" s="33" t="s">
        <v>16</v>
      </c>
      <c r="H86" s="33" t="s">
        <v>78</v>
      </c>
    </row>
    <row r="87" spans="1:8" ht="30">
      <c r="A87" s="33" t="s">
        <v>72</v>
      </c>
      <c r="B87" s="33" t="str">
        <f>_xlfn.IFNA(INDEX(nameStd[EIW],MATCH(Table2[[#This Row],[Name]],nameStd[Salary],0)),Table2[[#This Row],[Name]])</f>
        <v>Davis Polk &amp; Wardwell</v>
      </c>
      <c r="C87" s="33" t="s">
        <v>5</v>
      </c>
      <c r="D87" s="33" t="s">
        <v>19</v>
      </c>
      <c r="E87" s="34">
        <v>42529</v>
      </c>
      <c r="F87" s="33" t="s">
        <v>73</v>
      </c>
      <c r="G87" s="33" t="s">
        <v>16</v>
      </c>
      <c r="H87" s="33" t="s">
        <v>78</v>
      </c>
    </row>
    <row r="88" spans="1:8" ht="30">
      <c r="A88" s="33" t="s">
        <v>72</v>
      </c>
      <c r="B88" s="33" t="str">
        <f>_xlfn.IFNA(INDEX(nameStd[EIW],MATCH(Table2[[#This Row],[Name]],nameStd[Salary],0)),Table2[[#This Row],[Name]])</f>
        <v>Davis Polk &amp; Wardwell</v>
      </c>
      <c r="C88" s="33" t="s">
        <v>5</v>
      </c>
      <c r="D88" s="33" t="s">
        <v>19</v>
      </c>
      <c r="E88" s="34">
        <v>42529</v>
      </c>
      <c r="F88" s="33" t="s">
        <v>41</v>
      </c>
      <c r="G88" s="33" t="s">
        <v>16</v>
      </c>
      <c r="H88" s="33" t="s">
        <v>78</v>
      </c>
    </row>
    <row r="89" spans="1:8" ht="30">
      <c r="A89" s="33" t="s">
        <v>72</v>
      </c>
      <c r="B89" s="33" t="str">
        <f>_xlfn.IFNA(INDEX(nameStd[EIW],MATCH(Table2[[#This Row],[Name]],nameStd[Salary],0)),Table2[[#This Row],[Name]])</f>
        <v>Davis Polk &amp; Wardwell</v>
      </c>
      <c r="C89" s="33" t="s">
        <v>5</v>
      </c>
      <c r="D89" s="33" t="s">
        <v>19</v>
      </c>
      <c r="E89" s="34">
        <v>42529</v>
      </c>
      <c r="F89" s="33" t="s">
        <v>74</v>
      </c>
      <c r="G89" s="33" t="s">
        <v>16</v>
      </c>
      <c r="H89" s="33" t="s">
        <v>78</v>
      </c>
    </row>
    <row r="90" spans="1:8" ht="30">
      <c r="A90" s="33" t="s">
        <v>72</v>
      </c>
      <c r="B90" s="33" t="str">
        <f>_xlfn.IFNA(INDEX(nameStd[EIW],MATCH(Table2[[#This Row],[Name]],nameStd[Salary],0)),Table2[[#This Row],[Name]])</f>
        <v>Davis Polk &amp; Wardwell</v>
      </c>
      <c r="C90" s="33" t="s">
        <v>5</v>
      </c>
      <c r="D90" s="33" t="s">
        <v>19</v>
      </c>
      <c r="E90" s="34">
        <v>42529</v>
      </c>
      <c r="F90" s="33" t="s">
        <v>75</v>
      </c>
      <c r="G90" s="33" t="s">
        <v>16</v>
      </c>
      <c r="H90" s="33" t="s">
        <v>78</v>
      </c>
    </row>
    <row r="91" spans="1:8" ht="30">
      <c r="A91" s="33" t="s">
        <v>72</v>
      </c>
      <c r="B91" s="33" t="str">
        <f>_xlfn.IFNA(INDEX(nameStd[EIW],MATCH(Table2[[#This Row],[Name]],nameStd[Salary],0)),Table2[[#This Row],[Name]])</f>
        <v>Davis Polk &amp; Wardwell</v>
      </c>
      <c r="C91" s="33" t="s">
        <v>5</v>
      </c>
      <c r="D91" s="33" t="s">
        <v>19</v>
      </c>
      <c r="E91" s="34">
        <v>42529</v>
      </c>
      <c r="F91" s="33" t="s">
        <v>37</v>
      </c>
      <c r="G91" s="33" t="s">
        <v>16</v>
      </c>
      <c r="H91" s="33" t="s">
        <v>78</v>
      </c>
    </row>
    <row r="92" spans="1:8" ht="30">
      <c r="A92" s="33" t="s">
        <v>72</v>
      </c>
      <c r="B92" s="33" t="str">
        <f>_xlfn.IFNA(INDEX(nameStd[EIW],MATCH(Table2[[#This Row],[Name]],nameStd[Salary],0)),Table2[[#This Row],[Name]])</f>
        <v>Davis Polk &amp; Wardwell</v>
      </c>
      <c r="C92" s="33" t="s">
        <v>5</v>
      </c>
      <c r="D92" s="33" t="s">
        <v>19</v>
      </c>
      <c r="E92" s="34">
        <v>42529</v>
      </c>
      <c r="F92" s="33" t="s">
        <v>76</v>
      </c>
      <c r="G92" s="33" t="s">
        <v>16</v>
      </c>
      <c r="H92" s="33" t="s">
        <v>78</v>
      </c>
    </row>
    <row r="93" spans="1:8" ht="30">
      <c r="A93" s="33" t="s">
        <v>72</v>
      </c>
      <c r="B93" s="33" t="str">
        <f>_xlfn.IFNA(INDEX(nameStd[EIW],MATCH(Table2[[#This Row],[Name]],nameStd[Salary],0)),Table2[[#This Row],[Name]])</f>
        <v>Davis Polk &amp; Wardwell</v>
      </c>
      <c r="C93" s="33" t="s">
        <v>5</v>
      </c>
      <c r="D93" s="33" t="s">
        <v>19</v>
      </c>
      <c r="E93" s="34">
        <v>42529</v>
      </c>
      <c r="F93" s="33" t="s">
        <v>77</v>
      </c>
      <c r="G93" s="33" t="s">
        <v>16</v>
      </c>
      <c r="H93" s="33" t="s">
        <v>78</v>
      </c>
    </row>
    <row r="94" spans="1:8" ht="12" customHeight="1">
      <c r="A94" s="32" t="s">
        <v>79</v>
      </c>
      <c r="B94" s="32" t="str">
        <f>_xlfn.IFNA(INDEX(nameStd[EIW],MATCH(Table2[[#This Row],[Name]],nameStd[Salary],0)),Table2[[#This Row],[Name]])</f>
        <v>Keker &amp; Van Nest</v>
      </c>
      <c r="C94" s="33" t="s">
        <v>5</v>
      </c>
      <c r="D94" s="33" t="s">
        <v>6</v>
      </c>
      <c r="E94" s="34">
        <v>42529</v>
      </c>
      <c r="F94" s="33" t="s">
        <v>49</v>
      </c>
      <c r="G94" s="33" t="s">
        <v>8</v>
      </c>
      <c r="H94" s="33" t="s">
        <v>13</v>
      </c>
    </row>
    <row r="95" spans="1:8" ht="12" customHeight="1">
      <c r="A95" s="32" t="s">
        <v>80</v>
      </c>
      <c r="B95" s="32" t="str">
        <f>_xlfn.IFNA(INDEX(nameStd[EIW],MATCH(Table2[[#This Row],[Name]],nameStd[Salary],0)),Table2[[#This Row],[Name]])</f>
        <v>Greenberg Gross</v>
      </c>
      <c r="C95" s="33" t="s">
        <v>5</v>
      </c>
      <c r="D95" s="33" t="s">
        <v>64</v>
      </c>
      <c r="E95" s="34">
        <v>42529</v>
      </c>
      <c r="F95" s="33" t="s">
        <v>81</v>
      </c>
      <c r="G95" s="33" t="s">
        <v>8</v>
      </c>
      <c r="H95" s="33" t="s">
        <v>13</v>
      </c>
    </row>
    <row r="96" spans="1:8" ht="30">
      <c r="A96" s="32" t="s">
        <v>82</v>
      </c>
      <c r="B96" s="32" t="str">
        <f>_xlfn.IFNA(INDEX(nameStd[EIW],MATCH(Table2[[#This Row],[Name]],nameStd[Salary],0)),Table2[[#This Row],[Name]])</f>
        <v>Willkie Farr &amp; Gallagher</v>
      </c>
      <c r="C96" s="33" t="s">
        <v>5</v>
      </c>
      <c r="D96" s="33" t="s">
        <v>19</v>
      </c>
      <c r="E96" s="34">
        <v>42530</v>
      </c>
      <c r="F96" s="33" t="s">
        <v>7</v>
      </c>
      <c r="G96" s="33" t="s">
        <v>16</v>
      </c>
      <c r="H96" s="33" t="s">
        <v>83</v>
      </c>
    </row>
    <row r="97" spans="1:8" ht="30">
      <c r="A97" s="15" t="s">
        <v>82</v>
      </c>
      <c r="B97" s="15" t="str">
        <f>_xlfn.IFNA(INDEX(nameStd[EIW],MATCH(Table2[[#This Row],[Name]],nameStd[Salary],0)),Table2[[#This Row],[Name]])</f>
        <v>Willkie Farr &amp; Gallagher</v>
      </c>
      <c r="C97" s="33" t="s">
        <v>5</v>
      </c>
      <c r="D97" s="33" t="s">
        <v>19</v>
      </c>
      <c r="E97" s="34">
        <v>42530</v>
      </c>
      <c r="F97" s="33" t="s">
        <v>30</v>
      </c>
      <c r="G97" s="33" t="s">
        <v>16</v>
      </c>
      <c r="H97" s="33" t="s">
        <v>83</v>
      </c>
    </row>
    <row r="98" spans="1:8" ht="30">
      <c r="A98" s="15" t="s">
        <v>82</v>
      </c>
      <c r="B98" s="15" t="str">
        <f>_xlfn.IFNA(INDEX(nameStd[EIW],MATCH(Table2[[#This Row],[Name]],nameStd[Salary],0)),Table2[[#This Row],[Name]])</f>
        <v>Willkie Farr &amp; Gallagher</v>
      </c>
      <c r="C98" s="33" t="s">
        <v>5</v>
      </c>
      <c r="D98" s="33" t="s">
        <v>19</v>
      </c>
      <c r="E98" s="34">
        <v>42530</v>
      </c>
      <c r="F98" s="33" t="s">
        <v>15</v>
      </c>
      <c r="G98" s="33" t="s">
        <v>16</v>
      </c>
      <c r="H98" s="33" t="s">
        <v>83</v>
      </c>
    </row>
    <row r="99" spans="1:8" ht="30">
      <c r="A99" s="32" t="s">
        <v>84</v>
      </c>
      <c r="B99" s="32" t="str">
        <f>_xlfn.IFNA(INDEX(nameStd[EIW],MATCH(Table2[[#This Row],[Name]],nameStd[Salary],0)),Table2[[#This Row],[Name]])</f>
        <v>Gunderson Dettmer Stough Villeneuve Franklin &amp; Hachigian</v>
      </c>
      <c r="C99" s="33" t="s">
        <v>5</v>
      </c>
      <c r="D99" s="33" t="s">
        <v>6</v>
      </c>
      <c r="E99" s="34">
        <v>42530</v>
      </c>
      <c r="F99" s="33" t="s">
        <v>85</v>
      </c>
      <c r="G99" s="33" t="s">
        <v>16</v>
      </c>
      <c r="H99" s="33" t="s">
        <v>13</v>
      </c>
    </row>
    <row r="100" spans="1:8" ht="30">
      <c r="A100" s="15" t="s">
        <v>84</v>
      </c>
      <c r="B100" s="15" t="str">
        <f>_xlfn.IFNA(INDEX(nameStd[EIW],MATCH(Table2[[#This Row],[Name]],nameStd[Salary],0)),Table2[[#This Row],[Name]])</f>
        <v>Gunderson Dettmer Stough Villeneuve Franklin &amp; Hachigian</v>
      </c>
      <c r="C100" s="33" t="s">
        <v>5</v>
      </c>
      <c r="D100" s="33" t="s">
        <v>6</v>
      </c>
      <c r="E100" s="34">
        <v>42530</v>
      </c>
      <c r="F100" s="33" t="s">
        <v>11</v>
      </c>
      <c r="G100" s="33" t="s">
        <v>16</v>
      </c>
      <c r="H100" s="33" t="s">
        <v>13</v>
      </c>
    </row>
    <row r="101" spans="1:8" ht="30">
      <c r="A101" s="15" t="s">
        <v>84</v>
      </c>
      <c r="B101" s="15" t="str">
        <f>_xlfn.IFNA(INDEX(nameStd[EIW],MATCH(Table2[[#This Row],[Name]],nameStd[Salary],0)),Table2[[#This Row],[Name]])</f>
        <v>Gunderson Dettmer Stough Villeneuve Franklin &amp; Hachigian</v>
      </c>
      <c r="C101" s="33" t="s">
        <v>5</v>
      </c>
      <c r="D101" s="33" t="s">
        <v>6</v>
      </c>
      <c r="E101" s="34">
        <v>42530</v>
      </c>
      <c r="F101" s="33" t="s">
        <v>69</v>
      </c>
      <c r="G101" s="33" t="s">
        <v>16</v>
      </c>
      <c r="H101" s="33" t="s">
        <v>13</v>
      </c>
    </row>
    <row r="102" spans="1:8" ht="30">
      <c r="A102" s="33" t="s">
        <v>84</v>
      </c>
      <c r="B102" s="33" t="str">
        <f>_xlfn.IFNA(INDEX(nameStd[EIW],MATCH(Table2[[#This Row],[Name]],nameStd[Salary],0)),Table2[[#This Row],[Name]])</f>
        <v>Gunderson Dettmer Stough Villeneuve Franklin &amp; Hachigian</v>
      </c>
      <c r="C102" s="33" t="s">
        <v>5</v>
      </c>
      <c r="D102" s="33" t="s">
        <v>6</v>
      </c>
      <c r="E102" s="34">
        <v>42530</v>
      </c>
      <c r="F102" s="33" t="s">
        <v>49</v>
      </c>
      <c r="G102" s="33" t="s">
        <v>16</v>
      </c>
      <c r="H102" s="33" t="s">
        <v>13</v>
      </c>
    </row>
    <row r="103" spans="1:8" ht="30">
      <c r="A103" s="33" t="s">
        <v>84</v>
      </c>
      <c r="B103" s="33" t="str">
        <f>_xlfn.IFNA(INDEX(nameStd[EIW],MATCH(Table2[[#This Row],[Name]],nameStd[Salary],0)),Table2[[#This Row],[Name]])</f>
        <v>Gunderson Dettmer Stough Villeneuve Franklin &amp; Hachigian</v>
      </c>
      <c r="C103" s="33" t="s">
        <v>5</v>
      </c>
      <c r="D103" s="33" t="s">
        <v>6</v>
      </c>
      <c r="E103" s="34">
        <v>42530</v>
      </c>
      <c r="F103" s="33" t="s">
        <v>28</v>
      </c>
      <c r="G103" s="33" t="s">
        <v>16</v>
      </c>
      <c r="H103" s="33" t="s">
        <v>13</v>
      </c>
    </row>
    <row r="104" spans="1:8" ht="30">
      <c r="A104" s="33" t="s">
        <v>84</v>
      </c>
      <c r="B104" s="33" t="str">
        <f>_xlfn.IFNA(INDEX(nameStd[EIW],MATCH(Table2[[#This Row],[Name]],nameStd[Salary],0)),Table2[[#This Row],[Name]])</f>
        <v>Gunderson Dettmer Stough Villeneuve Franklin &amp; Hachigian</v>
      </c>
      <c r="C104" s="33" t="s">
        <v>5</v>
      </c>
      <c r="D104" s="33" t="s">
        <v>6</v>
      </c>
      <c r="E104" s="34">
        <v>42530</v>
      </c>
      <c r="F104" s="33" t="s">
        <v>7</v>
      </c>
      <c r="G104" s="33" t="s">
        <v>16</v>
      </c>
      <c r="H104" s="33" t="s">
        <v>13</v>
      </c>
    </row>
    <row r="105" spans="1:8" ht="30">
      <c r="A105" s="32" t="s">
        <v>86</v>
      </c>
      <c r="B105" s="32" t="str">
        <f>_xlfn.IFNA(INDEX(nameStd[EIW],MATCH(Table2[[#This Row],[Name]],nameStd[Salary],0)),Table2[[#This Row],[Name]])</f>
        <v>Vinson &amp; Elkins</v>
      </c>
      <c r="C105" s="33" t="s">
        <v>5</v>
      </c>
      <c r="D105" s="33" t="s">
        <v>6</v>
      </c>
      <c r="E105" s="34">
        <v>42530</v>
      </c>
      <c r="F105" s="33" t="s">
        <v>87</v>
      </c>
      <c r="G105" s="33" t="s">
        <v>16</v>
      </c>
      <c r="H105" s="33" t="s">
        <v>71</v>
      </c>
    </row>
    <row r="106" spans="1:8" ht="30">
      <c r="A106" s="15" t="s">
        <v>86</v>
      </c>
      <c r="B106" s="15" t="str">
        <f>_xlfn.IFNA(INDEX(nameStd[EIW],MATCH(Table2[[#This Row],[Name]],nameStd[Salary],0)),Table2[[#This Row],[Name]])</f>
        <v>Vinson &amp; Elkins</v>
      </c>
      <c r="C106" s="33" t="s">
        <v>5</v>
      </c>
      <c r="D106" s="33" t="s">
        <v>6</v>
      </c>
      <c r="E106" s="34">
        <v>42530</v>
      </c>
      <c r="F106" s="33" t="s">
        <v>29</v>
      </c>
      <c r="G106" s="33" t="s">
        <v>16</v>
      </c>
      <c r="H106" s="33" t="s">
        <v>71</v>
      </c>
    </row>
    <row r="107" spans="1:8" ht="30">
      <c r="A107" s="15" t="s">
        <v>86</v>
      </c>
      <c r="B107" s="15" t="str">
        <f>_xlfn.IFNA(INDEX(nameStd[EIW],MATCH(Table2[[#This Row],[Name]],nameStd[Salary],0)),Table2[[#This Row],[Name]])</f>
        <v>Vinson &amp; Elkins</v>
      </c>
      <c r="C107" s="33" t="s">
        <v>5</v>
      </c>
      <c r="D107" s="33" t="s">
        <v>6</v>
      </c>
      <c r="E107" s="34">
        <v>42530</v>
      </c>
      <c r="F107" s="33" t="s">
        <v>30</v>
      </c>
      <c r="G107" s="33" t="s">
        <v>16</v>
      </c>
      <c r="H107" s="33" t="s">
        <v>71</v>
      </c>
    </row>
    <row r="108" spans="1:8" ht="30">
      <c r="A108" s="33" t="s">
        <v>86</v>
      </c>
      <c r="B108" s="33" t="str">
        <f>_xlfn.IFNA(INDEX(nameStd[EIW],MATCH(Table2[[#This Row],[Name]],nameStd[Salary],0)),Table2[[#This Row],[Name]])</f>
        <v>Vinson &amp; Elkins</v>
      </c>
      <c r="C108" s="33" t="s">
        <v>5</v>
      </c>
      <c r="D108" s="33" t="s">
        <v>6</v>
      </c>
      <c r="E108" s="34">
        <v>42530</v>
      </c>
      <c r="F108" s="33" t="s">
        <v>7</v>
      </c>
      <c r="G108" s="33" t="s">
        <v>16</v>
      </c>
      <c r="H108" s="33" t="s">
        <v>71</v>
      </c>
    </row>
    <row r="109" spans="1:8" ht="30">
      <c r="A109" s="33" t="s">
        <v>86</v>
      </c>
      <c r="B109" s="33" t="str">
        <f>_xlfn.IFNA(INDEX(nameStd[EIW],MATCH(Table2[[#This Row],[Name]],nameStd[Salary],0)),Table2[[#This Row],[Name]])</f>
        <v>Vinson &amp; Elkins</v>
      </c>
      <c r="C109" s="33" t="s">
        <v>5</v>
      </c>
      <c r="D109" s="33" t="s">
        <v>6</v>
      </c>
      <c r="E109" s="34">
        <v>42530</v>
      </c>
      <c r="F109" s="33" t="s">
        <v>40</v>
      </c>
      <c r="G109" s="33" t="s">
        <v>16</v>
      </c>
      <c r="H109" s="33" t="s">
        <v>71</v>
      </c>
    </row>
    <row r="110" spans="1:8" ht="30">
      <c r="A110" s="33" t="s">
        <v>86</v>
      </c>
      <c r="B110" s="33" t="str">
        <f>_xlfn.IFNA(INDEX(nameStd[EIW],MATCH(Table2[[#This Row],[Name]],nameStd[Salary],0)),Table2[[#This Row],[Name]])</f>
        <v>Vinson &amp; Elkins</v>
      </c>
      <c r="C110" s="33" t="s">
        <v>5</v>
      </c>
      <c r="D110" s="33" t="s">
        <v>6</v>
      </c>
      <c r="E110" s="34">
        <v>42530</v>
      </c>
      <c r="F110" s="33" t="s">
        <v>49</v>
      </c>
      <c r="G110" s="33" t="s">
        <v>16</v>
      </c>
      <c r="H110" s="33" t="s">
        <v>71</v>
      </c>
    </row>
    <row r="111" spans="1:8" ht="30">
      <c r="A111" s="33" t="s">
        <v>86</v>
      </c>
      <c r="B111" s="33" t="str">
        <f>_xlfn.IFNA(INDEX(nameStd[EIW],MATCH(Table2[[#This Row],[Name]],nameStd[Salary],0)),Table2[[#This Row],[Name]])</f>
        <v>Vinson &amp; Elkins</v>
      </c>
      <c r="C111" s="33" t="s">
        <v>5</v>
      </c>
      <c r="D111" s="33" t="s">
        <v>6</v>
      </c>
      <c r="E111" s="34">
        <v>42530</v>
      </c>
      <c r="F111" s="33" t="s">
        <v>88</v>
      </c>
      <c r="G111" s="33" t="s">
        <v>16</v>
      </c>
      <c r="H111" s="33" t="s">
        <v>71</v>
      </c>
    </row>
    <row r="112" spans="1:8" ht="30">
      <c r="A112" s="33" t="s">
        <v>86</v>
      </c>
      <c r="B112" s="33" t="str">
        <f>_xlfn.IFNA(INDEX(nameStd[EIW],MATCH(Table2[[#This Row],[Name]],nameStd[Salary],0)),Table2[[#This Row],[Name]])</f>
        <v>Vinson &amp; Elkins</v>
      </c>
      <c r="C112" s="33" t="s">
        <v>5</v>
      </c>
      <c r="D112" s="33" t="s">
        <v>6</v>
      </c>
      <c r="E112" s="34">
        <v>42530</v>
      </c>
      <c r="F112" s="33" t="s">
        <v>15</v>
      </c>
      <c r="G112" s="33" t="s">
        <v>16</v>
      </c>
      <c r="H112" s="33" t="s">
        <v>71</v>
      </c>
    </row>
    <row r="113" spans="1:8" ht="30">
      <c r="A113" s="32" t="s">
        <v>89</v>
      </c>
      <c r="B113" s="32" t="str">
        <f>_xlfn.IFNA(INDEX(nameStd[EIW],MATCH(Table2[[#This Row],[Name]],nameStd[Salary],0)),Table2[[#This Row],[Name]])</f>
        <v>Latham &amp; Watkins</v>
      </c>
      <c r="C113" s="33" t="s">
        <v>5</v>
      </c>
      <c r="D113" s="33" t="s">
        <v>6</v>
      </c>
      <c r="E113" s="34">
        <v>42530</v>
      </c>
      <c r="F113" s="33" t="s">
        <v>28</v>
      </c>
      <c r="G113" s="33" t="s">
        <v>16</v>
      </c>
      <c r="H113" s="33" t="s">
        <v>94</v>
      </c>
    </row>
    <row r="114" spans="1:8" ht="30">
      <c r="A114" s="15" t="s">
        <v>89</v>
      </c>
      <c r="B114" s="15" t="str">
        <f>_xlfn.IFNA(INDEX(nameStd[EIW],MATCH(Table2[[#This Row],[Name]],nameStd[Salary],0)),Table2[[#This Row],[Name]])</f>
        <v>Latham &amp; Watkins</v>
      </c>
      <c r="C114" s="33" t="s">
        <v>5</v>
      </c>
      <c r="D114" s="33" t="s">
        <v>6</v>
      </c>
      <c r="E114" s="34">
        <v>42530</v>
      </c>
      <c r="F114" s="33" t="s">
        <v>90</v>
      </c>
      <c r="G114" s="33" t="s">
        <v>16</v>
      </c>
      <c r="H114" s="33" t="s">
        <v>94</v>
      </c>
    </row>
    <row r="115" spans="1:8" ht="30">
      <c r="A115" s="15" t="s">
        <v>89</v>
      </c>
      <c r="B115" s="15" t="str">
        <f>_xlfn.IFNA(INDEX(nameStd[EIW],MATCH(Table2[[#This Row],[Name]],nameStd[Salary],0)),Table2[[#This Row],[Name]])</f>
        <v>Latham &amp; Watkins</v>
      </c>
      <c r="C115" s="33" t="s">
        <v>5</v>
      </c>
      <c r="D115" s="33" t="s">
        <v>6</v>
      </c>
      <c r="E115" s="34">
        <v>42530</v>
      </c>
      <c r="F115" s="33" t="s">
        <v>11</v>
      </c>
      <c r="G115" s="33" t="s">
        <v>16</v>
      </c>
      <c r="H115" s="33" t="s">
        <v>94</v>
      </c>
    </row>
    <row r="116" spans="1:8" ht="30">
      <c r="A116" s="33" t="s">
        <v>89</v>
      </c>
      <c r="B116" s="33" t="str">
        <f>_xlfn.IFNA(INDEX(nameStd[EIW],MATCH(Table2[[#This Row],[Name]],nameStd[Salary],0)),Table2[[#This Row],[Name]])</f>
        <v>Latham &amp; Watkins</v>
      </c>
      <c r="C116" s="33" t="s">
        <v>5</v>
      </c>
      <c r="D116" s="33" t="s">
        <v>6</v>
      </c>
      <c r="E116" s="34">
        <v>42530</v>
      </c>
      <c r="F116" s="33" t="s">
        <v>91</v>
      </c>
      <c r="G116" s="33" t="s">
        <v>16</v>
      </c>
      <c r="H116" s="33" t="s">
        <v>94</v>
      </c>
    </row>
    <row r="117" spans="1:8" ht="30">
      <c r="A117" s="33" t="s">
        <v>89</v>
      </c>
      <c r="B117" s="33" t="str">
        <f>_xlfn.IFNA(INDEX(nameStd[EIW],MATCH(Table2[[#This Row],[Name]],nameStd[Salary],0)),Table2[[#This Row],[Name]])</f>
        <v>Latham &amp; Watkins</v>
      </c>
      <c r="C117" s="33" t="s">
        <v>5</v>
      </c>
      <c r="D117" s="33" t="s">
        <v>6</v>
      </c>
      <c r="E117" s="34">
        <v>42530</v>
      </c>
      <c r="F117" s="33" t="s">
        <v>69</v>
      </c>
      <c r="G117" s="33" t="s">
        <v>16</v>
      </c>
      <c r="H117" s="33" t="s">
        <v>94</v>
      </c>
    </row>
    <row r="118" spans="1:8" ht="30">
      <c r="A118" s="33" t="s">
        <v>89</v>
      </c>
      <c r="B118" s="33" t="str">
        <f>_xlfn.IFNA(INDEX(nameStd[EIW],MATCH(Table2[[#This Row],[Name]],nameStd[Salary],0)),Table2[[#This Row],[Name]])</f>
        <v>Latham &amp; Watkins</v>
      </c>
      <c r="C118" s="33" t="s">
        <v>5</v>
      </c>
      <c r="D118" s="33" t="s">
        <v>6</v>
      </c>
      <c r="E118" s="34">
        <v>42530</v>
      </c>
      <c r="F118" s="33" t="s">
        <v>49</v>
      </c>
      <c r="G118" s="33" t="s">
        <v>16</v>
      </c>
      <c r="H118" s="33" t="s">
        <v>94</v>
      </c>
    </row>
    <row r="119" spans="1:8" ht="30">
      <c r="A119" s="33" t="s">
        <v>89</v>
      </c>
      <c r="B119" s="33" t="str">
        <f>_xlfn.IFNA(INDEX(nameStd[EIW],MATCH(Table2[[#This Row],[Name]],nameStd[Salary],0)),Table2[[#This Row],[Name]])</f>
        <v>Latham &amp; Watkins</v>
      </c>
      <c r="C119" s="33" t="s">
        <v>5</v>
      </c>
      <c r="D119" s="33" t="s">
        <v>6</v>
      </c>
      <c r="E119" s="34">
        <v>42530</v>
      </c>
      <c r="F119" s="33" t="s">
        <v>54</v>
      </c>
      <c r="G119" s="33" t="s">
        <v>16</v>
      </c>
      <c r="H119" s="33" t="s">
        <v>94</v>
      </c>
    </row>
    <row r="120" spans="1:8" ht="30">
      <c r="A120" s="33" t="s">
        <v>89</v>
      </c>
      <c r="B120" s="33" t="str">
        <f>_xlfn.IFNA(INDEX(nameStd[EIW],MATCH(Table2[[#This Row],[Name]],nameStd[Salary],0)),Table2[[#This Row],[Name]])</f>
        <v>Latham &amp; Watkins</v>
      </c>
      <c r="C120" s="33" t="s">
        <v>5</v>
      </c>
      <c r="D120" s="33" t="s">
        <v>6</v>
      </c>
      <c r="E120" s="34">
        <v>42530</v>
      </c>
      <c r="F120" s="33" t="s">
        <v>48</v>
      </c>
      <c r="G120" s="33" t="s">
        <v>16</v>
      </c>
      <c r="H120" s="33" t="s">
        <v>94</v>
      </c>
    </row>
    <row r="121" spans="1:8" ht="30">
      <c r="A121" s="33" t="s">
        <v>89</v>
      </c>
      <c r="B121" s="33" t="str">
        <f>_xlfn.IFNA(INDEX(nameStd[EIW],MATCH(Table2[[#This Row],[Name]],nameStd[Salary],0)),Table2[[#This Row],[Name]])</f>
        <v>Latham &amp; Watkins</v>
      </c>
      <c r="C121" s="33" t="s">
        <v>5</v>
      </c>
      <c r="D121" s="33" t="s">
        <v>6</v>
      </c>
      <c r="E121" s="34">
        <v>42530</v>
      </c>
      <c r="F121" s="33" t="s">
        <v>30</v>
      </c>
      <c r="G121" s="33" t="s">
        <v>16</v>
      </c>
      <c r="H121" s="33" t="s">
        <v>94</v>
      </c>
    </row>
    <row r="122" spans="1:8" ht="30">
      <c r="A122" s="33" t="s">
        <v>89</v>
      </c>
      <c r="B122" s="33" t="str">
        <f>_xlfn.IFNA(INDEX(nameStd[EIW],MATCH(Table2[[#This Row],[Name]],nameStd[Salary],0)),Table2[[#This Row],[Name]])</f>
        <v>Latham &amp; Watkins</v>
      </c>
      <c r="C122" s="33" t="s">
        <v>5</v>
      </c>
      <c r="D122" s="33" t="s">
        <v>6</v>
      </c>
      <c r="E122" s="34">
        <v>42530</v>
      </c>
      <c r="F122" s="33" t="s">
        <v>55</v>
      </c>
      <c r="G122" s="33" t="s">
        <v>16</v>
      </c>
      <c r="H122" s="33" t="s">
        <v>94</v>
      </c>
    </row>
    <row r="123" spans="1:8" ht="30">
      <c r="A123" s="33" t="s">
        <v>89</v>
      </c>
      <c r="B123" s="33" t="str">
        <f>_xlfn.IFNA(INDEX(nameStd[EIW],MATCH(Table2[[#This Row],[Name]],nameStd[Salary],0)),Table2[[#This Row],[Name]])</f>
        <v>Latham &amp; Watkins</v>
      </c>
      <c r="C123" s="33" t="s">
        <v>5</v>
      </c>
      <c r="D123" s="33" t="s">
        <v>6</v>
      </c>
      <c r="E123" s="34">
        <v>42530</v>
      </c>
      <c r="F123" s="33" t="s">
        <v>7</v>
      </c>
      <c r="G123" s="33" t="s">
        <v>16</v>
      </c>
      <c r="H123" s="33" t="s">
        <v>94</v>
      </c>
    </row>
    <row r="124" spans="1:8" ht="30">
      <c r="A124" s="33" t="s">
        <v>89</v>
      </c>
      <c r="B124" s="33" t="str">
        <f>_xlfn.IFNA(INDEX(nameStd[EIW],MATCH(Table2[[#This Row],[Name]],nameStd[Salary],0)),Table2[[#This Row],[Name]])</f>
        <v>Latham &amp; Watkins</v>
      </c>
      <c r="C124" s="33" t="s">
        <v>5</v>
      </c>
      <c r="D124" s="33" t="s">
        <v>6</v>
      </c>
      <c r="E124" s="34">
        <v>42530</v>
      </c>
      <c r="F124" s="33" t="s">
        <v>15</v>
      </c>
      <c r="G124" s="33" t="s">
        <v>16</v>
      </c>
      <c r="H124" s="33" t="s">
        <v>94</v>
      </c>
    </row>
    <row r="125" spans="1:8" ht="30">
      <c r="A125" s="33" t="s">
        <v>89</v>
      </c>
      <c r="B125" s="33" t="str">
        <f>_xlfn.IFNA(INDEX(nameStd[EIW],MATCH(Table2[[#This Row],[Name]],nameStd[Salary],0)),Table2[[#This Row],[Name]])</f>
        <v>Latham &amp; Watkins</v>
      </c>
      <c r="C125" s="33" t="s">
        <v>5</v>
      </c>
      <c r="D125" s="33" t="s">
        <v>6</v>
      </c>
      <c r="E125" s="34">
        <v>42530</v>
      </c>
      <c r="F125" s="33" t="s">
        <v>41</v>
      </c>
      <c r="G125" s="33" t="s">
        <v>16</v>
      </c>
      <c r="H125" s="33" t="s">
        <v>94</v>
      </c>
    </row>
    <row r="126" spans="1:8" ht="30">
      <c r="A126" s="33" t="s">
        <v>89</v>
      </c>
      <c r="B126" s="33" t="str">
        <f>_xlfn.IFNA(INDEX(nameStd[EIW],MATCH(Table2[[#This Row],[Name]],nameStd[Salary],0)),Table2[[#This Row],[Name]])</f>
        <v>Latham &amp; Watkins</v>
      </c>
      <c r="C126" s="33" t="s">
        <v>5</v>
      </c>
      <c r="D126" s="33" t="s">
        <v>6</v>
      </c>
      <c r="E126" s="34">
        <v>42530</v>
      </c>
      <c r="F126" s="33" t="s">
        <v>92</v>
      </c>
      <c r="G126" s="33" t="s">
        <v>16</v>
      </c>
      <c r="H126" s="33" t="s">
        <v>94</v>
      </c>
    </row>
    <row r="127" spans="1:8" ht="30">
      <c r="A127" s="33" t="s">
        <v>89</v>
      </c>
      <c r="B127" s="33" t="str">
        <f>_xlfn.IFNA(INDEX(nameStd[EIW],MATCH(Table2[[#This Row],[Name]],nameStd[Salary],0)),Table2[[#This Row],[Name]])</f>
        <v>Latham &amp; Watkins</v>
      </c>
      <c r="C127" s="33" t="s">
        <v>5</v>
      </c>
      <c r="D127" s="33" t="s">
        <v>6</v>
      </c>
      <c r="E127" s="34">
        <v>42530</v>
      </c>
      <c r="F127" s="33" t="s">
        <v>76</v>
      </c>
      <c r="G127" s="33" t="s">
        <v>16</v>
      </c>
      <c r="H127" s="33" t="s">
        <v>94</v>
      </c>
    </row>
    <row r="128" spans="1:8" ht="30">
      <c r="A128" s="33" t="s">
        <v>89</v>
      </c>
      <c r="B128" s="33" t="str">
        <f>_xlfn.IFNA(INDEX(nameStd[EIW],MATCH(Table2[[#This Row],[Name]],nameStd[Salary],0)),Table2[[#This Row],[Name]])</f>
        <v>Latham &amp; Watkins</v>
      </c>
      <c r="C128" s="33" t="s">
        <v>5</v>
      </c>
      <c r="D128" s="33" t="s">
        <v>6</v>
      </c>
      <c r="E128" s="34">
        <v>42530</v>
      </c>
      <c r="F128" s="33" t="s">
        <v>93</v>
      </c>
      <c r="G128" s="33" t="s">
        <v>16</v>
      </c>
      <c r="H128" s="33" t="s">
        <v>94</v>
      </c>
    </row>
    <row r="129" spans="1:8" ht="30">
      <c r="A129" s="33" t="s">
        <v>89</v>
      </c>
      <c r="B129" s="33" t="str">
        <f>_xlfn.IFNA(INDEX(nameStd[EIW],MATCH(Table2[[#This Row],[Name]],nameStd[Salary],0)),Table2[[#This Row],[Name]])</f>
        <v>Latham &amp; Watkins</v>
      </c>
      <c r="C129" s="33" t="s">
        <v>5</v>
      </c>
      <c r="D129" s="33" t="s">
        <v>6</v>
      </c>
      <c r="E129" s="34">
        <v>42530</v>
      </c>
      <c r="F129" s="33" t="s">
        <v>37</v>
      </c>
      <c r="G129" s="33" t="s">
        <v>16</v>
      </c>
      <c r="H129" s="33" t="s">
        <v>94</v>
      </c>
    </row>
    <row r="130" spans="1:8" ht="30">
      <c r="A130" s="33" t="s">
        <v>89</v>
      </c>
      <c r="B130" s="33" t="str">
        <f>_xlfn.IFNA(INDEX(nameStd[EIW],MATCH(Table2[[#This Row],[Name]],nameStd[Salary],0)),Table2[[#This Row],[Name]])</f>
        <v>Latham &amp; Watkins</v>
      </c>
      <c r="C130" s="33" t="s">
        <v>5</v>
      </c>
      <c r="D130" s="33" t="s">
        <v>6</v>
      </c>
      <c r="E130" s="34">
        <v>42530</v>
      </c>
      <c r="F130" s="33" t="s">
        <v>77</v>
      </c>
      <c r="G130" s="33" t="s">
        <v>16</v>
      </c>
      <c r="H130" s="33" t="s">
        <v>94</v>
      </c>
    </row>
    <row r="131" spans="1:8" ht="30">
      <c r="A131" s="32" t="s">
        <v>95</v>
      </c>
      <c r="B131" s="32" t="str">
        <f>_xlfn.IFNA(INDEX(nameStd[EIW],MATCH(Table2[[#This Row],[Name]],nameStd[Salary],0)),Table2[[#This Row],[Name]])</f>
        <v>Clifford Chance</v>
      </c>
      <c r="C131" s="33" t="s">
        <v>5</v>
      </c>
      <c r="D131" s="33" t="s">
        <v>19</v>
      </c>
      <c r="E131" s="34">
        <v>42530</v>
      </c>
      <c r="F131" s="33" t="s">
        <v>7</v>
      </c>
      <c r="G131" s="33" t="s">
        <v>16</v>
      </c>
      <c r="H131" s="33" t="s">
        <v>13</v>
      </c>
    </row>
    <row r="132" spans="1:8" ht="30">
      <c r="A132" s="15" t="s">
        <v>95</v>
      </c>
      <c r="B132" s="15" t="str">
        <f>_xlfn.IFNA(INDEX(nameStd[EIW],MATCH(Table2[[#This Row],[Name]],nameStd[Salary],0)),Table2[[#This Row],[Name]])</f>
        <v>Clifford Chance</v>
      </c>
      <c r="C132" s="33" t="s">
        <v>5</v>
      </c>
      <c r="D132" s="33" t="s">
        <v>19</v>
      </c>
      <c r="E132" s="34">
        <v>42530</v>
      </c>
      <c r="F132" s="33" t="s">
        <v>15</v>
      </c>
      <c r="G132" s="33" t="s">
        <v>16</v>
      </c>
      <c r="H132" s="33" t="s">
        <v>13</v>
      </c>
    </row>
    <row r="133" spans="1:8" ht="30">
      <c r="A133" s="32" t="s">
        <v>96</v>
      </c>
      <c r="B133" s="32" t="str">
        <f>_xlfn.IFNA(INDEX(nameStd[EIW],MATCH(Table2[[#This Row],[Name]],nameStd[Salary],0)),Table2[[#This Row],[Name]])</f>
        <v>Sidley Austin</v>
      </c>
      <c r="C133" s="33" t="s">
        <v>5</v>
      </c>
      <c r="D133" s="33" t="s">
        <v>6</v>
      </c>
      <c r="E133" s="34">
        <v>42530</v>
      </c>
      <c r="F133" s="33" t="s">
        <v>28</v>
      </c>
      <c r="G133" s="33" t="s">
        <v>16</v>
      </c>
      <c r="H133" s="33" t="s">
        <v>97</v>
      </c>
    </row>
    <row r="134" spans="1:8" ht="30">
      <c r="A134" s="15" t="s">
        <v>96</v>
      </c>
      <c r="B134" s="15" t="str">
        <f>_xlfn.IFNA(INDEX(nameStd[EIW],MATCH(Table2[[#This Row],[Name]],nameStd[Salary],0)),Table2[[#This Row],[Name]])</f>
        <v>Sidley Austin</v>
      </c>
      <c r="C134" s="33" t="s">
        <v>5</v>
      </c>
      <c r="D134" s="33" t="s">
        <v>6</v>
      </c>
      <c r="E134" s="34">
        <v>42530</v>
      </c>
      <c r="F134" s="33" t="s">
        <v>90</v>
      </c>
      <c r="G134" s="33" t="s">
        <v>16</v>
      </c>
      <c r="H134" s="33" t="s">
        <v>97</v>
      </c>
    </row>
    <row r="135" spans="1:8" ht="30">
      <c r="A135" s="15" t="s">
        <v>96</v>
      </c>
      <c r="B135" s="15" t="str">
        <f>_xlfn.IFNA(INDEX(nameStd[EIW],MATCH(Table2[[#This Row],[Name]],nameStd[Salary],0)),Table2[[#This Row],[Name]])</f>
        <v>Sidley Austin</v>
      </c>
      <c r="C135" s="33" t="s">
        <v>5</v>
      </c>
      <c r="D135" s="33" t="s">
        <v>6</v>
      </c>
      <c r="E135" s="34">
        <v>42530</v>
      </c>
      <c r="F135" s="33" t="s">
        <v>11</v>
      </c>
      <c r="G135" s="33" t="s">
        <v>16</v>
      </c>
      <c r="H135" s="33" t="s">
        <v>97</v>
      </c>
    </row>
    <row r="136" spans="1:8" ht="30">
      <c r="A136" s="33" t="s">
        <v>96</v>
      </c>
      <c r="B136" s="33" t="str">
        <f>_xlfn.IFNA(INDEX(nameStd[EIW],MATCH(Table2[[#This Row],[Name]],nameStd[Salary],0)),Table2[[#This Row],[Name]])</f>
        <v>Sidley Austin</v>
      </c>
      <c r="C136" s="33" t="s">
        <v>5</v>
      </c>
      <c r="D136" s="33" t="s">
        <v>6</v>
      </c>
      <c r="E136" s="34">
        <v>42530</v>
      </c>
      <c r="F136" s="33" t="s">
        <v>40</v>
      </c>
      <c r="G136" s="33" t="s">
        <v>16</v>
      </c>
      <c r="H136" s="33" t="s">
        <v>97</v>
      </c>
    </row>
    <row r="137" spans="1:8" ht="30">
      <c r="A137" s="33" t="s">
        <v>96</v>
      </c>
      <c r="B137" s="33" t="str">
        <f>_xlfn.IFNA(INDEX(nameStd[EIW],MATCH(Table2[[#This Row],[Name]],nameStd[Salary],0)),Table2[[#This Row],[Name]])</f>
        <v>Sidley Austin</v>
      </c>
      <c r="C137" s="33" t="s">
        <v>5</v>
      </c>
      <c r="D137" s="33" t="s">
        <v>6</v>
      </c>
      <c r="E137" s="34">
        <v>42530</v>
      </c>
      <c r="F137" s="33" t="s">
        <v>49</v>
      </c>
      <c r="G137" s="33" t="s">
        <v>16</v>
      </c>
      <c r="H137" s="33" t="s">
        <v>97</v>
      </c>
    </row>
    <row r="138" spans="1:8" ht="30">
      <c r="A138" s="33" t="s">
        <v>96</v>
      </c>
      <c r="B138" s="33" t="str">
        <f>_xlfn.IFNA(INDEX(nameStd[EIW],MATCH(Table2[[#This Row],[Name]],nameStd[Salary],0)),Table2[[#This Row],[Name]])</f>
        <v>Sidley Austin</v>
      </c>
      <c r="C138" s="33" t="s">
        <v>5</v>
      </c>
      <c r="D138" s="33" t="s">
        <v>6</v>
      </c>
      <c r="E138" s="34">
        <v>42530</v>
      </c>
      <c r="F138" s="33" t="s">
        <v>48</v>
      </c>
      <c r="G138" s="33" t="s">
        <v>16</v>
      </c>
      <c r="H138" s="33" t="s">
        <v>97</v>
      </c>
    </row>
    <row r="139" spans="1:8" ht="30">
      <c r="A139" s="33" t="s">
        <v>96</v>
      </c>
      <c r="B139" s="33" t="str">
        <f>_xlfn.IFNA(INDEX(nameStd[EIW],MATCH(Table2[[#This Row],[Name]],nameStd[Salary],0)),Table2[[#This Row],[Name]])</f>
        <v>Sidley Austin</v>
      </c>
      <c r="C139" s="33" t="s">
        <v>5</v>
      </c>
      <c r="D139" s="33" t="s">
        <v>6</v>
      </c>
      <c r="E139" s="34">
        <v>42530</v>
      </c>
      <c r="F139" s="33" t="s">
        <v>29</v>
      </c>
      <c r="G139" s="33" t="s">
        <v>16</v>
      </c>
      <c r="H139" s="33" t="s">
        <v>97</v>
      </c>
    </row>
    <row r="140" spans="1:8" ht="30">
      <c r="A140" s="33" t="s">
        <v>96</v>
      </c>
      <c r="B140" s="33" t="str">
        <f>_xlfn.IFNA(INDEX(nameStd[EIW],MATCH(Table2[[#This Row],[Name]],nameStd[Salary],0)),Table2[[#This Row],[Name]])</f>
        <v>Sidley Austin</v>
      </c>
      <c r="C140" s="33" t="s">
        <v>5</v>
      </c>
      <c r="D140" s="33" t="s">
        <v>6</v>
      </c>
      <c r="E140" s="34">
        <v>42530</v>
      </c>
      <c r="F140" s="33" t="s">
        <v>30</v>
      </c>
      <c r="G140" s="33" t="s">
        <v>16</v>
      </c>
      <c r="H140" s="33" t="s">
        <v>97</v>
      </c>
    </row>
    <row r="141" spans="1:8" ht="30">
      <c r="A141" s="33" t="s">
        <v>96</v>
      </c>
      <c r="B141" s="33" t="str">
        <f>_xlfn.IFNA(INDEX(nameStd[EIW],MATCH(Table2[[#This Row],[Name]],nameStd[Salary],0)),Table2[[#This Row],[Name]])</f>
        <v>Sidley Austin</v>
      </c>
      <c r="C141" s="33" t="s">
        <v>5</v>
      </c>
      <c r="D141" s="33" t="s">
        <v>6</v>
      </c>
      <c r="E141" s="34">
        <v>42530</v>
      </c>
      <c r="F141" s="33" t="s">
        <v>7</v>
      </c>
      <c r="G141" s="33" t="s">
        <v>16</v>
      </c>
      <c r="H141" s="33" t="s">
        <v>97</v>
      </c>
    </row>
    <row r="142" spans="1:8" ht="30">
      <c r="A142" s="33" t="s">
        <v>96</v>
      </c>
      <c r="B142" s="33" t="str">
        <f>_xlfn.IFNA(INDEX(nameStd[EIW],MATCH(Table2[[#This Row],[Name]],nameStd[Salary],0)),Table2[[#This Row],[Name]])</f>
        <v>Sidley Austin</v>
      </c>
      <c r="C142" s="33" t="s">
        <v>5</v>
      </c>
      <c r="D142" s="33" t="s">
        <v>6</v>
      </c>
      <c r="E142" s="34">
        <v>42530</v>
      </c>
      <c r="F142" s="33" t="s">
        <v>15</v>
      </c>
      <c r="G142" s="33" t="s">
        <v>16</v>
      </c>
      <c r="H142" s="33" t="s">
        <v>97</v>
      </c>
    </row>
    <row r="143" spans="1:8" ht="30">
      <c r="A143" s="32" t="s">
        <v>98</v>
      </c>
      <c r="B143" s="32" t="str">
        <f>_xlfn.IFNA(INDEX(nameStd[EIW],MATCH(Table2[[#This Row],[Name]],nameStd[Salary],0)),Table2[[#This Row],[Name]])</f>
        <v>Munger Tolles</v>
      </c>
      <c r="C143" s="33" t="s">
        <v>5</v>
      </c>
      <c r="D143" s="33" t="s">
        <v>6</v>
      </c>
      <c r="E143" s="34">
        <v>42530</v>
      </c>
      <c r="F143" s="33" t="s">
        <v>11</v>
      </c>
      <c r="G143" s="33" t="s">
        <v>8</v>
      </c>
      <c r="H143" s="33" t="s">
        <v>99</v>
      </c>
    </row>
    <row r="144" spans="1:8" ht="30">
      <c r="A144" s="15" t="s">
        <v>98</v>
      </c>
      <c r="B144" s="15" t="str">
        <f>_xlfn.IFNA(INDEX(nameStd[EIW],MATCH(Table2[[#This Row],[Name]],nameStd[Salary],0)),Table2[[#This Row],[Name]])</f>
        <v>Munger Tolles</v>
      </c>
      <c r="C144" s="33" t="s">
        <v>5</v>
      </c>
      <c r="D144" s="33" t="s">
        <v>6</v>
      </c>
      <c r="E144" s="34">
        <v>42530</v>
      </c>
      <c r="F144" s="33" t="s">
        <v>49</v>
      </c>
      <c r="G144" s="33" t="s">
        <v>8</v>
      </c>
      <c r="H144" s="33" t="s">
        <v>99</v>
      </c>
    </row>
    <row r="145" spans="1:8" ht="30">
      <c r="A145" s="32" t="s">
        <v>100</v>
      </c>
      <c r="B145" s="32" t="str">
        <f>_xlfn.IFNA(INDEX(nameStd[EIW],MATCH(Table2[[#This Row],[Name]],nameStd[Salary],0)),Table2[[#This Row],[Name]])</f>
        <v>Proskauer Rose</v>
      </c>
      <c r="C145" s="33" t="s">
        <v>5</v>
      </c>
      <c r="D145" s="33" t="s">
        <v>6</v>
      </c>
      <c r="E145" s="34">
        <v>42530</v>
      </c>
      <c r="F145" s="33" t="s">
        <v>28</v>
      </c>
      <c r="G145" s="33" t="s">
        <v>16</v>
      </c>
      <c r="H145" s="33" t="s">
        <v>101</v>
      </c>
    </row>
    <row r="146" spans="1:8" ht="30">
      <c r="A146" s="15" t="s">
        <v>100</v>
      </c>
      <c r="B146" s="15" t="str">
        <f>_xlfn.IFNA(INDEX(nameStd[EIW],MATCH(Table2[[#This Row],[Name]],nameStd[Salary],0)),Table2[[#This Row],[Name]])</f>
        <v>Proskauer Rose</v>
      </c>
      <c r="C146" s="33" t="s">
        <v>5</v>
      </c>
      <c r="D146" s="33" t="s">
        <v>6</v>
      </c>
      <c r="E146" s="34">
        <v>42530</v>
      </c>
      <c r="F146" s="33" t="s">
        <v>48</v>
      </c>
      <c r="G146" s="33" t="s">
        <v>16</v>
      </c>
      <c r="H146" s="33" t="s">
        <v>101</v>
      </c>
    </row>
    <row r="147" spans="1:8" ht="30">
      <c r="A147" s="15" t="s">
        <v>100</v>
      </c>
      <c r="B147" s="15" t="str">
        <f>_xlfn.IFNA(INDEX(nameStd[EIW],MATCH(Table2[[#This Row],[Name]],nameStd[Salary],0)),Table2[[#This Row],[Name]])</f>
        <v>Proskauer Rose</v>
      </c>
      <c r="C147" s="33" t="s">
        <v>5</v>
      </c>
      <c r="D147" s="33" t="s">
        <v>6</v>
      </c>
      <c r="E147" s="34">
        <v>42530</v>
      </c>
      <c r="F147" s="33" t="s">
        <v>11</v>
      </c>
      <c r="G147" s="33" t="s">
        <v>16</v>
      </c>
      <c r="H147" s="33" t="s">
        <v>101</v>
      </c>
    </row>
    <row r="148" spans="1:8" ht="30">
      <c r="A148" s="33" t="s">
        <v>100</v>
      </c>
      <c r="B148" s="33" t="str">
        <f>_xlfn.IFNA(INDEX(nameStd[EIW],MATCH(Table2[[#This Row],[Name]],nameStd[Salary],0)),Table2[[#This Row],[Name]])</f>
        <v>Proskauer Rose</v>
      </c>
      <c r="C148" s="33" t="s">
        <v>5</v>
      </c>
      <c r="D148" s="33" t="s">
        <v>6</v>
      </c>
      <c r="E148" s="34">
        <v>42530</v>
      </c>
      <c r="F148" s="33" t="s">
        <v>7</v>
      </c>
      <c r="G148" s="33" t="s">
        <v>16</v>
      </c>
      <c r="H148" s="33" t="s">
        <v>101</v>
      </c>
    </row>
    <row r="149" spans="1:8" ht="30">
      <c r="A149" s="33" t="s">
        <v>100</v>
      </c>
      <c r="B149" s="33" t="str">
        <f>_xlfn.IFNA(INDEX(nameStd[EIW],MATCH(Table2[[#This Row],[Name]],nameStd[Salary],0)),Table2[[#This Row],[Name]])</f>
        <v>Proskauer Rose</v>
      </c>
      <c r="C149" s="33" t="s">
        <v>5</v>
      </c>
      <c r="D149" s="33" t="s">
        <v>6</v>
      </c>
      <c r="E149" s="34">
        <v>42530</v>
      </c>
      <c r="F149" s="33" t="s">
        <v>15</v>
      </c>
      <c r="G149" s="33" t="s">
        <v>16</v>
      </c>
      <c r="H149" s="33" t="s">
        <v>101</v>
      </c>
    </row>
    <row r="150" spans="1:8" ht="30">
      <c r="A150" s="32" t="s">
        <v>102</v>
      </c>
      <c r="B150" s="32" t="str">
        <f>_xlfn.IFNA(INDEX(nameStd[EIW],MATCH(Table2[[#This Row],[Name]],nameStd[Salary],0)),Table2[[#This Row],[Name]])</f>
        <v>O'Melveny &amp; Myers</v>
      </c>
      <c r="C150" s="33" t="s">
        <v>5</v>
      </c>
      <c r="D150" s="33" t="s">
        <v>6</v>
      </c>
      <c r="E150" s="34">
        <v>42530</v>
      </c>
      <c r="F150" s="33" t="s">
        <v>90</v>
      </c>
      <c r="G150" s="33" t="s">
        <v>8</v>
      </c>
      <c r="H150" s="33" t="s">
        <v>103</v>
      </c>
    </row>
    <row r="151" spans="1:8" ht="30">
      <c r="A151" s="15" t="s">
        <v>102</v>
      </c>
      <c r="B151" s="15" t="str">
        <f>_xlfn.IFNA(INDEX(nameStd[EIW],MATCH(Table2[[#This Row],[Name]],nameStd[Salary],0)),Table2[[#This Row],[Name]])</f>
        <v>O'Melveny &amp; Myers</v>
      </c>
      <c r="C151" s="33" t="s">
        <v>5</v>
      </c>
      <c r="D151" s="33" t="s">
        <v>6</v>
      </c>
      <c r="E151" s="34">
        <v>42530</v>
      </c>
      <c r="F151" s="33" t="s">
        <v>11</v>
      </c>
      <c r="G151" s="33" t="s">
        <v>8</v>
      </c>
      <c r="H151" s="33" t="s">
        <v>103</v>
      </c>
    </row>
    <row r="152" spans="1:8" ht="30">
      <c r="A152" s="15" t="s">
        <v>102</v>
      </c>
      <c r="B152" s="15" t="str">
        <f>_xlfn.IFNA(INDEX(nameStd[EIW],MATCH(Table2[[#This Row],[Name]],nameStd[Salary],0)),Table2[[#This Row],[Name]])</f>
        <v>O'Melveny &amp; Myers</v>
      </c>
      <c r="C152" s="33" t="s">
        <v>5</v>
      </c>
      <c r="D152" s="33" t="s">
        <v>6</v>
      </c>
      <c r="E152" s="34">
        <v>42530</v>
      </c>
      <c r="F152" s="33" t="s">
        <v>12</v>
      </c>
      <c r="G152" s="33" t="s">
        <v>8</v>
      </c>
      <c r="H152" s="33" t="s">
        <v>103</v>
      </c>
    </row>
    <row r="153" spans="1:8" ht="30">
      <c r="A153" s="33" t="s">
        <v>102</v>
      </c>
      <c r="B153" s="33" t="str">
        <f>_xlfn.IFNA(INDEX(nameStd[EIW],MATCH(Table2[[#This Row],[Name]],nameStd[Salary],0)),Table2[[#This Row],[Name]])</f>
        <v>O'Melveny &amp; Myers</v>
      </c>
      <c r="C153" s="33" t="s">
        <v>5</v>
      </c>
      <c r="D153" s="33" t="s">
        <v>6</v>
      </c>
      <c r="E153" s="34">
        <v>42530</v>
      </c>
      <c r="F153" s="33" t="s">
        <v>49</v>
      </c>
      <c r="G153" s="33" t="s">
        <v>8</v>
      </c>
      <c r="H153" s="33" t="s">
        <v>103</v>
      </c>
    </row>
    <row r="154" spans="1:8" ht="30">
      <c r="A154" s="33" t="s">
        <v>102</v>
      </c>
      <c r="B154" s="33" t="str">
        <f>_xlfn.IFNA(INDEX(nameStd[EIW],MATCH(Table2[[#This Row],[Name]],nameStd[Salary],0)),Table2[[#This Row],[Name]])</f>
        <v>O'Melveny &amp; Myers</v>
      </c>
      <c r="C154" s="33" t="s">
        <v>5</v>
      </c>
      <c r="D154" s="33" t="s">
        <v>6</v>
      </c>
      <c r="E154" s="34">
        <v>42530</v>
      </c>
      <c r="F154" s="33" t="s">
        <v>54</v>
      </c>
      <c r="G154" s="33" t="s">
        <v>8</v>
      </c>
      <c r="H154" s="33" t="s">
        <v>103</v>
      </c>
    </row>
    <row r="155" spans="1:8" ht="30">
      <c r="A155" s="33" t="s">
        <v>102</v>
      </c>
      <c r="B155" s="33" t="str">
        <f>_xlfn.IFNA(INDEX(nameStd[EIW],MATCH(Table2[[#This Row],[Name]],nameStd[Salary],0)),Table2[[#This Row],[Name]])</f>
        <v>O'Melveny &amp; Myers</v>
      </c>
      <c r="C155" s="33" t="s">
        <v>5</v>
      </c>
      <c r="D155" s="33" t="s">
        <v>6</v>
      </c>
      <c r="E155" s="34">
        <v>42530</v>
      </c>
      <c r="F155" s="33" t="s">
        <v>7</v>
      </c>
      <c r="G155" s="33" t="s">
        <v>8</v>
      </c>
      <c r="H155" s="33" t="s">
        <v>103</v>
      </c>
    </row>
    <row r="156" spans="1:8" ht="30">
      <c r="A156" s="33" t="s">
        <v>102</v>
      </c>
      <c r="B156" s="33" t="str">
        <f>_xlfn.IFNA(INDEX(nameStd[EIW],MATCH(Table2[[#This Row],[Name]],nameStd[Salary],0)),Table2[[#This Row],[Name]])</f>
        <v>O'Melveny &amp; Myers</v>
      </c>
      <c r="C156" s="33" t="s">
        <v>5</v>
      </c>
      <c r="D156" s="33" t="s">
        <v>6</v>
      </c>
      <c r="E156" s="34">
        <v>42530</v>
      </c>
      <c r="F156" s="33" t="s">
        <v>15</v>
      </c>
      <c r="G156" s="33" t="s">
        <v>8</v>
      </c>
      <c r="H156" s="33" t="s">
        <v>103</v>
      </c>
    </row>
    <row r="157" spans="1:8" ht="30">
      <c r="A157" s="32" t="s">
        <v>104</v>
      </c>
      <c r="B157" s="32" t="str">
        <f>_xlfn.IFNA(INDEX(nameStd[EIW],MATCH(Table2[[#This Row],[Name]],nameStd[Salary],0)),Table2[[#This Row],[Name]])</f>
        <v>McKool Smith</v>
      </c>
      <c r="C157" s="33" t="s">
        <v>5</v>
      </c>
      <c r="D157" s="33" t="s">
        <v>6</v>
      </c>
      <c r="E157" s="34">
        <v>42530</v>
      </c>
      <c r="F157" s="33" t="s">
        <v>87</v>
      </c>
      <c r="G157" s="33" t="s">
        <v>8</v>
      </c>
      <c r="H157" s="33" t="s">
        <v>13</v>
      </c>
    </row>
    <row r="158" spans="1:8" ht="30">
      <c r="A158" s="15" t="s">
        <v>104</v>
      </c>
      <c r="B158" s="15" t="str">
        <f>_xlfn.IFNA(INDEX(nameStd[EIW],MATCH(Table2[[#This Row],[Name]],nameStd[Salary],0)),Table2[[#This Row],[Name]])</f>
        <v>McKool Smith</v>
      </c>
      <c r="C158" s="33" t="s">
        <v>5</v>
      </c>
      <c r="D158" s="33" t="s">
        <v>6</v>
      </c>
      <c r="E158" s="34">
        <v>42530</v>
      </c>
      <c r="F158" s="33" t="s">
        <v>29</v>
      </c>
      <c r="G158" s="33" t="s">
        <v>8</v>
      </c>
      <c r="H158" s="33" t="s">
        <v>13</v>
      </c>
    </row>
    <row r="159" spans="1:8" ht="30">
      <c r="A159" s="15" t="s">
        <v>104</v>
      </c>
      <c r="B159" s="15" t="str">
        <f>_xlfn.IFNA(INDEX(nameStd[EIW],MATCH(Table2[[#This Row],[Name]],nameStd[Salary],0)),Table2[[#This Row],[Name]])</f>
        <v>McKool Smith</v>
      </c>
      <c r="C159" s="33" t="s">
        <v>5</v>
      </c>
      <c r="D159" s="33" t="s">
        <v>6</v>
      </c>
      <c r="E159" s="34">
        <v>42530</v>
      </c>
      <c r="F159" s="33" t="s">
        <v>30</v>
      </c>
      <c r="G159" s="33" t="s">
        <v>8</v>
      </c>
      <c r="H159" s="33" t="s">
        <v>13</v>
      </c>
    </row>
    <row r="160" spans="1:8" ht="30">
      <c r="A160" s="33" t="s">
        <v>104</v>
      </c>
      <c r="B160" s="33" t="str">
        <f>_xlfn.IFNA(INDEX(nameStd[EIW],MATCH(Table2[[#This Row],[Name]],nameStd[Salary],0)),Table2[[#This Row],[Name]])</f>
        <v>McKool Smith</v>
      </c>
      <c r="C160" s="33" t="s">
        <v>5</v>
      </c>
      <c r="D160" s="33" t="s">
        <v>6</v>
      </c>
      <c r="E160" s="34">
        <v>42530</v>
      </c>
      <c r="F160" s="33" t="s">
        <v>105</v>
      </c>
      <c r="G160" s="33" t="s">
        <v>8</v>
      </c>
      <c r="H160" s="33" t="s">
        <v>13</v>
      </c>
    </row>
    <row r="161" spans="1:8" ht="30">
      <c r="A161" s="33" t="s">
        <v>104</v>
      </c>
      <c r="B161" s="33" t="str">
        <f>_xlfn.IFNA(INDEX(nameStd[EIW],MATCH(Table2[[#This Row],[Name]],nameStd[Salary],0)),Table2[[#This Row],[Name]])</f>
        <v>McKool Smith</v>
      </c>
      <c r="C161" s="33" t="s">
        <v>5</v>
      </c>
      <c r="D161" s="33" t="s">
        <v>6</v>
      </c>
      <c r="E161" s="34">
        <v>42530</v>
      </c>
      <c r="F161" s="33" t="s">
        <v>11</v>
      </c>
      <c r="G161" s="33" t="s">
        <v>8</v>
      </c>
      <c r="H161" s="33" t="s">
        <v>13</v>
      </c>
    </row>
    <row r="162" spans="1:8" ht="30">
      <c r="A162" s="33" t="s">
        <v>104</v>
      </c>
      <c r="B162" s="33" t="str">
        <f>_xlfn.IFNA(INDEX(nameStd[EIW],MATCH(Table2[[#This Row],[Name]],nameStd[Salary],0)),Table2[[#This Row],[Name]])</f>
        <v>McKool Smith</v>
      </c>
      <c r="C162" s="33" t="s">
        <v>5</v>
      </c>
      <c r="D162" s="33" t="s">
        <v>6</v>
      </c>
      <c r="E162" s="34">
        <v>42530</v>
      </c>
      <c r="F162" s="33" t="s">
        <v>34</v>
      </c>
      <c r="G162" s="33" t="s">
        <v>8</v>
      </c>
      <c r="H162" s="33" t="s">
        <v>13</v>
      </c>
    </row>
    <row r="163" spans="1:8" ht="30">
      <c r="A163" s="33" t="s">
        <v>104</v>
      </c>
      <c r="B163" s="33" t="str">
        <f>_xlfn.IFNA(INDEX(nameStd[EIW],MATCH(Table2[[#This Row],[Name]],nameStd[Salary],0)),Table2[[#This Row],[Name]])</f>
        <v>McKool Smith</v>
      </c>
      <c r="C163" s="33" t="s">
        <v>5</v>
      </c>
      <c r="D163" s="33" t="s">
        <v>6</v>
      </c>
      <c r="E163" s="34">
        <v>42530</v>
      </c>
      <c r="F163" s="33" t="s">
        <v>7</v>
      </c>
      <c r="G163" s="33" t="s">
        <v>8</v>
      </c>
      <c r="H163" s="33" t="s">
        <v>13</v>
      </c>
    </row>
    <row r="164" spans="1:8" ht="30">
      <c r="A164" s="33" t="s">
        <v>104</v>
      </c>
      <c r="B164" s="33" t="str">
        <f>_xlfn.IFNA(INDEX(nameStd[EIW],MATCH(Table2[[#This Row],[Name]],nameStd[Salary],0)),Table2[[#This Row],[Name]])</f>
        <v>McKool Smith</v>
      </c>
      <c r="C164" s="33" t="s">
        <v>5</v>
      </c>
      <c r="D164" s="33" t="s">
        <v>107</v>
      </c>
      <c r="E164" s="34">
        <v>42530</v>
      </c>
      <c r="F164" s="33" t="s">
        <v>15</v>
      </c>
      <c r="G164" s="33" t="s">
        <v>8</v>
      </c>
      <c r="H164" s="33" t="s">
        <v>13</v>
      </c>
    </row>
    <row r="165" spans="1:8" ht="30">
      <c r="A165" s="32" t="s">
        <v>106</v>
      </c>
      <c r="B165" s="32" t="str">
        <f>_xlfn.IFNA(INDEX(nameStd[EIW],MATCH(Table2[[#This Row],[Name]],nameStd[Salary],0)),Table2[[#This Row],[Name]])</f>
        <v>Fenwick &amp; West</v>
      </c>
      <c r="C165" s="32" t="s">
        <v>293</v>
      </c>
      <c r="D165" s="33" t="s">
        <v>108</v>
      </c>
      <c r="E165" s="34">
        <v>42530</v>
      </c>
      <c r="F165" s="33" t="s">
        <v>109</v>
      </c>
      <c r="G165" s="33" t="s">
        <v>8</v>
      </c>
      <c r="H165" s="33" t="s">
        <v>110</v>
      </c>
    </row>
    <row r="166" spans="1:8" ht="30">
      <c r="A166" s="15" t="s">
        <v>106</v>
      </c>
      <c r="B166" s="15" t="str">
        <f>_xlfn.IFNA(INDEX(nameStd[EIW],MATCH(Table2[[#This Row],[Name]],nameStd[Salary],0)),Table2[[#This Row],[Name]])</f>
        <v>Fenwick &amp; West</v>
      </c>
      <c r="C166" s="33" t="s">
        <v>293</v>
      </c>
      <c r="D166" s="33" t="s">
        <v>108</v>
      </c>
      <c r="E166" s="34">
        <v>42530</v>
      </c>
      <c r="F166" s="33" t="s">
        <v>49</v>
      </c>
      <c r="G166" s="33" t="s">
        <v>8</v>
      </c>
      <c r="H166" s="33" t="s">
        <v>110</v>
      </c>
    </row>
    <row r="167" spans="1:8" ht="30">
      <c r="A167" s="15" t="s">
        <v>106</v>
      </c>
      <c r="B167" s="15" t="str">
        <f>_xlfn.IFNA(INDEX(nameStd[EIW],MATCH(Table2[[#This Row],[Name]],nameStd[Salary],0)),Table2[[#This Row],[Name]])</f>
        <v>Fenwick &amp; West</v>
      </c>
      <c r="C167" s="33" t="s">
        <v>293</v>
      </c>
      <c r="D167" s="33" t="s">
        <v>108</v>
      </c>
      <c r="E167" s="34">
        <v>42530</v>
      </c>
      <c r="F167" s="33" t="s">
        <v>50</v>
      </c>
      <c r="G167" s="33" t="s">
        <v>8</v>
      </c>
      <c r="H167" s="33" t="s">
        <v>110</v>
      </c>
    </row>
    <row r="168" spans="1:8" ht="30">
      <c r="A168" s="33" t="s">
        <v>106</v>
      </c>
      <c r="B168" s="33" t="str">
        <f>_xlfn.IFNA(INDEX(nameStd[EIW],MATCH(Table2[[#This Row],[Name]],nameStd[Salary],0)),Table2[[#This Row],[Name]])</f>
        <v>Fenwick &amp; West</v>
      </c>
      <c r="C168" s="33" t="s">
        <v>293</v>
      </c>
      <c r="D168" s="33" t="s">
        <v>108</v>
      </c>
      <c r="E168" s="34">
        <v>42530</v>
      </c>
      <c r="F168" s="33" t="s">
        <v>93</v>
      </c>
      <c r="G168" s="33" t="s">
        <v>8</v>
      </c>
      <c r="H168" s="33" t="s">
        <v>110</v>
      </c>
    </row>
    <row r="169" spans="1:8" ht="12" customHeight="1">
      <c r="A169" s="32" t="s">
        <v>111</v>
      </c>
      <c r="B169" s="32" t="str">
        <f>_xlfn.IFNA(INDEX(nameStd[EIW],MATCH(Table2[[#This Row],[Name]],nameStd[Salary],0)),Table2[[#This Row],[Name]])</f>
        <v>Yetter Coleman</v>
      </c>
      <c r="C169" s="33" t="s">
        <v>5</v>
      </c>
      <c r="D169" s="33" t="s">
        <v>6</v>
      </c>
      <c r="E169" s="34">
        <v>42530</v>
      </c>
      <c r="F169" s="33" t="s">
        <v>30</v>
      </c>
      <c r="G169" s="33" t="s">
        <v>8</v>
      </c>
      <c r="H169" s="33" t="s">
        <v>13</v>
      </c>
    </row>
    <row r="170" spans="1:8" ht="12" customHeight="1">
      <c r="A170" s="32" t="s">
        <v>112</v>
      </c>
      <c r="B170" s="32" t="str">
        <f>_xlfn.IFNA(INDEX(nameStd[EIW],MATCH(Table2[[#This Row],[Name]],nameStd[Salary],0)),Table2[[#This Row],[Name]])</f>
        <v>Desmarais</v>
      </c>
      <c r="C170" s="33" t="s">
        <v>113</v>
      </c>
      <c r="D170" s="33" t="s">
        <v>114</v>
      </c>
      <c r="E170" s="34">
        <v>42531</v>
      </c>
      <c r="F170" s="33" t="s">
        <v>7</v>
      </c>
      <c r="G170" s="33" t="s">
        <v>16</v>
      </c>
      <c r="H170" s="33" t="s">
        <v>13</v>
      </c>
    </row>
    <row r="171" spans="1:8" ht="30">
      <c r="A171" s="32" t="s">
        <v>115</v>
      </c>
      <c r="B171" s="32" t="str">
        <f>_xlfn.IFNA(INDEX(nameStd[EIW],MATCH(Table2[[#This Row],[Name]],nameStd[Salary],0)),Table2[[#This Row],[Name]])</f>
        <v>Brown Rudnick</v>
      </c>
      <c r="C171" s="33" t="s">
        <v>5</v>
      </c>
      <c r="D171" s="33" t="s">
        <v>116</v>
      </c>
      <c r="E171" s="34">
        <v>42531</v>
      </c>
      <c r="F171" s="33" t="s">
        <v>7</v>
      </c>
      <c r="G171" s="33" t="s">
        <v>16</v>
      </c>
      <c r="H171" s="33" t="s">
        <v>120</v>
      </c>
    </row>
    <row r="172" spans="1:8" ht="30">
      <c r="A172" s="15" t="s">
        <v>115</v>
      </c>
      <c r="B172" s="15" t="str">
        <f>_xlfn.IFNA(INDEX(nameStd[EIW],MATCH(Table2[[#This Row],[Name]],nameStd[Salary],0)),Table2[[#This Row],[Name]])</f>
        <v>Brown Rudnick</v>
      </c>
      <c r="C172" s="33" t="s">
        <v>5</v>
      </c>
      <c r="D172" s="33" t="s">
        <v>116</v>
      </c>
      <c r="E172" s="35" t="s">
        <v>117</v>
      </c>
      <c r="F172" s="33" t="s">
        <v>28</v>
      </c>
      <c r="G172" s="33" t="s">
        <v>16</v>
      </c>
      <c r="H172" s="33" t="s">
        <v>120</v>
      </c>
    </row>
    <row r="173" spans="1:8" ht="30">
      <c r="A173" s="15" t="s">
        <v>115</v>
      </c>
      <c r="B173" s="15" t="str">
        <f>_xlfn.IFNA(INDEX(nameStd[EIW],MATCH(Table2[[#This Row],[Name]],nameStd[Salary],0)),Table2[[#This Row],[Name]])</f>
        <v>Brown Rudnick</v>
      </c>
      <c r="C173" s="33" t="s">
        <v>5</v>
      </c>
      <c r="D173" s="33" t="s">
        <v>116</v>
      </c>
      <c r="E173" s="36" t="s">
        <v>117</v>
      </c>
      <c r="F173" s="33" t="s">
        <v>118</v>
      </c>
      <c r="G173" s="33" t="s">
        <v>16</v>
      </c>
      <c r="H173" s="33" t="s">
        <v>120</v>
      </c>
    </row>
    <row r="174" spans="1:8" ht="30">
      <c r="A174" s="33" t="s">
        <v>115</v>
      </c>
      <c r="B174" s="33" t="str">
        <f>_xlfn.IFNA(INDEX(nameStd[EIW],MATCH(Table2[[#This Row],[Name]],nameStd[Salary],0)),Table2[[#This Row],[Name]])</f>
        <v>Brown Rudnick</v>
      </c>
      <c r="C174" s="33" t="s">
        <v>5</v>
      </c>
      <c r="D174" s="33" t="s">
        <v>116</v>
      </c>
      <c r="E174" s="36" t="s">
        <v>117</v>
      </c>
      <c r="F174" s="33" t="s">
        <v>33</v>
      </c>
      <c r="G174" s="33" t="s">
        <v>16</v>
      </c>
      <c r="H174" s="33" t="s">
        <v>120</v>
      </c>
    </row>
    <row r="175" spans="1:8" ht="30">
      <c r="A175" s="33" t="s">
        <v>115</v>
      </c>
      <c r="B175" s="33" t="str">
        <f>_xlfn.IFNA(INDEX(nameStd[EIW],MATCH(Table2[[#This Row],[Name]],nameStd[Salary],0)),Table2[[#This Row],[Name]])</f>
        <v>Brown Rudnick</v>
      </c>
      <c r="C175" s="33" t="s">
        <v>5</v>
      </c>
      <c r="D175" s="33" t="s">
        <v>116</v>
      </c>
      <c r="E175" s="36" t="s">
        <v>117</v>
      </c>
      <c r="F175" s="33" t="s">
        <v>119</v>
      </c>
      <c r="G175" s="33" t="s">
        <v>16</v>
      </c>
      <c r="H175" s="33" t="s">
        <v>120</v>
      </c>
    </row>
    <row r="176" spans="1:8" ht="30">
      <c r="A176" s="33" t="s">
        <v>115</v>
      </c>
      <c r="B176" s="33" t="str">
        <f>_xlfn.IFNA(INDEX(nameStd[EIW],MATCH(Table2[[#This Row],[Name]],nameStd[Salary],0)),Table2[[#This Row],[Name]])</f>
        <v>Brown Rudnick</v>
      </c>
      <c r="C176" s="33" t="s">
        <v>5</v>
      </c>
      <c r="D176" s="33" t="s">
        <v>116</v>
      </c>
      <c r="E176" s="36" t="s">
        <v>117</v>
      </c>
      <c r="F176" s="33" t="s">
        <v>15</v>
      </c>
      <c r="G176" s="33" t="s">
        <v>16</v>
      </c>
      <c r="H176" s="33" t="s">
        <v>120</v>
      </c>
    </row>
    <row r="177" spans="1:8" ht="30">
      <c r="A177" s="32" t="s">
        <v>121</v>
      </c>
      <c r="B177" s="32" t="str">
        <f>_xlfn.IFNA(INDEX(nameStd[EIW],MATCH(Table2[[#This Row],[Name]],nameStd[Salary],0)),Table2[[#This Row],[Name]])</f>
        <v>Susman Godfrey</v>
      </c>
      <c r="C177" s="33" t="s">
        <v>122</v>
      </c>
      <c r="D177" s="33" t="s">
        <v>123</v>
      </c>
      <c r="E177" s="34">
        <v>42531</v>
      </c>
      <c r="F177" s="33" t="s">
        <v>30</v>
      </c>
      <c r="G177" s="33" t="s">
        <v>8</v>
      </c>
      <c r="H177" s="33" t="s">
        <v>13</v>
      </c>
    </row>
    <row r="178" spans="1:8" ht="30">
      <c r="A178" s="15" t="s">
        <v>121</v>
      </c>
      <c r="B178" s="15" t="str">
        <f>_xlfn.IFNA(INDEX(nameStd[EIW],MATCH(Table2[[#This Row],[Name]],nameStd[Salary],0)),Table2[[#This Row],[Name]])</f>
        <v>Susman Godfrey</v>
      </c>
      <c r="C178" s="33" t="s">
        <v>122</v>
      </c>
      <c r="D178" s="33" t="s">
        <v>123</v>
      </c>
      <c r="E178" s="34">
        <v>42531</v>
      </c>
      <c r="F178" s="33" t="s">
        <v>7</v>
      </c>
      <c r="G178" s="33" t="s">
        <v>8</v>
      </c>
      <c r="H178" s="33" t="s">
        <v>13</v>
      </c>
    </row>
    <row r="179" spans="1:8" ht="30">
      <c r="A179" s="15" t="s">
        <v>121</v>
      </c>
      <c r="B179" s="15" t="str">
        <f>_xlfn.IFNA(INDEX(nameStd[EIW],MATCH(Table2[[#This Row],[Name]],nameStd[Salary],0)),Table2[[#This Row],[Name]])</f>
        <v>Susman Godfrey</v>
      </c>
      <c r="C179" s="33" t="s">
        <v>122</v>
      </c>
      <c r="D179" s="33" t="s">
        <v>123</v>
      </c>
      <c r="E179" s="34">
        <v>42531</v>
      </c>
      <c r="F179" s="33" t="s">
        <v>11</v>
      </c>
      <c r="G179" s="33" t="s">
        <v>8</v>
      </c>
      <c r="H179" s="33" t="s">
        <v>13</v>
      </c>
    </row>
    <row r="180" spans="1:8" ht="30">
      <c r="A180" s="33" t="s">
        <v>121</v>
      </c>
      <c r="B180" s="33" t="str">
        <f>_xlfn.IFNA(INDEX(nameStd[EIW],MATCH(Table2[[#This Row],[Name]],nameStd[Salary],0)),Table2[[#This Row],[Name]])</f>
        <v>Susman Godfrey</v>
      </c>
      <c r="C180" s="33" t="s">
        <v>122</v>
      </c>
      <c r="D180" s="33" t="s">
        <v>123</v>
      </c>
      <c r="E180" s="34">
        <v>42531</v>
      </c>
      <c r="F180" s="33" t="s">
        <v>50</v>
      </c>
      <c r="G180" s="33" t="s">
        <v>8</v>
      </c>
      <c r="H180" s="33" t="s">
        <v>13</v>
      </c>
    </row>
    <row r="181" spans="1:8" ht="30">
      <c r="A181" s="32" t="s">
        <v>124</v>
      </c>
      <c r="B181" s="32" t="str">
        <f>_xlfn.IFNA(INDEX(nameStd[EIW],MATCH(Table2[[#This Row],[Name]],nameStd[Salary],0)),Table2[[#This Row],[Name]])</f>
        <v>White &amp; Case</v>
      </c>
      <c r="C181" s="33" t="s">
        <v>5</v>
      </c>
      <c r="D181" s="33" t="s">
        <v>6</v>
      </c>
      <c r="E181" s="34">
        <v>42531</v>
      </c>
      <c r="F181" s="33" t="s">
        <v>28</v>
      </c>
      <c r="G181" s="33" t="s">
        <v>16</v>
      </c>
      <c r="H181" s="33" t="s">
        <v>125</v>
      </c>
    </row>
    <row r="182" spans="1:8" ht="30">
      <c r="A182" s="15" t="s">
        <v>124</v>
      </c>
      <c r="B182" s="15" t="str">
        <f>_xlfn.IFNA(INDEX(nameStd[EIW],MATCH(Table2[[#This Row],[Name]],nameStd[Salary],0)),Table2[[#This Row],[Name]])</f>
        <v>White &amp; Case</v>
      </c>
      <c r="C182" s="33" t="s">
        <v>5</v>
      </c>
      <c r="D182" s="33" t="s">
        <v>6</v>
      </c>
      <c r="E182" s="34">
        <v>42531</v>
      </c>
      <c r="F182" s="33" t="s">
        <v>11</v>
      </c>
      <c r="G182" s="33" t="s">
        <v>16</v>
      </c>
      <c r="H182" s="33" t="s">
        <v>125</v>
      </c>
    </row>
    <row r="183" spans="1:8" ht="30">
      <c r="A183" s="15" t="s">
        <v>124</v>
      </c>
      <c r="B183" s="15" t="str">
        <f>_xlfn.IFNA(INDEX(nameStd[EIW],MATCH(Table2[[#This Row],[Name]],nameStd[Salary],0)),Table2[[#This Row],[Name]])</f>
        <v>White &amp; Case</v>
      </c>
      <c r="C183" s="33" t="s">
        <v>5</v>
      </c>
      <c r="D183" s="33" t="s">
        <v>6</v>
      </c>
      <c r="E183" s="34">
        <v>42531</v>
      </c>
      <c r="F183" s="33" t="s">
        <v>7</v>
      </c>
      <c r="G183" s="33" t="s">
        <v>16</v>
      </c>
      <c r="H183" s="33" t="s">
        <v>125</v>
      </c>
    </row>
    <row r="184" spans="1:8" ht="30">
      <c r="A184" s="33" t="s">
        <v>124</v>
      </c>
      <c r="B184" s="33" t="str">
        <f>_xlfn.IFNA(INDEX(nameStd[EIW],MATCH(Table2[[#This Row],[Name]],nameStd[Salary],0)),Table2[[#This Row],[Name]])</f>
        <v>White &amp; Case</v>
      </c>
      <c r="C184" s="33" t="s">
        <v>5</v>
      </c>
      <c r="D184" s="33" t="s">
        <v>6</v>
      </c>
      <c r="E184" s="34">
        <v>42531</v>
      </c>
      <c r="F184" s="33" t="s">
        <v>40</v>
      </c>
      <c r="G184" s="33" t="s">
        <v>16</v>
      </c>
      <c r="H184" s="33" t="s">
        <v>125</v>
      </c>
    </row>
    <row r="185" spans="1:8" ht="30">
      <c r="A185" s="33" t="s">
        <v>124</v>
      </c>
      <c r="B185" s="33" t="str">
        <f>_xlfn.IFNA(INDEX(nameStd[EIW],MATCH(Table2[[#This Row],[Name]],nameStd[Salary],0)),Table2[[#This Row],[Name]])</f>
        <v>White &amp; Case</v>
      </c>
      <c r="C185" s="33" t="s">
        <v>5</v>
      </c>
      <c r="D185" s="33" t="s">
        <v>6</v>
      </c>
      <c r="E185" s="34">
        <v>42531</v>
      </c>
      <c r="F185" s="33" t="s">
        <v>15</v>
      </c>
      <c r="G185" s="33" t="s">
        <v>16</v>
      </c>
      <c r="H185" s="33" t="s">
        <v>125</v>
      </c>
    </row>
    <row r="186" spans="1:8" ht="30">
      <c r="A186" s="32" t="s">
        <v>126</v>
      </c>
      <c r="B186" s="32" t="str">
        <f>_xlfn.IFNA(INDEX(nameStd[EIW],MATCH(Table2[[#This Row],[Name]],nameStd[Salary],0)),Table2[[#This Row],[Name]])</f>
        <v>Shearman &amp; Sterling</v>
      </c>
      <c r="C186" s="33" t="s">
        <v>5</v>
      </c>
      <c r="D186" s="33" t="s">
        <v>19</v>
      </c>
      <c r="E186" s="34">
        <v>42531</v>
      </c>
      <c r="F186" s="33" t="s">
        <v>54</v>
      </c>
      <c r="G186" s="33" t="s">
        <v>16</v>
      </c>
      <c r="H186" s="33" t="s">
        <v>127</v>
      </c>
    </row>
    <row r="187" spans="1:8" ht="30">
      <c r="A187" s="15" t="s">
        <v>126</v>
      </c>
      <c r="B187" s="15" t="str">
        <f>_xlfn.IFNA(INDEX(nameStd[EIW],MATCH(Table2[[#This Row],[Name]],nameStd[Salary],0)),Table2[[#This Row],[Name]])</f>
        <v>Shearman &amp; Sterling</v>
      </c>
      <c r="C187" s="33" t="s">
        <v>5</v>
      </c>
      <c r="D187" s="33" t="s">
        <v>19</v>
      </c>
      <c r="E187" s="34">
        <v>42531</v>
      </c>
      <c r="F187" s="33" t="s">
        <v>49</v>
      </c>
      <c r="G187" s="33" t="s">
        <v>16</v>
      </c>
      <c r="H187" s="33" t="s">
        <v>127</v>
      </c>
    </row>
    <row r="188" spans="1:8" ht="30">
      <c r="A188" s="15" t="s">
        <v>126</v>
      </c>
      <c r="B188" s="15" t="str">
        <f>_xlfn.IFNA(INDEX(nameStd[EIW],MATCH(Table2[[#This Row],[Name]],nameStd[Salary],0)),Table2[[#This Row],[Name]])</f>
        <v>Shearman &amp; Sterling</v>
      </c>
      <c r="C188" s="33" t="s">
        <v>5</v>
      </c>
      <c r="D188" s="33" t="s">
        <v>19</v>
      </c>
      <c r="E188" s="34">
        <v>42531</v>
      </c>
      <c r="F188" s="33" t="s">
        <v>7</v>
      </c>
      <c r="G188" s="33" t="s">
        <v>16</v>
      </c>
      <c r="H188" s="33" t="s">
        <v>127</v>
      </c>
    </row>
    <row r="189" spans="1:8" ht="30">
      <c r="A189" s="33" t="s">
        <v>126</v>
      </c>
      <c r="B189" s="33" t="str">
        <f>_xlfn.IFNA(INDEX(nameStd[EIW],MATCH(Table2[[#This Row],[Name]],nameStd[Salary],0)),Table2[[#This Row],[Name]])</f>
        <v>Shearman &amp; Sterling</v>
      </c>
      <c r="C189" s="33" t="s">
        <v>5</v>
      </c>
      <c r="D189" s="33" t="s">
        <v>129</v>
      </c>
      <c r="E189" s="34">
        <v>42531</v>
      </c>
      <c r="F189" s="33" t="s">
        <v>15</v>
      </c>
      <c r="G189" s="33" t="s">
        <v>16</v>
      </c>
      <c r="H189" s="33" t="s">
        <v>127</v>
      </c>
    </row>
    <row r="190" spans="1:8" ht="15">
      <c r="A190" s="32" t="s">
        <v>128</v>
      </c>
      <c r="B190" s="32" t="str">
        <f>_xlfn.IFNA(INDEX(nameStd[EIW],MATCH(Table2[[#This Row],[Name]],nameStd[Salary],0)),Table2[[#This Row],[Name]])</f>
        <v>Baker Botts</v>
      </c>
      <c r="C190" s="32" t="s">
        <v>293</v>
      </c>
      <c r="D190" s="33" t="s">
        <v>130</v>
      </c>
      <c r="E190" s="34">
        <v>42532</v>
      </c>
      <c r="F190" s="33" t="s">
        <v>87</v>
      </c>
      <c r="G190" s="33" t="s">
        <v>16</v>
      </c>
      <c r="H190" s="33" t="s">
        <v>56</v>
      </c>
    </row>
    <row r="191" spans="1:8" ht="15">
      <c r="A191" s="15" t="s">
        <v>128</v>
      </c>
      <c r="B191" s="15" t="str">
        <f>_xlfn.IFNA(INDEX(nameStd[EIW],MATCH(Table2[[#This Row],[Name]],nameStd[Salary],0)),Table2[[#This Row],[Name]])</f>
        <v>Baker Botts</v>
      </c>
      <c r="C191" s="33" t="s">
        <v>293</v>
      </c>
      <c r="D191" s="33" t="s">
        <v>130</v>
      </c>
      <c r="E191" s="34">
        <v>42532</v>
      </c>
      <c r="F191" s="33" t="s">
        <v>29</v>
      </c>
      <c r="G191" s="33" t="s">
        <v>16</v>
      </c>
      <c r="H191" s="33" t="s">
        <v>56</v>
      </c>
    </row>
    <row r="192" spans="1:8" ht="15">
      <c r="A192" s="15" t="s">
        <v>128</v>
      </c>
      <c r="B192" s="15" t="str">
        <f>_xlfn.IFNA(INDEX(nameStd[EIW],MATCH(Table2[[#This Row],[Name]],nameStd[Salary],0)),Table2[[#This Row],[Name]])</f>
        <v>Baker Botts</v>
      </c>
      <c r="C192" s="33" t="s">
        <v>293</v>
      </c>
      <c r="D192" s="33" t="s">
        <v>130</v>
      </c>
      <c r="E192" s="34">
        <v>42532</v>
      </c>
      <c r="F192" s="33" t="s">
        <v>30</v>
      </c>
      <c r="G192" s="33" t="s">
        <v>16</v>
      </c>
      <c r="H192" s="33" t="s">
        <v>56</v>
      </c>
    </row>
    <row r="193" spans="1:8" ht="15">
      <c r="A193" s="33" t="s">
        <v>128</v>
      </c>
      <c r="B193" s="33" t="str">
        <f>_xlfn.IFNA(INDEX(nameStd[EIW],MATCH(Table2[[#This Row],[Name]],nameStd[Salary],0)),Table2[[#This Row],[Name]])</f>
        <v>Baker Botts</v>
      </c>
      <c r="C193" s="33" t="s">
        <v>293</v>
      </c>
      <c r="D193" s="33" t="s">
        <v>130</v>
      </c>
      <c r="E193" s="34">
        <v>42532</v>
      </c>
      <c r="F193" s="33" t="s">
        <v>7</v>
      </c>
      <c r="G193" s="33" t="s">
        <v>16</v>
      </c>
      <c r="H193" s="33" t="s">
        <v>56</v>
      </c>
    </row>
    <row r="194" spans="1:8" ht="15">
      <c r="A194" s="33" t="s">
        <v>128</v>
      </c>
      <c r="B194" s="33" t="str">
        <f>_xlfn.IFNA(INDEX(nameStd[EIW],MATCH(Table2[[#This Row],[Name]],nameStd[Salary],0)),Table2[[#This Row],[Name]])</f>
        <v>Baker Botts</v>
      </c>
      <c r="C194" s="33" t="s">
        <v>293</v>
      </c>
      <c r="D194" s="33" t="s">
        <v>130</v>
      </c>
      <c r="E194" s="34">
        <v>42532</v>
      </c>
      <c r="F194" s="33" t="s">
        <v>40</v>
      </c>
      <c r="G194" s="33" t="s">
        <v>16</v>
      </c>
      <c r="H194" s="33" t="s">
        <v>56</v>
      </c>
    </row>
    <row r="195" spans="1:8" ht="30">
      <c r="A195" s="33" t="s">
        <v>128</v>
      </c>
      <c r="B195" s="33" t="str">
        <f>_xlfn.IFNA(INDEX(nameStd[EIW],MATCH(Table2[[#This Row],[Name]],nameStd[Salary],0)),Table2[[#This Row],[Name]])</f>
        <v>Baker Botts</v>
      </c>
      <c r="C195" s="33" t="s">
        <v>293</v>
      </c>
      <c r="D195" s="33" t="s">
        <v>130</v>
      </c>
      <c r="E195" s="34">
        <v>42532</v>
      </c>
      <c r="F195" s="33" t="s">
        <v>49</v>
      </c>
      <c r="G195" s="33" t="s">
        <v>16</v>
      </c>
      <c r="H195" s="33" t="s">
        <v>56</v>
      </c>
    </row>
    <row r="196" spans="1:8" ht="30">
      <c r="A196" s="33" t="s">
        <v>128</v>
      </c>
      <c r="B196" s="33" t="str">
        <f>_xlfn.IFNA(INDEX(nameStd[EIW],MATCH(Table2[[#This Row],[Name]],nameStd[Salary],0)),Table2[[#This Row],[Name]])</f>
        <v>Baker Botts</v>
      </c>
      <c r="C196" s="33" t="s">
        <v>293</v>
      </c>
      <c r="D196" s="37" t="s">
        <v>741</v>
      </c>
      <c r="E196" s="34">
        <v>42532</v>
      </c>
      <c r="F196" s="33" t="s">
        <v>15</v>
      </c>
      <c r="G196" s="33" t="s">
        <v>16</v>
      </c>
      <c r="H196" s="33" t="s">
        <v>56</v>
      </c>
    </row>
    <row r="197" spans="1:8" ht="30">
      <c r="A197" s="15" t="s">
        <v>131</v>
      </c>
      <c r="B197" s="15" t="str">
        <f>_xlfn.IFNA(INDEX(nameStd[EIW],MATCH(Table2[[#This Row],[Name]],nameStd[Salary],0)),Table2[[#This Row],[Name]])</f>
        <v>Locke Lord</v>
      </c>
      <c r="C197" s="33" t="s">
        <v>5</v>
      </c>
      <c r="D197" s="33" t="s">
        <v>132</v>
      </c>
      <c r="E197" s="34">
        <v>42534</v>
      </c>
      <c r="F197" s="33" t="s">
        <v>87</v>
      </c>
      <c r="G197" s="33" t="s">
        <v>8</v>
      </c>
      <c r="H197" s="33" t="s">
        <v>143</v>
      </c>
    </row>
    <row r="198" spans="1:8" ht="30">
      <c r="A198" s="15" t="s">
        <v>131</v>
      </c>
      <c r="B198" s="15" t="str">
        <f>_xlfn.IFNA(INDEX(nameStd[EIW],MATCH(Table2[[#This Row],[Name]],nameStd[Salary],0)),Table2[[#This Row],[Name]])</f>
        <v>Locke Lord</v>
      </c>
      <c r="C198" s="33" t="s">
        <v>5</v>
      </c>
      <c r="D198" s="33" t="s">
        <v>132</v>
      </c>
      <c r="E198" s="34">
        <v>42534</v>
      </c>
      <c r="F198" s="33" t="s">
        <v>29</v>
      </c>
      <c r="G198" s="33" t="s">
        <v>8</v>
      </c>
      <c r="H198" s="33" t="s">
        <v>143</v>
      </c>
    </row>
    <row r="199" spans="1:8" ht="30">
      <c r="A199" s="15" t="s">
        <v>131</v>
      </c>
      <c r="B199" s="15" t="str">
        <f>_xlfn.IFNA(INDEX(nameStd[EIW],MATCH(Table2[[#This Row],[Name]],nameStd[Salary],0)),Table2[[#This Row],[Name]])</f>
        <v>Locke Lord</v>
      </c>
      <c r="C199" s="33" t="s">
        <v>5</v>
      </c>
      <c r="D199" s="33" t="s">
        <v>132</v>
      </c>
      <c r="E199" s="34">
        <v>42534</v>
      </c>
      <c r="F199" s="33" t="s">
        <v>30</v>
      </c>
      <c r="G199" s="33" t="s">
        <v>8</v>
      </c>
      <c r="H199" s="33" t="s">
        <v>143</v>
      </c>
    </row>
    <row r="200" spans="1:8" ht="30">
      <c r="A200" s="15" t="s">
        <v>131</v>
      </c>
      <c r="B200" s="15" t="str">
        <f>_xlfn.IFNA(INDEX(nameStd[EIW],MATCH(Table2[[#This Row],[Name]],nameStd[Salary],0)),Table2[[#This Row],[Name]])</f>
        <v>Locke Lord</v>
      </c>
      <c r="C200" s="33" t="s">
        <v>5</v>
      </c>
      <c r="D200" s="33" t="s">
        <v>132</v>
      </c>
      <c r="E200" s="34">
        <v>42534</v>
      </c>
      <c r="F200" s="33" t="s">
        <v>28</v>
      </c>
      <c r="G200" s="33" t="s">
        <v>8</v>
      </c>
      <c r="H200" s="33" t="s">
        <v>143</v>
      </c>
    </row>
    <row r="201" spans="1:8" ht="30">
      <c r="A201" s="15" t="s">
        <v>131</v>
      </c>
      <c r="B201" s="15" t="str">
        <f>_xlfn.IFNA(INDEX(nameStd[EIW],MATCH(Table2[[#This Row],[Name]],nameStd[Salary],0)),Table2[[#This Row],[Name]])</f>
        <v>Locke Lord</v>
      </c>
      <c r="C201" s="33" t="s">
        <v>5</v>
      </c>
      <c r="D201" s="33" t="s">
        <v>132</v>
      </c>
      <c r="E201" s="34">
        <v>42534</v>
      </c>
      <c r="F201" s="33" t="s">
        <v>48</v>
      </c>
      <c r="G201" s="33" t="s">
        <v>8</v>
      </c>
      <c r="H201" s="33" t="s">
        <v>143</v>
      </c>
    </row>
    <row r="202" spans="1:8" ht="30">
      <c r="A202" s="15" t="s">
        <v>131</v>
      </c>
      <c r="B202" s="15" t="str">
        <f>_xlfn.IFNA(INDEX(nameStd[EIW],MATCH(Table2[[#This Row],[Name]],nameStd[Salary],0)),Table2[[#This Row],[Name]])</f>
        <v>Locke Lord</v>
      </c>
      <c r="C202" s="33" t="s">
        <v>5</v>
      </c>
      <c r="D202" s="33" t="s">
        <v>132</v>
      </c>
      <c r="E202" s="34">
        <v>42534</v>
      </c>
      <c r="F202" s="33" t="s">
        <v>11</v>
      </c>
      <c r="G202" s="33" t="s">
        <v>8</v>
      </c>
      <c r="H202" s="33" t="s">
        <v>143</v>
      </c>
    </row>
    <row r="203" spans="1:8" ht="30">
      <c r="A203" s="33" t="s">
        <v>131</v>
      </c>
      <c r="B203" s="33" t="str">
        <f>_xlfn.IFNA(INDEX(nameStd[EIW],MATCH(Table2[[#This Row],[Name]],nameStd[Salary],0)),Table2[[#This Row],[Name]])</f>
        <v>Locke Lord</v>
      </c>
      <c r="C203" s="33" t="s">
        <v>5</v>
      </c>
      <c r="D203" s="33" t="s">
        <v>132</v>
      </c>
      <c r="E203" s="34">
        <v>42534</v>
      </c>
      <c r="F203" s="33" t="s">
        <v>49</v>
      </c>
      <c r="G203" s="33" t="s">
        <v>8</v>
      </c>
      <c r="H203" s="33" t="s">
        <v>143</v>
      </c>
    </row>
    <row r="204" spans="1:8" ht="30">
      <c r="A204" s="33" t="s">
        <v>131</v>
      </c>
      <c r="B204" s="33" t="str">
        <f>_xlfn.IFNA(INDEX(nameStd[EIW],MATCH(Table2[[#This Row],[Name]],nameStd[Salary],0)),Table2[[#This Row],[Name]])</f>
        <v>Locke Lord</v>
      </c>
      <c r="C204" s="33" t="s">
        <v>5</v>
      </c>
      <c r="D204" s="33" t="s">
        <v>132</v>
      </c>
      <c r="E204" s="34">
        <v>42534</v>
      </c>
      <c r="F204" s="33" t="s">
        <v>7</v>
      </c>
      <c r="G204" s="33" t="s">
        <v>8</v>
      </c>
      <c r="H204" s="33" t="s">
        <v>143</v>
      </c>
    </row>
    <row r="205" spans="1:8" ht="30">
      <c r="A205" s="33" t="s">
        <v>131</v>
      </c>
      <c r="B205" s="33" t="str">
        <f>_xlfn.IFNA(INDEX(nameStd[EIW],MATCH(Table2[[#This Row],[Name]],nameStd[Salary],0)),Table2[[#This Row],[Name]])</f>
        <v>Locke Lord</v>
      </c>
      <c r="C205" s="33" t="s">
        <v>5</v>
      </c>
      <c r="D205" s="33" t="s">
        <v>132</v>
      </c>
      <c r="E205" s="34">
        <v>42534</v>
      </c>
      <c r="F205" s="33" t="s">
        <v>135</v>
      </c>
      <c r="G205" s="33" t="s">
        <v>8</v>
      </c>
      <c r="H205" s="33" t="s">
        <v>143</v>
      </c>
    </row>
    <row r="206" spans="1:8" ht="30">
      <c r="A206" s="33" t="s">
        <v>131</v>
      </c>
      <c r="B206" s="33" t="str">
        <f>_xlfn.IFNA(INDEX(nameStd[EIW],MATCH(Table2[[#This Row],[Name]],nameStd[Salary],0)),Table2[[#This Row],[Name]])</f>
        <v>Locke Lord</v>
      </c>
      <c r="C206" s="33" t="s">
        <v>5</v>
      </c>
      <c r="D206" s="33" t="s">
        <v>132</v>
      </c>
      <c r="E206" s="34">
        <v>42534</v>
      </c>
      <c r="F206" s="33" t="s">
        <v>15</v>
      </c>
      <c r="G206" s="33" t="s">
        <v>8</v>
      </c>
      <c r="H206" s="33" t="s">
        <v>143</v>
      </c>
    </row>
    <row r="207" spans="1:8" ht="30">
      <c r="A207" s="33" t="s">
        <v>131</v>
      </c>
      <c r="B207" s="33" t="str">
        <f>_xlfn.IFNA(INDEX(nameStd[EIW],MATCH(Table2[[#This Row],[Name]],nameStd[Salary],0)),Table2[[#This Row],[Name]])</f>
        <v>Locke Lord</v>
      </c>
      <c r="C207" s="33" t="s">
        <v>133</v>
      </c>
      <c r="D207" s="33" t="s">
        <v>134</v>
      </c>
      <c r="E207" s="34">
        <v>42534</v>
      </c>
      <c r="F207" s="33" t="s">
        <v>137</v>
      </c>
      <c r="G207" s="33" t="s">
        <v>8</v>
      </c>
      <c r="H207" s="33" t="s">
        <v>143</v>
      </c>
    </row>
    <row r="208" spans="1:8" ht="30">
      <c r="A208" s="33" t="s">
        <v>131</v>
      </c>
      <c r="B208" s="33" t="str">
        <f>_xlfn.IFNA(INDEX(nameStd[EIW],MATCH(Table2[[#This Row],[Name]],nameStd[Salary],0)),Table2[[#This Row],[Name]])</f>
        <v>Locke Lord</v>
      </c>
      <c r="C208" s="33" t="s">
        <v>133</v>
      </c>
      <c r="D208" s="33" t="s">
        <v>134</v>
      </c>
      <c r="E208" s="34">
        <v>42534</v>
      </c>
      <c r="F208" s="33" t="s">
        <v>138</v>
      </c>
      <c r="G208" s="33" t="s">
        <v>8</v>
      </c>
      <c r="H208" s="33" t="s">
        <v>143</v>
      </c>
    </row>
    <row r="209" spans="1:8" ht="30">
      <c r="A209" s="33" t="s">
        <v>131</v>
      </c>
      <c r="B209" s="33" t="str">
        <f>_xlfn.IFNA(INDEX(nameStd[EIW],MATCH(Table2[[#This Row],[Name]],nameStd[Salary],0)),Table2[[#This Row],[Name]])</f>
        <v>Locke Lord</v>
      </c>
      <c r="C209" s="33" t="s">
        <v>133</v>
      </c>
      <c r="D209" s="33" t="s">
        <v>134</v>
      </c>
      <c r="E209" s="34">
        <v>42534</v>
      </c>
      <c r="F209" s="33" t="s">
        <v>118</v>
      </c>
      <c r="G209" s="33" t="s">
        <v>8</v>
      </c>
      <c r="H209" s="33" t="s">
        <v>143</v>
      </c>
    </row>
    <row r="210" spans="1:8" ht="30">
      <c r="A210" s="33" t="s">
        <v>131</v>
      </c>
      <c r="B210" s="33" t="str">
        <f>_xlfn.IFNA(INDEX(nameStd[EIW],MATCH(Table2[[#This Row],[Name]],nameStd[Salary],0)),Table2[[#This Row],[Name]])</f>
        <v>Locke Lord</v>
      </c>
      <c r="C210" s="33" t="s">
        <v>133</v>
      </c>
      <c r="D210" s="33" t="s">
        <v>134</v>
      </c>
      <c r="E210" s="34">
        <v>42534</v>
      </c>
      <c r="F210" s="33" t="s">
        <v>31</v>
      </c>
      <c r="G210" s="33" t="s">
        <v>8</v>
      </c>
      <c r="H210" s="33" t="s">
        <v>143</v>
      </c>
    </row>
    <row r="211" spans="1:8" ht="30">
      <c r="A211" s="33" t="s">
        <v>131</v>
      </c>
      <c r="B211" s="33" t="str">
        <f>_xlfn.IFNA(INDEX(nameStd[EIW],MATCH(Table2[[#This Row],[Name]],nameStd[Salary],0)),Table2[[#This Row],[Name]])</f>
        <v>Locke Lord</v>
      </c>
      <c r="C211" s="33" t="s">
        <v>133</v>
      </c>
      <c r="D211" s="33" t="s">
        <v>134</v>
      </c>
      <c r="E211" s="34">
        <v>42534</v>
      </c>
      <c r="F211" s="33" t="s">
        <v>139</v>
      </c>
      <c r="G211" s="33" t="s">
        <v>8</v>
      </c>
      <c r="H211" s="33" t="s">
        <v>143</v>
      </c>
    </row>
    <row r="212" spans="1:8" ht="30">
      <c r="A212" s="33" t="s">
        <v>131</v>
      </c>
      <c r="B212" s="33" t="str">
        <f>_xlfn.IFNA(INDEX(nameStd[EIW],MATCH(Table2[[#This Row],[Name]],nameStd[Salary],0)),Table2[[#This Row],[Name]])</f>
        <v>Locke Lord</v>
      </c>
      <c r="C212" s="33" t="s">
        <v>133</v>
      </c>
      <c r="D212" s="33" t="s">
        <v>134</v>
      </c>
      <c r="E212" s="34">
        <v>42534</v>
      </c>
      <c r="F212" s="33" t="s">
        <v>140</v>
      </c>
      <c r="G212" s="33" t="s">
        <v>8</v>
      </c>
      <c r="H212" s="33" t="s">
        <v>143</v>
      </c>
    </row>
    <row r="213" spans="1:8" ht="30">
      <c r="A213" s="33" t="s">
        <v>131</v>
      </c>
      <c r="B213" s="33" t="str">
        <f>_xlfn.IFNA(INDEX(nameStd[EIW],MATCH(Table2[[#This Row],[Name]],nameStd[Salary],0)),Table2[[#This Row],[Name]])</f>
        <v>Locke Lord</v>
      </c>
      <c r="C213" s="33" t="s">
        <v>133</v>
      </c>
      <c r="D213" s="33" t="s">
        <v>134</v>
      </c>
      <c r="E213" s="34">
        <v>42534</v>
      </c>
      <c r="F213" s="33" t="s">
        <v>141</v>
      </c>
      <c r="G213" s="33" t="s">
        <v>8</v>
      </c>
      <c r="H213" s="33" t="s">
        <v>143</v>
      </c>
    </row>
    <row r="214" spans="1:8" ht="30">
      <c r="A214" s="33" t="s">
        <v>131</v>
      </c>
      <c r="B214" s="33" t="str">
        <f>_xlfn.IFNA(INDEX(nameStd[EIW],MATCH(Table2[[#This Row],[Name]],nameStd[Salary],0)),Table2[[#This Row],[Name]])</f>
        <v>Locke Lord</v>
      </c>
      <c r="C214" s="33" t="s">
        <v>133</v>
      </c>
      <c r="D214" s="33" t="s">
        <v>134</v>
      </c>
      <c r="E214" s="34">
        <v>42534</v>
      </c>
      <c r="F214" s="33" t="s">
        <v>33</v>
      </c>
      <c r="G214" s="33" t="s">
        <v>8</v>
      </c>
      <c r="H214" s="33" t="s">
        <v>143</v>
      </c>
    </row>
    <row r="215" spans="1:8" ht="30">
      <c r="A215" s="33" t="s">
        <v>131</v>
      </c>
      <c r="B215" s="33" t="str">
        <f>_xlfn.IFNA(INDEX(nameStd[EIW],MATCH(Table2[[#This Row],[Name]],nameStd[Salary],0)),Table2[[#This Row],[Name]])</f>
        <v>Locke Lord</v>
      </c>
      <c r="C215" s="33" t="s">
        <v>133</v>
      </c>
      <c r="D215" s="33" t="s">
        <v>134</v>
      </c>
      <c r="E215" s="34">
        <v>42534</v>
      </c>
      <c r="F215" s="33" t="s">
        <v>142</v>
      </c>
      <c r="G215" s="33" t="s">
        <v>8</v>
      </c>
      <c r="H215" s="33" t="s">
        <v>143</v>
      </c>
    </row>
    <row r="216" spans="1:8" ht="30">
      <c r="A216" s="32" t="s">
        <v>144</v>
      </c>
      <c r="B216" s="32" t="str">
        <f>_xlfn.IFNA(INDEX(nameStd[EIW],MATCH(Table2[[#This Row],[Name]],nameStd[Salary],0)),Table2[[#This Row],[Name]])</f>
        <v>Hogan Lovells US</v>
      </c>
      <c r="C216" s="33" t="s">
        <v>5</v>
      </c>
      <c r="D216" s="33" t="s">
        <v>145</v>
      </c>
      <c r="E216" s="34">
        <v>42534</v>
      </c>
      <c r="F216" s="33" t="s">
        <v>146</v>
      </c>
      <c r="G216" s="33" t="s">
        <v>16</v>
      </c>
      <c r="H216" s="33" t="s">
        <v>150</v>
      </c>
    </row>
    <row r="217" spans="1:8" ht="30">
      <c r="A217" s="15" t="s">
        <v>144</v>
      </c>
      <c r="B217" s="15" t="str">
        <f>_xlfn.IFNA(INDEX(nameStd[EIW],MATCH(Table2[[#This Row],[Name]],nameStd[Salary],0)),Table2[[#This Row],[Name]])</f>
        <v>Hogan Lovells US</v>
      </c>
      <c r="C217" s="33" t="s">
        <v>5</v>
      </c>
      <c r="D217" s="33" t="s">
        <v>145</v>
      </c>
      <c r="E217" s="34">
        <v>42534</v>
      </c>
      <c r="F217" s="33" t="s">
        <v>147</v>
      </c>
      <c r="G217" s="33" t="s">
        <v>16</v>
      </c>
      <c r="H217" s="33" t="s">
        <v>150</v>
      </c>
    </row>
    <row r="218" spans="1:8" ht="30">
      <c r="A218" s="15" t="s">
        <v>144</v>
      </c>
      <c r="B218" s="15" t="str">
        <f>_xlfn.IFNA(INDEX(nameStd[EIW],MATCH(Table2[[#This Row],[Name]],nameStd[Salary],0)),Table2[[#This Row],[Name]])</f>
        <v>Hogan Lovells US</v>
      </c>
      <c r="C218" s="33" t="s">
        <v>5</v>
      </c>
      <c r="D218" s="33" t="s">
        <v>145</v>
      </c>
      <c r="E218" s="34">
        <v>42534</v>
      </c>
      <c r="F218" s="33" t="s">
        <v>30</v>
      </c>
      <c r="G218" s="33" t="s">
        <v>16</v>
      </c>
      <c r="H218" s="33" t="s">
        <v>150</v>
      </c>
    </row>
    <row r="219" spans="1:8" ht="30">
      <c r="A219" s="33" t="s">
        <v>144</v>
      </c>
      <c r="B219" s="33" t="str">
        <f>_xlfn.IFNA(INDEX(nameStd[EIW],MATCH(Table2[[#This Row],[Name]],nameStd[Salary],0)),Table2[[#This Row],[Name]])</f>
        <v>Hogan Lovells US</v>
      </c>
      <c r="C219" s="33" t="s">
        <v>5</v>
      </c>
      <c r="D219" s="33" t="s">
        <v>145</v>
      </c>
      <c r="E219" s="34">
        <v>42534</v>
      </c>
      <c r="F219" s="33" t="s">
        <v>11</v>
      </c>
      <c r="G219" s="33" t="s">
        <v>16</v>
      </c>
      <c r="H219" s="33" t="s">
        <v>150</v>
      </c>
    </row>
    <row r="220" spans="1:8" ht="30">
      <c r="A220" s="33" t="s">
        <v>144</v>
      </c>
      <c r="B220" s="33" t="str">
        <f>_xlfn.IFNA(INDEX(nameStd[EIW],MATCH(Table2[[#This Row],[Name]],nameStd[Salary],0)),Table2[[#This Row],[Name]])</f>
        <v>Hogan Lovells US</v>
      </c>
      <c r="C220" s="33" t="s">
        <v>5</v>
      </c>
      <c r="D220" s="33" t="s">
        <v>145</v>
      </c>
      <c r="E220" s="34">
        <v>42534</v>
      </c>
      <c r="F220" s="33" t="s">
        <v>7</v>
      </c>
      <c r="G220" s="33" t="s">
        <v>16</v>
      </c>
      <c r="H220" s="33" t="s">
        <v>150</v>
      </c>
    </row>
    <row r="221" spans="1:8" ht="30">
      <c r="A221" s="33" t="s">
        <v>144</v>
      </c>
      <c r="B221" s="33" t="str">
        <f>_xlfn.IFNA(INDEX(nameStd[EIW],MATCH(Table2[[#This Row],[Name]],nameStd[Salary],0)),Table2[[#This Row],[Name]])</f>
        <v>Hogan Lovells US</v>
      </c>
      <c r="C221" s="33" t="s">
        <v>5</v>
      </c>
      <c r="D221" s="33" t="s">
        <v>145</v>
      </c>
      <c r="E221" s="34">
        <v>42534</v>
      </c>
      <c r="F221" s="33" t="s">
        <v>148</v>
      </c>
      <c r="G221" s="33" t="s">
        <v>16</v>
      </c>
      <c r="H221" s="33" t="s">
        <v>150</v>
      </c>
    </row>
    <row r="222" spans="1:8" ht="30">
      <c r="A222" s="33" t="s">
        <v>144</v>
      </c>
      <c r="B222" s="33" t="str">
        <f>_xlfn.IFNA(INDEX(nameStd[EIW],MATCH(Table2[[#This Row],[Name]],nameStd[Salary],0)),Table2[[#This Row],[Name]])</f>
        <v>Hogan Lovells US</v>
      </c>
      <c r="C222" s="33" t="s">
        <v>5</v>
      </c>
      <c r="D222" s="33" t="s">
        <v>145</v>
      </c>
      <c r="E222" s="34">
        <v>42534</v>
      </c>
      <c r="F222" s="33" t="s">
        <v>149</v>
      </c>
      <c r="G222" s="33" t="s">
        <v>16</v>
      </c>
      <c r="H222" s="33" t="s">
        <v>150</v>
      </c>
    </row>
    <row r="223" spans="1:8" ht="30">
      <c r="A223" s="33" t="s">
        <v>144</v>
      </c>
      <c r="B223" s="33" t="str">
        <f>_xlfn.IFNA(INDEX(nameStd[EIW],MATCH(Table2[[#This Row],[Name]],nameStd[Salary],0)),Table2[[#This Row],[Name]])</f>
        <v>Hogan Lovells US</v>
      </c>
      <c r="C223" s="33" t="s">
        <v>5</v>
      </c>
      <c r="D223" s="33" t="s">
        <v>145</v>
      </c>
      <c r="E223" s="34">
        <v>42534</v>
      </c>
      <c r="F223" s="33" t="s">
        <v>49</v>
      </c>
      <c r="G223" s="33" t="s">
        <v>16</v>
      </c>
      <c r="H223" s="33" t="s">
        <v>150</v>
      </c>
    </row>
    <row r="224" spans="1:8" ht="30">
      <c r="A224" s="33" t="s">
        <v>144</v>
      </c>
      <c r="B224" s="33" t="str">
        <f>_xlfn.IFNA(INDEX(nameStd[EIW],MATCH(Table2[[#This Row],[Name]],nameStd[Salary],0)),Table2[[#This Row],[Name]])</f>
        <v>Hogan Lovells US</v>
      </c>
      <c r="C224" s="33" t="s">
        <v>5</v>
      </c>
      <c r="D224" s="33" t="s">
        <v>145</v>
      </c>
      <c r="E224" s="34">
        <v>42534</v>
      </c>
      <c r="F224" s="33" t="s">
        <v>54</v>
      </c>
      <c r="G224" s="33" t="s">
        <v>16</v>
      </c>
      <c r="H224" s="33" t="s">
        <v>150</v>
      </c>
    </row>
    <row r="225" spans="1:8" ht="30">
      <c r="A225" s="33" t="s">
        <v>144</v>
      </c>
      <c r="B225" s="33" t="str">
        <f>_xlfn.IFNA(INDEX(nameStd[EIW],MATCH(Table2[[#This Row],[Name]],nameStd[Salary],0)),Table2[[#This Row],[Name]])</f>
        <v>Hogan Lovells US</v>
      </c>
      <c r="C225" s="33" t="s">
        <v>5</v>
      </c>
      <c r="D225" s="33" t="s">
        <v>145</v>
      </c>
      <c r="E225" s="34">
        <v>42534</v>
      </c>
      <c r="F225" s="33" t="s">
        <v>15</v>
      </c>
      <c r="G225" s="33" t="s">
        <v>16</v>
      </c>
      <c r="H225" s="33" t="s">
        <v>150</v>
      </c>
    </row>
    <row r="226" spans="1:8" ht="30">
      <c r="A226" s="32" t="s">
        <v>151</v>
      </c>
      <c r="B226" s="32" t="str">
        <f>_xlfn.IFNA(INDEX(nameStd[EIW],MATCH(Table2[[#This Row],[Name]],nameStd[Salary],0)),Table2[[#This Row],[Name]])</f>
        <v>Morrison &amp; Foerster</v>
      </c>
      <c r="C226" s="33" t="s">
        <v>5</v>
      </c>
      <c r="D226" s="33" t="s">
        <v>19</v>
      </c>
      <c r="E226" s="34">
        <v>42534</v>
      </c>
      <c r="F226" s="33" t="s">
        <v>147</v>
      </c>
      <c r="G226" s="33" t="s">
        <v>16</v>
      </c>
      <c r="H226" s="33" t="s">
        <v>153</v>
      </c>
    </row>
    <row r="227" spans="1:8" ht="30">
      <c r="A227" s="15" t="s">
        <v>151</v>
      </c>
      <c r="B227" s="15" t="str">
        <f>_xlfn.IFNA(INDEX(nameStd[EIW],MATCH(Table2[[#This Row],[Name]],nameStd[Salary],0)),Table2[[#This Row],[Name]])</f>
        <v>Morrison &amp; Foerster</v>
      </c>
      <c r="C227" s="33" t="s">
        <v>5</v>
      </c>
      <c r="D227" s="33" t="s">
        <v>19</v>
      </c>
      <c r="E227" s="34">
        <v>42534</v>
      </c>
      <c r="F227" s="33" t="s">
        <v>11</v>
      </c>
      <c r="G227" s="33" t="s">
        <v>16</v>
      </c>
      <c r="H227" s="33" t="s">
        <v>153</v>
      </c>
    </row>
    <row r="228" spans="1:8" ht="30">
      <c r="A228" s="15" t="s">
        <v>151</v>
      </c>
      <c r="B228" s="15" t="str">
        <f>_xlfn.IFNA(INDEX(nameStd[EIW],MATCH(Table2[[#This Row],[Name]],nameStd[Salary],0)),Table2[[#This Row],[Name]])</f>
        <v>Morrison &amp; Foerster</v>
      </c>
      <c r="C228" s="33" t="s">
        <v>5</v>
      </c>
      <c r="D228" s="33" t="s">
        <v>19</v>
      </c>
      <c r="E228" s="34">
        <v>42534</v>
      </c>
      <c r="F228" s="33" t="s">
        <v>40</v>
      </c>
      <c r="G228" s="33" t="s">
        <v>16</v>
      </c>
      <c r="H228" s="33" t="s">
        <v>153</v>
      </c>
    </row>
    <row r="229" spans="1:8" ht="30">
      <c r="A229" s="33" t="s">
        <v>151</v>
      </c>
      <c r="B229" s="33" t="str">
        <f>_xlfn.IFNA(INDEX(nameStd[EIW],MATCH(Table2[[#This Row],[Name]],nameStd[Salary],0)),Table2[[#This Row],[Name]])</f>
        <v>Morrison &amp; Foerster</v>
      </c>
      <c r="C229" s="33" t="s">
        <v>5</v>
      </c>
      <c r="D229" s="33" t="s">
        <v>19</v>
      </c>
      <c r="E229" s="34">
        <v>42534</v>
      </c>
      <c r="F229" s="33" t="s">
        <v>142</v>
      </c>
      <c r="G229" s="33" t="s">
        <v>16</v>
      </c>
      <c r="H229" s="33" t="s">
        <v>153</v>
      </c>
    </row>
    <row r="230" spans="1:8" ht="30">
      <c r="A230" s="33" t="s">
        <v>151</v>
      </c>
      <c r="B230" s="33" t="str">
        <f>_xlfn.IFNA(INDEX(nameStd[EIW],MATCH(Table2[[#This Row],[Name]],nameStd[Salary],0)),Table2[[#This Row],[Name]])</f>
        <v>Morrison &amp; Foerster</v>
      </c>
      <c r="C230" s="33" t="s">
        <v>5</v>
      </c>
      <c r="D230" s="33" t="s">
        <v>19</v>
      </c>
      <c r="E230" s="34">
        <v>42534</v>
      </c>
      <c r="F230" s="33" t="s">
        <v>69</v>
      </c>
      <c r="G230" s="33" t="s">
        <v>16</v>
      </c>
      <c r="H230" s="33" t="s">
        <v>153</v>
      </c>
    </row>
    <row r="231" spans="1:8" ht="30">
      <c r="A231" s="33" t="s">
        <v>151</v>
      </c>
      <c r="B231" s="33" t="str">
        <f>_xlfn.IFNA(INDEX(nameStd[EIW],MATCH(Table2[[#This Row],[Name]],nameStd[Salary],0)),Table2[[#This Row],[Name]])</f>
        <v>Morrison &amp; Foerster</v>
      </c>
      <c r="C231" s="33" t="s">
        <v>5</v>
      </c>
      <c r="D231" s="33" t="s">
        <v>19</v>
      </c>
      <c r="E231" s="34">
        <v>42534</v>
      </c>
      <c r="F231" s="33" t="s">
        <v>49</v>
      </c>
      <c r="G231" s="33" t="s">
        <v>16</v>
      </c>
      <c r="H231" s="33" t="s">
        <v>153</v>
      </c>
    </row>
    <row r="232" spans="1:8" ht="30">
      <c r="A232" s="33" t="s">
        <v>151</v>
      </c>
      <c r="B232" s="33" t="str">
        <f>_xlfn.IFNA(INDEX(nameStd[EIW],MATCH(Table2[[#This Row],[Name]],nameStd[Salary],0)),Table2[[#This Row],[Name]])</f>
        <v>Morrison &amp; Foerster</v>
      </c>
      <c r="C232" s="33" t="s">
        <v>5</v>
      </c>
      <c r="D232" s="33" t="s">
        <v>19</v>
      </c>
      <c r="E232" s="34">
        <v>42534</v>
      </c>
      <c r="F232" s="33" t="s">
        <v>7</v>
      </c>
      <c r="G232" s="33" t="s">
        <v>16</v>
      </c>
      <c r="H232" s="33" t="s">
        <v>153</v>
      </c>
    </row>
    <row r="233" spans="1:8" ht="30">
      <c r="A233" s="33" t="s">
        <v>151</v>
      </c>
      <c r="B233" s="33" t="str">
        <f>_xlfn.IFNA(INDEX(nameStd[EIW],MATCH(Table2[[#This Row],[Name]],nameStd[Salary],0)),Table2[[#This Row],[Name]])</f>
        <v>Morrison &amp; Foerster</v>
      </c>
      <c r="C233" s="33" t="s">
        <v>5</v>
      </c>
      <c r="D233" s="33" t="s">
        <v>19</v>
      </c>
      <c r="E233" s="34">
        <v>42534</v>
      </c>
      <c r="F233" s="33" t="s">
        <v>152</v>
      </c>
      <c r="G233" s="33" t="s">
        <v>16</v>
      </c>
      <c r="H233" s="33" t="s">
        <v>153</v>
      </c>
    </row>
    <row r="234" spans="1:8" ht="30">
      <c r="A234" s="33" t="s">
        <v>151</v>
      </c>
      <c r="B234" s="33" t="str">
        <f>_xlfn.IFNA(INDEX(nameStd[EIW],MATCH(Table2[[#This Row],[Name]],nameStd[Salary],0)),Table2[[#This Row],[Name]])</f>
        <v>Morrison &amp; Foerster</v>
      </c>
      <c r="C234" s="33" t="s">
        <v>5</v>
      </c>
      <c r="D234" s="33" t="s">
        <v>19</v>
      </c>
      <c r="E234" s="34">
        <v>42534</v>
      </c>
      <c r="F234" s="33" t="s">
        <v>15</v>
      </c>
      <c r="G234" s="33" t="s">
        <v>16</v>
      </c>
      <c r="H234" s="33" t="s">
        <v>153</v>
      </c>
    </row>
    <row r="235" spans="1:8" ht="30">
      <c r="A235" s="32" t="s">
        <v>154</v>
      </c>
      <c r="B235" s="32" t="str">
        <f>_xlfn.IFNA(INDEX(nameStd[EIW],MATCH(Table2[[#This Row],[Name]],nameStd[Salary],0)),Table2[[#This Row],[Name]])</f>
        <v>Paul Hastings</v>
      </c>
      <c r="C235" s="33" t="s">
        <v>5</v>
      </c>
      <c r="D235" s="33" t="s">
        <v>6</v>
      </c>
      <c r="E235" s="34">
        <v>42534</v>
      </c>
      <c r="F235" s="33" t="s">
        <v>137</v>
      </c>
      <c r="G235" s="33" t="s">
        <v>8</v>
      </c>
      <c r="H235" s="33" t="s">
        <v>155</v>
      </c>
    </row>
    <row r="236" spans="1:8" ht="30">
      <c r="A236" s="15" t="s">
        <v>154</v>
      </c>
      <c r="B236" s="15" t="str">
        <f>_xlfn.IFNA(INDEX(nameStd[EIW],MATCH(Table2[[#This Row],[Name]],nameStd[Salary],0)),Table2[[#This Row],[Name]])</f>
        <v>Paul Hastings</v>
      </c>
      <c r="C236" s="33" t="s">
        <v>5</v>
      </c>
      <c r="D236" s="33" t="s">
        <v>6</v>
      </c>
      <c r="E236" s="34">
        <v>42534</v>
      </c>
      <c r="F236" s="33" t="s">
        <v>48</v>
      </c>
      <c r="G236" s="33" t="s">
        <v>8</v>
      </c>
      <c r="H236" s="33" t="s">
        <v>155</v>
      </c>
    </row>
    <row r="237" spans="1:8" ht="30">
      <c r="A237" s="15" t="s">
        <v>154</v>
      </c>
      <c r="B237" s="15" t="str">
        <f>_xlfn.IFNA(INDEX(nameStd[EIW],MATCH(Table2[[#This Row],[Name]],nameStd[Salary],0)),Table2[[#This Row],[Name]])</f>
        <v>Paul Hastings</v>
      </c>
      <c r="C237" s="33" t="s">
        <v>5</v>
      </c>
      <c r="D237" s="33" t="s">
        <v>6</v>
      </c>
      <c r="E237" s="34">
        <v>42534</v>
      </c>
      <c r="F237" s="33" t="s">
        <v>30</v>
      </c>
      <c r="G237" s="33" t="s">
        <v>8</v>
      </c>
      <c r="H237" s="33" t="s">
        <v>155</v>
      </c>
    </row>
    <row r="238" spans="1:8" ht="30">
      <c r="A238" s="33" t="s">
        <v>154</v>
      </c>
      <c r="B238" s="33" t="str">
        <f>_xlfn.IFNA(INDEX(nameStd[EIW],MATCH(Table2[[#This Row],[Name]],nameStd[Salary],0)),Table2[[#This Row],[Name]])</f>
        <v>Paul Hastings</v>
      </c>
      <c r="C238" s="33" t="s">
        <v>5</v>
      </c>
      <c r="D238" s="33" t="s">
        <v>6</v>
      </c>
      <c r="E238" s="34">
        <v>42534</v>
      </c>
      <c r="F238" s="33" t="s">
        <v>7</v>
      </c>
      <c r="G238" s="33" t="s">
        <v>8</v>
      </c>
      <c r="H238" s="33" t="s">
        <v>155</v>
      </c>
    </row>
    <row r="239" spans="1:8" ht="30">
      <c r="A239" s="33" t="s">
        <v>154</v>
      </c>
      <c r="B239" s="33" t="str">
        <f>_xlfn.IFNA(INDEX(nameStd[EIW],MATCH(Table2[[#This Row],[Name]],nameStd[Salary],0)),Table2[[#This Row],[Name]])</f>
        <v>Paul Hastings</v>
      </c>
      <c r="C239" s="33" t="s">
        <v>5</v>
      </c>
      <c r="D239" s="33" t="s">
        <v>6</v>
      </c>
      <c r="E239" s="34">
        <v>42534</v>
      </c>
      <c r="F239" s="33" t="s">
        <v>91</v>
      </c>
      <c r="G239" s="33" t="s">
        <v>8</v>
      </c>
      <c r="H239" s="33" t="s">
        <v>155</v>
      </c>
    </row>
    <row r="240" spans="1:8" ht="30">
      <c r="A240" s="33" t="s">
        <v>154</v>
      </c>
      <c r="B240" s="33" t="str">
        <f>_xlfn.IFNA(INDEX(nameStd[EIW],MATCH(Table2[[#This Row],[Name]],nameStd[Salary],0)),Table2[[#This Row],[Name]])</f>
        <v>Paul Hastings</v>
      </c>
      <c r="C240" s="33" t="s">
        <v>5</v>
      </c>
      <c r="D240" s="33" t="s">
        <v>6</v>
      </c>
      <c r="E240" s="34">
        <v>42534</v>
      </c>
      <c r="F240" s="33" t="s">
        <v>40</v>
      </c>
      <c r="G240" s="33" t="s">
        <v>8</v>
      </c>
      <c r="H240" s="33" t="s">
        <v>155</v>
      </c>
    </row>
    <row r="241" spans="1:8" ht="30">
      <c r="A241" s="33" t="s">
        <v>154</v>
      </c>
      <c r="B241" s="33" t="str">
        <f>_xlfn.IFNA(INDEX(nameStd[EIW],MATCH(Table2[[#This Row],[Name]],nameStd[Salary],0)),Table2[[#This Row],[Name]])</f>
        <v>Paul Hastings</v>
      </c>
      <c r="C241" s="33" t="s">
        <v>5</v>
      </c>
      <c r="D241" s="33" t="s">
        <v>6</v>
      </c>
      <c r="E241" s="34">
        <v>42534</v>
      </c>
      <c r="F241" s="33" t="s">
        <v>69</v>
      </c>
      <c r="G241" s="33" t="s">
        <v>8</v>
      </c>
      <c r="H241" s="33" t="s">
        <v>155</v>
      </c>
    </row>
    <row r="242" spans="1:8" ht="30">
      <c r="A242" s="33" t="s">
        <v>154</v>
      </c>
      <c r="B242" s="33" t="str">
        <f>_xlfn.IFNA(INDEX(nameStd[EIW],MATCH(Table2[[#This Row],[Name]],nameStd[Salary],0)),Table2[[#This Row],[Name]])</f>
        <v>Paul Hastings</v>
      </c>
      <c r="C242" s="33" t="s">
        <v>5</v>
      </c>
      <c r="D242" s="33" t="s">
        <v>6</v>
      </c>
      <c r="E242" s="34">
        <v>42534</v>
      </c>
      <c r="F242" s="33" t="s">
        <v>11</v>
      </c>
      <c r="G242" s="33" t="s">
        <v>8</v>
      </c>
      <c r="H242" s="33" t="s">
        <v>155</v>
      </c>
    </row>
    <row r="243" spans="1:8" ht="30">
      <c r="A243" s="33" t="s">
        <v>154</v>
      </c>
      <c r="B243" s="33" t="str">
        <f>_xlfn.IFNA(INDEX(nameStd[EIW],MATCH(Table2[[#This Row],[Name]],nameStd[Salary],0)),Table2[[#This Row],[Name]])</f>
        <v>Paul Hastings</v>
      </c>
      <c r="C243" s="33" t="s">
        <v>5</v>
      </c>
      <c r="D243" s="33" t="s">
        <v>6</v>
      </c>
      <c r="E243" s="34">
        <v>42534</v>
      </c>
      <c r="F243" s="33" t="s">
        <v>49</v>
      </c>
      <c r="G243" s="33" t="s">
        <v>8</v>
      </c>
      <c r="H243" s="33" t="s">
        <v>155</v>
      </c>
    </row>
    <row r="244" spans="1:8" ht="30">
      <c r="A244" s="33" t="s">
        <v>154</v>
      </c>
      <c r="B244" s="33" t="str">
        <f>_xlfn.IFNA(INDEX(nameStd[EIW],MATCH(Table2[[#This Row],[Name]],nameStd[Salary],0)),Table2[[#This Row],[Name]])</f>
        <v>Paul Hastings</v>
      </c>
      <c r="C244" s="33" t="s">
        <v>5</v>
      </c>
      <c r="D244" s="33" t="s">
        <v>6</v>
      </c>
      <c r="E244" s="34">
        <v>42534</v>
      </c>
      <c r="F244" s="33" t="s">
        <v>15</v>
      </c>
      <c r="G244" s="33" t="s">
        <v>8</v>
      </c>
      <c r="H244" s="33" t="s">
        <v>155</v>
      </c>
    </row>
    <row r="245" spans="1:8" ht="30">
      <c r="A245" s="32" t="s">
        <v>156</v>
      </c>
      <c r="B245" s="32" t="str">
        <f>_xlfn.IFNA(INDEX(nameStd[EIW],MATCH(Table2[[#This Row],[Name]],nameStd[Salary],0)),Table2[[#This Row],[Name]])</f>
        <v>Wilson Sonsini Goodrich &amp; Rosati</v>
      </c>
      <c r="C245" s="33" t="s">
        <v>5</v>
      </c>
      <c r="D245" s="33" t="s">
        <v>19</v>
      </c>
      <c r="E245" s="34">
        <v>42534</v>
      </c>
      <c r="F245" s="33" t="s">
        <v>87</v>
      </c>
      <c r="G245" s="33" t="s">
        <v>16</v>
      </c>
      <c r="H245" s="33" t="s">
        <v>158</v>
      </c>
    </row>
    <row r="246" spans="1:8" ht="30">
      <c r="A246" s="15" t="s">
        <v>156</v>
      </c>
      <c r="B246" s="15" t="str">
        <f>_xlfn.IFNA(INDEX(nameStd[EIW],MATCH(Table2[[#This Row],[Name]],nameStd[Salary],0)),Table2[[#This Row],[Name]])</f>
        <v>Wilson Sonsini Goodrich &amp; Rosati</v>
      </c>
      <c r="C246" s="33" t="s">
        <v>5</v>
      </c>
      <c r="D246" s="33" t="s">
        <v>19</v>
      </c>
      <c r="E246" s="34">
        <v>42534</v>
      </c>
      <c r="F246" s="33" t="s">
        <v>28</v>
      </c>
      <c r="G246" s="33" t="s">
        <v>16</v>
      </c>
      <c r="H246" s="33" t="s">
        <v>158</v>
      </c>
    </row>
    <row r="247" spans="1:8" ht="30">
      <c r="A247" s="15" t="s">
        <v>156</v>
      </c>
      <c r="B247" s="15" t="str">
        <f>_xlfn.IFNA(INDEX(nameStd[EIW],MATCH(Table2[[#This Row],[Name]],nameStd[Salary],0)),Table2[[#This Row],[Name]])</f>
        <v>Wilson Sonsini Goodrich &amp; Rosati</v>
      </c>
      <c r="C247" s="33" t="s">
        <v>5</v>
      </c>
      <c r="D247" s="33" t="s">
        <v>19</v>
      </c>
      <c r="E247" s="34">
        <v>42534</v>
      </c>
      <c r="F247" s="33" t="s">
        <v>11</v>
      </c>
      <c r="G247" s="33" t="s">
        <v>16</v>
      </c>
      <c r="H247" s="33" t="s">
        <v>158</v>
      </c>
    </row>
    <row r="248" spans="1:8" ht="30">
      <c r="A248" s="33" t="s">
        <v>156</v>
      </c>
      <c r="B248" s="33" t="str">
        <f>_xlfn.IFNA(INDEX(nameStd[EIW],MATCH(Table2[[#This Row],[Name]],nameStd[Salary],0)),Table2[[#This Row],[Name]])</f>
        <v>Wilson Sonsini Goodrich &amp; Rosati</v>
      </c>
      <c r="C248" s="33" t="s">
        <v>5</v>
      </c>
      <c r="D248" s="33" t="s">
        <v>19</v>
      </c>
      <c r="E248" s="34">
        <v>42534</v>
      </c>
      <c r="F248" s="33" t="s">
        <v>40</v>
      </c>
      <c r="G248" s="33" t="s">
        <v>16</v>
      </c>
      <c r="H248" s="33" t="s">
        <v>158</v>
      </c>
    </row>
    <row r="249" spans="1:8" ht="30">
      <c r="A249" s="33" t="s">
        <v>156</v>
      </c>
      <c r="B249" s="33" t="str">
        <f>_xlfn.IFNA(INDEX(nameStd[EIW],MATCH(Table2[[#This Row],[Name]],nameStd[Salary],0)),Table2[[#This Row],[Name]])</f>
        <v>Wilson Sonsini Goodrich &amp; Rosati</v>
      </c>
      <c r="C249" s="33" t="s">
        <v>5</v>
      </c>
      <c r="D249" s="33" t="s">
        <v>19</v>
      </c>
      <c r="E249" s="34">
        <v>42534</v>
      </c>
      <c r="F249" s="33" t="s">
        <v>69</v>
      </c>
      <c r="G249" s="33" t="s">
        <v>16</v>
      </c>
      <c r="H249" s="33" t="s">
        <v>158</v>
      </c>
    </row>
    <row r="250" spans="1:8" ht="30">
      <c r="A250" s="33" t="s">
        <v>156</v>
      </c>
      <c r="B250" s="33" t="str">
        <f>_xlfn.IFNA(INDEX(nameStd[EIW],MATCH(Table2[[#This Row],[Name]],nameStd[Salary],0)),Table2[[#This Row],[Name]])</f>
        <v>Wilson Sonsini Goodrich &amp; Rosati</v>
      </c>
      <c r="C250" s="33" t="s">
        <v>5</v>
      </c>
      <c r="D250" s="33" t="s">
        <v>19</v>
      </c>
      <c r="E250" s="34">
        <v>42534</v>
      </c>
      <c r="F250" s="33" t="s">
        <v>49</v>
      </c>
      <c r="G250" s="33" t="s">
        <v>16</v>
      </c>
      <c r="H250" s="33" t="s">
        <v>158</v>
      </c>
    </row>
    <row r="251" spans="1:8" ht="45">
      <c r="A251" s="33" t="s">
        <v>156</v>
      </c>
      <c r="B251" s="33" t="str">
        <f>_xlfn.IFNA(INDEX(nameStd[EIW],MATCH(Table2[[#This Row],[Name]],nameStd[Salary],0)),Table2[[#This Row],[Name]])</f>
        <v>Wilson Sonsini Goodrich &amp; Rosati</v>
      </c>
      <c r="C251" s="33" t="s">
        <v>5</v>
      </c>
      <c r="D251" s="33" t="s">
        <v>19</v>
      </c>
      <c r="E251" s="34">
        <v>42534</v>
      </c>
      <c r="F251" s="33" t="s">
        <v>157</v>
      </c>
      <c r="G251" s="33" t="s">
        <v>16</v>
      </c>
      <c r="H251" s="33" t="s">
        <v>158</v>
      </c>
    </row>
    <row r="252" spans="1:8" ht="30">
      <c r="A252" s="33" t="s">
        <v>156</v>
      </c>
      <c r="B252" s="33" t="str">
        <f>_xlfn.IFNA(INDEX(nameStd[EIW],MATCH(Table2[[#This Row],[Name]],nameStd[Salary],0)),Table2[[#This Row],[Name]])</f>
        <v>Wilson Sonsini Goodrich &amp; Rosati</v>
      </c>
      <c r="C252" s="33" t="s">
        <v>5</v>
      </c>
      <c r="D252" s="33" t="s">
        <v>19</v>
      </c>
      <c r="E252" s="34">
        <v>42534</v>
      </c>
      <c r="F252" s="33" t="s">
        <v>50</v>
      </c>
      <c r="G252" s="33" t="s">
        <v>16</v>
      </c>
      <c r="H252" s="33" t="s">
        <v>158</v>
      </c>
    </row>
    <row r="253" spans="1:8" ht="30">
      <c r="A253" s="33" t="s">
        <v>156</v>
      </c>
      <c r="B253" s="33" t="str">
        <f>_xlfn.IFNA(INDEX(nameStd[EIW],MATCH(Table2[[#This Row],[Name]],nameStd[Salary],0)),Table2[[#This Row],[Name]])</f>
        <v>Wilson Sonsini Goodrich &amp; Rosati</v>
      </c>
      <c r="C253" s="33" t="s">
        <v>5</v>
      </c>
      <c r="D253" s="33" t="s">
        <v>19</v>
      </c>
      <c r="E253" s="34">
        <v>42534</v>
      </c>
      <c r="F253" s="33" t="s">
        <v>7</v>
      </c>
      <c r="G253" s="33" t="s">
        <v>16</v>
      </c>
      <c r="H253" s="33" t="s">
        <v>158</v>
      </c>
    </row>
    <row r="254" spans="1:8" ht="30">
      <c r="A254" s="33" t="s">
        <v>156</v>
      </c>
      <c r="B254" s="33" t="str">
        <f>_xlfn.IFNA(INDEX(nameStd[EIW],MATCH(Table2[[#This Row],[Name]],nameStd[Salary],0)),Table2[[#This Row],[Name]])</f>
        <v>Wilson Sonsini Goodrich &amp; Rosati</v>
      </c>
      <c r="C254" s="33" t="s">
        <v>5</v>
      </c>
      <c r="D254" s="33" t="s">
        <v>19</v>
      </c>
      <c r="E254" s="34">
        <v>42534</v>
      </c>
      <c r="F254" s="33" t="s">
        <v>15</v>
      </c>
      <c r="G254" s="33" t="s">
        <v>16</v>
      </c>
      <c r="H254" s="33" t="s">
        <v>158</v>
      </c>
    </row>
    <row r="255" spans="1:8" ht="30">
      <c r="A255" s="33" t="s">
        <v>156</v>
      </c>
      <c r="B255" s="33" t="str">
        <f>_xlfn.IFNA(INDEX(nameStd[EIW],MATCH(Table2[[#This Row],[Name]],nameStd[Salary],0)),Table2[[#This Row],[Name]])</f>
        <v>Wilson Sonsini Goodrich &amp; Rosati</v>
      </c>
      <c r="C255" s="33" t="s">
        <v>5</v>
      </c>
      <c r="D255" s="33" t="s">
        <v>19</v>
      </c>
      <c r="E255" s="34">
        <v>42534</v>
      </c>
      <c r="F255" s="33" t="s">
        <v>20</v>
      </c>
      <c r="G255" s="33" t="s">
        <v>16</v>
      </c>
      <c r="H255" s="33" t="s">
        <v>158</v>
      </c>
    </row>
    <row r="256" spans="1:8" ht="30">
      <c r="A256" s="32" t="s">
        <v>159</v>
      </c>
      <c r="B256" s="32" t="str">
        <f>_xlfn.IFNA(INDEX(nameStd[EIW],MATCH(Table2[[#This Row],[Name]],nameStd[Salary],0)),Table2[[#This Row],[Name]])</f>
        <v>Gibson Dunn &amp; Crutcher</v>
      </c>
      <c r="C256" s="33" t="s">
        <v>5</v>
      </c>
      <c r="D256" s="33" t="s">
        <v>6</v>
      </c>
      <c r="E256" s="34">
        <v>42534</v>
      </c>
      <c r="F256" s="33" t="s">
        <v>11</v>
      </c>
      <c r="G256" s="33" t="s">
        <v>16</v>
      </c>
      <c r="H256" s="33" t="s">
        <v>160</v>
      </c>
    </row>
    <row r="257" spans="1:8" ht="30">
      <c r="A257" s="15" t="s">
        <v>159</v>
      </c>
      <c r="B257" s="15" t="str">
        <f>_xlfn.IFNA(INDEX(nameStd[EIW],MATCH(Table2[[#This Row],[Name]],nameStd[Salary],0)),Table2[[#This Row],[Name]])</f>
        <v>Gibson Dunn &amp; Crutcher</v>
      </c>
      <c r="C257" s="33" t="s">
        <v>5</v>
      </c>
      <c r="D257" s="33" t="s">
        <v>6</v>
      </c>
      <c r="E257" s="34">
        <v>42534</v>
      </c>
      <c r="F257" s="33" t="s">
        <v>90</v>
      </c>
      <c r="G257" s="33" t="s">
        <v>16</v>
      </c>
      <c r="H257" s="33" t="s">
        <v>160</v>
      </c>
    </row>
    <row r="258" spans="1:8" ht="30">
      <c r="A258" s="15" t="s">
        <v>159</v>
      </c>
      <c r="B258" s="15" t="str">
        <f>_xlfn.IFNA(INDEX(nameStd[EIW],MATCH(Table2[[#This Row],[Name]],nameStd[Salary],0)),Table2[[#This Row],[Name]])</f>
        <v>Gibson Dunn &amp; Crutcher</v>
      </c>
      <c r="C258" s="33" t="s">
        <v>5</v>
      </c>
      <c r="D258" s="33" t="s">
        <v>6</v>
      </c>
      <c r="E258" s="34">
        <v>42534</v>
      </c>
      <c r="F258" s="33" t="s">
        <v>91</v>
      </c>
      <c r="G258" s="33" t="s">
        <v>16</v>
      </c>
      <c r="H258" s="33" t="s">
        <v>160</v>
      </c>
    </row>
    <row r="259" spans="1:8" ht="30">
      <c r="A259" s="33" t="s">
        <v>159</v>
      </c>
      <c r="B259" s="33" t="str">
        <f>_xlfn.IFNA(INDEX(nameStd[EIW],MATCH(Table2[[#This Row],[Name]],nameStd[Salary],0)),Table2[[#This Row],[Name]])</f>
        <v>Gibson Dunn &amp; Crutcher</v>
      </c>
      <c r="C259" s="33" t="s">
        <v>5</v>
      </c>
      <c r="D259" s="33" t="s">
        <v>6</v>
      </c>
      <c r="E259" s="34">
        <v>42534</v>
      </c>
      <c r="F259" s="33" t="s">
        <v>40</v>
      </c>
      <c r="G259" s="33" t="s">
        <v>16</v>
      </c>
      <c r="H259" s="33" t="s">
        <v>160</v>
      </c>
    </row>
    <row r="260" spans="1:8" ht="30">
      <c r="A260" s="33" t="s">
        <v>159</v>
      </c>
      <c r="B260" s="33" t="str">
        <f>_xlfn.IFNA(INDEX(nameStd[EIW],MATCH(Table2[[#This Row],[Name]],nameStd[Salary],0)),Table2[[#This Row],[Name]])</f>
        <v>Gibson Dunn &amp; Crutcher</v>
      </c>
      <c r="C260" s="33" t="s">
        <v>5</v>
      </c>
      <c r="D260" s="33" t="s">
        <v>6</v>
      </c>
      <c r="E260" s="34">
        <v>42534</v>
      </c>
      <c r="F260" s="33" t="s">
        <v>49</v>
      </c>
      <c r="G260" s="33" t="s">
        <v>16</v>
      </c>
      <c r="H260" s="33" t="s">
        <v>160</v>
      </c>
    </row>
    <row r="261" spans="1:8" ht="30">
      <c r="A261" s="33" t="s">
        <v>159</v>
      </c>
      <c r="B261" s="33" t="str">
        <f>_xlfn.IFNA(INDEX(nameStd[EIW],MATCH(Table2[[#This Row],[Name]],nameStd[Salary],0)),Table2[[#This Row],[Name]])</f>
        <v>Gibson Dunn &amp; Crutcher</v>
      </c>
      <c r="C261" s="33" t="s">
        <v>5</v>
      </c>
      <c r="D261" s="33" t="s">
        <v>6</v>
      </c>
      <c r="E261" s="34">
        <v>42534</v>
      </c>
      <c r="F261" s="33" t="s">
        <v>7</v>
      </c>
      <c r="G261" s="33" t="s">
        <v>16</v>
      </c>
      <c r="H261" s="33" t="s">
        <v>160</v>
      </c>
    </row>
    <row r="262" spans="1:8" ht="30">
      <c r="A262" s="33" t="s">
        <v>159</v>
      </c>
      <c r="B262" s="33" t="str">
        <f>_xlfn.IFNA(INDEX(nameStd[EIW],MATCH(Table2[[#This Row],[Name]],nameStd[Salary],0)),Table2[[#This Row],[Name]])</f>
        <v>Gibson Dunn &amp; Crutcher</v>
      </c>
      <c r="C262" s="33" t="s">
        <v>5</v>
      </c>
      <c r="D262" s="33" t="s">
        <v>6</v>
      </c>
      <c r="E262" s="34">
        <v>42534</v>
      </c>
      <c r="F262" s="33" t="s">
        <v>29</v>
      </c>
      <c r="G262" s="33" t="s">
        <v>16</v>
      </c>
      <c r="H262" s="33" t="s">
        <v>160</v>
      </c>
    </row>
    <row r="263" spans="1:8" ht="30">
      <c r="A263" s="33" t="s">
        <v>159</v>
      </c>
      <c r="B263" s="33" t="str">
        <f>_xlfn.IFNA(INDEX(nameStd[EIW],MATCH(Table2[[#This Row],[Name]],nameStd[Salary],0)),Table2[[#This Row],[Name]])</f>
        <v>Gibson Dunn &amp; Crutcher</v>
      </c>
      <c r="C263" s="33" t="s">
        <v>5</v>
      </c>
      <c r="D263" s="33" t="s">
        <v>6</v>
      </c>
      <c r="E263" s="34">
        <v>42534</v>
      </c>
      <c r="F263" s="33" t="s">
        <v>147</v>
      </c>
      <c r="G263" s="33" t="s">
        <v>16</v>
      </c>
      <c r="H263" s="33" t="s">
        <v>160</v>
      </c>
    </row>
    <row r="264" spans="1:8" ht="30">
      <c r="A264" s="33" t="s">
        <v>159</v>
      </c>
      <c r="B264" s="33" t="str">
        <f>_xlfn.IFNA(INDEX(nameStd[EIW],MATCH(Table2[[#This Row],[Name]],nameStd[Salary],0)),Table2[[#This Row],[Name]])</f>
        <v>Gibson Dunn &amp; Crutcher</v>
      </c>
      <c r="C264" s="33" t="s">
        <v>5</v>
      </c>
      <c r="D264" s="33" t="s">
        <v>6</v>
      </c>
      <c r="E264" s="34">
        <v>42534</v>
      </c>
      <c r="F264" s="33" t="s">
        <v>15</v>
      </c>
      <c r="G264" s="33" t="s">
        <v>16</v>
      </c>
      <c r="H264" s="33" t="s">
        <v>160</v>
      </c>
    </row>
    <row r="265" spans="1:8" ht="30">
      <c r="A265" s="32" t="s">
        <v>161</v>
      </c>
      <c r="B265" s="32" t="str">
        <f>_xlfn.IFNA(INDEX(nameStd[EIW],MATCH(Table2[[#This Row],[Name]],nameStd[Salary],0)),Table2[[#This Row],[Name]])</f>
        <v>Akin Gump Strauss Hauer &amp; Feld</v>
      </c>
      <c r="C265" s="33" t="s">
        <v>5</v>
      </c>
      <c r="D265" s="33" t="s">
        <v>6</v>
      </c>
      <c r="E265" s="34">
        <v>42534</v>
      </c>
      <c r="F265" s="33" t="s">
        <v>87</v>
      </c>
      <c r="G265" s="33" t="s">
        <v>16</v>
      </c>
      <c r="H265" s="33" t="s">
        <v>167</v>
      </c>
    </row>
    <row r="266" spans="1:8" ht="30">
      <c r="A266" s="15" t="s">
        <v>161</v>
      </c>
      <c r="B266" s="15" t="str">
        <f>_xlfn.IFNA(INDEX(nameStd[EIW],MATCH(Table2[[#This Row],[Name]],nameStd[Salary],0)),Table2[[#This Row],[Name]])</f>
        <v>Akin Gump Strauss Hauer &amp; Feld</v>
      </c>
      <c r="C266" s="33" t="s">
        <v>5</v>
      </c>
      <c r="D266" s="33" t="s">
        <v>6</v>
      </c>
      <c r="E266" s="34">
        <v>42534</v>
      </c>
      <c r="F266" s="33" t="s">
        <v>29</v>
      </c>
      <c r="G266" s="33" t="s">
        <v>16</v>
      </c>
      <c r="H266" s="33" t="s">
        <v>167</v>
      </c>
    </row>
    <row r="267" spans="1:8" ht="30">
      <c r="A267" s="15" t="s">
        <v>161</v>
      </c>
      <c r="B267" s="15" t="str">
        <f>_xlfn.IFNA(INDEX(nameStd[EIW],MATCH(Table2[[#This Row],[Name]],nameStd[Salary],0)),Table2[[#This Row],[Name]])</f>
        <v>Akin Gump Strauss Hauer &amp; Feld</v>
      </c>
      <c r="C267" s="33" t="s">
        <v>5</v>
      </c>
      <c r="D267" s="33" t="s">
        <v>6</v>
      </c>
      <c r="E267" s="34">
        <v>42534</v>
      </c>
      <c r="F267" s="33" t="s">
        <v>162</v>
      </c>
      <c r="G267" s="33" t="s">
        <v>16</v>
      </c>
      <c r="H267" s="33" t="s">
        <v>167</v>
      </c>
    </row>
    <row r="268" spans="1:8" ht="30">
      <c r="A268" s="33" t="s">
        <v>161</v>
      </c>
      <c r="B268" s="33" t="str">
        <f>_xlfn.IFNA(INDEX(nameStd[EIW],MATCH(Table2[[#This Row],[Name]],nameStd[Salary],0)),Table2[[#This Row],[Name]])</f>
        <v>Akin Gump Strauss Hauer &amp; Feld</v>
      </c>
      <c r="C268" s="33" t="s">
        <v>5</v>
      </c>
      <c r="D268" s="33" t="s">
        <v>6</v>
      </c>
      <c r="E268" s="34">
        <v>42534</v>
      </c>
      <c r="F268" s="33" t="s">
        <v>30</v>
      </c>
      <c r="G268" s="33" t="s">
        <v>16</v>
      </c>
      <c r="H268" s="33" t="s">
        <v>167</v>
      </c>
    </row>
    <row r="269" spans="1:8" ht="30">
      <c r="A269" s="33" t="s">
        <v>161</v>
      </c>
      <c r="B269" s="33" t="str">
        <f>_xlfn.IFNA(INDEX(nameStd[EIW],MATCH(Table2[[#This Row],[Name]],nameStd[Salary],0)),Table2[[#This Row],[Name]])</f>
        <v>Akin Gump Strauss Hauer &amp; Feld</v>
      </c>
      <c r="C269" s="33" t="s">
        <v>5</v>
      </c>
      <c r="D269" s="33" t="s">
        <v>6</v>
      </c>
      <c r="E269" s="34">
        <v>42534</v>
      </c>
      <c r="F269" s="33" t="s">
        <v>163</v>
      </c>
      <c r="G269" s="33" t="s">
        <v>16</v>
      </c>
      <c r="H269" s="33" t="s">
        <v>167</v>
      </c>
    </row>
    <row r="270" spans="1:8" ht="30">
      <c r="A270" s="33" t="s">
        <v>161</v>
      </c>
      <c r="B270" s="33" t="str">
        <f>_xlfn.IFNA(INDEX(nameStd[EIW],MATCH(Table2[[#This Row],[Name]],nameStd[Salary],0)),Table2[[#This Row],[Name]])</f>
        <v>Akin Gump Strauss Hauer &amp; Feld</v>
      </c>
      <c r="C270" s="33" t="s">
        <v>5</v>
      </c>
      <c r="D270" s="33" t="s">
        <v>6</v>
      </c>
      <c r="E270" s="34">
        <v>42534</v>
      </c>
      <c r="F270" s="33" t="s">
        <v>164</v>
      </c>
      <c r="G270" s="33" t="s">
        <v>16</v>
      </c>
      <c r="H270" s="33" t="s">
        <v>167</v>
      </c>
    </row>
    <row r="271" spans="1:8" ht="30">
      <c r="A271" s="33" t="s">
        <v>161</v>
      </c>
      <c r="B271" s="33" t="str">
        <f>_xlfn.IFNA(INDEX(nameStd[EIW],MATCH(Table2[[#This Row],[Name]],nameStd[Salary],0)),Table2[[#This Row],[Name]])</f>
        <v>Akin Gump Strauss Hauer &amp; Feld</v>
      </c>
      <c r="C271" s="33" t="s">
        <v>5</v>
      </c>
      <c r="D271" s="33" t="s">
        <v>6</v>
      </c>
      <c r="E271" s="34">
        <v>42534</v>
      </c>
      <c r="F271" s="33" t="s">
        <v>119</v>
      </c>
      <c r="G271" s="33" t="s">
        <v>16</v>
      </c>
      <c r="H271" s="33" t="s">
        <v>167</v>
      </c>
    </row>
    <row r="272" spans="1:8" ht="30">
      <c r="A272" s="33" t="s">
        <v>161</v>
      </c>
      <c r="B272" s="33" t="str">
        <f>_xlfn.IFNA(INDEX(nameStd[EIW],MATCH(Table2[[#This Row],[Name]],nameStd[Salary],0)),Table2[[#This Row],[Name]])</f>
        <v>Akin Gump Strauss Hauer &amp; Feld</v>
      </c>
      <c r="C272" s="33" t="s">
        <v>5</v>
      </c>
      <c r="D272" s="33" t="s">
        <v>6</v>
      </c>
      <c r="E272" s="34">
        <v>42534</v>
      </c>
      <c r="F272" s="33" t="s">
        <v>11</v>
      </c>
      <c r="G272" s="33" t="s">
        <v>16</v>
      </c>
      <c r="H272" s="33" t="s">
        <v>167</v>
      </c>
    </row>
    <row r="273" spans="1:8" ht="30">
      <c r="A273" s="33" t="s">
        <v>161</v>
      </c>
      <c r="B273" s="33" t="str">
        <f>_xlfn.IFNA(INDEX(nameStd[EIW],MATCH(Table2[[#This Row],[Name]],nameStd[Salary],0)),Table2[[#This Row],[Name]])</f>
        <v>Akin Gump Strauss Hauer &amp; Feld</v>
      </c>
      <c r="C273" s="33" t="s">
        <v>5</v>
      </c>
      <c r="D273" s="33" t="s">
        <v>6</v>
      </c>
      <c r="E273" s="34">
        <v>42534</v>
      </c>
      <c r="F273" s="33" t="s">
        <v>49</v>
      </c>
      <c r="G273" s="33" t="s">
        <v>16</v>
      </c>
      <c r="H273" s="33" t="s">
        <v>167</v>
      </c>
    </row>
    <row r="274" spans="1:8" ht="30">
      <c r="A274" s="33" t="s">
        <v>161</v>
      </c>
      <c r="B274" s="33" t="str">
        <f>_xlfn.IFNA(INDEX(nameStd[EIW],MATCH(Table2[[#This Row],[Name]],nameStd[Salary],0)),Table2[[#This Row],[Name]])</f>
        <v>Akin Gump Strauss Hauer &amp; Feld</v>
      </c>
      <c r="C274" s="33" t="s">
        <v>5</v>
      </c>
      <c r="D274" s="33" t="s">
        <v>6</v>
      </c>
      <c r="E274" s="34">
        <v>42534</v>
      </c>
      <c r="F274" s="33" t="s">
        <v>7</v>
      </c>
      <c r="G274" s="33" t="s">
        <v>16</v>
      </c>
      <c r="H274" s="33" t="s">
        <v>167</v>
      </c>
    </row>
    <row r="275" spans="1:8" ht="30">
      <c r="A275" s="33" t="s">
        <v>161</v>
      </c>
      <c r="B275" s="33" t="str">
        <f>_xlfn.IFNA(INDEX(nameStd[EIW],MATCH(Table2[[#This Row],[Name]],nameStd[Salary],0)),Table2[[#This Row],[Name]])</f>
        <v>Akin Gump Strauss Hauer &amp; Feld</v>
      </c>
      <c r="C275" s="33" t="s">
        <v>5</v>
      </c>
      <c r="D275" s="33" t="s">
        <v>6</v>
      </c>
      <c r="E275" s="34">
        <v>42534</v>
      </c>
      <c r="F275" s="33" t="s">
        <v>149</v>
      </c>
      <c r="G275" s="33" t="s">
        <v>16</v>
      </c>
      <c r="H275" s="33" t="s">
        <v>167</v>
      </c>
    </row>
    <row r="276" spans="1:8" ht="30">
      <c r="A276" s="33" t="s">
        <v>161</v>
      </c>
      <c r="B276" s="33" t="str">
        <f>_xlfn.IFNA(INDEX(nameStd[EIW],MATCH(Table2[[#This Row],[Name]],nameStd[Salary],0)),Table2[[#This Row],[Name]])</f>
        <v>Akin Gump Strauss Hauer &amp; Feld</v>
      </c>
      <c r="C276" s="33" t="s">
        <v>5</v>
      </c>
      <c r="D276" s="33" t="s">
        <v>6</v>
      </c>
      <c r="E276" s="34">
        <v>42534</v>
      </c>
      <c r="F276" s="33" t="s">
        <v>15</v>
      </c>
      <c r="G276" s="33" t="s">
        <v>16</v>
      </c>
      <c r="H276" s="33" t="s">
        <v>167</v>
      </c>
    </row>
    <row r="277" spans="1:8" ht="30">
      <c r="A277" s="33" t="s">
        <v>161</v>
      </c>
      <c r="B277" s="33" t="str">
        <f>_xlfn.IFNA(INDEX(nameStd[EIW],MATCH(Table2[[#This Row],[Name]],nameStd[Salary],0)),Table2[[#This Row],[Name]])</f>
        <v>Akin Gump Strauss Hauer &amp; Feld</v>
      </c>
      <c r="C277" s="33" t="s">
        <v>5</v>
      </c>
      <c r="D277" s="33" t="s">
        <v>6</v>
      </c>
      <c r="E277" s="34">
        <v>42534</v>
      </c>
      <c r="F277" s="33" t="s">
        <v>41</v>
      </c>
      <c r="G277" s="33" t="s">
        <v>16</v>
      </c>
      <c r="H277" s="33" t="s">
        <v>167</v>
      </c>
    </row>
    <row r="278" spans="1:8" ht="30">
      <c r="A278" s="33" t="s">
        <v>161</v>
      </c>
      <c r="B278" s="33" t="str">
        <f>_xlfn.IFNA(INDEX(nameStd[EIW],MATCH(Table2[[#This Row],[Name]],nameStd[Salary],0)),Table2[[#This Row],[Name]])</f>
        <v>Akin Gump Strauss Hauer &amp; Feld</v>
      </c>
      <c r="C278" s="33" t="s">
        <v>5</v>
      </c>
      <c r="D278" s="33" t="s">
        <v>6</v>
      </c>
      <c r="E278" s="34">
        <v>42534</v>
      </c>
      <c r="F278" s="33" t="s">
        <v>37</v>
      </c>
      <c r="G278" s="33" t="s">
        <v>16</v>
      </c>
      <c r="H278" s="33" t="s">
        <v>167</v>
      </c>
    </row>
    <row r="279" spans="1:8" ht="30">
      <c r="A279" s="33" t="s">
        <v>161</v>
      </c>
      <c r="B279" s="33" t="str">
        <f>_xlfn.IFNA(INDEX(nameStd[EIW],MATCH(Table2[[#This Row],[Name]],nameStd[Salary],0)),Table2[[#This Row],[Name]])</f>
        <v>Akin Gump Strauss Hauer &amp; Feld</v>
      </c>
      <c r="C279" s="33" t="s">
        <v>5</v>
      </c>
      <c r="D279" s="33" t="s">
        <v>6</v>
      </c>
      <c r="E279" s="34">
        <v>42534</v>
      </c>
      <c r="F279" s="33" t="s">
        <v>165</v>
      </c>
      <c r="G279" s="33" t="s">
        <v>16</v>
      </c>
      <c r="H279" s="33" t="s">
        <v>167</v>
      </c>
    </row>
    <row r="280" spans="1:8" ht="30">
      <c r="A280" s="33" t="s">
        <v>161</v>
      </c>
      <c r="B280" s="33" t="str">
        <f>_xlfn.IFNA(INDEX(nameStd[EIW],MATCH(Table2[[#This Row],[Name]],nameStd[Salary],0)),Table2[[#This Row],[Name]])</f>
        <v>Akin Gump Strauss Hauer &amp; Feld</v>
      </c>
      <c r="C280" s="33" t="s">
        <v>5</v>
      </c>
      <c r="D280" s="33" t="s">
        <v>6</v>
      </c>
      <c r="E280" s="34">
        <v>42534</v>
      </c>
      <c r="F280" s="33" t="s">
        <v>166</v>
      </c>
      <c r="G280" s="33" t="s">
        <v>16</v>
      </c>
      <c r="H280" s="33" t="s">
        <v>167</v>
      </c>
    </row>
    <row r="281" spans="1:8" ht="30">
      <c r="A281" s="32" t="s">
        <v>168</v>
      </c>
      <c r="B281" s="32" t="str">
        <f>_xlfn.IFNA(INDEX(nameStd[EIW],MATCH(Table2[[#This Row],[Name]],nameStd[Salary],0)),Table2[[#This Row],[Name]])</f>
        <v>Baker &amp; McKenzie</v>
      </c>
      <c r="C281" s="33" t="s">
        <v>169</v>
      </c>
      <c r="D281" s="33" t="s">
        <v>134</v>
      </c>
      <c r="E281" s="34">
        <v>42534</v>
      </c>
      <c r="F281" s="33" t="s">
        <v>48</v>
      </c>
      <c r="G281" s="33" t="s">
        <v>8</v>
      </c>
      <c r="H281" s="33" t="s">
        <v>170</v>
      </c>
    </row>
    <row r="282" spans="1:8" ht="30">
      <c r="A282" s="15" t="s">
        <v>168</v>
      </c>
      <c r="B282" s="15" t="str">
        <f>_xlfn.IFNA(INDEX(nameStd[EIW],MATCH(Table2[[#This Row],[Name]],nameStd[Salary],0)),Table2[[#This Row],[Name]])</f>
        <v>Baker &amp; McKenzie</v>
      </c>
      <c r="C282" s="33" t="s">
        <v>169</v>
      </c>
      <c r="D282" s="33" t="s">
        <v>134</v>
      </c>
      <c r="E282" s="34">
        <v>42534</v>
      </c>
      <c r="F282" s="33" t="s">
        <v>29</v>
      </c>
      <c r="G282" s="33" t="s">
        <v>8</v>
      </c>
      <c r="H282" s="33" t="s">
        <v>170</v>
      </c>
    </row>
    <row r="283" spans="1:8" ht="30">
      <c r="A283" s="15" t="s">
        <v>168</v>
      </c>
      <c r="B283" s="15" t="str">
        <f>_xlfn.IFNA(INDEX(nameStd[EIW],MATCH(Table2[[#This Row],[Name]],nameStd[Salary],0)),Table2[[#This Row],[Name]])</f>
        <v>Baker &amp; McKenzie</v>
      </c>
      <c r="C283" s="33" t="s">
        <v>169</v>
      </c>
      <c r="D283" s="33" t="s">
        <v>134</v>
      </c>
      <c r="E283" s="34">
        <v>42534</v>
      </c>
      <c r="F283" s="33" t="s">
        <v>30</v>
      </c>
      <c r="G283" s="33" t="s">
        <v>8</v>
      </c>
      <c r="H283" s="33" t="s">
        <v>170</v>
      </c>
    </row>
    <row r="284" spans="1:8" ht="30">
      <c r="A284" s="33" t="s">
        <v>168</v>
      </c>
      <c r="B284" s="33" t="str">
        <f>_xlfn.IFNA(INDEX(nameStd[EIW],MATCH(Table2[[#This Row],[Name]],nameStd[Salary],0)),Table2[[#This Row],[Name]])</f>
        <v>Baker &amp; McKenzie</v>
      </c>
      <c r="C284" s="33" t="s">
        <v>169</v>
      </c>
      <c r="D284" s="33" t="s">
        <v>134</v>
      </c>
      <c r="E284" s="34">
        <v>42534</v>
      </c>
      <c r="F284" s="33" t="s">
        <v>31</v>
      </c>
      <c r="G284" s="33" t="s">
        <v>8</v>
      </c>
      <c r="H284" s="33" t="s">
        <v>170</v>
      </c>
    </row>
    <row r="285" spans="1:8" ht="30">
      <c r="A285" s="33" t="s">
        <v>168</v>
      </c>
      <c r="B285" s="33" t="str">
        <f>_xlfn.IFNA(INDEX(nameStd[EIW],MATCH(Table2[[#This Row],[Name]],nameStd[Salary],0)),Table2[[#This Row],[Name]])</f>
        <v>Baker &amp; McKenzie</v>
      </c>
      <c r="C285" s="33" t="s">
        <v>169</v>
      </c>
      <c r="D285" s="33" t="s">
        <v>134</v>
      </c>
      <c r="E285" s="34">
        <v>42534</v>
      </c>
      <c r="F285" s="33" t="s">
        <v>7</v>
      </c>
      <c r="G285" s="33" t="s">
        <v>8</v>
      </c>
      <c r="H285" s="33" t="s">
        <v>170</v>
      </c>
    </row>
    <row r="286" spans="1:8" ht="30">
      <c r="A286" s="33" t="s">
        <v>168</v>
      </c>
      <c r="B286" s="33" t="str">
        <f>_xlfn.IFNA(INDEX(nameStd[EIW],MATCH(Table2[[#This Row],[Name]],nameStd[Salary],0)),Table2[[#This Row],[Name]])</f>
        <v>Baker &amp; McKenzie</v>
      </c>
      <c r="C286" s="33" t="s">
        <v>169</v>
      </c>
      <c r="D286" s="33" t="s">
        <v>134</v>
      </c>
      <c r="E286" s="34">
        <v>42534</v>
      </c>
      <c r="F286" s="33" t="s">
        <v>40</v>
      </c>
      <c r="G286" s="33" t="s">
        <v>8</v>
      </c>
      <c r="H286" s="33" t="s">
        <v>170</v>
      </c>
    </row>
    <row r="287" spans="1:8" ht="30">
      <c r="A287" s="33" t="s">
        <v>168</v>
      </c>
      <c r="B287" s="33" t="str">
        <f>_xlfn.IFNA(INDEX(nameStd[EIW],MATCH(Table2[[#This Row],[Name]],nameStd[Salary],0)),Table2[[#This Row],[Name]])</f>
        <v>Baker &amp; McKenzie</v>
      </c>
      <c r="C287" s="33" t="s">
        <v>169</v>
      </c>
      <c r="D287" s="33" t="s">
        <v>134</v>
      </c>
      <c r="E287" s="34">
        <v>42534</v>
      </c>
      <c r="F287" s="33" t="s">
        <v>49</v>
      </c>
      <c r="G287" s="33" t="s">
        <v>8</v>
      </c>
      <c r="H287" s="33" t="s">
        <v>170</v>
      </c>
    </row>
    <row r="288" spans="1:8" ht="30">
      <c r="A288" s="33" t="s">
        <v>168</v>
      </c>
      <c r="B288" s="33" t="str">
        <f>_xlfn.IFNA(INDEX(nameStd[EIW],MATCH(Table2[[#This Row],[Name]],nameStd[Salary],0)),Table2[[#This Row],[Name]])</f>
        <v>Baker &amp; McKenzie</v>
      </c>
      <c r="C288" s="33" t="s">
        <v>169</v>
      </c>
      <c r="D288" s="33" t="s">
        <v>134</v>
      </c>
      <c r="E288" s="34">
        <v>42534</v>
      </c>
      <c r="F288" s="33" t="s">
        <v>15</v>
      </c>
      <c r="G288" s="33" t="s">
        <v>8</v>
      </c>
      <c r="H288" s="33" t="s">
        <v>170</v>
      </c>
    </row>
    <row r="289" spans="1:8" ht="30">
      <c r="A289" s="32" t="s">
        <v>171</v>
      </c>
      <c r="B289" s="32" t="str">
        <f>_xlfn.IFNA(INDEX(nameStd[EIW],MATCH(Table2[[#This Row],[Name]],nameStd[Salary],0)),Table2[[#This Row],[Name]])</f>
        <v>Ropes &amp; Gray</v>
      </c>
      <c r="C289" s="33" t="s">
        <v>5</v>
      </c>
      <c r="D289" s="33" t="s">
        <v>6</v>
      </c>
      <c r="E289" s="34">
        <v>42534</v>
      </c>
      <c r="F289" s="33" t="s">
        <v>28</v>
      </c>
      <c r="G289" s="33" t="s">
        <v>16</v>
      </c>
      <c r="H289" s="33" t="s">
        <v>173</v>
      </c>
    </row>
    <row r="290" spans="1:8" ht="30">
      <c r="A290" s="15" t="s">
        <v>171</v>
      </c>
      <c r="B290" s="15" t="str">
        <f>_xlfn.IFNA(INDEX(nameStd[EIW],MATCH(Table2[[#This Row],[Name]],nameStd[Salary],0)),Table2[[#This Row],[Name]])</f>
        <v>Ropes &amp; Gray</v>
      </c>
      <c r="C290" s="33" t="s">
        <v>5</v>
      </c>
      <c r="D290" s="33" t="s">
        <v>6</v>
      </c>
      <c r="E290" s="34">
        <v>42534</v>
      </c>
      <c r="F290" s="33" t="s">
        <v>7</v>
      </c>
      <c r="G290" s="33" t="s">
        <v>16</v>
      </c>
      <c r="H290" s="33" t="s">
        <v>173</v>
      </c>
    </row>
    <row r="291" spans="1:8" ht="30">
      <c r="A291" s="15" t="s">
        <v>171</v>
      </c>
      <c r="B291" s="15" t="str">
        <f>_xlfn.IFNA(INDEX(nameStd[EIW],MATCH(Table2[[#This Row],[Name]],nameStd[Salary],0)),Table2[[#This Row],[Name]])</f>
        <v>Ropes &amp; Gray</v>
      </c>
      <c r="C291" s="33" t="s">
        <v>5</v>
      </c>
      <c r="D291" s="33" t="s">
        <v>6</v>
      </c>
      <c r="E291" s="34">
        <v>42534</v>
      </c>
      <c r="F291" s="33" t="s">
        <v>15</v>
      </c>
      <c r="G291" s="33" t="s">
        <v>16</v>
      </c>
      <c r="H291" s="33" t="s">
        <v>173</v>
      </c>
    </row>
    <row r="292" spans="1:8" ht="30">
      <c r="A292" s="33" t="s">
        <v>171</v>
      </c>
      <c r="B292" s="33" t="str">
        <f>_xlfn.IFNA(INDEX(nameStd[EIW],MATCH(Table2[[#This Row],[Name]],nameStd[Salary],0)),Table2[[#This Row],[Name]])</f>
        <v>Ropes &amp; Gray</v>
      </c>
      <c r="C292" s="33" t="s">
        <v>5</v>
      </c>
      <c r="D292" s="33" t="s">
        <v>6</v>
      </c>
      <c r="E292" s="34">
        <v>42534</v>
      </c>
      <c r="F292" s="33" t="s">
        <v>48</v>
      </c>
      <c r="G292" s="33" t="s">
        <v>16</v>
      </c>
      <c r="H292" s="33" t="s">
        <v>173</v>
      </c>
    </row>
    <row r="293" spans="1:8" ht="30">
      <c r="A293" s="33" t="s">
        <v>171</v>
      </c>
      <c r="B293" s="33" t="str">
        <f>_xlfn.IFNA(INDEX(nameStd[EIW],MATCH(Table2[[#This Row],[Name]],nameStd[Salary],0)),Table2[[#This Row],[Name]])</f>
        <v>Ropes &amp; Gray</v>
      </c>
      <c r="C293" s="33" t="s">
        <v>5</v>
      </c>
      <c r="D293" s="33" t="s">
        <v>6</v>
      </c>
      <c r="E293" s="34">
        <v>42534</v>
      </c>
      <c r="F293" s="33" t="s">
        <v>49</v>
      </c>
      <c r="G293" s="33" t="s">
        <v>16</v>
      </c>
      <c r="H293" s="33" t="s">
        <v>173</v>
      </c>
    </row>
    <row r="294" spans="1:8" ht="30">
      <c r="A294" s="33" t="s">
        <v>171</v>
      </c>
      <c r="B294" s="33" t="str">
        <f>_xlfn.IFNA(INDEX(nameStd[EIW],MATCH(Table2[[#This Row],[Name]],nameStd[Salary],0)),Table2[[#This Row],[Name]])</f>
        <v>Ropes &amp; Gray</v>
      </c>
      <c r="C294" s="33" t="s">
        <v>5</v>
      </c>
      <c r="D294" s="33" t="s">
        <v>6</v>
      </c>
      <c r="E294" s="34">
        <v>42534</v>
      </c>
      <c r="F294" s="33" t="s">
        <v>172</v>
      </c>
      <c r="G294" s="33" t="s">
        <v>16</v>
      </c>
      <c r="H294" s="33" t="s">
        <v>173</v>
      </c>
    </row>
    <row r="295" spans="1:8" ht="30">
      <c r="A295" s="32" t="s">
        <v>174</v>
      </c>
      <c r="B295" s="32" t="str">
        <f>_xlfn.IFNA(INDEX(nameStd[EIW],MATCH(Table2[[#This Row],[Name]],nameStd[Salary],0)),Table2[[#This Row],[Name]])</f>
        <v>Bracewell</v>
      </c>
      <c r="C295" s="33" t="s">
        <v>5</v>
      </c>
      <c r="D295" s="33" t="s">
        <v>6</v>
      </c>
      <c r="E295" s="34">
        <v>42534</v>
      </c>
      <c r="F295" s="33" t="s">
        <v>87</v>
      </c>
      <c r="G295" s="33" t="s">
        <v>16</v>
      </c>
      <c r="H295" s="33" t="s">
        <v>177</v>
      </c>
    </row>
    <row r="296" spans="1:8" ht="30">
      <c r="A296" s="15" t="s">
        <v>174</v>
      </c>
      <c r="B296" s="15" t="str">
        <f>_xlfn.IFNA(INDEX(nameStd[EIW],MATCH(Table2[[#This Row],[Name]],nameStd[Salary],0)),Table2[[#This Row],[Name]])</f>
        <v>Bracewell</v>
      </c>
      <c r="C296" s="33" t="s">
        <v>5</v>
      </c>
      <c r="D296" s="33" t="s">
        <v>6</v>
      </c>
      <c r="E296" s="34">
        <v>42534</v>
      </c>
      <c r="F296" s="33" t="s">
        <v>29</v>
      </c>
      <c r="G296" s="33" t="s">
        <v>16</v>
      </c>
      <c r="H296" s="33" t="s">
        <v>177</v>
      </c>
    </row>
    <row r="297" spans="1:8" ht="30">
      <c r="A297" s="15" t="s">
        <v>174</v>
      </c>
      <c r="B297" s="15" t="str">
        <f>_xlfn.IFNA(INDEX(nameStd[EIW],MATCH(Table2[[#This Row],[Name]],nameStd[Salary],0)),Table2[[#This Row],[Name]])</f>
        <v>Bracewell</v>
      </c>
      <c r="C297" s="33" t="s">
        <v>5</v>
      </c>
      <c r="D297" s="33" t="s">
        <v>6</v>
      </c>
      <c r="E297" s="34">
        <v>42534</v>
      </c>
      <c r="F297" s="33" t="s">
        <v>30</v>
      </c>
      <c r="G297" s="33" t="s">
        <v>16</v>
      </c>
      <c r="H297" s="33" t="s">
        <v>177</v>
      </c>
    </row>
    <row r="298" spans="1:8" ht="30">
      <c r="A298" s="33" t="s">
        <v>174</v>
      </c>
      <c r="B298" s="33" t="str">
        <f>_xlfn.IFNA(INDEX(nameStd[EIW],MATCH(Table2[[#This Row],[Name]],nameStd[Salary],0)),Table2[[#This Row],[Name]])</f>
        <v>Bracewell</v>
      </c>
      <c r="C298" s="33" t="s">
        <v>5</v>
      </c>
      <c r="D298" s="33" t="s">
        <v>6</v>
      </c>
      <c r="E298" s="34">
        <v>42534</v>
      </c>
      <c r="F298" s="33" t="s">
        <v>175</v>
      </c>
      <c r="G298" s="33" t="s">
        <v>16</v>
      </c>
      <c r="H298" s="33" t="s">
        <v>177</v>
      </c>
    </row>
    <row r="299" spans="1:8" ht="30">
      <c r="A299" s="33" t="s">
        <v>174</v>
      </c>
      <c r="B299" s="33" t="str">
        <f>_xlfn.IFNA(INDEX(nameStd[EIW],MATCH(Table2[[#This Row],[Name]],nameStd[Salary],0)),Table2[[#This Row],[Name]])</f>
        <v>Bracewell</v>
      </c>
      <c r="C299" s="33" t="s">
        <v>5</v>
      </c>
      <c r="D299" s="33" t="s">
        <v>6</v>
      </c>
      <c r="E299" s="34">
        <v>42534</v>
      </c>
      <c r="F299" s="33" t="s">
        <v>118</v>
      </c>
      <c r="G299" s="33" t="s">
        <v>16</v>
      </c>
      <c r="H299" s="33" t="s">
        <v>177</v>
      </c>
    </row>
    <row r="300" spans="1:8" ht="30">
      <c r="A300" s="33" t="s">
        <v>174</v>
      </c>
      <c r="B300" s="33" t="str">
        <f>_xlfn.IFNA(INDEX(nameStd[EIW],MATCH(Table2[[#This Row],[Name]],nameStd[Salary],0)),Table2[[#This Row],[Name]])</f>
        <v>Bracewell</v>
      </c>
      <c r="C300" s="33" t="s">
        <v>5</v>
      </c>
      <c r="D300" s="33" t="s">
        <v>6</v>
      </c>
      <c r="E300" s="34">
        <v>42534</v>
      </c>
      <c r="F300" s="33" t="s">
        <v>7</v>
      </c>
      <c r="G300" s="33" t="s">
        <v>16</v>
      </c>
      <c r="H300" s="33" t="s">
        <v>177</v>
      </c>
    </row>
    <row r="301" spans="1:8" ht="30">
      <c r="A301" s="33" t="s">
        <v>174</v>
      </c>
      <c r="B301" s="33" t="str">
        <f>_xlfn.IFNA(INDEX(nameStd[EIW],MATCH(Table2[[#This Row],[Name]],nameStd[Salary],0)),Table2[[#This Row],[Name]])</f>
        <v>Bracewell</v>
      </c>
      <c r="C301" s="33" t="s">
        <v>5</v>
      </c>
      <c r="D301" s="33" t="s">
        <v>6</v>
      </c>
      <c r="E301" s="34">
        <v>42534</v>
      </c>
      <c r="F301" s="33" t="s">
        <v>50</v>
      </c>
      <c r="G301" s="33" t="s">
        <v>16</v>
      </c>
      <c r="H301" s="33" t="s">
        <v>177</v>
      </c>
    </row>
    <row r="302" spans="1:8" ht="30">
      <c r="A302" s="33" t="s">
        <v>174</v>
      </c>
      <c r="B302" s="33" t="str">
        <f>_xlfn.IFNA(INDEX(nameStd[EIW],MATCH(Table2[[#This Row],[Name]],nameStd[Salary],0)),Table2[[#This Row],[Name]])</f>
        <v>Bracewell</v>
      </c>
      <c r="C302" s="33" t="s">
        <v>5</v>
      </c>
      <c r="D302" s="33" t="s">
        <v>6</v>
      </c>
      <c r="E302" s="34">
        <v>42534</v>
      </c>
      <c r="F302" s="33" t="s">
        <v>176</v>
      </c>
      <c r="G302" s="33" t="s">
        <v>16</v>
      </c>
      <c r="H302" s="33" t="s">
        <v>177</v>
      </c>
    </row>
    <row r="303" spans="1:8" ht="30">
      <c r="A303" s="32" t="s">
        <v>178</v>
      </c>
      <c r="B303" s="32" t="str">
        <f>_xlfn.IFNA(INDEX(nameStd[EIW],MATCH(Table2[[#This Row],[Name]],nameStd[Salary],0)),Table2[[#This Row],[Name]])</f>
        <v>Fried Frank Harris Shriver &amp; Jacobson</v>
      </c>
      <c r="C303" s="33" t="s">
        <v>5</v>
      </c>
      <c r="D303" s="33" t="s">
        <v>6</v>
      </c>
      <c r="E303" s="34">
        <v>42535</v>
      </c>
      <c r="F303" s="33" t="s">
        <v>7</v>
      </c>
      <c r="G303" s="33" t="s">
        <v>16</v>
      </c>
      <c r="H303" s="33" t="s">
        <v>179</v>
      </c>
    </row>
    <row r="304" spans="1:8" ht="30">
      <c r="A304" s="15" t="s">
        <v>178</v>
      </c>
      <c r="B304" s="15" t="str">
        <f>_xlfn.IFNA(INDEX(nameStd[EIW],MATCH(Table2[[#This Row],[Name]],nameStd[Salary],0)),Table2[[#This Row],[Name]])</f>
        <v>Fried Frank Harris Shriver &amp; Jacobson</v>
      </c>
      <c r="C304" s="33" t="s">
        <v>5</v>
      </c>
      <c r="D304" s="33" t="s">
        <v>6</v>
      </c>
      <c r="E304" s="34">
        <v>42535</v>
      </c>
      <c r="F304" s="33" t="s">
        <v>15</v>
      </c>
      <c r="G304" s="33" t="s">
        <v>16</v>
      </c>
      <c r="H304" s="33" t="s">
        <v>179</v>
      </c>
    </row>
    <row r="305" spans="1:8" ht="30">
      <c r="A305" s="32" t="s">
        <v>180</v>
      </c>
      <c r="B305" s="32" t="str">
        <f>_xlfn.IFNA(INDEX(nameStd[EIW],MATCH(Table2[[#This Row],[Name]],nameStd[Salary],0)),Table2[[#This Row],[Name]])</f>
        <v>Jenner &amp; Block</v>
      </c>
      <c r="C305" s="33" t="s">
        <v>5</v>
      </c>
      <c r="D305" s="33" t="s">
        <v>47</v>
      </c>
      <c r="E305" s="34">
        <v>42535</v>
      </c>
      <c r="F305" s="33" t="s">
        <v>48</v>
      </c>
      <c r="G305" s="33" t="s">
        <v>8</v>
      </c>
      <c r="H305" s="33" t="s">
        <v>181</v>
      </c>
    </row>
    <row r="306" spans="1:8" ht="30">
      <c r="A306" s="15" t="s">
        <v>180</v>
      </c>
      <c r="B306" s="15" t="str">
        <f>_xlfn.IFNA(INDEX(nameStd[EIW],MATCH(Table2[[#This Row],[Name]],nameStd[Salary],0)),Table2[[#This Row],[Name]])</f>
        <v>Jenner &amp; Block</v>
      </c>
      <c r="C306" s="33" t="s">
        <v>5</v>
      </c>
      <c r="D306" s="33" t="s">
        <v>47</v>
      </c>
      <c r="E306" s="34">
        <v>42535</v>
      </c>
      <c r="F306" s="33" t="s">
        <v>8</v>
      </c>
      <c r="G306" s="33" t="s">
        <v>8</v>
      </c>
      <c r="H306" s="33" t="s">
        <v>181</v>
      </c>
    </row>
    <row r="307" spans="1:8" ht="30">
      <c r="A307" s="32" t="s">
        <v>182</v>
      </c>
      <c r="B307" s="32" t="str">
        <f>_xlfn.IFNA(INDEX(nameStd[EIW],MATCH(Table2[[#This Row],[Name]],nameStd[Salary],0)),Table2[[#This Row],[Name]])</f>
        <v>Covington &amp; Burling</v>
      </c>
      <c r="C307" s="33" t="s">
        <v>5</v>
      </c>
      <c r="D307" s="33" t="s">
        <v>6</v>
      </c>
      <c r="E307" s="34">
        <v>42535</v>
      </c>
      <c r="F307" s="33" t="s">
        <v>11</v>
      </c>
      <c r="G307" s="33" t="s">
        <v>16</v>
      </c>
      <c r="H307" s="33" t="s">
        <v>184</v>
      </c>
    </row>
    <row r="308" spans="1:8" ht="30">
      <c r="A308" s="15" t="s">
        <v>182</v>
      </c>
      <c r="B308" s="15" t="str">
        <f>_xlfn.IFNA(INDEX(nameStd[EIW],MATCH(Table2[[#This Row],[Name]],nameStd[Salary],0)),Table2[[#This Row],[Name]])</f>
        <v>Covington &amp; Burling</v>
      </c>
      <c r="C308" s="33" t="s">
        <v>5</v>
      </c>
      <c r="D308" s="33" t="s">
        <v>6</v>
      </c>
      <c r="E308" s="34">
        <v>42535</v>
      </c>
      <c r="F308" s="33" t="s">
        <v>49</v>
      </c>
      <c r="G308" s="33" t="s">
        <v>16</v>
      </c>
      <c r="H308" s="33" t="s">
        <v>184</v>
      </c>
    </row>
    <row r="309" spans="1:8" ht="30">
      <c r="A309" s="15" t="s">
        <v>182</v>
      </c>
      <c r="B309" s="15" t="str">
        <f>_xlfn.IFNA(INDEX(nameStd[EIW],MATCH(Table2[[#This Row],[Name]],nameStd[Salary],0)),Table2[[#This Row],[Name]])</f>
        <v>Covington &amp; Burling</v>
      </c>
      <c r="C309" s="33" t="s">
        <v>5</v>
      </c>
      <c r="D309" s="33" t="s">
        <v>6</v>
      </c>
      <c r="E309" s="34">
        <v>42535</v>
      </c>
      <c r="F309" s="33" t="s">
        <v>34</v>
      </c>
      <c r="G309" s="33" t="s">
        <v>16</v>
      </c>
      <c r="H309" s="33" t="s">
        <v>184</v>
      </c>
    </row>
    <row r="310" spans="1:8" ht="30">
      <c r="A310" s="33" t="s">
        <v>182</v>
      </c>
      <c r="B310" s="33" t="str">
        <f>_xlfn.IFNA(INDEX(nameStd[EIW],MATCH(Table2[[#This Row],[Name]],nameStd[Salary],0)),Table2[[#This Row],[Name]])</f>
        <v>Covington &amp; Burling</v>
      </c>
      <c r="C310" s="33" t="s">
        <v>5</v>
      </c>
      <c r="D310" s="33" t="s">
        <v>6</v>
      </c>
      <c r="E310" s="34">
        <v>42535</v>
      </c>
      <c r="F310" s="33" t="s">
        <v>7</v>
      </c>
      <c r="G310" s="33" t="s">
        <v>16</v>
      </c>
      <c r="H310" s="33" t="s">
        <v>184</v>
      </c>
    </row>
    <row r="311" spans="1:8" ht="30">
      <c r="A311" s="33" t="s">
        <v>182</v>
      </c>
      <c r="B311" s="33" t="str">
        <f>_xlfn.IFNA(INDEX(nameStd[EIW],MATCH(Table2[[#This Row],[Name]],nameStd[Salary],0)),Table2[[#This Row],[Name]])</f>
        <v>Covington &amp; Burling</v>
      </c>
      <c r="C311" s="33" t="s">
        <v>5</v>
      </c>
      <c r="D311" s="33" t="s">
        <v>6</v>
      </c>
      <c r="E311" s="34">
        <v>42535</v>
      </c>
      <c r="F311" s="33" t="s">
        <v>183</v>
      </c>
      <c r="G311" s="33" t="s">
        <v>16</v>
      </c>
      <c r="H311" s="33" t="s">
        <v>184</v>
      </c>
    </row>
    <row r="312" spans="1:8" ht="30">
      <c r="A312" s="32" t="s">
        <v>185</v>
      </c>
      <c r="B312" s="32" t="str">
        <f>_xlfn.IFNA(INDEX(nameStd[EIW],MATCH(Table2[[#This Row],[Name]],nameStd[Salary],0)),Table2[[#This Row],[Name]])</f>
        <v>Boies, Schiller &amp; Flexner</v>
      </c>
      <c r="C312" s="33" t="s">
        <v>5</v>
      </c>
      <c r="D312" s="33" t="s">
        <v>47</v>
      </c>
      <c r="E312" s="34">
        <v>42535</v>
      </c>
      <c r="F312" s="33" t="s">
        <v>7</v>
      </c>
      <c r="G312" s="33" t="s">
        <v>16</v>
      </c>
      <c r="H312" s="33" t="s">
        <v>194</v>
      </c>
    </row>
    <row r="313" spans="1:8" ht="30">
      <c r="A313" s="15" t="s">
        <v>185</v>
      </c>
      <c r="B313" s="15" t="str">
        <f>_xlfn.IFNA(INDEX(nameStd[EIW],MATCH(Table2[[#This Row],[Name]],nameStd[Salary],0)),Table2[[#This Row],[Name]])</f>
        <v>Boies, Schiller &amp; Flexner</v>
      </c>
      <c r="C313" s="33" t="s">
        <v>5</v>
      </c>
      <c r="D313" s="33" t="s">
        <v>47</v>
      </c>
      <c r="E313" s="34">
        <v>42535</v>
      </c>
      <c r="F313" s="33" t="s">
        <v>186</v>
      </c>
      <c r="G313" s="33" t="s">
        <v>16</v>
      </c>
      <c r="H313" s="33" t="s">
        <v>194</v>
      </c>
    </row>
    <row r="314" spans="1:8" ht="30">
      <c r="A314" s="15" t="s">
        <v>185</v>
      </c>
      <c r="B314" s="15" t="str">
        <f>_xlfn.IFNA(INDEX(nameStd[EIW],MATCH(Table2[[#This Row],[Name]],nameStd[Salary],0)),Table2[[#This Row],[Name]])</f>
        <v>Boies, Schiller &amp; Flexner</v>
      </c>
      <c r="C314" s="33" t="s">
        <v>5</v>
      </c>
      <c r="D314" s="33" t="s">
        <v>47</v>
      </c>
      <c r="E314" s="34">
        <v>42535</v>
      </c>
      <c r="F314" s="33" t="s">
        <v>187</v>
      </c>
      <c r="G314" s="33" t="s">
        <v>16</v>
      </c>
      <c r="H314" s="33" t="s">
        <v>194</v>
      </c>
    </row>
    <row r="315" spans="1:8" ht="30">
      <c r="A315" s="33" t="s">
        <v>185</v>
      </c>
      <c r="B315" s="33" t="str">
        <f>_xlfn.IFNA(INDEX(nameStd[EIW],MATCH(Table2[[#This Row],[Name]],nameStd[Salary],0)),Table2[[#This Row],[Name]])</f>
        <v>Boies, Schiller &amp; Flexner</v>
      </c>
      <c r="C315" s="33" t="s">
        <v>5</v>
      </c>
      <c r="D315" s="33" t="s">
        <v>47</v>
      </c>
      <c r="E315" s="34">
        <v>42535</v>
      </c>
      <c r="F315" s="33" t="s">
        <v>188</v>
      </c>
      <c r="G315" s="33" t="s">
        <v>16</v>
      </c>
      <c r="H315" s="33" t="s">
        <v>194</v>
      </c>
    </row>
    <row r="316" spans="1:8" ht="30">
      <c r="A316" s="33" t="s">
        <v>185</v>
      </c>
      <c r="B316" s="33" t="str">
        <f>_xlfn.IFNA(INDEX(nameStd[EIW],MATCH(Table2[[#This Row],[Name]],nameStd[Salary],0)),Table2[[#This Row],[Name]])</f>
        <v>Boies, Schiller &amp; Flexner</v>
      </c>
      <c r="C316" s="33" t="s">
        <v>5</v>
      </c>
      <c r="D316" s="33" t="s">
        <v>47</v>
      </c>
      <c r="E316" s="34">
        <v>42535</v>
      </c>
      <c r="F316" s="33" t="s">
        <v>189</v>
      </c>
      <c r="G316" s="33" t="s">
        <v>16</v>
      </c>
      <c r="H316" s="33" t="s">
        <v>194</v>
      </c>
    </row>
    <row r="317" spans="1:8" ht="30">
      <c r="A317" s="33" t="s">
        <v>185</v>
      </c>
      <c r="B317" s="33" t="str">
        <f>_xlfn.IFNA(INDEX(nameStd[EIW],MATCH(Table2[[#This Row],[Name]],nameStd[Salary],0)),Table2[[#This Row],[Name]])</f>
        <v>Boies, Schiller &amp; Flexner</v>
      </c>
      <c r="C317" s="33" t="s">
        <v>5</v>
      </c>
      <c r="D317" s="33" t="s">
        <v>47</v>
      </c>
      <c r="E317" s="34">
        <v>42535</v>
      </c>
      <c r="F317" s="33" t="s">
        <v>190</v>
      </c>
      <c r="G317" s="33" t="s">
        <v>16</v>
      </c>
      <c r="H317" s="33" t="s">
        <v>194</v>
      </c>
    </row>
    <row r="318" spans="1:8" ht="30">
      <c r="A318" s="33" t="s">
        <v>185</v>
      </c>
      <c r="B318" s="33" t="str">
        <f>_xlfn.IFNA(INDEX(nameStd[EIW],MATCH(Table2[[#This Row],[Name]],nameStd[Salary],0)),Table2[[#This Row],[Name]])</f>
        <v>Boies, Schiller &amp; Flexner</v>
      </c>
      <c r="C318" s="33" t="s">
        <v>5</v>
      </c>
      <c r="D318" s="33" t="s">
        <v>47</v>
      </c>
      <c r="E318" s="34">
        <v>42535</v>
      </c>
      <c r="F318" s="33" t="s">
        <v>31</v>
      </c>
      <c r="G318" s="33" t="s">
        <v>16</v>
      </c>
      <c r="H318" s="33" t="s">
        <v>194</v>
      </c>
    </row>
    <row r="319" spans="1:8" ht="30">
      <c r="A319" s="33" t="s">
        <v>185</v>
      </c>
      <c r="B319" s="33" t="str">
        <f>_xlfn.IFNA(INDEX(nameStd[EIW],MATCH(Table2[[#This Row],[Name]],nameStd[Salary],0)),Table2[[#This Row],[Name]])</f>
        <v>Boies, Schiller &amp; Flexner</v>
      </c>
      <c r="C319" s="33" t="s">
        <v>5</v>
      </c>
      <c r="D319" s="33" t="s">
        <v>47</v>
      </c>
      <c r="E319" s="34">
        <v>42535</v>
      </c>
      <c r="F319" s="33" t="s">
        <v>191</v>
      </c>
      <c r="G319" s="33" t="s">
        <v>16</v>
      </c>
      <c r="H319" s="33" t="s">
        <v>194</v>
      </c>
    </row>
    <row r="320" spans="1:8" ht="30">
      <c r="A320" s="33" t="s">
        <v>185</v>
      </c>
      <c r="B320" s="33" t="str">
        <f>_xlfn.IFNA(INDEX(nameStd[EIW],MATCH(Table2[[#This Row],[Name]],nameStd[Salary],0)),Table2[[#This Row],[Name]])</f>
        <v>Boies, Schiller &amp; Flexner</v>
      </c>
      <c r="C320" s="33" t="s">
        <v>5</v>
      </c>
      <c r="D320" s="33" t="s">
        <v>47</v>
      </c>
      <c r="E320" s="34">
        <v>42535</v>
      </c>
      <c r="F320" s="33" t="s">
        <v>192</v>
      </c>
      <c r="G320" s="33" t="s">
        <v>16</v>
      </c>
      <c r="H320" s="33" t="s">
        <v>194</v>
      </c>
    </row>
    <row r="321" spans="1:8" ht="30">
      <c r="A321" s="33" t="s">
        <v>185</v>
      </c>
      <c r="B321" s="33" t="str">
        <f>_xlfn.IFNA(INDEX(nameStd[EIW],MATCH(Table2[[#This Row],[Name]],nameStd[Salary],0)),Table2[[#This Row],[Name]])</f>
        <v>Boies, Schiller &amp; Flexner</v>
      </c>
      <c r="C321" s="33" t="s">
        <v>5</v>
      </c>
      <c r="D321" s="33" t="s">
        <v>47</v>
      </c>
      <c r="E321" s="34">
        <v>42535</v>
      </c>
      <c r="F321" s="33" t="s">
        <v>15</v>
      </c>
      <c r="G321" s="33" t="s">
        <v>16</v>
      </c>
      <c r="H321" s="33" t="s">
        <v>194</v>
      </c>
    </row>
    <row r="322" spans="1:8" ht="30">
      <c r="A322" s="33" t="s">
        <v>185</v>
      </c>
      <c r="B322" s="33" t="str">
        <f>_xlfn.IFNA(INDEX(nameStd[EIW],MATCH(Table2[[#This Row],[Name]],nameStd[Salary],0)),Table2[[#This Row],[Name]])</f>
        <v>Boies, Schiller &amp; Flexner</v>
      </c>
      <c r="C322" s="33" t="s">
        <v>5</v>
      </c>
      <c r="D322" s="33" t="s">
        <v>47</v>
      </c>
      <c r="E322" s="34">
        <v>42535</v>
      </c>
      <c r="F322" s="33" t="s">
        <v>40</v>
      </c>
      <c r="G322" s="33" t="s">
        <v>16</v>
      </c>
      <c r="H322" s="33" t="s">
        <v>194</v>
      </c>
    </row>
    <row r="323" spans="1:8" ht="30">
      <c r="A323" s="33" t="s">
        <v>185</v>
      </c>
      <c r="B323" s="33" t="str">
        <f>_xlfn.IFNA(INDEX(nameStd[EIW],MATCH(Table2[[#This Row],[Name]],nameStd[Salary],0)),Table2[[#This Row],[Name]])</f>
        <v>Boies, Schiller &amp; Flexner</v>
      </c>
      <c r="C323" s="33" t="s">
        <v>5</v>
      </c>
      <c r="D323" s="33" t="s">
        <v>47</v>
      </c>
      <c r="E323" s="34">
        <v>42535</v>
      </c>
      <c r="F323" s="33" t="s">
        <v>11</v>
      </c>
      <c r="G323" s="33" t="s">
        <v>16</v>
      </c>
      <c r="H323" s="33" t="s">
        <v>194</v>
      </c>
    </row>
    <row r="324" spans="1:8" ht="30">
      <c r="A324" s="33" t="s">
        <v>185</v>
      </c>
      <c r="B324" s="33" t="str">
        <f>_xlfn.IFNA(INDEX(nameStd[EIW],MATCH(Table2[[#This Row],[Name]],nameStd[Salary],0)),Table2[[#This Row],[Name]])</f>
        <v>Boies, Schiller &amp; Flexner</v>
      </c>
      <c r="C324" s="33" t="s">
        <v>5</v>
      </c>
      <c r="D324" s="33" t="s">
        <v>47</v>
      </c>
      <c r="E324" s="34">
        <v>42535</v>
      </c>
      <c r="F324" s="33" t="s">
        <v>193</v>
      </c>
      <c r="G324" s="33" t="s">
        <v>16</v>
      </c>
      <c r="H324" s="33" t="s">
        <v>194</v>
      </c>
    </row>
    <row r="325" spans="1:8" ht="30">
      <c r="A325" s="32" t="s">
        <v>195</v>
      </c>
      <c r="B325" s="32" t="str">
        <f>_xlfn.IFNA(INDEX(nameStd[EIW],MATCH(Table2[[#This Row],[Name]],nameStd[Salary],0)),Table2[[#This Row],[Name]])</f>
        <v>Mayer Brown</v>
      </c>
      <c r="C325" s="33" t="s">
        <v>5</v>
      </c>
      <c r="D325" s="33" t="s">
        <v>6</v>
      </c>
      <c r="E325" s="34">
        <v>42535</v>
      </c>
      <c r="F325" s="33" t="s">
        <v>48</v>
      </c>
      <c r="G325" s="33" t="s">
        <v>16</v>
      </c>
      <c r="H325" s="33" t="s">
        <v>196</v>
      </c>
    </row>
    <row r="326" spans="1:8" ht="30">
      <c r="A326" s="15" t="s">
        <v>195</v>
      </c>
      <c r="B326" s="15" t="str">
        <f>_xlfn.IFNA(INDEX(nameStd[EIW],MATCH(Table2[[#This Row],[Name]],nameStd[Salary],0)),Table2[[#This Row],[Name]])</f>
        <v>Mayer Brown</v>
      </c>
      <c r="C326" s="33" t="s">
        <v>5</v>
      </c>
      <c r="D326" s="33" t="s">
        <v>6</v>
      </c>
      <c r="E326" s="34">
        <v>42535</v>
      </c>
      <c r="F326" s="33" t="s">
        <v>53</v>
      </c>
      <c r="G326" s="33" t="s">
        <v>16</v>
      </c>
      <c r="H326" s="33" t="s">
        <v>196</v>
      </c>
    </row>
    <row r="327" spans="1:8" ht="30">
      <c r="A327" s="15" t="s">
        <v>195</v>
      </c>
      <c r="B327" s="15" t="str">
        <f>_xlfn.IFNA(INDEX(nameStd[EIW],MATCH(Table2[[#This Row],[Name]],nameStd[Salary],0)),Table2[[#This Row],[Name]])</f>
        <v>Mayer Brown</v>
      </c>
      <c r="C327" s="33" t="s">
        <v>5</v>
      </c>
      <c r="D327" s="33" t="s">
        <v>6</v>
      </c>
      <c r="E327" s="34">
        <v>42535</v>
      </c>
      <c r="F327" s="33" t="s">
        <v>30</v>
      </c>
      <c r="G327" s="33" t="s">
        <v>16</v>
      </c>
      <c r="H327" s="33" t="s">
        <v>196</v>
      </c>
    </row>
    <row r="328" spans="1:8" ht="30">
      <c r="A328" s="33" t="s">
        <v>195</v>
      </c>
      <c r="B328" s="33" t="str">
        <f>_xlfn.IFNA(INDEX(nameStd[EIW],MATCH(Table2[[#This Row],[Name]],nameStd[Salary],0)),Table2[[#This Row],[Name]])</f>
        <v>Mayer Brown</v>
      </c>
      <c r="C328" s="33" t="s">
        <v>5</v>
      </c>
      <c r="D328" s="33" t="s">
        <v>6</v>
      </c>
      <c r="E328" s="34">
        <v>42535</v>
      </c>
      <c r="F328" s="33" t="s">
        <v>11</v>
      </c>
      <c r="G328" s="33" t="s">
        <v>16</v>
      </c>
      <c r="H328" s="33" t="s">
        <v>196</v>
      </c>
    </row>
    <row r="329" spans="1:8" ht="30">
      <c r="A329" s="33" t="s">
        <v>195</v>
      </c>
      <c r="B329" s="33" t="str">
        <f>_xlfn.IFNA(INDEX(nameStd[EIW],MATCH(Table2[[#This Row],[Name]],nameStd[Salary],0)),Table2[[#This Row],[Name]])</f>
        <v>Mayer Brown</v>
      </c>
      <c r="C329" s="33" t="s">
        <v>5</v>
      </c>
      <c r="D329" s="33" t="s">
        <v>6</v>
      </c>
      <c r="E329" s="34">
        <v>42535</v>
      </c>
      <c r="F329" s="33" t="s">
        <v>40</v>
      </c>
      <c r="G329" s="33" t="s">
        <v>16</v>
      </c>
      <c r="H329" s="33" t="s">
        <v>196</v>
      </c>
    </row>
    <row r="330" spans="1:8" ht="30">
      <c r="A330" s="33" t="s">
        <v>195</v>
      </c>
      <c r="B330" s="33" t="str">
        <f>_xlfn.IFNA(INDEX(nameStd[EIW],MATCH(Table2[[#This Row],[Name]],nameStd[Salary],0)),Table2[[#This Row],[Name]])</f>
        <v>Mayer Brown</v>
      </c>
      <c r="C330" s="33" t="s">
        <v>5</v>
      </c>
      <c r="D330" s="33" t="s">
        <v>6</v>
      </c>
      <c r="E330" s="34">
        <v>42535</v>
      </c>
      <c r="F330" s="33" t="s">
        <v>7</v>
      </c>
      <c r="G330" s="33" t="s">
        <v>16</v>
      </c>
      <c r="H330" s="33" t="s">
        <v>196</v>
      </c>
    </row>
    <row r="331" spans="1:8" ht="30">
      <c r="A331" s="33" t="s">
        <v>195</v>
      </c>
      <c r="B331" s="33" t="str">
        <f>_xlfn.IFNA(INDEX(nameStd[EIW],MATCH(Table2[[#This Row],[Name]],nameStd[Salary],0)),Table2[[#This Row],[Name]])</f>
        <v>Mayer Brown</v>
      </c>
      <c r="C331" s="33" t="s">
        <v>5</v>
      </c>
      <c r="D331" s="33" t="s">
        <v>6</v>
      </c>
      <c r="E331" s="34">
        <v>42535</v>
      </c>
      <c r="F331" s="33" t="s">
        <v>15</v>
      </c>
      <c r="G331" s="33" t="s">
        <v>16</v>
      </c>
      <c r="H331" s="33" t="s">
        <v>196</v>
      </c>
    </row>
    <row r="332" spans="1:8" ht="30">
      <c r="A332" s="32" t="s">
        <v>197</v>
      </c>
      <c r="B332" s="32" t="str">
        <f>_xlfn.IFNA(INDEX(nameStd[EIW],MATCH(Table2[[#This Row],[Name]],nameStd[Salary],0)),Table2[[#This Row],[Name]])</f>
        <v>DLA Piper</v>
      </c>
      <c r="C332" s="33" t="s">
        <v>5</v>
      </c>
      <c r="D332" s="33" t="s">
        <v>27</v>
      </c>
      <c r="E332" s="34">
        <v>42535</v>
      </c>
      <c r="F332" s="33" t="s">
        <v>7</v>
      </c>
      <c r="G332" s="33" t="s">
        <v>8</v>
      </c>
      <c r="H332" s="33" t="s">
        <v>198</v>
      </c>
    </row>
    <row r="333" spans="1:8" ht="30">
      <c r="A333" s="15" t="s">
        <v>197</v>
      </c>
      <c r="B333" s="15" t="str">
        <f>_xlfn.IFNA(INDEX(nameStd[EIW],MATCH(Table2[[#This Row],[Name]],nameStd[Salary],0)),Table2[[#This Row],[Name]])</f>
        <v>DLA Piper</v>
      </c>
      <c r="C333" s="33" t="s">
        <v>5</v>
      </c>
      <c r="D333" s="33" t="s">
        <v>27</v>
      </c>
      <c r="E333" s="34">
        <v>42535</v>
      </c>
      <c r="F333" s="33" t="s">
        <v>48</v>
      </c>
      <c r="G333" s="33" t="s">
        <v>8</v>
      </c>
      <c r="H333" s="33" t="s">
        <v>198</v>
      </c>
    </row>
    <row r="334" spans="1:8" ht="30">
      <c r="A334" s="15" t="s">
        <v>197</v>
      </c>
      <c r="B334" s="15" t="str">
        <f>_xlfn.IFNA(INDEX(nameStd[EIW],MATCH(Table2[[#This Row],[Name]],nameStd[Salary],0)),Table2[[#This Row],[Name]])</f>
        <v>DLA Piper</v>
      </c>
      <c r="C334" s="33" t="s">
        <v>5</v>
      </c>
      <c r="D334" s="33" t="s">
        <v>27</v>
      </c>
      <c r="E334" s="34">
        <v>42535</v>
      </c>
      <c r="F334" s="33" t="s">
        <v>70</v>
      </c>
      <c r="G334" s="33" t="s">
        <v>8</v>
      </c>
      <c r="H334" s="33" t="s">
        <v>198</v>
      </c>
    </row>
    <row r="335" spans="1:8" ht="30">
      <c r="A335" s="33" t="s">
        <v>197</v>
      </c>
      <c r="B335" s="33" t="str">
        <f>_xlfn.IFNA(INDEX(nameStd[EIW],MATCH(Table2[[#This Row],[Name]],nameStd[Salary],0)),Table2[[#This Row],[Name]])</f>
        <v>DLA Piper</v>
      </c>
      <c r="C335" s="33" t="s">
        <v>5</v>
      </c>
      <c r="D335" s="33" t="s">
        <v>27</v>
      </c>
      <c r="E335" s="34">
        <v>42535</v>
      </c>
      <c r="F335" s="33" t="s">
        <v>69</v>
      </c>
      <c r="G335" s="33" t="s">
        <v>8</v>
      </c>
      <c r="H335" s="33" t="s">
        <v>198</v>
      </c>
    </row>
    <row r="336" spans="1:8" ht="30">
      <c r="A336" s="33" t="s">
        <v>197</v>
      </c>
      <c r="B336" s="33" t="str">
        <f>_xlfn.IFNA(INDEX(nameStd[EIW],MATCH(Table2[[#This Row],[Name]],nameStd[Salary],0)),Table2[[#This Row],[Name]])</f>
        <v>DLA Piper</v>
      </c>
      <c r="C336" s="33" t="s">
        <v>5</v>
      </c>
      <c r="D336" s="33" t="s">
        <v>27</v>
      </c>
      <c r="E336" s="34">
        <v>42535</v>
      </c>
      <c r="F336" s="33" t="s">
        <v>49</v>
      </c>
      <c r="G336" s="33" t="s">
        <v>8</v>
      </c>
      <c r="H336" s="33" t="s">
        <v>198</v>
      </c>
    </row>
    <row r="337" spans="1:8" ht="30">
      <c r="A337" s="33" t="s">
        <v>197</v>
      </c>
      <c r="B337" s="33" t="str">
        <f>_xlfn.IFNA(INDEX(nameStd[EIW],MATCH(Table2[[#This Row],[Name]],nameStd[Salary],0)),Table2[[#This Row],[Name]])</f>
        <v>DLA Piper</v>
      </c>
      <c r="C337" s="33" t="s">
        <v>5</v>
      </c>
      <c r="D337" s="33" t="s">
        <v>27</v>
      </c>
      <c r="E337" s="34">
        <v>42535</v>
      </c>
      <c r="F337" s="33" t="s">
        <v>172</v>
      </c>
      <c r="G337" s="33" t="s">
        <v>8</v>
      </c>
      <c r="H337" s="33" t="s">
        <v>198</v>
      </c>
    </row>
    <row r="338" spans="1:8" ht="30">
      <c r="A338" s="33" t="s">
        <v>197</v>
      </c>
      <c r="B338" s="33" t="str">
        <f>_xlfn.IFNA(INDEX(nameStd[EIW],MATCH(Table2[[#This Row],[Name]],nameStd[Salary],0)),Table2[[#This Row],[Name]])</f>
        <v>DLA Piper</v>
      </c>
      <c r="C338" s="33" t="s">
        <v>5</v>
      </c>
      <c r="D338" s="33" t="s">
        <v>27</v>
      </c>
      <c r="E338" s="34">
        <v>42535</v>
      </c>
      <c r="F338" s="33" t="s">
        <v>15</v>
      </c>
      <c r="G338" s="33" t="s">
        <v>8</v>
      </c>
      <c r="H338" s="33" t="s">
        <v>198</v>
      </c>
    </row>
    <row r="339" spans="1:8" ht="30">
      <c r="A339" s="33" t="s">
        <v>197</v>
      </c>
      <c r="B339" s="33" t="str">
        <f>_xlfn.IFNA(INDEX(nameStd[EIW],MATCH(Table2[[#This Row],[Name]],nameStd[Salary],0)),Table2[[#This Row],[Name]])</f>
        <v>DLA Piper</v>
      </c>
      <c r="C339" s="33" t="s">
        <v>5</v>
      </c>
      <c r="D339" s="33" t="s">
        <v>27</v>
      </c>
      <c r="E339" s="34">
        <v>42535</v>
      </c>
      <c r="F339" s="33" t="s">
        <v>8</v>
      </c>
      <c r="G339" s="33" t="s">
        <v>8</v>
      </c>
      <c r="H339" s="33" t="s">
        <v>198</v>
      </c>
    </row>
    <row r="340" spans="1:8" ht="30">
      <c r="A340" s="32" t="s">
        <v>199</v>
      </c>
      <c r="B340" s="32" t="str">
        <f>_xlfn.IFNA(INDEX(nameStd[EIW],MATCH(Table2[[#This Row],[Name]],nameStd[Salary],0)),Table2[[#This Row],[Name]])</f>
        <v>Goodwin Procter</v>
      </c>
      <c r="C340" s="33" t="s">
        <v>5</v>
      </c>
      <c r="D340" s="33" t="s">
        <v>47</v>
      </c>
      <c r="E340" s="34">
        <v>42535</v>
      </c>
      <c r="F340" s="33" t="s">
        <v>28</v>
      </c>
      <c r="G340" s="33" t="s">
        <v>16</v>
      </c>
      <c r="H340" s="33" t="s">
        <v>200</v>
      </c>
    </row>
    <row r="341" spans="1:8" ht="30">
      <c r="A341" s="15" t="s">
        <v>199</v>
      </c>
      <c r="B341" s="15" t="str">
        <f>_xlfn.IFNA(INDEX(nameStd[EIW],MATCH(Table2[[#This Row],[Name]],nameStd[Salary],0)),Table2[[#This Row],[Name]])</f>
        <v>Goodwin Procter</v>
      </c>
      <c r="C341" s="33" t="s">
        <v>5</v>
      </c>
      <c r="D341" s="33" t="s">
        <v>47</v>
      </c>
      <c r="E341" s="34">
        <v>42535</v>
      </c>
      <c r="F341" s="33" t="s">
        <v>11</v>
      </c>
      <c r="G341" s="33" t="s">
        <v>16</v>
      </c>
      <c r="H341" s="33" t="s">
        <v>200</v>
      </c>
    </row>
    <row r="342" spans="1:8" ht="30">
      <c r="A342" s="15" t="s">
        <v>199</v>
      </c>
      <c r="B342" s="15" t="str">
        <f>_xlfn.IFNA(INDEX(nameStd[EIW],MATCH(Table2[[#This Row],[Name]],nameStd[Salary],0)),Table2[[#This Row],[Name]])</f>
        <v>Goodwin Procter</v>
      </c>
      <c r="C342" s="33" t="s">
        <v>5</v>
      </c>
      <c r="D342" s="33" t="s">
        <v>47</v>
      </c>
      <c r="E342" s="34">
        <v>42535</v>
      </c>
      <c r="F342" s="33" t="s">
        <v>7</v>
      </c>
      <c r="G342" s="33" t="s">
        <v>16</v>
      </c>
      <c r="H342" s="33" t="s">
        <v>200</v>
      </c>
    </row>
    <row r="343" spans="1:8" ht="30">
      <c r="A343" s="33" t="s">
        <v>199</v>
      </c>
      <c r="B343" s="33" t="str">
        <f>_xlfn.IFNA(INDEX(nameStd[EIW],MATCH(Table2[[#This Row],[Name]],nameStd[Salary],0)),Table2[[#This Row],[Name]])</f>
        <v>Goodwin Procter</v>
      </c>
      <c r="C343" s="33" t="s">
        <v>5</v>
      </c>
      <c r="D343" s="33" t="s">
        <v>47</v>
      </c>
      <c r="E343" s="34">
        <v>42535</v>
      </c>
      <c r="F343" s="33" t="s">
        <v>49</v>
      </c>
      <c r="G343" s="33" t="s">
        <v>16</v>
      </c>
      <c r="H343" s="33" t="s">
        <v>200</v>
      </c>
    </row>
    <row r="344" spans="1:8" ht="30">
      <c r="A344" s="33" t="s">
        <v>199</v>
      </c>
      <c r="B344" s="33" t="str">
        <f>_xlfn.IFNA(INDEX(nameStd[EIW],MATCH(Table2[[#This Row],[Name]],nameStd[Salary],0)),Table2[[#This Row],[Name]])</f>
        <v>Goodwin Procter</v>
      </c>
      <c r="C344" s="33" t="s">
        <v>5</v>
      </c>
      <c r="D344" s="33" t="s">
        <v>47</v>
      </c>
      <c r="E344" s="34">
        <v>42535</v>
      </c>
      <c r="F344" s="33" t="s">
        <v>54</v>
      </c>
      <c r="G344" s="33" t="s">
        <v>16</v>
      </c>
      <c r="H344" s="33" t="s">
        <v>200</v>
      </c>
    </row>
    <row r="345" spans="1:8" ht="30">
      <c r="A345" s="33" t="s">
        <v>199</v>
      </c>
      <c r="B345" s="33" t="str">
        <f>_xlfn.IFNA(INDEX(nameStd[EIW],MATCH(Table2[[#This Row],[Name]],nameStd[Salary],0)),Table2[[#This Row],[Name]])</f>
        <v>Goodwin Procter</v>
      </c>
      <c r="C345" s="33" t="s">
        <v>5</v>
      </c>
      <c r="D345" s="33" t="s">
        <v>47</v>
      </c>
      <c r="E345" s="34">
        <v>42535</v>
      </c>
      <c r="F345" s="33" t="s">
        <v>15</v>
      </c>
      <c r="G345" s="33" t="s">
        <v>16</v>
      </c>
      <c r="H345" s="33" t="s">
        <v>200</v>
      </c>
    </row>
    <row r="346" spans="1:8" ht="30">
      <c r="A346" s="32" t="s">
        <v>201</v>
      </c>
      <c r="B346" s="32" t="str">
        <f>_xlfn.IFNA(INDEX(nameStd[EIW],MATCH(Table2[[#This Row],[Name]],nameStd[Salary],0)),Table2[[#This Row],[Name]])</f>
        <v>Schulte Roth &amp; Zabel</v>
      </c>
      <c r="C346" s="33" t="s">
        <v>5</v>
      </c>
      <c r="D346" s="33" t="s">
        <v>27</v>
      </c>
      <c r="E346" s="34">
        <v>42536</v>
      </c>
      <c r="F346" s="33" t="s">
        <v>7</v>
      </c>
      <c r="G346" s="33" t="s">
        <v>16</v>
      </c>
      <c r="H346" s="33" t="s">
        <v>202</v>
      </c>
    </row>
    <row r="347" spans="1:8" ht="30">
      <c r="A347" s="15" t="s">
        <v>201</v>
      </c>
      <c r="B347" s="15" t="str">
        <f>_xlfn.IFNA(INDEX(nameStd[EIW],MATCH(Table2[[#This Row],[Name]],nameStd[Salary],0)),Table2[[#This Row],[Name]])</f>
        <v>Schulte Roth &amp; Zabel</v>
      </c>
      <c r="C347" s="33" t="s">
        <v>5</v>
      </c>
      <c r="D347" s="33" t="s">
        <v>27</v>
      </c>
      <c r="E347" s="34">
        <v>42536</v>
      </c>
      <c r="F347" s="33" t="s">
        <v>15</v>
      </c>
      <c r="G347" s="33" t="s">
        <v>16</v>
      </c>
      <c r="H347" s="33" t="s">
        <v>202</v>
      </c>
    </row>
    <row r="348" spans="1:8" ht="12" customHeight="1">
      <c r="A348" s="32" t="s">
        <v>203</v>
      </c>
      <c r="B348" s="32" t="str">
        <f>_xlfn.IFNA(INDEX(nameStd[EIW],MATCH(Table2[[#This Row],[Name]],nameStd[Salary],0)),Table2[[#This Row],[Name]])</f>
        <v>Robbins Russell</v>
      </c>
      <c r="C348" s="33" t="s">
        <v>5</v>
      </c>
      <c r="D348" s="33" t="s">
        <v>6</v>
      </c>
      <c r="E348" s="34">
        <v>42536</v>
      </c>
      <c r="F348" s="33" t="s">
        <v>15</v>
      </c>
      <c r="G348" s="33" t="s">
        <v>8</v>
      </c>
      <c r="H348" s="33" t="s">
        <v>13</v>
      </c>
    </row>
    <row r="349" spans="1:8" ht="30">
      <c r="A349" s="32" t="s">
        <v>204</v>
      </c>
      <c r="B349" s="32" t="str">
        <f>_xlfn.IFNA(INDEX(nameStd[EIW],MATCH(Table2[[#This Row],[Name]],nameStd[Salary],0)),Table2[[#This Row],[Name]])</f>
        <v>Arnold &amp; Porter</v>
      </c>
      <c r="C349" s="33" t="s">
        <v>5</v>
      </c>
      <c r="D349" s="33" t="s">
        <v>6</v>
      </c>
      <c r="E349" s="34">
        <v>42536</v>
      </c>
      <c r="F349" s="33" t="s">
        <v>15</v>
      </c>
      <c r="G349" s="33" t="s">
        <v>16</v>
      </c>
      <c r="H349" s="33" t="s">
        <v>205</v>
      </c>
    </row>
    <row r="350" spans="1:8" ht="30">
      <c r="A350" s="15" t="s">
        <v>204</v>
      </c>
      <c r="B350" s="15" t="str">
        <f>_xlfn.IFNA(INDEX(nameStd[EIW],MATCH(Table2[[#This Row],[Name]],nameStd[Salary],0)),Table2[[#This Row],[Name]])</f>
        <v>Arnold &amp; Porter</v>
      </c>
      <c r="C350" s="33" t="s">
        <v>5</v>
      </c>
      <c r="D350" s="33" t="s">
        <v>6</v>
      </c>
      <c r="E350" s="34">
        <v>42536</v>
      </c>
      <c r="F350" s="33" t="s">
        <v>147</v>
      </c>
      <c r="G350" s="33" t="s">
        <v>16</v>
      </c>
      <c r="H350" s="33" t="s">
        <v>205</v>
      </c>
    </row>
    <row r="351" spans="1:8" ht="30">
      <c r="A351" s="15" t="s">
        <v>204</v>
      </c>
      <c r="B351" s="15" t="str">
        <f>_xlfn.IFNA(INDEX(nameStd[EIW],MATCH(Table2[[#This Row],[Name]],nameStd[Salary],0)),Table2[[#This Row],[Name]])</f>
        <v>Arnold &amp; Porter</v>
      </c>
      <c r="C351" s="33" t="s">
        <v>5</v>
      </c>
      <c r="D351" s="33" t="s">
        <v>6</v>
      </c>
      <c r="E351" s="34">
        <v>42536</v>
      </c>
      <c r="F351" s="33" t="s">
        <v>7</v>
      </c>
      <c r="G351" s="33" t="s">
        <v>16</v>
      </c>
      <c r="H351" s="33" t="s">
        <v>205</v>
      </c>
    </row>
    <row r="352" spans="1:8" ht="30">
      <c r="A352" s="33" t="s">
        <v>204</v>
      </c>
      <c r="B352" s="33" t="str">
        <f>_xlfn.IFNA(INDEX(nameStd[EIW],MATCH(Table2[[#This Row],[Name]],nameStd[Salary],0)),Table2[[#This Row],[Name]])</f>
        <v>Arnold &amp; Porter</v>
      </c>
      <c r="C352" s="33" t="s">
        <v>5</v>
      </c>
      <c r="D352" s="33" t="s">
        <v>6</v>
      </c>
      <c r="E352" s="34">
        <v>42536</v>
      </c>
      <c r="F352" s="33" t="s">
        <v>30</v>
      </c>
      <c r="G352" s="33" t="s">
        <v>16</v>
      </c>
      <c r="H352" s="33" t="s">
        <v>205</v>
      </c>
    </row>
    <row r="353" spans="1:8" ht="30">
      <c r="A353" s="33" t="s">
        <v>204</v>
      </c>
      <c r="B353" s="33" t="str">
        <f>_xlfn.IFNA(INDEX(nameStd[EIW],MATCH(Table2[[#This Row],[Name]],nameStd[Salary],0)),Table2[[#This Row],[Name]])</f>
        <v>Arnold &amp; Porter</v>
      </c>
      <c r="C353" s="33" t="s">
        <v>5</v>
      </c>
      <c r="D353" s="33" t="s">
        <v>6</v>
      </c>
      <c r="E353" s="34">
        <v>42536</v>
      </c>
      <c r="F353" s="33" t="s">
        <v>49</v>
      </c>
      <c r="G353" s="33" t="s">
        <v>16</v>
      </c>
      <c r="H353" s="33" t="s">
        <v>205</v>
      </c>
    </row>
    <row r="354" spans="1:8" ht="30">
      <c r="A354" s="33" t="s">
        <v>204</v>
      </c>
      <c r="B354" s="33" t="str">
        <f>_xlfn.IFNA(INDEX(nameStd[EIW],MATCH(Table2[[#This Row],[Name]],nameStd[Salary],0)),Table2[[#This Row],[Name]])</f>
        <v>Arnold &amp; Porter</v>
      </c>
      <c r="C354" s="33" t="s">
        <v>5</v>
      </c>
      <c r="D354" s="33" t="s">
        <v>6</v>
      </c>
      <c r="E354" s="34">
        <v>42536</v>
      </c>
      <c r="F354" s="33" t="s">
        <v>40</v>
      </c>
      <c r="G354" s="33" t="s">
        <v>16</v>
      </c>
      <c r="H354" s="33" t="s">
        <v>205</v>
      </c>
    </row>
    <row r="355" spans="1:8" ht="30">
      <c r="A355" s="32" t="s">
        <v>206</v>
      </c>
      <c r="B355" s="32" t="str">
        <f>_xlfn.IFNA(INDEX(nameStd[EIW],MATCH(Table2[[#This Row],[Name]],nameStd[Salary],0)),Table2[[#This Row],[Name]])</f>
        <v>Kramer Levin Naftalis &amp; Frankel</v>
      </c>
      <c r="C355" s="33" t="s">
        <v>5</v>
      </c>
      <c r="D355" s="33" t="s">
        <v>207</v>
      </c>
      <c r="E355" s="34">
        <v>42536</v>
      </c>
      <c r="F355" s="33" t="s">
        <v>7</v>
      </c>
      <c r="G355" s="33" t="s">
        <v>8</v>
      </c>
      <c r="H355" s="33" t="s">
        <v>208</v>
      </c>
    </row>
    <row r="356" spans="1:8" ht="30">
      <c r="A356" s="15" t="s">
        <v>206</v>
      </c>
      <c r="B356" s="15" t="str">
        <f>_xlfn.IFNA(INDEX(nameStd[EIW],MATCH(Table2[[#This Row],[Name]],nameStd[Salary],0)),Table2[[#This Row],[Name]])</f>
        <v>Kramer Levin Naftalis &amp; Frankel</v>
      </c>
      <c r="C356" s="33" t="s">
        <v>5</v>
      </c>
      <c r="D356" s="33" t="s">
        <v>207</v>
      </c>
      <c r="E356" s="34">
        <v>42536</v>
      </c>
      <c r="F356" s="33" t="s">
        <v>54</v>
      </c>
      <c r="G356" s="33" t="s">
        <v>8</v>
      </c>
      <c r="H356" s="33" t="s">
        <v>208</v>
      </c>
    </row>
    <row r="357" spans="1:8" ht="30">
      <c r="A357" s="32" t="s">
        <v>209</v>
      </c>
      <c r="B357" s="32" t="str">
        <f>_xlfn.IFNA(INDEX(nameStd[EIW],MATCH(Table2[[#This Row],[Name]],nameStd[Salary],0)),Table2[[#This Row],[Name]])</f>
        <v>Hughes Hubbard &amp; Reed</v>
      </c>
      <c r="C357" s="33" t="s">
        <v>5</v>
      </c>
      <c r="D357" s="33" t="s">
        <v>210</v>
      </c>
      <c r="E357" s="34">
        <v>42536</v>
      </c>
      <c r="F357" s="33" t="s">
        <v>15</v>
      </c>
      <c r="G357" s="33" t="s">
        <v>16</v>
      </c>
      <c r="H357" s="33" t="s">
        <v>213</v>
      </c>
    </row>
    <row r="358" spans="1:8" ht="30">
      <c r="A358" s="15" t="s">
        <v>209</v>
      </c>
      <c r="B358" s="15" t="str">
        <f>_xlfn.IFNA(INDEX(nameStd[EIW],MATCH(Table2[[#This Row],[Name]],nameStd[Salary],0)),Table2[[#This Row],[Name]])</f>
        <v>Hughes Hubbard &amp; Reed</v>
      </c>
      <c r="C358" s="33" t="s">
        <v>5</v>
      </c>
      <c r="D358" s="33" t="s">
        <v>210</v>
      </c>
      <c r="E358" s="34">
        <v>42536</v>
      </c>
      <c r="F358" s="33" t="s">
        <v>7</v>
      </c>
      <c r="G358" s="33" t="s">
        <v>16</v>
      </c>
      <c r="H358" s="33" t="s">
        <v>213</v>
      </c>
    </row>
    <row r="359" spans="1:8" ht="30">
      <c r="A359" s="15" t="s">
        <v>209</v>
      </c>
      <c r="B359" s="15" t="str">
        <f>_xlfn.IFNA(INDEX(nameStd[EIW],MATCH(Table2[[#This Row],[Name]],nameStd[Salary],0)),Table2[[#This Row],[Name]])</f>
        <v>Hughes Hubbard &amp; Reed</v>
      </c>
      <c r="C359" s="33" t="s">
        <v>5</v>
      </c>
      <c r="D359" s="33" t="s">
        <v>210</v>
      </c>
      <c r="E359" s="34">
        <v>42536</v>
      </c>
      <c r="F359" s="33" t="s">
        <v>211</v>
      </c>
      <c r="G359" s="33" t="s">
        <v>16</v>
      </c>
      <c r="H359" s="33" t="s">
        <v>213</v>
      </c>
    </row>
    <row r="360" spans="1:8" ht="30">
      <c r="A360" s="33" t="s">
        <v>209</v>
      </c>
      <c r="B360" s="33" t="str">
        <f>_xlfn.IFNA(INDEX(nameStd[EIW],MATCH(Table2[[#This Row],[Name]],nameStd[Salary],0)),Table2[[#This Row],[Name]])</f>
        <v>Hughes Hubbard &amp; Reed</v>
      </c>
      <c r="C360" s="33" t="s">
        <v>5</v>
      </c>
      <c r="D360" s="33" t="s">
        <v>210</v>
      </c>
      <c r="E360" s="34">
        <v>42536</v>
      </c>
      <c r="F360" s="33" t="s">
        <v>212</v>
      </c>
      <c r="G360" s="33" t="s">
        <v>16</v>
      </c>
      <c r="H360" s="33" t="s">
        <v>213</v>
      </c>
    </row>
    <row r="361" spans="1:8" ht="30">
      <c r="A361" s="33" t="s">
        <v>209</v>
      </c>
      <c r="B361" s="33" t="str">
        <f>_xlfn.IFNA(INDEX(nameStd[EIW],MATCH(Table2[[#This Row],[Name]],nameStd[Salary],0)),Table2[[#This Row],[Name]])</f>
        <v>Hughes Hubbard &amp; Reed</v>
      </c>
      <c r="C361" s="33" t="s">
        <v>5</v>
      </c>
      <c r="D361" s="33" t="s">
        <v>210</v>
      </c>
      <c r="E361" s="34">
        <v>42536</v>
      </c>
      <c r="F361" s="33" t="s">
        <v>11</v>
      </c>
      <c r="G361" s="33" t="s">
        <v>16</v>
      </c>
      <c r="H361" s="33" t="s">
        <v>213</v>
      </c>
    </row>
    <row r="362" spans="1:8" ht="30">
      <c r="A362" s="33" t="s">
        <v>209</v>
      </c>
      <c r="B362" s="33" t="str">
        <f>_xlfn.IFNA(INDEX(nameStd[EIW],MATCH(Table2[[#This Row],[Name]],nameStd[Salary],0)),Table2[[#This Row],[Name]])</f>
        <v>Hughes Hubbard &amp; Reed</v>
      </c>
      <c r="C362" s="33" t="s">
        <v>5</v>
      </c>
      <c r="D362" s="33" t="s">
        <v>210</v>
      </c>
      <c r="E362" s="34">
        <v>42536</v>
      </c>
      <c r="F362" s="33" t="s">
        <v>31</v>
      </c>
      <c r="G362" s="33" t="s">
        <v>16</v>
      </c>
      <c r="H362" s="33" t="s">
        <v>213</v>
      </c>
    </row>
    <row r="363" spans="1:8" ht="30">
      <c r="A363" s="32" t="s">
        <v>214</v>
      </c>
      <c r="B363" s="32" t="str">
        <f>_xlfn.IFNA(INDEX(nameStd[EIW],MATCH(Table2[[#This Row],[Name]],nameStd[Salary],0)),Table2[[#This Row],[Name]])</f>
        <v>McDermott Will &amp; Emery</v>
      </c>
      <c r="C363" s="33" t="s">
        <v>5</v>
      </c>
      <c r="D363" s="33" t="s">
        <v>47</v>
      </c>
      <c r="E363" s="34">
        <v>42536</v>
      </c>
      <c r="F363" s="33" t="s">
        <v>28</v>
      </c>
      <c r="G363" s="33" t="s">
        <v>16</v>
      </c>
      <c r="H363" s="33" t="s">
        <v>215</v>
      </c>
    </row>
    <row r="364" spans="1:8" ht="30">
      <c r="A364" s="15" t="s">
        <v>214</v>
      </c>
      <c r="B364" s="15" t="str">
        <f>_xlfn.IFNA(INDEX(nameStd[EIW],MATCH(Table2[[#This Row],[Name]],nameStd[Salary],0)),Table2[[#This Row],[Name]])</f>
        <v>McDermott Will &amp; Emery</v>
      </c>
      <c r="C364" s="33" t="s">
        <v>5</v>
      </c>
      <c r="D364" s="33" t="s">
        <v>47</v>
      </c>
      <c r="E364" s="34">
        <v>42536</v>
      </c>
      <c r="F364" s="33" t="s">
        <v>48</v>
      </c>
      <c r="G364" s="33" t="s">
        <v>16</v>
      </c>
      <c r="H364" s="33" t="s">
        <v>215</v>
      </c>
    </row>
    <row r="365" spans="1:8" ht="30">
      <c r="A365" s="15" t="s">
        <v>214</v>
      </c>
      <c r="B365" s="15" t="str">
        <f>_xlfn.IFNA(INDEX(nameStd[EIW],MATCH(Table2[[#This Row],[Name]],nameStd[Salary],0)),Table2[[#This Row],[Name]])</f>
        <v>McDermott Will &amp; Emery</v>
      </c>
      <c r="C365" s="33" t="s">
        <v>5</v>
      </c>
      <c r="D365" s="33" t="s">
        <v>47</v>
      </c>
      <c r="E365" s="34">
        <v>42536</v>
      </c>
      <c r="F365" s="33" t="s">
        <v>29</v>
      </c>
      <c r="G365" s="33" t="s">
        <v>16</v>
      </c>
      <c r="H365" s="33" t="s">
        <v>215</v>
      </c>
    </row>
    <row r="366" spans="1:8" ht="30">
      <c r="A366" s="33" t="s">
        <v>214</v>
      </c>
      <c r="B366" s="33" t="str">
        <f>_xlfn.IFNA(INDEX(nameStd[EIW],MATCH(Table2[[#This Row],[Name]],nameStd[Salary],0)),Table2[[#This Row],[Name]])</f>
        <v>McDermott Will &amp; Emery</v>
      </c>
      <c r="C366" s="33" t="s">
        <v>5</v>
      </c>
      <c r="D366" s="33" t="s">
        <v>47</v>
      </c>
      <c r="E366" s="34">
        <v>42536</v>
      </c>
      <c r="F366" s="33" t="s">
        <v>30</v>
      </c>
      <c r="G366" s="33" t="s">
        <v>16</v>
      </c>
      <c r="H366" s="33" t="s">
        <v>215</v>
      </c>
    </row>
    <row r="367" spans="1:8" ht="30">
      <c r="A367" s="33" t="s">
        <v>214</v>
      </c>
      <c r="B367" s="33" t="str">
        <f>_xlfn.IFNA(INDEX(nameStd[EIW],MATCH(Table2[[#This Row],[Name]],nameStd[Salary],0)),Table2[[#This Row],[Name]])</f>
        <v>McDermott Will &amp; Emery</v>
      </c>
      <c r="C367" s="33" t="s">
        <v>5</v>
      </c>
      <c r="D367" s="33" t="s">
        <v>47</v>
      </c>
      <c r="E367" s="34">
        <v>42536</v>
      </c>
      <c r="F367" s="33" t="s">
        <v>11</v>
      </c>
      <c r="G367" s="33" t="s">
        <v>16</v>
      </c>
      <c r="H367" s="33" t="s">
        <v>215</v>
      </c>
    </row>
    <row r="368" spans="1:8" ht="30">
      <c r="A368" s="33" t="s">
        <v>214</v>
      </c>
      <c r="B368" s="33" t="str">
        <f>_xlfn.IFNA(INDEX(nameStd[EIW],MATCH(Table2[[#This Row],[Name]],nameStd[Salary],0)),Table2[[#This Row],[Name]])</f>
        <v>McDermott Will &amp; Emery</v>
      </c>
      <c r="C368" s="33" t="s">
        <v>5</v>
      </c>
      <c r="D368" s="33" t="s">
        <v>47</v>
      </c>
      <c r="E368" s="34">
        <v>42536</v>
      </c>
      <c r="F368" s="33" t="s">
        <v>119</v>
      </c>
      <c r="G368" s="33" t="s">
        <v>16</v>
      </c>
      <c r="H368" s="33" t="s">
        <v>215</v>
      </c>
    </row>
    <row r="369" spans="1:8" ht="30">
      <c r="A369" s="33" t="s">
        <v>214</v>
      </c>
      <c r="B369" s="33" t="str">
        <f>_xlfn.IFNA(INDEX(nameStd[EIW],MATCH(Table2[[#This Row],[Name]],nameStd[Salary],0)),Table2[[#This Row],[Name]])</f>
        <v>McDermott Will &amp; Emery</v>
      </c>
      <c r="C369" s="33" t="s">
        <v>5</v>
      </c>
      <c r="D369" s="33" t="s">
        <v>47</v>
      </c>
      <c r="E369" s="34">
        <v>42536</v>
      </c>
      <c r="F369" s="33" t="s">
        <v>54</v>
      </c>
      <c r="G369" s="33" t="s">
        <v>16</v>
      </c>
      <c r="H369" s="33" t="s">
        <v>215</v>
      </c>
    </row>
    <row r="370" spans="1:8" ht="30">
      <c r="A370" s="33" t="s">
        <v>214</v>
      </c>
      <c r="B370" s="33" t="str">
        <f>_xlfn.IFNA(INDEX(nameStd[EIW],MATCH(Table2[[#This Row],[Name]],nameStd[Salary],0)),Table2[[#This Row],[Name]])</f>
        <v>McDermott Will &amp; Emery</v>
      </c>
      <c r="C370" s="33" t="s">
        <v>5</v>
      </c>
      <c r="D370" s="33" t="s">
        <v>47</v>
      </c>
      <c r="E370" s="34">
        <v>42536</v>
      </c>
      <c r="F370" s="33" t="s">
        <v>31</v>
      </c>
      <c r="G370" s="33" t="s">
        <v>16</v>
      </c>
      <c r="H370" s="33" t="s">
        <v>215</v>
      </c>
    </row>
    <row r="371" spans="1:8" ht="30">
      <c r="A371" s="33" t="s">
        <v>214</v>
      </c>
      <c r="B371" s="33" t="str">
        <f>_xlfn.IFNA(INDEX(nameStd[EIW],MATCH(Table2[[#This Row],[Name]],nameStd[Salary],0)),Table2[[#This Row],[Name]])</f>
        <v>McDermott Will &amp; Emery</v>
      </c>
      <c r="C371" s="33" t="s">
        <v>5</v>
      </c>
      <c r="D371" s="33" t="s">
        <v>47</v>
      </c>
      <c r="E371" s="34">
        <v>42536</v>
      </c>
      <c r="F371" s="33" t="s">
        <v>7</v>
      </c>
      <c r="G371" s="33" t="s">
        <v>16</v>
      </c>
      <c r="H371" s="33" t="s">
        <v>215</v>
      </c>
    </row>
    <row r="372" spans="1:8" ht="30">
      <c r="A372" s="33" t="s">
        <v>214</v>
      </c>
      <c r="B372" s="33" t="str">
        <f>_xlfn.IFNA(INDEX(nameStd[EIW],MATCH(Table2[[#This Row],[Name]],nameStd[Salary],0)),Table2[[#This Row],[Name]])</f>
        <v>McDermott Will &amp; Emery</v>
      </c>
      <c r="C372" s="33" t="s">
        <v>5</v>
      </c>
      <c r="D372" s="33" t="s">
        <v>47</v>
      </c>
      <c r="E372" s="34">
        <v>42536</v>
      </c>
      <c r="F372" s="33" t="s">
        <v>15</v>
      </c>
      <c r="G372" s="33" t="s">
        <v>16</v>
      </c>
      <c r="H372" s="33" t="s">
        <v>215</v>
      </c>
    </row>
    <row r="373" spans="1:8" ht="30">
      <c r="A373" s="32" t="s">
        <v>216</v>
      </c>
      <c r="B373" s="32" t="str">
        <f>_xlfn.IFNA(INDEX(nameStd[EIW],MATCH(Table2[[#This Row],[Name]],nameStd[Salary],0)),Table2[[#This Row],[Name]])</f>
        <v>Cadwalader Wickersham &amp; Taft</v>
      </c>
      <c r="C373" s="33" t="s">
        <v>5</v>
      </c>
      <c r="D373" s="33" t="s">
        <v>27</v>
      </c>
      <c r="E373" s="34">
        <v>42536</v>
      </c>
      <c r="F373" s="33" t="s">
        <v>7</v>
      </c>
      <c r="G373" s="33" t="s">
        <v>16</v>
      </c>
      <c r="H373" s="33" t="s">
        <v>217</v>
      </c>
    </row>
    <row r="374" spans="1:8" ht="30">
      <c r="A374" s="15" t="s">
        <v>216</v>
      </c>
      <c r="B374" s="15" t="str">
        <f>_xlfn.IFNA(INDEX(nameStd[EIW],MATCH(Table2[[#This Row],[Name]],nameStd[Salary],0)),Table2[[#This Row],[Name]])</f>
        <v>Cadwalader Wickersham &amp; Taft</v>
      </c>
      <c r="C374" s="33" t="s">
        <v>5</v>
      </c>
      <c r="D374" s="33" t="s">
        <v>27</v>
      </c>
      <c r="E374" s="34">
        <v>42536</v>
      </c>
      <c r="F374" s="33" t="s">
        <v>30</v>
      </c>
      <c r="G374" s="33" t="s">
        <v>16</v>
      </c>
      <c r="H374" s="33" t="s">
        <v>217</v>
      </c>
    </row>
    <row r="375" spans="1:8" ht="30">
      <c r="A375" s="15" t="s">
        <v>216</v>
      </c>
      <c r="B375" s="15" t="str">
        <f>_xlfn.IFNA(INDEX(nameStd[EIW],MATCH(Table2[[#This Row],[Name]],nameStd[Salary],0)),Table2[[#This Row],[Name]])</f>
        <v>Cadwalader Wickersham &amp; Taft</v>
      </c>
      <c r="C375" s="33" t="s">
        <v>5</v>
      </c>
      <c r="D375" s="33" t="s">
        <v>27</v>
      </c>
      <c r="E375" s="34">
        <v>42536</v>
      </c>
      <c r="F375" s="33" t="s">
        <v>53</v>
      </c>
      <c r="G375" s="33" t="s">
        <v>16</v>
      </c>
      <c r="H375" s="33" t="s">
        <v>217</v>
      </c>
    </row>
    <row r="376" spans="1:8" ht="30">
      <c r="A376" s="33" t="s">
        <v>216</v>
      </c>
      <c r="B376" s="33" t="str">
        <f>_xlfn.IFNA(INDEX(nameStd[EIW],MATCH(Table2[[#This Row],[Name]],nameStd[Salary],0)),Table2[[#This Row],[Name]])</f>
        <v>Cadwalader Wickersham &amp; Taft</v>
      </c>
      <c r="C376" s="33" t="s">
        <v>5</v>
      </c>
      <c r="D376" s="33" t="s">
        <v>27</v>
      </c>
      <c r="E376" s="34">
        <v>42536</v>
      </c>
      <c r="F376" s="33" t="s">
        <v>15</v>
      </c>
      <c r="G376" s="33" t="s">
        <v>16</v>
      </c>
      <c r="H376" s="33" t="s">
        <v>217</v>
      </c>
    </row>
    <row r="377" spans="1:8" ht="30">
      <c r="A377" s="33" t="s">
        <v>216</v>
      </c>
      <c r="B377" s="33" t="str">
        <f>_xlfn.IFNA(INDEX(nameStd[EIW],MATCH(Table2[[#This Row],[Name]],nameStd[Salary],0)),Table2[[#This Row],[Name]])</f>
        <v>Cadwalader Wickersham &amp; Taft</v>
      </c>
      <c r="C377" s="33" t="s">
        <v>5</v>
      </c>
      <c r="D377" s="33" t="s">
        <v>27</v>
      </c>
      <c r="E377" s="34">
        <v>42536</v>
      </c>
      <c r="F377" s="33" t="s">
        <v>41</v>
      </c>
      <c r="G377" s="33" t="s">
        <v>16</v>
      </c>
      <c r="H377" s="33" t="s">
        <v>217</v>
      </c>
    </row>
    <row r="378" spans="1:8" ht="30">
      <c r="A378" s="32" t="s">
        <v>218</v>
      </c>
      <c r="B378" s="32" t="str">
        <f>_xlfn.IFNA(INDEX(nameStd[EIW],MATCH(Table2[[#This Row],[Name]],nameStd[Salary],0)),Table2[[#This Row],[Name]])</f>
        <v>Dechert</v>
      </c>
      <c r="C378" s="33" t="s">
        <v>5</v>
      </c>
      <c r="D378" s="33" t="s">
        <v>145</v>
      </c>
      <c r="E378" s="34">
        <v>42537</v>
      </c>
      <c r="F378" s="33" t="s">
        <v>149</v>
      </c>
      <c r="G378" s="33" t="s">
        <v>16</v>
      </c>
      <c r="H378" s="33" t="s">
        <v>220</v>
      </c>
    </row>
    <row r="379" spans="1:8" ht="30">
      <c r="A379" s="15" t="s">
        <v>218</v>
      </c>
      <c r="B379" s="15" t="str">
        <f>_xlfn.IFNA(INDEX(nameStd[EIW],MATCH(Table2[[#This Row],[Name]],nameStd[Salary],0)),Table2[[#This Row],[Name]])</f>
        <v>Dechert</v>
      </c>
      <c r="C379" s="33" t="s">
        <v>5</v>
      </c>
      <c r="D379" s="33" t="s">
        <v>145</v>
      </c>
      <c r="E379" s="34">
        <v>42537</v>
      </c>
      <c r="F379" s="33" t="s">
        <v>87</v>
      </c>
      <c r="G379" s="33" t="s">
        <v>16</v>
      </c>
      <c r="H379" s="33" t="s">
        <v>220</v>
      </c>
    </row>
    <row r="380" spans="1:8" ht="30">
      <c r="A380" s="15" t="s">
        <v>218</v>
      </c>
      <c r="B380" s="15" t="str">
        <f>_xlfn.IFNA(INDEX(nameStd[EIW],MATCH(Table2[[#This Row],[Name]],nameStd[Salary],0)),Table2[[#This Row],[Name]])</f>
        <v>Dechert</v>
      </c>
      <c r="C380" s="33" t="s">
        <v>5</v>
      </c>
      <c r="D380" s="33" t="s">
        <v>145</v>
      </c>
      <c r="E380" s="34">
        <v>42537</v>
      </c>
      <c r="F380" s="33" t="s">
        <v>28</v>
      </c>
      <c r="G380" s="33" t="s">
        <v>16</v>
      </c>
      <c r="H380" s="33" t="s">
        <v>220</v>
      </c>
    </row>
    <row r="381" spans="1:8" ht="30">
      <c r="A381" s="33" t="s">
        <v>218</v>
      </c>
      <c r="B381" s="33" t="str">
        <f>_xlfn.IFNA(INDEX(nameStd[EIW],MATCH(Table2[[#This Row],[Name]],nameStd[Salary],0)),Table2[[#This Row],[Name]])</f>
        <v>Dechert</v>
      </c>
      <c r="C381" s="33" t="s">
        <v>5</v>
      </c>
      <c r="D381" s="33" t="s">
        <v>145</v>
      </c>
      <c r="E381" s="34">
        <v>42537</v>
      </c>
      <c r="F381" s="33" t="s">
        <v>7</v>
      </c>
      <c r="G381" s="33" t="s">
        <v>16</v>
      </c>
      <c r="H381" s="33" t="s">
        <v>220</v>
      </c>
    </row>
    <row r="382" spans="1:8" ht="30">
      <c r="A382" s="33" t="s">
        <v>218</v>
      </c>
      <c r="B382" s="33" t="str">
        <f>_xlfn.IFNA(INDEX(nameStd[EIW],MATCH(Table2[[#This Row],[Name]],nameStd[Salary],0)),Table2[[#This Row],[Name]])</f>
        <v>Dechert</v>
      </c>
      <c r="C382" s="33" t="s">
        <v>5</v>
      </c>
      <c r="D382" s="33" t="s">
        <v>145</v>
      </c>
      <c r="E382" s="34">
        <v>42537</v>
      </c>
      <c r="F382" s="33" t="s">
        <v>32</v>
      </c>
      <c r="G382" s="33" t="s">
        <v>16</v>
      </c>
      <c r="H382" s="33" t="s">
        <v>220</v>
      </c>
    </row>
    <row r="383" spans="1:8" ht="30">
      <c r="A383" s="33" t="s">
        <v>218</v>
      </c>
      <c r="B383" s="33" t="str">
        <f>_xlfn.IFNA(INDEX(nameStd[EIW],MATCH(Table2[[#This Row],[Name]],nameStd[Salary],0)),Table2[[#This Row],[Name]])</f>
        <v>Dechert</v>
      </c>
      <c r="C383" s="33" t="s">
        <v>5</v>
      </c>
      <c r="D383" s="33" t="s">
        <v>145</v>
      </c>
      <c r="E383" s="34">
        <v>42537</v>
      </c>
      <c r="F383" s="33" t="s">
        <v>48</v>
      </c>
      <c r="G383" s="33" t="s">
        <v>16</v>
      </c>
      <c r="H383" s="33" t="s">
        <v>220</v>
      </c>
    </row>
    <row r="384" spans="1:8" ht="30">
      <c r="A384" s="33" t="s">
        <v>218</v>
      </c>
      <c r="B384" s="33" t="str">
        <f>_xlfn.IFNA(INDEX(nameStd[EIW],MATCH(Table2[[#This Row],[Name]],nameStd[Salary],0)),Table2[[#This Row],[Name]])</f>
        <v>Dechert</v>
      </c>
      <c r="C384" s="33" t="s">
        <v>5</v>
      </c>
      <c r="D384" s="33" t="s">
        <v>145</v>
      </c>
      <c r="E384" s="34">
        <v>42537</v>
      </c>
      <c r="F384" s="33" t="s">
        <v>118</v>
      </c>
      <c r="G384" s="33" t="s">
        <v>16</v>
      </c>
      <c r="H384" s="33" t="s">
        <v>220</v>
      </c>
    </row>
    <row r="385" spans="1:8" ht="30">
      <c r="A385" s="33" t="s">
        <v>218</v>
      </c>
      <c r="B385" s="33" t="str">
        <f>_xlfn.IFNA(INDEX(nameStd[EIW],MATCH(Table2[[#This Row],[Name]],nameStd[Salary],0)),Table2[[#This Row],[Name]])</f>
        <v>Dechert</v>
      </c>
      <c r="C385" s="33" t="s">
        <v>5</v>
      </c>
      <c r="D385" s="33" t="s">
        <v>145</v>
      </c>
      <c r="E385" s="34">
        <v>42537</v>
      </c>
      <c r="F385" s="33" t="s">
        <v>11</v>
      </c>
      <c r="G385" s="33" t="s">
        <v>16</v>
      </c>
      <c r="H385" s="33" t="s">
        <v>220</v>
      </c>
    </row>
    <row r="386" spans="1:8" ht="30">
      <c r="A386" s="33" t="s">
        <v>218</v>
      </c>
      <c r="B386" s="33" t="str">
        <f>_xlfn.IFNA(INDEX(nameStd[EIW],MATCH(Table2[[#This Row],[Name]],nameStd[Salary],0)),Table2[[#This Row],[Name]])</f>
        <v>Dechert</v>
      </c>
      <c r="C386" s="33" t="s">
        <v>5</v>
      </c>
      <c r="D386" s="33" t="s">
        <v>145</v>
      </c>
      <c r="E386" s="34">
        <v>42537</v>
      </c>
      <c r="F386" s="33" t="s">
        <v>119</v>
      </c>
      <c r="G386" s="33" t="s">
        <v>16</v>
      </c>
      <c r="H386" s="33" t="s">
        <v>220</v>
      </c>
    </row>
    <row r="387" spans="1:8" ht="30">
      <c r="A387" s="33" t="s">
        <v>218</v>
      </c>
      <c r="B387" s="33" t="str">
        <f>_xlfn.IFNA(INDEX(nameStd[EIW],MATCH(Table2[[#This Row],[Name]],nameStd[Salary],0)),Table2[[#This Row],[Name]])</f>
        <v>Dechert</v>
      </c>
      <c r="C387" s="33" t="s">
        <v>5</v>
      </c>
      <c r="D387" s="33" t="s">
        <v>145</v>
      </c>
      <c r="E387" s="34">
        <v>42537</v>
      </c>
      <c r="F387" s="33" t="s">
        <v>49</v>
      </c>
      <c r="G387" s="33" t="s">
        <v>16</v>
      </c>
      <c r="H387" s="33" t="s">
        <v>220</v>
      </c>
    </row>
    <row r="388" spans="1:8" ht="30">
      <c r="A388" s="33" t="s">
        <v>218</v>
      </c>
      <c r="B388" s="33" t="str">
        <f>_xlfn.IFNA(INDEX(nameStd[EIW],MATCH(Table2[[#This Row],[Name]],nameStd[Salary],0)),Table2[[#This Row],[Name]])</f>
        <v>Dechert</v>
      </c>
      <c r="C388" s="33" t="s">
        <v>5</v>
      </c>
      <c r="D388" s="33" t="s">
        <v>145</v>
      </c>
      <c r="E388" s="34">
        <v>42537</v>
      </c>
      <c r="F388" s="33" t="s">
        <v>219</v>
      </c>
      <c r="G388" s="33" t="s">
        <v>16</v>
      </c>
      <c r="H388" s="33" t="s">
        <v>220</v>
      </c>
    </row>
    <row r="389" spans="1:8" ht="30">
      <c r="A389" s="33" t="s">
        <v>218</v>
      </c>
      <c r="B389" s="33" t="str">
        <f>_xlfn.IFNA(INDEX(nameStd[EIW],MATCH(Table2[[#This Row],[Name]],nameStd[Salary],0)),Table2[[#This Row],[Name]])</f>
        <v>Dechert</v>
      </c>
      <c r="C389" s="33" t="s">
        <v>5</v>
      </c>
      <c r="D389" s="33" t="s">
        <v>145</v>
      </c>
      <c r="E389" s="34">
        <v>42537</v>
      </c>
      <c r="F389" s="33" t="s">
        <v>53</v>
      </c>
      <c r="G389" s="33" t="s">
        <v>16</v>
      </c>
      <c r="H389" s="33" t="s">
        <v>220</v>
      </c>
    </row>
    <row r="390" spans="1:8" ht="30">
      <c r="A390" s="33" t="s">
        <v>218</v>
      </c>
      <c r="B390" s="33" t="str">
        <f>_xlfn.IFNA(INDEX(nameStd[EIW],MATCH(Table2[[#This Row],[Name]],nameStd[Salary],0)),Table2[[#This Row],[Name]])</f>
        <v>Dechert</v>
      </c>
      <c r="C390" s="33" t="s">
        <v>5</v>
      </c>
      <c r="D390" s="33" t="s">
        <v>145</v>
      </c>
      <c r="E390" s="34">
        <v>42537</v>
      </c>
      <c r="F390" s="33" t="s">
        <v>15</v>
      </c>
      <c r="G390" s="33" t="s">
        <v>16</v>
      </c>
      <c r="H390" s="33" t="s">
        <v>220</v>
      </c>
    </row>
    <row r="391" spans="1:8" ht="15">
      <c r="A391" s="32" t="s">
        <v>221</v>
      </c>
      <c r="B391" s="32" t="str">
        <f>_xlfn.IFNA(INDEX(nameStd[EIW],MATCH(Table2[[#This Row],[Name]],nameStd[Salary],0)),Table2[[#This Row],[Name]])</f>
        <v>Orrick Herrington &amp; Sutcliffe</v>
      </c>
      <c r="C391" s="32" t="s">
        <v>293</v>
      </c>
      <c r="D391" s="32" t="s">
        <v>293</v>
      </c>
      <c r="E391" s="34">
        <v>42537</v>
      </c>
      <c r="F391" s="37" t="s">
        <v>222</v>
      </c>
      <c r="G391" s="33" t="s">
        <v>16</v>
      </c>
      <c r="H391" s="33" t="s">
        <v>227</v>
      </c>
    </row>
    <row r="392" spans="1:8" ht="30">
      <c r="A392" s="37" t="s">
        <v>222</v>
      </c>
      <c r="B392" s="37" t="str">
        <f>_xlfn.IFNA(INDEX(nameStd[EIW],MATCH(Table2[[#This Row],[Name]],nameStd[Salary],0)),Table2[[#This Row],[Name]])</f>
        <v>Major Markets</v>
      </c>
      <c r="C392" s="33" t="s">
        <v>5</v>
      </c>
      <c r="D392" s="33" t="s">
        <v>223</v>
      </c>
      <c r="E392" s="34" t="s">
        <v>293</v>
      </c>
      <c r="F392" s="33" t="s">
        <v>49</v>
      </c>
      <c r="G392" s="33" t="s">
        <v>293</v>
      </c>
      <c r="H392" s="33" t="s">
        <v>293</v>
      </c>
    </row>
    <row r="393" spans="1:8" ht="30">
      <c r="A393" s="15" t="s">
        <v>222</v>
      </c>
      <c r="B393" s="15" t="str">
        <f>_xlfn.IFNA(INDEX(nameStd[EIW],MATCH(Table2[[#This Row],[Name]],nameStd[Salary],0)),Table2[[#This Row],[Name]])</f>
        <v>Major Markets</v>
      </c>
      <c r="C393" s="33" t="s">
        <v>5</v>
      </c>
      <c r="D393" s="33" t="s">
        <v>223</v>
      </c>
      <c r="E393" s="34" t="s">
        <v>293</v>
      </c>
      <c r="F393" s="33" t="s">
        <v>11</v>
      </c>
      <c r="G393" s="33" t="s">
        <v>293</v>
      </c>
      <c r="H393" s="33" t="s">
        <v>293</v>
      </c>
    </row>
    <row r="394" spans="1:8" ht="30">
      <c r="A394" s="15" t="s">
        <v>222</v>
      </c>
      <c r="B394" s="15" t="str">
        <f>_xlfn.IFNA(INDEX(nameStd[EIW],MATCH(Table2[[#This Row],[Name]],nameStd[Salary],0)),Table2[[#This Row],[Name]])</f>
        <v>Major Markets</v>
      </c>
      <c r="C394" s="33" t="s">
        <v>5</v>
      </c>
      <c r="D394" s="33" t="s">
        <v>223</v>
      </c>
      <c r="E394" s="34" t="s">
        <v>293</v>
      </c>
      <c r="F394" s="33" t="s">
        <v>54</v>
      </c>
      <c r="G394" s="33" t="s">
        <v>293</v>
      </c>
      <c r="H394" s="33" t="s">
        <v>293</v>
      </c>
    </row>
    <row r="395" spans="1:8" ht="30">
      <c r="A395" s="37" t="s">
        <v>136</v>
      </c>
      <c r="B395" s="37" t="str">
        <f>_xlfn.IFNA(INDEX(nameStd[EIW],MATCH(Table2[[#This Row],[Name]],nameStd[Salary],0)),Table2[[#This Row],[Name]])</f>
        <v>Small Markets</v>
      </c>
      <c r="C395" s="33" t="s">
        <v>224</v>
      </c>
      <c r="D395" s="33" t="s">
        <v>225</v>
      </c>
      <c r="E395" s="34" t="s">
        <v>293</v>
      </c>
      <c r="F395" s="33" t="s">
        <v>119</v>
      </c>
      <c r="G395" s="33" t="s">
        <v>293</v>
      </c>
      <c r="H395" s="33" t="s">
        <v>293</v>
      </c>
    </row>
    <row r="396" spans="1:8" ht="30">
      <c r="A396" s="15" t="s">
        <v>136</v>
      </c>
      <c r="B396" s="15" t="str">
        <f>_xlfn.IFNA(INDEX(nameStd[EIW],MATCH(Table2[[#This Row],[Name]],nameStd[Salary],0)),Table2[[#This Row],[Name]])</f>
        <v>Small Markets</v>
      </c>
      <c r="C396" s="33" t="s">
        <v>224</v>
      </c>
      <c r="D396" s="33" t="s">
        <v>225</v>
      </c>
      <c r="E396" s="34" t="s">
        <v>293</v>
      </c>
      <c r="F396" s="33" t="s">
        <v>30</v>
      </c>
      <c r="G396" s="33" t="s">
        <v>293</v>
      </c>
      <c r="H396" s="33" t="s">
        <v>293</v>
      </c>
    </row>
    <row r="397" spans="1:8" ht="30">
      <c r="A397" s="15" t="s">
        <v>136</v>
      </c>
      <c r="B397" s="15" t="str">
        <f>_xlfn.IFNA(INDEX(nameStd[EIW],MATCH(Table2[[#This Row],[Name]],nameStd[Salary],0)),Table2[[#This Row],[Name]])</f>
        <v>Small Markets</v>
      </c>
      <c r="C397" s="33" t="s">
        <v>224</v>
      </c>
      <c r="D397" s="33" t="s">
        <v>225</v>
      </c>
      <c r="E397" s="34" t="s">
        <v>293</v>
      </c>
      <c r="F397" s="33" t="s">
        <v>7</v>
      </c>
      <c r="G397" s="33" t="s">
        <v>293</v>
      </c>
      <c r="H397" s="33" t="s">
        <v>293</v>
      </c>
    </row>
    <row r="398" spans="1:8" ht="30">
      <c r="A398" s="33" t="s">
        <v>136</v>
      </c>
      <c r="B398" s="33" t="str">
        <f>_xlfn.IFNA(INDEX(nameStd[EIW],MATCH(Table2[[#This Row],[Name]],nameStd[Salary],0)),Table2[[#This Row],[Name]])</f>
        <v>Small Markets</v>
      </c>
      <c r="C398" s="33" t="s">
        <v>224</v>
      </c>
      <c r="D398" s="33" t="s">
        <v>225</v>
      </c>
      <c r="E398" s="34" t="s">
        <v>293</v>
      </c>
      <c r="F398" s="33" t="s">
        <v>15</v>
      </c>
      <c r="G398" s="33" t="s">
        <v>293</v>
      </c>
      <c r="H398" s="33" t="s">
        <v>293</v>
      </c>
    </row>
    <row r="399" spans="1:8" ht="30">
      <c r="A399" s="33" t="s">
        <v>136</v>
      </c>
      <c r="B399" s="33" t="str">
        <f>_xlfn.IFNA(INDEX(nameStd[EIW],MATCH(Table2[[#This Row],[Name]],nameStd[Salary],0)),Table2[[#This Row],[Name]])</f>
        <v>Small Markets</v>
      </c>
      <c r="C399" s="33" t="s">
        <v>224</v>
      </c>
      <c r="D399" s="33" t="s">
        <v>225</v>
      </c>
      <c r="E399" s="34" t="s">
        <v>293</v>
      </c>
      <c r="F399" s="37" t="s">
        <v>136</v>
      </c>
      <c r="G399" s="33" t="s">
        <v>293</v>
      </c>
      <c r="H399" s="33" t="s">
        <v>293</v>
      </c>
    </row>
    <row r="400" spans="1:8" ht="30">
      <c r="A400" s="33" t="s">
        <v>136</v>
      </c>
      <c r="B400" s="33" t="str">
        <f>_xlfn.IFNA(INDEX(nameStd[EIW],MATCH(Table2[[#This Row],[Name]],nameStd[Salary],0)),Table2[[#This Row],[Name]])</f>
        <v>Small Markets</v>
      </c>
      <c r="C400" s="33" t="s">
        <v>224</v>
      </c>
      <c r="D400" s="33" t="s">
        <v>225</v>
      </c>
      <c r="E400" s="34" t="s">
        <v>293</v>
      </c>
      <c r="F400" s="33" t="s">
        <v>226</v>
      </c>
      <c r="G400" s="33" t="s">
        <v>293</v>
      </c>
      <c r="H400" s="33" t="s">
        <v>293</v>
      </c>
    </row>
    <row r="401" spans="1:8" ht="30">
      <c r="A401" s="33" t="s">
        <v>136</v>
      </c>
      <c r="B401" s="33" t="str">
        <f>_xlfn.IFNA(INDEX(nameStd[EIW],MATCH(Table2[[#This Row],[Name]],nameStd[Salary],0)),Table2[[#This Row],[Name]])</f>
        <v>Small Markets</v>
      </c>
      <c r="C401" s="33" t="s">
        <v>224</v>
      </c>
      <c r="D401" s="33" t="s">
        <v>225</v>
      </c>
      <c r="E401" s="34" t="s">
        <v>293</v>
      </c>
      <c r="F401" s="33" t="s">
        <v>50</v>
      </c>
      <c r="G401" s="33" t="s">
        <v>293</v>
      </c>
      <c r="H401" s="33" t="s">
        <v>293</v>
      </c>
    </row>
    <row r="402" spans="1:8" ht="30">
      <c r="A402" s="33" t="s">
        <v>136</v>
      </c>
      <c r="B402" s="33" t="str">
        <f>_xlfn.IFNA(INDEX(nameStd[EIW],MATCH(Table2[[#This Row],[Name]],nameStd[Salary],0)),Table2[[#This Row],[Name]])</f>
        <v>Small Markets</v>
      </c>
      <c r="C402" s="33" t="s">
        <v>224</v>
      </c>
      <c r="D402" s="33" t="s">
        <v>225</v>
      </c>
      <c r="E402" s="34" t="s">
        <v>293</v>
      </c>
      <c r="F402" s="33" t="s">
        <v>142</v>
      </c>
      <c r="G402" s="33" t="s">
        <v>293</v>
      </c>
      <c r="H402" s="33" t="s">
        <v>293</v>
      </c>
    </row>
    <row r="403" spans="1:8" ht="30">
      <c r="A403" s="32" t="s">
        <v>228</v>
      </c>
      <c r="B403" s="32" t="str">
        <f>_xlfn.IFNA(INDEX(nameStd[EIW],MATCH(Table2[[#This Row],[Name]],nameStd[Salary],0)),Table2[[#This Row],[Name]])</f>
        <v>Crowell &amp; Moring</v>
      </c>
      <c r="C403" s="33" t="s">
        <v>5</v>
      </c>
      <c r="D403" s="33" t="s">
        <v>229</v>
      </c>
      <c r="E403" s="34">
        <v>42537</v>
      </c>
      <c r="F403" s="33" t="s">
        <v>15</v>
      </c>
      <c r="G403" s="33" t="s">
        <v>8</v>
      </c>
      <c r="H403" s="33" t="s">
        <v>232</v>
      </c>
    </row>
    <row r="404" spans="1:8" ht="30">
      <c r="A404" s="15" t="s">
        <v>228</v>
      </c>
      <c r="B404" s="15" t="str">
        <f>_xlfn.IFNA(INDEX(nameStd[EIW],MATCH(Table2[[#This Row],[Name]],nameStd[Salary],0)),Table2[[#This Row],[Name]])</f>
        <v>Crowell &amp; Moring</v>
      </c>
      <c r="C404" s="33" t="s">
        <v>5</v>
      </c>
      <c r="D404" s="33" t="s">
        <v>229</v>
      </c>
      <c r="E404" s="34">
        <v>42537</v>
      </c>
      <c r="F404" s="33" t="s">
        <v>7</v>
      </c>
      <c r="G404" s="33" t="s">
        <v>8</v>
      </c>
      <c r="H404" s="33" t="s">
        <v>232</v>
      </c>
    </row>
    <row r="405" spans="1:8" ht="30">
      <c r="A405" s="15" t="s">
        <v>228</v>
      </c>
      <c r="B405" s="15" t="str">
        <f>_xlfn.IFNA(INDEX(nameStd[EIW],MATCH(Table2[[#This Row],[Name]],nameStd[Salary],0)),Table2[[#This Row],[Name]])</f>
        <v>Crowell &amp; Moring</v>
      </c>
      <c r="C405" s="33" t="s">
        <v>5</v>
      </c>
      <c r="D405" s="33" t="s">
        <v>229</v>
      </c>
      <c r="E405" s="34">
        <v>42537</v>
      </c>
      <c r="F405" s="33" t="s">
        <v>11</v>
      </c>
      <c r="G405" s="33" t="s">
        <v>8</v>
      </c>
      <c r="H405" s="33" t="s">
        <v>232</v>
      </c>
    </row>
    <row r="406" spans="1:8" ht="30">
      <c r="A406" s="33" t="s">
        <v>228</v>
      </c>
      <c r="B406" s="33" t="str">
        <f>_xlfn.IFNA(INDEX(nameStd[EIW],MATCH(Table2[[#This Row],[Name]],nameStd[Salary],0)),Table2[[#This Row],[Name]])</f>
        <v>Crowell &amp; Moring</v>
      </c>
      <c r="C406" s="33" t="s">
        <v>5</v>
      </c>
      <c r="D406" s="33" t="s">
        <v>229</v>
      </c>
      <c r="E406" s="34">
        <v>42537</v>
      </c>
      <c r="F406" s="33" t="s">
        <v>49</v>
      </c>
      <c r="G406" s="33" t="s">
        <v>8</v>
      </c>
      <c r="H406" s="33" t="s">
        <v>232</v>
      </c>
    </row>
    <row r="407" spans="1:8" ht="30">
      <c r="A407" s="33" t="s">
        <v>228</v>
      </c>
      <c r="B407" s="33" t="str">
        <f>_xlfn.IFNA(INDEX(nameStd[EIW],MATCH(Table2[[#This Row],[Name]],nameStd[Salary],0)),Table2[[#This Row],[Name]])</f>
        <v>Crowell &amp; Moring</v>
      </c>
      <c r="C407" s="33" t="s">
        <v>5</v>
      </c>
      <c r="D407" s="33" t="s">
        <v>229</v>
      </c>
      <c r="E407" s="34">
        <v>42537</v>
      </c>
      <c r="F407" s="33" t="s">
        <v>119</v>
      </c>
      <c r="G407" s="33" t="s">
        <v>8</v>
      </c>
      <c r="H407" s="33" t="s">
        <v>232</v>
      </c>
    </row>
    <row r="408" spans="1:8" ht="30">
      <c r="A408" s="33" t="s">
        <v>228</v>
      </c>
      <c r="B408" s="33" t="str">
        <f>_xlfn.IFNA(INDEX(nameStd[EIW],MATCH(Table2[[#This Row],[Name]],nameStd[Salary],0)),Table2[[#This Row],[Name]])</f>
        <v>Crowell &amp; Moring</v>
      </c>
      <c r="C408" s="33" t="s">
        <v>5</v>
      </c>
      <c r="D408" s="33" t="s">
        <v>229</v>
      </c>
      <c r="E408" s="34">
        <v>42537</v>
      </c>
      <c r="F408" s="33" t="s">
        <v>230</v>
      </c>
      <c r="G408" s="33" t="s">
        <v>8</v>
      </c>
      <c r="H408" s="33" t="s">
        <v>232</v>
      </c>
    </row>
    <row r="409" spans="1:8" ht="30">
      <c r="A409" s="33" t="s">
        <v>228</v>
      </c>
      <c r="B409" s="33" t="str">
        <f>_xlfn.IFNA(INDEX(nameStd[EIW],MATCH(Table2[[#This Row],[Name]],nameStd[Salary],0)),Table2[[#This Row],[Name]])</f>
        <v>Crowell &amp; Moring</v>
      </c>
      <c r="C409" s="33" t="s">
        <v>5</v>
      </c>
      <c r="D409" s="33" t="s">
        <v>229</v>
      </c>
      <c r="E409" s="34">
        <v>42537</v>
      </c>
      <c r="F409" s="33" t="s">
        <v>231</v>
      </c>
      <c r="G409" s="33" t="s">
        <v>8</v>
      </c>
      <c r="H409" s="33" t="s">
        <v>232</v>
      </c>
    </row>
    <row r="410" spans="1:8" ht="30">
      <c r="A410" s="32" t="s">
        <v>233</v>
      </c>
      <c r="B410" s="32" t="str">
        <f>_xlfn.IFNA(INDEX(nameStd[EIW],MATCH(Table2[[#This Row],[Name]],nameStd[Salary],0)),Table2[[#This Row],[Name]])</f>
        <v>Ashurst</v>
      </c>
      <c r="C410" s="33" t="s">
        <v>5</v>
      </c>
      <c r="D410" s="33" t="s">
        <v>6</v>
      </c>
      <c r="E410" s="34">
        <v>42537</v>
      </c>
      <c r="F410" s="33" t="s">
        <v>7</v>
      </c>
      <c r="G410" s="33" t="s">
        <v>8</v>
      </c>
      <c r="H410" s="33" t="s">
        <v>13</v>
      </c>
    </row>
    <row r="411" spans="1:8" ht="30">
      <c r="A411" s="15" t="s">
        <v>233</v>
      </c>
      <c r="B411" s="15" t="str">
        <f>_xlfn.IFNA(INDEX(nameStd[EIW],MATCH(Table2[[#This Row],[Name]],nameStd[Salary],0)),Table2[[#This Row],[Name]])</f>
        <v>Ashurst</v>
      </c>
      <c r="C411" s="33" t="s">
        <v>5</v>
      </c>
      <c r="D411" s="33" t="s">
        <v>6</v>
      </c>
      <c r="E411" s="34">
        <v>42537</v>
      </c>
      <c r="F411" s="33" t="s">
        <v>15</v>
      </c>
      <c r="G411" s="33" t="s">
        <v>8</v>
      </c>
      <c r="H411" s="33" t="s">
        <v>13</v>
      </c>
    </row>
    <row r="412" spans="1:8" ht="30">
      <c r="A412" s="32" t="s">
        <v>234</v>
      </c>
      <c r="B412" s="32" t="str">
        <f>_xlfn.IFNA(INDEX(nameStd[EIW],MATCH(Table2[[#This Row],[Name]],nameStd[Salary],0)),Table2[[#This Row],[Name]])</f>
        <v>Andrews Kurth</v>
      </c>
      <c r="C412" s="33" t="s">
        <v>5</v>
      </c>
      <c r="D412" s="33" t="s">
        <v>6</v>
      </c>
      <c r="E412" s="34">
        <v>42537</v>
      </c>
      <c r="F412" s="33" t="s">
        <v>87</v>
      </c>
      <c r="G412" s="33" t="s">
        <v>16</v>
      </c>
      <c r="H412" s="33" t="s">
        <v>237</v>
      </c>
    </row>
    <row r="413" spans="1:8" ht="30">
      <c r="A413" s="15" t="s">
        <v>234</v>
      </c>
      <c r="B413" s="15" t="str">
        <f>_xlfn.IFNA(INDEX(nameStd[EIW],MATCH(Table2[[#This Row],[Name]],nameStd[Salary],0)),Table2[[#This Row],[Name]])</f>
        <v>Andrews Kurth</v>
      </c>
      <c r="C413" s="33" t="s">
        <v>5</v>
      </c>
      <c r="D413" s="33" t="s">
        <v>6</v>
      </c>
      <c r="E413" s="34">
        <v>42537</v>
      </c>
      <c r="F413" s="33" t="s">
        <v>29</v>
      </c>
      <c r="G413" s="33" t="s">
        <v>16</v>
      </c>
      <c r="H413" s="33" t="s">
        <v>237</v>
      </c>
    </row>
    <row r="414" spans="1:8" ht="30">
      <c r="A414" s="15" t="s">
        <v>234</v>
      </c>
      <c r="B414" s="15" t="str">
        <f>_xlfn.IFNA(INDEX(nameStd[EIW],MATCH(Table2[[#This Row],[Name]],nameStd[Salary],0)),Table2[[#This Row],[Name]])</f>
        <v>Andrews Kurth</v>
      </c>
      <c r="C414" s="33" t="s">
        <v>5</v>
      </c>
      <c r="D414" s="33" t="s">
        <v>6</v>
      </c>
      <c r="E414" s="34">
        <v>42537</v>
      </c>
      <c r="F414" s="33" t="s">
        <v>30</v>
      </c>
      <c r="G414" s="33" t="s">
        <v>16</v>
      </c>
      <c r="H414" s="33" t="s">
        <v>237</v>
      </c>
    </row>
    <row r="415" spans="1:8" ht="30">
      <c r="A415" s="33" t="s">
        <v>234</v>
      </c>
      <c r="B415" s="33" t="str">
        <f>_xlfn.IFNA(INDEX(nameStd[EIW],MATCH(Table2[[#This Row],[Name]],nameStd[Salary],0)),Table2[[#This Row],[Name]])</f>
        <v>Andrews Kurth</v>
      </c>
      <c r="C415" s="33" t="s">
        <v>5</v>
      </c>
      <c r="D415" s="33" t="s">
        <v>6</v>
      </c>
      <c r="E415" s="34">
        <v>42537</v>
      </c>
      <c r="F415" s="33" t="s">
        <v>235</v>
      </c>
      <c r="G415" s="33" t="s">
        <v>16</v>
      </c>
      <c r="H415" s="33" t="s">
        <v>237</v>
      </c>
    </row>
    <row r="416" spans="1:8" ht="30">
      <c r="A416" s="33" t="s">
        <v>234</v>
      </c>
      <c r="B416" s="33" t="str">
        <f>_xlfn.IFNA(INDEX(nameStd[EIW],MATCH(Table2[[#This Row],[Name]],nameStd[Salary],0)),Table2[[#This Row],[Name]])</f>
        <v>Andrews Kurth</v>
      </c>
      <c r="C416" s="33" t="s">
        <v>5</v>
      </c>
      <c r="D416" s="33" t="s">
        <v>6</v>
      </c>
      <c r="E416" s="34">
        <v>42537</v>
      </c>
      <c r="F416" s="33" t="s">
        <v>236</v>
      </c>
      <c r="G416" s="33" t="s">
        <v>16</v>
      </c>
      <c r="H416" s="33" t="s">
        <v>237</v>
      </c>
    </row>
    <row r="417" spans="1:8" ht="30">
      <c r="A417" s="33" t="s">
        <v>234</v>
      </c>
      <c r="B417" s="33" t="str">
        <f>_xlfn.IFNA(INDEX(nameStd[EIW],MATCH(Table2[[#This Row],[Name]],nameStd[Salary],0)),Table2[[#This Row],[Name]])</f>
        <v>Andrews Kurth</v>
      </c>
      <c r="C417" s="33" t="s">
        <v>5</v>
      </c>
      <c r="D417" s="33" t="s">
        <v>6</v>
      </c>
      <c r="E417" s="34">
        <v>42537</v>
      </c>
      <c r="F417" s="33" t="s">
        <v>7</v>
      </c>
      <c r="G417" s="33" t="s">
        <v>16</v>
      </c>
      <c r="H417" s="33" t="s">
        <v>237</v>
      </c>
    </row>
    <row r="418" spans="1:8" ht="30">
      <c r="A418" s="33" t="s">
        <v>234</v>
      </c>
      <c r="B418" s="33" t="str">
        <f>_xlfn.IFNA(INDEX(nameStd[EIW],MATCH(Table2[[#This Row],[Name]],nameStd[Salary],0)),Table2[[#This Row],[Name]])</f>
        <v>Andrews Kurth</v>
      </c>
      <c r="C418" s="33" t="s">
        <v>5</v>
      </c>
      <c r="D418" s="33" t="s">
        <v>6</v>
      </c>
      <c r="E418" s="34">
        <v>42537</v>
      </c>
      <c r="F418" s="33" t="s">
        <v>15</v>
      </c>
      <c r="G418" s="33" t="s">
        <v>16</v>
      </c>
      <c r="H418" s="33" t="s">
        <v>237</v>
      </c>
    </row>
    <row r="419" spans="1:8" ht="30">
      <c r="A419" s="32" t="s">
        <v>238</v>
      </c>
      <c r="B419" s="32" t="str">
        <f>_xlfn.IFNA(INDEX(nameStd[EIW],MATCH(Table2[[#This Row],[Name]],nameStd[Salary],0)),Table2[[#This Row],[Name]])</f>
        <v>Morgan, Lewis &amp; Bockius</v>
      </c>
      <c r="C419" s="33" t="s">
        <v>5</v>
      </c>
      <c r="D419" s="33" t="s">
        <v>47</v>
      </c>
      <c r="E419" s="34">
        <v>42537</v>
      </c>
      <c r="F419" s="33" t="s">
        <v>7</v>
      </c>
      <c r="G419" s="33" t="s">
        <v>8</v>
      </c>
      <c r="H419" s="33" t="s">
        <v>241</v>
      </c>
    </row>
    <row r="420" spans="1:8" ht="30">
      <c r="A420" s="15" t="s">
        <v>238</v>
      </c>
      <c r="B420" s="15" t="str">
        <f>_xlfn.IFNA(INDEX(nameStd[EIW],MATCH(Table2[[#This Row],[Name]],nameStd[Salary],0)),Table2[[#This Row],[Name]])</f>
        <v>Morgan, Lewis &amp; Bockius</v>
      </c>
      <c r="C420" s="33" t="s">
        <v>5</v>
      </c>
      <c r="D420" s="33" t="s">
        <v>47</v>
      </c>
      <c r="E420" s="34">
        <v>42537</v>
      </c>
      <c r="F420" s="33" t="s">
        <v>239</v>
      </c>
      <c r="G420" s="33" t="s">
        <v>8</v>
      </c>
      <c r="H420" s="33" t="s">
        <v>241</v>
      </c>
    </row>
    <row r="421" spans="1:8" ht="60">
      <c r="A421" s="15" t="s">
        <v>238</v>
      </c>
      <c r="B421" s="15" t="str">
        <f>_xlfn.IFNA(INDEX(nameStd[EIW],MATCH(Table2[[#This Row],[Name]],nameStd[Salary],0)),Table2[[#This Row],[Name]])</f>
        <v>Morgan, Lewis &amp; Bockius</v>
      </c>
      <c r="C421" s="33" t="s">
        <v>5</v>
      </c>
      <c r="D421" s="33" t="s">
        <v>47</v>
      </c>
      <c r="E421" s="34">
        <v>42537</v>
      </c>
      <c r="F421" s="33" t="s">
        <v>240</v>
      </c>
      <c r="G421" s="33" t="s">
        <v>8</v>
      </c>
      <c r="H421" s="33" t="s">
        <v>241</v>
      </c>
    </row>
    <row r="422" spans="1:8" ht="30">
      <c r="A422" s="32" t="s">
        <v>242</v>
      </c>
      <c r="B422" s="32" t="str">
        <f>_xlfn.IFNA(INDEX(nameStd[EIW],MATCH(Table2[[#This Row],[Name]],nameStd[Salary],0)),Table2[[#This Row],[Name]])</f>
        <v>Barack Ferrazzano</v>
      </c>
      <c r="C422" s="33" t="s">
        <v>5</v>
      </c>
      <c r="D422" s="33" t="s">
        <v>243</v>
      </c>
      <c r="E422" s="34">
        <v>42537</v>
      </c>
      <c r="F422" s="33" t="s">
        <v>48</v>
      </c>
      <c r="G422" s="33" t="s">
        <v>16</v>
      </c>
      <c r="H422" s="33" t="s">
        <v>13</v>
      </c>
    </row>
    <row r="423" spans="1:8" ht="30">
      <c r="A423" s="15" t="s">
        <v>242</v>
      </c>
      <c r="B423" s="15" t="str">
        <f>_xlfn.IFNA(INDEX(nameStd[EIW],MATCH(Table2[[#This Row],[Name]],nameStd[Salary],0)),Table2[[#This Row],[Name]])</f>
        <v>Barack Ferrazzano</v>
      </c>
      <c r="C423" s="33" t="s">
        <v>5</v>
      </c>
      <c r="D423" s="33" t="s">
        <v>243</v>
      </c>
      <c r="E423" s="34">
        <v>42537</v>
      </c>
      <c r="F423" s="33" t="s">
        <v>244</v>
      </c>
      <c r="G423" s="33" t="s">
        <v>16</v>
      </c>
      <c r="H423" s="33" t="s">
        <v>13</v>
      </c>
    </row>
    <row r="424" spans="1:8" ht="30">
      <c r="A424" s="32" t="s">
        <v>245</v>
      </c>
      <c r="B424" s="32" t="str">
        <f>_xlfn.IFNA(INDEX(nameStd[EIW],MATCH(Table2[[#This Row],[Name]],nameStd[Salary],0)),Table2[[#This Row],[Name]])</f>
        <v>Katten Muchin Rosenman</v>
      </c>
      <c r="C424" s="33" t="s">
        <v>5</v>
      </c>
      <c r="D424" s="33" t="s">
        <v>47</v>
      </c>
      <c r="E424" s="34">
        <v>42538</v>
      </c>
      <c r="F424" s="33" t="s">
        <v>87</v>
      </c>
      <c r="G424" s="33" t="s">
        <v>16</v>
      </c>
      <c r="H424" s="33" t="s">
        <v>249</v>
      </c>
    </row>
    <row r="425" spans="1:8" ht="30">
      <c r="A425" s="15" t="s">
        <v>245</v>
      </c>
      <c r="B425" s="15" t="str">
        <f>_xlfn.IFNA(INDEX(nameStd[EIW],MATCH(Table2[[#This Row],[Name]],nameStd[Salary],0)),Table2[[#This Row],[Name]])</f>
        <v>Katten Muchin Rosenman</v>
      </c>
      <c r="C425" s="33" t="s">
        <v>5</v>
      </c>
      <c r="D425" s="33" t="s">
        <v>47</v>
      </c>
      <c r="E425" s="34">
        <v>42538</v>
      </c>
      <c r="F425" s="33" t="s">
        <v>30</v>
      </c>
      <c r="G425" s="33" t="s">
        <v>16</v>
      </c>
      <c r="H425" s="33" t="s">
        <v>249</v>
      </c>
    </row>
    <row r="426" spans="1:8" ht="30">
      <c r="A426" s="15" t="s">
        <v>245</v>
      </c>
      <c r="B426" s="15" t="str">
        <f>_xlfn.IFNA(INDEX(nameStd[EIW],MATCH(Table2[[#This Row],[Name]],nameStd[Salary],0)),Table2[[#This Row],[Name]])</f>
        <v>Katten Muchin Rosenman</v>
      </c>
      <c r="C426" s="33" t="s">
        <v>5</v>
      </c>
      <c r="D426" s="33" t="s">
        <v>47</v>
      </c>
      <c r="E426" s="34">
        <v>42538</v>
      </c>
      <c r="F426" s="33" t="s">
        <v>246</v>
      </c>
      <c r="G426" s="33" t="s">
        <v>16</v>
      </c>
      <c r="H426" s="33" t="s">
        <v>249</v>
      </c>
    </row>
    <row r="427" spans="1:8" ht="30">
      <c r="A427" s="33" t="s">
        <v>245</v>
      </c>
      <c r="B427" s="33" t="str">
        <f>_xlfn.IFNA(INDEX(nameStd[EIW],MATCH(Table2[[#This Row],[Name]],nameStd[Salary],0)),Table2[[#This Row],[Name]])</f>
        <v>Katten Muchin Rosenman</v>
      </c>
      <c r="C427" s="33" t="s">
        <v>5</v>
      </c>
      <c r="D427" s="33" t="s">
        <v>47</v>
      </c>
      <c r="E427" s="34">
        <v>42538</v>
      </c>
      <c r="F427" s="33" t="s">
        <v>48</v>
      </c>
      <c r="G427" s="33" t="s">
        <v>16</v>
      </c>
      <c r="H427" s="33" t="s">
        <v>249</v>
      </c>
    </row>
    <row r="428" spans="1:8" ht="45">
      <c r="A428" s="33" t="s">
        <v>245</v>
      </c>
      <c r="B428" s="33" t="str">
        <f>_xlfn.IFNA(INDEX(nameStd[EIW],MATCH(Table2[[#This Row],[Name]],nameStd[Salary],0)),Table2[[#This Row],[Name]])</f>
        <v>Katten Muchin Rosenman</v>
      </c>
      <c r="C428" s="33" t="s">
        <v>5</v>
      </c>
      <c r="D428" s="33" t="s">
        <v>47</v>
      </c>
      <c r="E428" s="34">
        <v>42538</v>
      </c>
      <c r="F428" s="33" t="s">
        <v>247</v>
      </c>
      <c r="G428" s="33" t="s">
        <v>16</v>
      </c>
      <c r="H428" s="33" t="s">
        <v>249</v>
      </c>
    </row>
    <row r="429" spans="1:8" ht="30">
      <c r="A429" s="33" t="s">
        <v>245</v>
      </c>
      <c r="B429" s="33" t="str">
        <f>_xlfn.IFNA(INDEX(nameStd[EIW],MATCH(Table2[[#This Row],[Name]],nameStd[Salary],0)),Table2[[#This Row],[Name]])</f>
        <v>Katten Muchin Rosenman</v>
      </c>
      <c r="C429" s="33" t="s">
        <v>5</v>
      </c>
      <c r="D429" s="33" t="s">
        <v>47</v>
      </c>
      <c r="E429" s="34">
        <v>42538</v>
      </c>
      <c r="F429" s="33" t="s">
        <v>11</v>
      </c>
      <c r="G429" s="33" t="s">
        <v>16</v>
      </c>
      <c r="H429" s="33" t="s">
        <v>249</v>
      </c>
    </row>
    <row r="430" spans="1:8" ht="30">
      <c r="A430" s="33" t="s">
        <v>245</v>
      </c>
      <c r="B430" s="33" t="str">
        <f>_xlfn.IFNA(INDEX(nameStd[EIW],MATCH(Table2[[#This Row],[Name]],nameStd[Salary],0)),Table2[[#This Row],[Name]])</f>
        <v>Katten Muchin Rosenman</v>
      </c>
      <c r="C430" s="33" t="s">
        <v>5</v>
      </c>
      <c r="D430" s="33" t="s">
        <v>47</v>
      </c>
      <c r="E430" s="34">
        <v>42538</v>
      </c>
      <c r="F430" s="33" t="s">
        <v>119</v>
      </c>
      <c r="G430" s="33" t="s">
        <v>16</v>
      </c>
      <c r="H430" s="33" t="s">
        <v>249</v>
      </c>
    </row>
    <row r="431" spans="1:8" ht="30">
      <c r="A431" s="33" t="s">
        <v>245</v>
      </c>
      <c r="B431" s="33" t="str">
        <f>_xlfn.IFNA(INDEX(nameStd[EIW],MATCH(Table2[[#This Row],[Name]],nameStd[Salary],0)),Table2[[#This Row],[Name]])</f>
        <v>Katten Muchin Rosenman</v>
      </c>
      <c r="C431" s="33" t="s">
        <v>5</v>
      </c>
      <c r="D431" s="33" t="s">
        <v>47</v>
      </c>
      <c r="E431" s="34">
        <v>42538</v>
      </c>
      <c r="F431" s="33" t="s">
        <v>193</v>
      </c>
      <c r="G431" s="33" t="s">
        <v>16</v>
      </c>
      <c r="H431" s="33" t="s">
        <v>249</v>
      </c>
    </row>
    <row r="432" spans="1:8" ht="30">
      <c r="A432" s="33" t="s">
        <v>245</v>
      </c>
      <c r="B432" s="33" t="str">
        <f>_xlfn.IFNA(INDEX(nameStd[EIW],MATCH(Table2[[#This Row],[Name]],nameStd[Salary],0)),Table2[[#This Row],[Name]])</f>
        <v>Katten Muchin Rosenman</v>
      </c>
      <c r="C432" s="33" t="s">
        <v>5</v>
      </c>
      <c r="D432" s="33" t="s">
        <v>47</v>
      </c>
      <c r="E432" s="34">
        <v>42538</v>
      </c>
      <c r="F432" s="33" t="s">
        <v>7</v>
      </c>
      <c r="G432" s="33" t="s">
        <v>16</v>
      </c>
      <c r="H432" s="33" t="s">
        <v>249</v>
      </c>
    </row>
    <row r="433" spans="1:8" ht="30">
      <c r="A433" s="33" t="s">
        <v>245</v>
      </c>
      <c r="B433" s="33" t="str">
        <f>_xlfn.IFNA(INDEX(nameStd[EIW],MATCH(Table2[[#This Row],[Name]],nameStd[Salary],0)),Table2[[#This Row],[Name]])</f>
        <v>Katten Muchin Rosenman</v>
      </c>
      <c r="C433" s="33" t="s">
        <v>5</v>
      </c>
      <c r="D433" s="33" t="s">
        <v>47</v>
      </c>
      <c r="E433" s="34">
        <v>42538</v>
      </c>
      <c r="F433" s="33" t="s">
        <v>15</v>
      </c>
      <c r="G433" s="33" t="s">
        <v>16</v>
      </c>
      <c r="H433" s="33" t="s">
        <v>249</v>
      </c>
    </row>
    <row r="434" spans="1:8" ht="30">
      <c r="A434" s="33" t="s">
        <v>245</v>
      </c>
      <c r="B434" s="33" t="str">
        <f>_xlfn.IFNA(INDEX(nameStd[EIW],MATCH(Table2[[#This Row],[Name]],nameStd[Salary],0)),Table2[[#This Row],[Name]])</f>
        <v>Katten Muchin Rosenman</v>
      </c>
      <c r="C434" s="33" t="s">
        <v>5</v>
      </c>
      <c r="D434" s="33" t="s">
        <v>47</v>
      </c>
      <c r="E434" s="34">
        <v>42538</v>
      </c>
      <c r="F434" s="33" t="s">
        <v>248</v>
      </c>
      <c r="G434" s="33" t="s">
        <v>16</v>
      </c>
      <c r="H434" s="33" t="s">
        <v>249</v>
      </c>
    </row>
    <row r="435" spans="1:8" ht="30">
      <c r="A435" s="32" t="s">
        <v>250</v>
      </c>
      <c r="B435" s="32" t="str">
        <f>_xlfn.IFNA(INDEX(nameStd[EIW],MATCH(Table2[[#This Row],[Name]],nameStd[Salary],0)),Table2[[#This Row],[Name]])</f>
        <v>Allen &amp; Overy</v>
      </c>
      <c r="C435" s="33" t="s">
        <v>5</v>
      </c>
      <c r="D435" s="33" t="s">
        <v>6</v>
      </c>
      <c r="E435" s="34">
        <v>42538</v>
      </c>
      <c r="F435" s="33" t="s">
        <v>7</v>
      </c>
      <c r="G435" s="33" t="s">
        <v>8</v>
      </c>
      <c r="H435" s="33" t="s">
        <v>13</v>
      </c>
    </row>
    <row r="436" spans="1:8" ht="30">
      <c r="A436" s="15" t="s">
        <v>250</v>
      </c>
      <c r="B436" s="15" t="str">
        <f>_xlfn.IFNA(INDEX(nameStd[EIW],MATCH(Table2[[#This Row],[Name]],nameStd[Salary],0)),Table2[[#This Row],[Name]])</f>
        <v>Allen &amp; Overy</v>
      </c>
      <c r="C436" s="33" t="s">
        <v>5</v>
      </c>
      <c r="D436" s="33" t="s">
        <v>6</v>
      </c>
      <c r="E436" s="34">
        <v>42538</v>
      </c>
      <c r="F436" s="33" t="s">
        <v>15</v>
      </c>
      <c r="G436" s="33" t="s">
        <v>8</v>
      </c>
      <c r="H436" s="33" t="s">
        <v>13</v>
      </c>
    </row>
    <row r="437" spans="1:8" ht="30">
      <c r="A437" s="15" t="s">
        <v>250</v>
      </c>
      <c r="B437" s="15" t="str">
        <f>_xlfn.IFNA(INDEX(nameStd[EIW],MATCH(Table2[[#This Row],[Name]],nameStd[Salary],0)),Table2[[#This Row],[Name]])</f>
        <v>Allen &amp; Overy</v>
      </c>
      <c r="C437" s="33" t="s">
        <v>5</v>
      </c>
      <c r="D437" s="33" t="s">
        <v>6</v>
      </c>
      <c r="E437" s="34">
        <v>42538</v>
      </c>
      <c r="F437" s="33" t="s">
        <v>251</v>
      </c>
      <c r="G437" s="33" t="s">
        <v>8</v>
      </c>
      <c r="H437" s="33" t="s">
        <v>13</v>
      </c>
    </row>
    <row r="438" spans="1:8" ht="45">
      <c r="A438" s="32" t="s">
        <v>252</v>
      </c>
      <c r="B438" s="32" t="str">
        <f>_xlfn.IFNA(INDEX(nameStd[EIW],MATCH(Table2[[#This Row],[Name]],nameStd[Salary],0)),Table2[[#This Row],[Name]])</f>
        <v>WilmerHale</v>
      </c>
      <c r="C438" s="33" t="s">
        <v>5</v>
      </c>
      <c r="D438" s="33" t="s">
        <v>253</v>
      </c>
      <c r="E438" s="34">
        <v>42538</v>
      </c>
      <c r="F438" s="33" t="s">
        <v>28</v>
      </c>
      <c r="G438" s="33" t="s">
        <v>16</v>
      </c>
      <c r="H438" s="33" t="s">
        <v>254</v>
      </c>
    </row>
    <row r="439" spans="1:8" ht="45">
      <c r="A439" s="15" t="s">
        <v>252</v>
      </c>
      <c r="B439" s="15" t="str">
        <f>_xlfn.IFNA(INDEX(nameStd[EIW],MATCH(Table2[[#This Row],[Name]],nameStd[Salary],0)),Table2[[#This Row],[Name]])</f>
        <v>WilmerHale</v>
      </c>
      <c r="C439" s="33" t="s">
        <v>5</v>
      </c>
      <c r="D439" s="33" t="s">
        <v>253</v>
      </c>
      <c r="E439" s="34">
        <v>42538</v>
      </c>
      <c r="F439" s="33" t="s">
        <v>7</v>
      </c>
      <c r="G439" s="33" t="s">
        <v>16</v>
      </c>
      <c r="H439" s="33" t="s">
        <v>254</v>
      </c>
    </row>
    <row r="440" spans="1:8" ht="45">
      <c r="A440" s="15" t="s">
        <v>252</v>
      </c>
      <c r="B440" s="15" t="str">
        <f>_xlfn.IFNA(INDEX(nameStd[EIW],MATCH(Table2[[#This Row],[Name]],nameStd[Salary],0)),Table2[[#This Row],[Name]])</f>
        <v>WilmerHale</v>
      </c>
      <c r="C440" s="33" t="s">
        <v>5</v>
      </c>
      <c r="D440" s="33" t="s">
        <v>253</v>
      </c>
      <c r="E440" s="34">
        <v>42538</v>
      </c>
      <c r="F440" s="33" t="s">
        <v>15</v>
      </c>
      <c r="G440" s="33" t="s">
        <v>16</v>
      </c>
      <c r="H440" s="33" t="s">
        <v>254</v>
      </c>
    </row>
    <row r="441" spans="1:8" ht="45">
      <c r="A441" s="33" t="s">
        <v>252</v>
      </c>
      <c r="B441" s="33" t="str">
        <f>_xlfn.IFNA(INDEX(nameStd[EIW],MATCH(Table2[[#This Row],[Name]],nameStd[Salary],0)),Table2[[#This Row],[Name]])</f>
        <v>WilmerHale</v>
      </c>
      <c r="C441" s="33" t="s">
        <v>5</v>
      </c>
      <c r="D441" s="33" t="s">
        <v>253</v>
      </c>
      <c r="E441" s="34">
        <v>42538</v>
      </c>
      <c r="F441" s="33" t="s">
        <v>11</v>
      </c>
      <c r="G441" s="33" t="s">
        <v>16</v>
      </c>
      <c r="H441" s="33" t="s">
        <v>254</v>
      </c>
    </row>
    <row r="442" spans="1:8" ht="45">
      <c r="A442" s="33" t="s">
        <v>252</v>
      </c>
      <c r="B442" s="33" t="str">
        <f>_xlfn.IFNA(INDEX(nameStd[EIW],MATCH(Table2[[#This Row],[Name]],nameStd[Salary],0)),Table2[[#This Row],[Name]])</f>
        <v>WilmerHale</v>
      </c>
      <c r="C442" s="33" t="s">
        <v>5</v>
      </c>
      <c r="D442" s="33" t="s">
        <v>253</v>
      </c>
      <c r="E442" s="34">
        <v>42538</v>
      </c>
      <c r="F442" s="33" t="s">
        <v>40</v>
      </c>
      <c r="G442" s="33" t="s">
        <v>16</v>
      </c>
      <c r="H442" s="33" t="s">
        <v>254</v>
      </c>
    </row>
    <row r="443" spans="1:8" ht="45">
      <c r="A443" s="33" t="s">
        <v>252</v>
      </c>
      <c r="B443" s="33" t="str">
        <f>_xlfn.IFNA(INDEX(nameStd[EIW],MATCH(Table2[[#This Row],[Name]],nameStd[Salary],0)),Table2[[#This Row],[Name]])</f>
        <v>WilmerHale</v>
      </c>
      <c r="C443" s="33" t="s">
        <v>5</v>
      </c>
      <c r="D443" s="33" t="s">
        <v>253</v>
      </c>
      <c r="E443" s="34">
        <v>42538</v>
      </c>
      <c r="F443" s="33" t="s">
        <v>147</v>
      </c>
      <c r="G443" s="33" t="s">
        <v>16</v>
      </c>
      <c r="H443" s="33" t="s">
        <v>254</v>
      </c>
    </row>
    <row r="444" spans="1:8" ht="30">
      <c r="A444" s="32" t="s">
        <v>255</v>
      </c>
      <c r="B444" s="32" t="str">
        <f>_xlfn.IFNA(INDEX(nameStd[EIW],MATCH(Table2[[#This Row],[Name]],nameStd[Salary],0)),Table2[[#This Row],[Name]])</f>
        <v>King &amp; Spalding</v>
      </c>
      <c r="C444" s="33" t="s">
        <v>5</v>
      </c>
      <c r="D444" s="33" t="s">
        <v>6</v>
      </c>
      <c r="E444" s="34">
        <v>42538</v>
      </c>
      <c r="F444" s="33" t="s">
        <v>7</v>
      </c>
      <c r="G444" s="33" t="s">
        <v>16</v>
      </c>
      <c r="H444" s="33" t="s">
        <v>257</v>
      </c>
    </row>
    <row r="445" spans="1:8" ht="30">
      <c r="A445" s="15" t="s">
        <v>255</v>
      </c>
      <c r="B445" s="15" t="str">
        <f>_xlfn.IFNA(INDEX(nameStd[EIW],MATCH(Table2[[#This Row],[Name]],nameStd[Salary],0)),Table2[[#This Row],[Name]])</f>
        <v>King &amp; Spalding</v>
      </c>
      <c r="C445" s="33" t="s">
        <v>5</v>
      </c>
      <c r="D445" s="33" t="s">
        <v>6</v>
      </c>
      <c r="E445" s="34">
        <v>42538</v>
      </c>
      <c r="F445" s="33" t="s">
        <v>87</v>
      </c>
      <c r="G445" s="33" t="s">
        <v>16</v>
      </c>
      <c r="H445" s="33" t="s">
        <v>257</v>
      </c>
    </row>
    <row r="446" spans="1:8" ht="30">
      <c r="A446" s="15" t="s">
        <v>255</v>
      </c>
      <c r="B446" s="15" t="str">
        <f>_xlfn.IFNA(INDEX(nameStd[EIW],MATCH(Table2[[#This Row],[Name]],nameStd[Salary],0)),Table2[[#This Row],[Name]])</f>
        <v>King &amp; Spalding</v>
      </c>
      <c r="C446" s="33" t="s">
        <v>5</v>
      </c>
      <c r="D446" s="33" t="s">
        <v>6</v>
      </c>
      <c r="E446" s="34">
        <v>42538</v>
      </c>
      <c r="F446" s="33" t="s">
        <v>30</v>
      </c>
      <c r="G446" s="33" t="s">
        <v>16</v>
      </c>
      <c r="H446" s="33" t="s">
        <v>257</v>
      </c>
    </row>
    <row r="447" spans="1:8" ht="30">
      <c r="A447" s="33" t="s">
        <v>255</v>
      </c>
      <c r="B447" s="33" t="str">
        <f>_xlfn.IFNA(INDEX(nameStd[EIW],MATCH(Table2[[#This Row],[Name]],nameStd[Salary],0)),Table2[[#This Row],[Name]])</f>
        <v>King &amp; Spalding</v>
      </c>
      <c r="C447" s="33" t="s">
        <v>5</v>
      </c>
      <c r="D447" s="33" t="s">
        <v>6</v>
      </c>
      <c r="E447" s="34">
        <v>42538</v>
      </c>
      <c r="F447" s="33" t="s">
        <v>15</v>
      </c>
      <c r="G447" s="33" t="s">
        <v>16</v>
      </c>
      <c r="H447" s="33" t="s">
        <v>257</v>
      </c>
    </row>
    <row r="448" spans="1:8" ht="30">
      <c r="A448" s="33" t="s">
        <v>255</v>
      </c>
      <c r="B448" s="33" t="str">
        <f>_xlfn.IFNA(INDEX(nameStd[EIW],MATCH(Table2[[#This Row],[Name]],nameStd[Salary],0)),Table2[[#This Row],[Name]])</f>
        <v>King &amp; Spalding</v>
      </c>
      <c r="C448" s="33" t="s">
        <v>5</v>
      </c>
      <c r="D448" s="33" t="s">
        <v>6</v>
      </c>
      <c r="E448" s="34">
        <v>42538</v>
      </c>
      <c r="F448" s="33" t="s">
        <v>8</v>
      </c>
      <c r="G448" s="33" t="s">
        <v>16</v>
      </c>
      <c r="H448" s="33" t="s">
        <v>257</v>
      </c>
    </row>
    <row r="449" spans="1:8" ht="30">
      <c r="A449" s="33" t="s">
        <v>255</v>
      </c>
      <c r="B449" s="33" t="str">
        <f>_xlfn.IFNA(INDEX(nameStd[EIW],MATCH(Table2[[#This Row],[Name]],nameStd[Salary],0)),Table2[[#This Row],[Name]])</f>
        <v>King &amp; Spalding</v>
      </c>
      <c r="C449" s="33" t="s">
        <v>5</v>
      </c>
      <c r="D449" s="33" t="s">
        <v>6</v>
      </c>
      <c r="E449" s="34">
        <v>42538</v>
      </c>
      <c r="F449" s="33" t="s">
        <v>256</v>
      </c>
      <c r="G449" s="33" t="s">
        <v>16</v>
      </c>
      <c r="H449" s="33" t="s">
        <v>257</v>
      </c>
    </row>
    <row r="450" spans="1:8" ht="30">
      <c r="A450" s="32" t="s">
        <v>258</v>
      </c>
      <c r="B450" s="32" t="str">
        <f>_xlfn.IFNA(INDEX(nameStd[EIW],MATCH(Table2[[#This Row],[Name]],nameStd[Salary],0)),Table2[[#This Row],[Name]])</f>
        <v>Fish &amp; Richardson</v>
      </c>
      <c r="C450" s="33" t="s">
        <v>5</v>
      </c>
      <c r="D450" s="33" t="s">
        <v>47</v>
      </c>
      <c r="E450" s="34">
        <v>42538</v>
      </c>
      <c r="F450" s="33" t="s">
        <v>28</v>
      </c>
      <c r="G450" s="33" t="s">
        <v>16</v>
      </c>
      <c r="H450" s="33" t="s">
        <v>260</v>
      </c>
    </row>
    <row r="451" spans="1:8" ht="30">
      <c r="A451" s="15" t="s">
        <v>258</v>
      </c>
      <c r="B451" s="15" t="str">
        <f>_xlfn.IFNA(INDEX(nameStd[EIW],MATCH(Table2[[#This Row],[Name]],nameStd[Salary],0)),Table2[[#This Row],[Name]])</f>
        <v>Fish &amp; Richardson</v>
      </c>
      <c r="C451" s="33" t="s">
        <v>5</v>
      </c>
      <c r="D451" s="33" t="s">
        <v>47</v>
      </c>
      <c r="E451" s="34">
        <v>42538</v>
      </c>
      <c r="F451" s="33" t="s">
        <v>137</v>
      </c>
      <c r="G451" s="33" t="s">
        <v>16</v>
      </c>
      <c r="H451" s="33" t="s">
        <v>260</v>
      </c>
    </row>
    <row r="452" spans="1:8" ht="30">
      <c r="A452" s="15" t="s">
        <v>258</v>
      </c>
      <c r="B452" s="15" t="str">
        <f>_xlfn.IFNA(INDEX(nameStd[EIW],MATCH(Table2[[#This Row],[Name]],nameStd[Salary],0)),Table2[[#This Row],[Name]])</f>
        <v>Fish &amp; Richardson</v>
      </c>
      <c r="C452" s="33" t="s">
        <v>5</v>
      </c>
      <c r="D452" s="33" t="s">
        <v>47</v>
      </c>
      <c r="E452" s="34">
        <v>42538</v>
      </c>
      <c r="F452" s="33" t="s">
        <v>29</v>
      </c>
      <c r="G452" s="33" t="s">
        <v>16</v>
      </c>
      <c r="H452" s="33" t="s">
        <v>260</v>
      </c>
    </row>
    <row r="453" spans="1:8" ht="30">
      <c r="A453" s="33" t="s">
        <v>258</v>
      </c>
      <c r="B453" s="33" t="str">
        <f>_xlfn.IFNA(INDEX(nameStd[EIW],MATCH(Table2[[#This Row],[Name]],nameStd[Salary],0)),Table2[[#This Row],[Name]])</f>
        <v>Fish &amp; Richardson</v>
      </c>
      <c r="C453" s="33" t="s">
        <v>5</v>
      </c>
      <c r="D453" s="33" t="s">
        <v>47</v>
      </c>
      <c r="E453" s="34">
        <v>42538</v>
      </c>
      <c r="F453" s="33" t="s">
        <v>87</v>
      </c>
      <c r="G453" s="33" t="s">
        <v>16</v>
      </c>
      <c r="H453" s="33" t="s">
        <v>260</v>
      </c>
    </row>
    <row r="454" spans="1:8" ht="30">
      <c r="A454" s="33" t="s">
        <v>258</v>
      </c>
      <c r="B454" s="33" t="str">
        <f>_xlfn.IFNA(INDEX(nameStd[EIW],MATCH(Table2[[#This Row],[Name]],nameStd[Salary],0)),Table2[[#This Row],[Name]])</f>
        <v>Fish &amp; Richardson</v>
      </c>
      <c r="C454" s="33" t="s">
        <v>5</v>
      </c>
      <c r="D454" s="33" t="s">
        <v>47</v>
      </c>
      <c r="E454" s="34">
        <v>42538</v>
      </c>
      <c r="F454" s="33" t="s">
        <v>30</v>
      </c>
      <c r="G454" s="33" t="s">
        <v>16</v>
      </c>
      <c r="H454" s="33" t="s">
        <v>260</v>
      </c>
    </row>
    <row r="455" spans="1:8" ht="30">
      <c r="A455" s="33" t="s">
        <v>258</v>
      </c>
      <c r="B455" s="33" t="str">
        <f>_xlfn.IFNA(INDEX(nameStd[EIW],MATCH(Table2[[#This Row],[Name]],nameStd[Salary],0)),Table2[[#This Row],[Name]])</f>
        <v>Fish &amp; Richardson</v>
      </c>
      <c r="C455" s="33" t="s">
        <v>5</v>
      </c>
      <c r="D455" s="33" t="s">
        <v>47</v>
      </c>
      <c r="E455" s="34">
        <v>42538</v>
      </c>
      <c r="F455" s="33" t="s">
        <v>69</v>
      </c>
      <c r="G455" s="33" t="s">
        <v>16</v>
      </c>
      <c r="H455" s="33" t="s">
        <v>260</v>
      </c>
    </row>
    <row r="456" spans="1:8" ht="30">
      <c r="A456" s="33" t="s">
        <v>258</v>
      </c>
      <c r="B456" s="33" t="str">
        <f>_xlfn.IFNA(INDEX(nameStd[EIW],MATCH(Table2[[#This Row],[Name]],nameStd[Salary],0)),Table2[[#This Row],[Name]])</f>
        <v>Fish &amp; Richardson</v>
      </c>
      <c r="C456" s="33" t="s">
        <v>5</v>
      </c>
      <c r="D456" s="33" t="s">
        <v>47</v>
      </c>
      <c r="E456" s="34">
        <v>42538</v>
      </c>
      <c r="F456" s="33" t="s">
        <v>85</v>
      </c>
      <c r="G456" s="33" t="s">
        <v>16</v>
      </c>
      <c r="H456" s="33" t="s">
        <v>260</v>
      </c>
    </row>
    <row r="457" spans="1:8" ht="30">
      <c r="A457" s="33" t="s">
        <v>258</v>
      </c>
      <c r="B457" s="33" t="str">
        <f>_xlfn.IFNA(INDEX(nameStd[EIW],MATCH(Table2[[#This Row],[Name]],nameStd[Salary],0)),Table2[[#This Row],[Name]])</f>
        <v>Fish &amp; Richardson</v>
      </c>
      <c r="C457" s="33" t="s">
        <v>5</v>
      </c>
      <c r="D457" s="33" t="s">
        <v>47</v>
      </c>
      <c r="E457" s="34">
        <v>42538</v>
      </c>
      <c r="F457" s="33" t="s">
        <v>20</v>
      </c>
      <c r="G457" s="33" t="s">
        <v>16</v>
      </c>
      <c r="H457" s="33" t="s">
        <v>260</v>
      </c>
    </row>
    <row r="458" spans="1:8" ht="30">
      <c r="A458" s="33" t="s">
        <v>258</v>
      </c>
      <c r="B458" s="33" t="str">
        <f>_xlfn.IFNA(INDEX(nameStd[EIW],MATCH(Table2[[#This Row],[Name]],nameStd[Salary],0)),Table2[[#This Row],[Name]])</f>
        <v>Fish &amp; Richardson</v>
      </c>
      <c r="C458" s="33" t="s">
        <v>5</v>
      </c>
      <c r="D458" s="33" t="s">
        <v>47</v>
      </c>
      <c r="E458" s="34">
        <v>42538</v>
      </c>
      <c r="F458" s="33" t="s">
        <v>244</v>
      </c>
      <c r="G458" s="33" t="s">
        <v>16</v>
      </c>
      <c r="H458" s="33" t="s">
        <v>260</v>
      </c>
    </row>
    <row r="459" spans="1:8" ht="30">
      <c r="A459" s="33" t="s">
        <v>258</v>
      </c>
      <c r="B459" s="33" t="str">
        <f>_xlfn.IFNA(INDEX(nameStd[EIW],MATCH(Table2[[#This Row],[Name]],nameStd[Salary],0)),Table2[[#This Row],[Name]])</f>
        <v>Fish &amp; Richardson</v>
      </c>
      <c r="C459" s="33" t="s">
        <v>5</v>
      </c>
      <c r="D459" s="33" t="s">
        <v>47</v>
      </c>
      <c r="E459" s="34">
        <v>42538</v>
      </c>
      <c r="F459" s="33" t="s">
        <v>259</v>
      </c>
      <c r="G459" s="33" t="s">
        <v>16</v>
      </c>
      <c r="H459" s="33" t="s">
        <v>260</v>
      </c>
    </row>
    <row r="460" spans="1:8" ht="30">
      <c r="A460" s="33" t="s">
        <v>258</v>
      </c>
      <c r="B460" s="33" t="str">
        <f>_xlfn.IFNA(INDEX(nameStd[EIW],MATCH(Table2[[#This Row],[Name]],nameStd[Salary],0)),Table2[[#This Row],[Name]])</f>
        <v>Fish &amp; Richardson</v>
      </c>
      <c r="C460" s="33" t="s">
        <v>5</v>
      </c>
      <c r="D460" s="33" t="s">
        <v>47</v>
      </c>
      <c r="E460" s="34">
        <v>42538</v>
      </c>
      <c r="F460" s="33" t="s">
        <v>15</v>
      </c>
      <c r="G460" s="33" t="s">
        <v>16</v>
      </c>
      <c r="H460" s="33" t="s">
        <v>260</v>
      </c>
    </row>
    <row r="461" spans="1:8" ht="12" customHeight="1">
      <c r="A461" s="32" t="s">
        <v>261</v>
      </c>
      <c r="B461" s="32" t="str">
        <f>_xlfn.IFNA(INDEX(nameStd[EIW],MATCH(Table2[[#This Row],[Name]],nameStd[Salary],0)),Table2[[#This Row],[Name]])</f>
        <v>Choate Hall &amp; Stewart</v>
      </c>
      <c r="C461" s="33" t="s">
        <v>5</v>
      </c>
      <c r="D461" s="33" t="s">
        <v>243</v>
      </c>
      <c r="E461" s="34">
        <v>42538</v>
      </c>
      <c r="F461" s="33" t="s">
        <v>28</v>
      </c>
      <c r="G461" s="33" t="s">
        <v>16</v>
      </c>
      <c r="H461" s="33" t="s">
        <v>262</v>
      </c>
    </row>
    <row r="462" spans="1:8" ht="30">
      <c r="A462" s="32" t="s">
        <v>263</v>
      </c>
      <c r="B462" s="32" t="str">
        <f>_xlfn.IFNA(INDEX(nameStd[EIW],MATCH(Table2[[#This Row],[Name]],nameStd[Salary],0)),Table2[[#This Row],[Name]])</f>
        <v>Olshan Frome Wolosky</v>
      </c>
      <c r="C462" s="33" t="s">
        <v>264</v>
      </c>
      <c r="D462" s="33" t="s">
        <v>243</v>
      </c>
      <c r="E462" s="34">
        <v>42539</v>
      </c>
      <c r="F462" s="33" t="s">
        <v>7</v>
      </c>
      <c r="G462" s="33" t="s">
        <v>16</v>
      </c>
      <c r="H462" s="33" t="s">
        <v>13</v>
      </c>
    </row>
    <row r="463" spans="1:8" ht="30">
      <c r="A463" s="15" t="s">
        <v>263</v>
      </c>
      <c r="B463" s="15" t="str">
        <f>_xlfn.IFNA(INDEX(nameStd[EIW],MATCH(Table2[[#This Row],[Name]],nameStd[Salary],0)),Table2[[#This Row],[Name]])</f>
        <v>Olshan Frome Wolosky</v>
      </c>
      <c r="C463" s="33" t="s">
        <v>264</v>
      </c>
      <c r="D463" s="33" t="s">
        <v>243</v>
      </c>
      <c r="E463" s="34">
        <v>42539</v>
      </c>
      <c r="F463" s="33" t="s">
        <v>55</v>
      </c>
      <c r="G463" s="33" t="s">
        <v>16</v>
      </c>
      <c r="H463" s="33" t="s">
        <v>13</v>
      </c>
    </row>
    <row r="464" spans="1:8" ht="30">
      <c r="A464" s="32" t="s">
        <v>265</v>
      </c>
      <c r="B464" s="32" t="str">
        <f>_xlfn.IFNA(INDEX(nameStd[EIW],MATCH(Table2[[#This Row],[Name]],nameStd[Salary],0)),Table2[[#This Row],[Name]])</f>
        <v>Alston &amp; Bird</v>
      </c>
      <c r="C464" s="33" t="s">
        <v>5</v>
      </c>
      <c r="D464" s="33" t="s">
        <v>243</v>
      </c>
      <c r="E464" s="34">
        <v>42541</v>
      </c>
      <c r="F464" s="37" t="s">
        <v>266</v>
      </c>
      <c r="G464" s="33" t="s">
        <v>16</v>
      </c>
      <c r="H464" s="33" t="s">
        <v>268</v>
      </c>
    </row>
    <row r="465" spans="1:8" ht="30">
      <c r="A465" s="15" t="s">
        <v>265</v>
      </c>
      <c r="B465" s="15" t="str">
        <f>_xlfn.IFNA(INDEX(nameStd[EIW],MATCH(Table2[[#This Row],[Name]],nameStd[Salary],0)),Table2[[#This Row],[Name]])</f>
        <v>Alston &amp; Bird</v>
      </c>
      <c r="C465" s="33" t="s">
        <v>5</v>
      </c>
      <c r="D465" s="33" t="s">
        <v>243</v>
      </c>
      <c r="E465" s="34">
        <v>42541</v>
      </c>
      <c r="F465" s="33" t="s">
        <v>7</v>
      </c>
      <c r="G465" s="33" t="s">
        <v>16</v>
      </c>
      <c r="H465" s="33" t="s">
        <v>268</v>
      </c>
    </row>
    <row r="466" spans="1:8" ht="30">
      <c r="A466" s="15" t="s">
        <v>265</v>
      </c>
      <c r="B466" s="15" t="str">
        <f>_xlfn.IFNA(INDEX(nameStd[EIW],MATCH(Table2[[#This Row],[Name]],nameStd[Salary],0)),Table2[[#This Row],[Name]])</f>
        <v>Alston &amp; Bird</v>
      </c>
      <c r="C466" s="33" t="s">
        <v>133</v>
      </c>
      <c r="D466" s="33" t="s">
        <v>243</v>
      </c>
      <c r="E466" s="34">
        <v>42541</v>
      </c>
      <c r="F466" s="33" t="s">
        <v>15</v>
      </c>
      <c r="G466" s="33" t="s">
        <v>16</v>
      </c>
      <c r="H466" s="33" t="s">
        <v>268</v>
      </c>
    </row>
    <row r="467" spans="1:8" ht="30">
      <c r="A467" s="15" t="s">
        <v>265</v>
      </c>
      <c r="B467" s="15" t="str">
        <f>_xlfn.IFNA(INDEX(nameStd[EIW],MATCH(Table2[[#This Row],[Name]],nameStd[Salary],0)),Table2[[#This Row],[Name]])</f>
        <v>Alston &amp; Bird</v>
      </c>
      <c r="C467" s="33" t="s">
        <v>133</v>
      </c>
      <c r="D467" s="33" t="s">
        <v>243</v>
      </c>
      <c r="E467" s="34">
        <v>42541</v>
      </c>
      <c r="F467" s="33" t="s">
        <v>11</v>
      </c>
      <c r="G467" s="33" t="s">
        <v>16</v>
      </c>
      <c r="H467" s="33" t="s">
        <v>268</v>
      </c>
    </row>
    <row r="468" spans="1:8" ht="30">
      <c r="A468" s="15" t="s">
        <v>265</v>
      </c>
      <c r="B468" s="15" t="str">
        <f>_xlfn.IFNA(INDEX(nameStd[EIW],MATCH(Table2[[#This Row],[Name]],nameStd[Salary],0)),Table2[[#This Row],[Name]])</f>
        <v>Alston &amp; Bird</v>
      </c>
      <c r="C468" s="33" t="s">
        <v>133</v>
      </c>
      <c r="D468" s="33" t="s">
        <v>243</v>
      </c>
      <c r="E468" s="34">
        <v>42541</v>
      </c>
      <c r="F468" s="33" t="s">
        <v>172</v>
      </c>
      <c r="G468" s="33" t="s">
        <v>16</v>
      </c>
      <c r="H468" s="33" t="s">
        <v>268</v>
      </c>
    </row>
    <row r="469" spans="1:8" ht="30">
      <c r="A469" s="33" t="s">
        <v>265</v>
      </c>
      <c r="B469" s="33" t="str">
        <f>_xlfn.IFNA(INDEX(nameStd[EIW],MATCH(Table2[[#This Row],[Name]],nameStd[Salary],0)),Table2[[#This Row],[Name]])</f>
        <v>Alston &amp; Bird</v>
      </c>
      <c r="C469" s="33" t="s">
        <v>133</v>
      </c>
      <c r="D469" s="33" t="s">
        <v>243</v>
      </c>
      <c r="E469" s="34">
        <v>42541</v>
      </c>
      <c r="F469" s="33" t="s">
        <v>29</v>
      </c>
      <c r="G469" s="33" t="s">
        <v>16</v>
      </c>
      <c r="H469" s="33" t="s">
        <v>268</v>
      </c>
    </row>
    <row r="470" spans="1:8" ht="30">
      <c r="A470" s="33" t="s">
        <v>265</v>
      </c>
      <c r="B470" s="33" t="str">
        <f>_xlfn.IFNA(INDEX(nameStd[EIW],MATCH(Table2[[#This Row],[Name]],nameStd[Salary],0)),Table2[[#This Row],[Name]])</f>
        <v>Alston &amp; Bird</v>
      </c>
      <c r="C470" s="33" t="s">
        <v>133</v>
      </c>
      <c r="D470" s="33" t="s">
        <v>243</v>
      </c>
      <c r="E470" s="34">
        <v>42541</v>
      </c>
      <c r="F470" s="37" t="s">
        <v>267</v>
      </c>
      <c r="G470" s="33" t="s">
        <v>16</v>
      </c>
      <c r="H470" s="33" t="s">
        <v>268</v>
      </c>
    </row>
    <row r="471" spans="1:8" ht="30">
      <c r="A471" s="33" t="s">
        <v>265</v>
      </c>
      <c r="B471" s="33" t="str">
        <f>_xlfn.IFNA(INDEX(nameStd[EIW],MATCH(Table2[[#This Row],[Name]],nameStd[Salary],0)),Table2[[#This Row],[Name]])</f>
        <v>Alston &amp; Bird</v>
      </c>
      <c r="C471" s="33" t="s">
        <v>133</v>
      </c>
      <c r="D471" s="33" t="s">
        <v>243</v>
      </c>
      <c r="E471" s="34">
        <v>42541</v>
      </c>
      <c r="F471" s="33" t="s">
        <v>137</v>
      </c>
      <c r="G471" s="33" t="s">
        <v>16</v>
      </c>
      <c r="H471" s="33" t="s">
        <v>268</v>
      </c>
    </row>
    <row r="472" spans="1:8" ht="30">
      <c r="A472" s="33" t="s">
        <v>265</v>
      </c>
      <c r="B472" s="33" t="str">
        <f>_xlfn.IFNA(INDEX(nameStd[EIW],MATCH(Table2[[#This Row],[Name]],nameStd[Salary],0)),Table2[[#This Row],[Name]])</f>
        <v>Alston &amp; Bird</v>
      </c>
      <c r="C472" s="33" t="s">
        <v>133</v>
      </c>
      <c r="D472" s="33" t="s">
        <v>243</v>
      </c>
      <c r="E472" s="34">
        <v>42541</v>
      </c>
      <c r="F472" s="33" t="s">
        <v>53</v>
      </c>
      <c r="G472" s="33" t="s">
        <v>16</v>
      </c>
      <c r="H472" s="33" t="s">
        <v>268</v>
      </c>
    </row>
    <row r="473" spans="1:8" ht="30">
      <c r="A473" s="33" t="s">
        <v>265</v>
      </c>
      <c r="B473" s="33" t="str">
        <f>_xlfn.IFNA(INDEX(nameStd[EIW],MATCH(Table2[[#This Row],[Name]],nameStd[Salary],0)),Table2[[#This Row],[Name]])</f>
        <v>Alston &amp; Bird</v>
      </c>
      <c r="C473" s="33" t="s">
        <v>133</v>
      </c>
      <c r="D473" s="33" t="s">
        <v>243</v>
      </c>
      <c r="E473" s="34">
        <v>42541</v>
      </c>
      <c r="F473" s="33" t="s">
        <v>236</v>
      </c>
      <c r="G473" s="33" t="s">
        <v>16</v>
      </c>
      <c r="H473" s="33" t="s">
        <v>268</v>
      </c>
    </row>
    <row r="474" spans="1:8" ht="30">
      <c r="A474" s="32" t="s">
        <v>269</v>
      </c>
      <c r="B474" s="32" t="str">
        <f>_xlfn.IFNA(INDEX(nameStd[EIW],MATCH(Table2[[#This Row],[Name]],nameStd[Salary],0)),Table2[[#This Row],[Name]])</f>
        <v>K&amp;L Gates</v>
      </c>
      <c r="C474" s="33" t="s">
        <v>5</v>
      </c>
      <c r="D474" s="33" t="s">
        <v>243</v>
      </c>
      <c r="E474" s="34">
        <v>42541</v>
      </c>
      <c r="F474" s="37" t="s">
        <v>270</v>
      </c>
      <c r="G474" s="33" t="s">
        <v>8</v>
      </c>
      <c r="H474" s="33" t="s">
        <v>271</v>
      </c>
    </row>
    <row r="475" spans="1:8" ht="30">
      <c r="A475" s="15" t="s">
        <v>269</v>
      </c>
      <c r="B475" s="15" t="str">
        <f>_xlfn.IFNA(INDEX(nameStd[EIW],MATCH(Table2[[#This Row],[Name]],nameStd[Salary],0)),Table2[[#This Row],[Name]])</f>
        <v>K&amp;L Gates</v>
      </c>
      <c r="C475" s="33" t="s">
        <v>5</v>
      </c>
      <c r="D475" s="33" t="s">
        <v>243</v>
      </c>
      <c r="E475" s="34">
        <v>42541</v>
      </c>
      <c r="F475" s="33" t="s">
        <v>28</v>
      </c>
      <c r="G475" s="33" t="s">
        <v>8</v>
      </c>
      <c r="H475" s="33" t="s">
        <v>271</v>
      </c>
    </row>
    <row r="476" spans="1:8" ht="30">
      <c r="A476" s="15" t="s">
        <v>269</v>
      </c>
      <c r="B476" s="15" t="str">
        <f>_xlfn.IFNA(INDEX(nameStd[EIW],MATCH(Table2[[#This Row],[Name]],nameStd[Salary],0)),Table2[[#This Row],[Name]])</f>
        <v>K&amp;L Gates</v>
      </c>
      <c r="C476" s="33" t="s">
        <v>5</v>
      </c>
      <c r="D476" s="33" t="s">
        <v>243</v>
      </c>
      <c r="E476" s="34">
        <v>42541</v>
      </c>
      <c r="F476" s="33" t="s">
        <v>7</v>
      </c>
      <c r="G476" s="33" t="s">
        <v>8</v>
      </c>
      <c r="H476" s="33" t="s">
        <v>271</v>
      </c>
    </row>
    <row r="477" spans="1:8" ht="30">
      <c r="A477" s="33" t="s">
        <v>269</v>
      </c>
      <c r="B477" s="33" t="str">
        <f>_xlfn.IFNA(INDEX(nameStd[EIW],MATCH(Table2[[#This Row],[Name]],nameStd[Salary],0)),Table2[[#This Row],[Name]])</f>
        <v>K&amp;L Gates</v>
      </c>
      <c r="C477" s="33" t="s">
        <v>5</v>
      </c>
      <c r="D477" s="33" t="s">
        <v>243</v>
      </c>
      <c r="E477" s="34">
        <v>42541</v>
      </c>
      <c r="F477" s="33" t="s">
        <v>15</v>
      </c>
      <c r="G477" s="33" t="s">
        <v>8</v>
      </c>
      <c r="H477" s="33" t="s">
        <v>271</v>
      </c>
    </row>
    <row r="478" spans="1:8" ht="30">
      <c r="A478" s="33" t="s">
        <v>269</v>
      </c>
      <c r="B478" s="33" t="str">
        <f>_xlfn.IFNA(INDEX(nameStd[EIW],MATCH(Table2[[#This Row],[Name]],nameStd[Salary],0)),Table2[[#This Row],[Name]])</f>
        <v>K&amp;L Gates</v>
      </c>
      <c r="C478" s="33" t="s">
        <v>5</v>
      </c>
      <c r="D478" s="33" t="s">
        <v>243</v>
      </c>
      <c r="E478" s="34">
        <v>42541</v>
      </c>
      <c r="F478" s="33" t="s">
        <v>48</v>
      </c>
      <c r="G478" s="33" t="s">
        <v>8</v>
      </c>
      <c r="H478" s="33" t="s">
        <v>271</v>
      </c>
    </row>
    <row r="479" spans="1:8" ht="30">
      <c r="A479" s="33" t="s">
        <v>269</v>
      </c>
      <c r="B479" s="33" t="str">
        <f>_xlfn.IFNA(INDEX(nameStd[EIW],MATCH(Table2[[#This Row],[Name]],nameStd[Salary],0)),Table2[[#This Row],[Name]])</f>
        <v>K&amp;L Gates</v>
      </c>
      <c r="C479" s="33" t="s">
        <v>5</v>
      </c>
      <c r="D479" s="33" t="s">
        <v>243</v>
      </c>
      <c r="E479" s="34">
        <v>42541</v>
      </c>
      <c r="F479" s="33" t="s">
        <v>29</v>
      </c>
      <c r="G479" s="33" t="s">
        <v>8</v>
      </c>
      <c r="H479" s="33" t="s">
        <v>271</v>
      </c>
    </row>
    <row r="480" spans="1:8" ht="30">
      <c r="A480" s="33" t="s">
        <v>269</v>
      </c>
      <c r="B480" s="33" t="str">
        <f>_xlfn.IFNA(INDEX(nameStd[EIW],MATCH(Table2[[#This Row],[Name]],nameStd[Salary],0)),Table2[[#This Row],[Name]])</f>
        <v>K&amp;L Gates</v>
      </c>
      <c r="C480" s="33" t="s">
        <v>5</v>
      </c>
      <c r="D480" s="33" t="s">
        <v>243</v>
      </c>
      <c r="E480" s="34">
        <v>42541</v>
      </c>
      <c r="F480" s="33" t="s">
        <v>30</v>
      </c>
      <c r="G480" s="33" t="s">
        <v>8</v>
      </c>
      <c r="H480" s="33" t="s">
        <v>271</v>
      </c>
    </row>
    <row r="481" spans="1:8" ht="30">
      <c r="A481" s="33" t="s">
        <v>269</v>
      </c>
      <c r="B481" s="33" t="str">
        <f>_xlfn.IFNA(INDEX(nameStd[EIW],MATCH(Table2[[#This Row],[Name]],nameStd[Salary],0)),Table2[[#This Row],[Name]])</f>
        <v>K&amp;L Gates</v>
      </c>
      <c r="C481" s="33" t="s">
        <v>5</v>
      </c>
      <c r="D481" s="33" t="s">
        <v>243</v>
      </c>
      <c r="E481" s="34">
        <v>42541</v>
      </c>
      <c r="F481" s="33" t="s">
        <v>49</v>
      </c>
      <c r="G481" s="33" t="s">
        <v>8</v>
      </c>
      <c r="H481" s="33" t="s">
        <v>271</v>
      </c>
    </row>
    <row r="482" spans="1:8" ht="30">
      <c r="A482" s="33" t="s">
        <v>269</v>
      </c>
      <c r="B482" s="33" t="str">
        <f>_xlfn.IFNA(INDEX(nameStd[EIW],MATCH(Table2[[#This Row],[Name]],nameStd[Salary],0)),Table2[[#This Row],[Name]])</f>
        <v>K&amp;L Gates</v>
      </c>
      <c r="C482" s="33" t="s">
        <v>5</v>
      </c>
      <c r="D482" s="33" t="s">
        <v>243</v>
      </c>
      <c r="E482" s="34">
        <v>42541</v>
      </c>
      <c r="F482" s="33" t="s">
        <v>40</v>
      </c>
      <c r="G482" s="33" t="s">
        <v>8</v>
      </c>
      <c r="H482" s="33" t="s">
        <v>271</v>
      </c>
    </row>
    <row r="483" spans="1:8" ht="30">
      <c r="A483" s="33" t="s">
        <v>269</v>
      </c>
      <c r="B483" s="33" t="str">
        <f>_xlfn.IFNA(INDEX(nameStd[EIW],MATCH(Table2[[#This Row],[Name]],nameStd[Salary],0)),Table2[[#This Row],[Name]])</f>
        <v>K&amp;L Gates</v>
      </c>
      <c r="C483" s="33" t="s">
        <v>5</v>
      </c>
      <c r="D483" s="33" t="s">
        <v>243</v>
      </c>
      <c r="E483" s="34">
        <v>42541</v>
      </c>
      <c r="F483" s="33" t="s">
        <v>119</v>
      </c>
      <c r="G483" s="33" t="s">
        <v>8</v>
      </c>
      <c r="H483" s="33" t="s">
        <v>271</v>
      </c>
    </row>
    <row r="484" spans="1:8" ht="45">
      <c r="A484" s="32" t="s">
        <v>272</v>
      </c>
      <c r="B484" s="32" t="str">
        <f>_xlfn.IFNA(INDEX(nameStd[EIW],MATCH(Table2[[#This Row],[Name]],nameStd[Salary],0)),Table2[[#This Row],[Name]])</f>
        <v>Greenberg Traurig</v>
      </c>
      <c r="C484" s="33" t="s">
        <v>5</v>
      </c>
      <c r="D484" s="33" t="s">
        <v>273</v>
      </c>
      <c r="E484" s="34">
        <v>42542</v>
      </c>
      <c r="F484" s="37" t="s">
        <v>270</v>
      </c>
      <c r="G484" s="33" t="s">
        <v>8</v>
      </c>
      <c r="H484" s="33" t="s">
        <v>274</v>
      </c>
    </row>
    <row r="485" spans="1:8" ht="45">
      <c r="A485" s="15" t="s">
        <v>272</v>
      </c>
      <c r="B485" s="15" t="str">
        <f>_xlfn.IFNA(INDEX(nameStd[EIW],MATCH(Table2[[#This Row],[Name]],nameStd[Salary],0)),Table2[[#This Row],[Name]])</f>
        <v>Greenberg Traurig</v>
      </c>
      <c r="C485" s="33" t="s">
        <v>5</v>
      </c>
      <c r="D485" s="33" t="s">
        <v>273</v>
      </c>
      <c r="E485" s="34">
        <v>42542</v>
      </c>
      <c r="F485" s="33" t="s">
        <v>7</v>
      </c>
      <c r="G485" s="33" t="s">
        <v>8</v>
      </c>
      <c r="H485" s="33" t="s">
        <v>274</v>
      </c>
    </row>
    <row r="486" spans="1:8" ht="45">
      <c r="A486" s="15" t="s">
        <v>272</v>
      </c>
      <c r="B486" s="15" t="str">
        <f>_xlfn.IFNA(INDEX(nameStd[EIW],MATCH(Table2[[#This Row],[Name]],nameStd[Salary],0)),Table2[[#This Row],[Name]])</f>
        <v>Greenberg Traurig</v>
      </c>
      <c r="C486" s="33" t="s">
        <v>5</v>
      </c>
      <c r="D486" s="33" t="s">
        <v>273</v>
      </c>
      <c r="E486" s="34">
        <v>42542</v>
      </c>
      <c r="F486" s="33" t="s">
        <v>48</v>
      </c>
      <c r="G486" s="33" t="s">
        <v>8</v>
      </c>
      <c r="H486" s="33" t="s">
        <v>274</v>
      </c>
    </row>
    <row r="487" spans="1:8" ht="30">
      <c r="A487" s="32" t="s">
        <v>275</v>
      </c>
      <c r="B487" s="32" t="str">
        <f>_xlfn.IFNA(INDEX(nameStd[EIW],MATCH(Table2[[#This Row],[Name]],nameStd[Salary],0)),Table2[[#This Row],[Name]])</f>
        <v>Stroock &amp; Stroock &amp; Lavan</v>
      </c>
      <c r="C487" s="33" t="s">
        <v>5</v>
      </c>
      <c r="D487" s="33" t="s">
        <v>6</v>
      </c>
      <c r="E487" s="34">
        <v>42542</v>
      </c>
      <c r="F487" s="37" t="s">
        <v>270</v>
      </c>
      <c r="G487" s="33" t="s">
        <v>16</v>
      </c>
      <c r="H487" s="33" t="s">
        <v>278</v>
      </c>
    </row>
    <row r="488" spans="1:8" ht="30">
      <c r="A488" s="15" t="s">
        <v>275</v>
      </c>
      <c r="B488" s="15" t="str">
        <f>_xlfn.IFNA(INDEX(nameStd[EIW],MATCH(Table2[[#This Row],[Name]],nameStd[Salary],0)),Table2[[#This Row],[Name]])</f>
        <v>Stroock &amp; Stroock &amp; Lavan</v>
      </c>
      <c r="C488" s="33" t="s">
        <v>5</v>
      </c>
      <c r="D488" s="33" t="s">
        <v>6</v>
      </c>
      <c r="E488" s="34">
        <v>42542</v>
      </c>
      <c r="F488" s="33" t="s">
        <v>7</v>
      </c>
      <c r="G488" s="33" t="s">
        <v>16</v>
      </c>
      <c r="H488" s="33" t="s">
        <v>278</v>
      </c>
    </row>
    <row r="489" spans="1:8" ht="30">
      <c r="A489" s="15" t="s">
        <v>275</v>
      </c>
      <c r="B489" s="15" t="str">
        <f>_xlfn.IFNA(INDEX(nameStd[EIW],MATCH(Table2[[#This Row],[Name]],nameStd[Salary],0)),Table2[[#This Row],[Name]])</f>
        <v>Stroock &amp; Stroock &amp; Lavan</v>
      </c>
      <c r="C489" s="33" t="s">
        <v>5</v>
      </c>
      <c r="D489" s="33" t="s">
        <v>6</v>
      </c>
      <c r="E489" s="34">
        <v>42542</v>
      </c>
      <c r="F489" s="33" t="s">
        <v>15</v>
      </c>
      <c r="G489" s="33" t="s">
        <v>16</v>
      </c>
      <c r="H489" s="33" t="s">
        <v>278</v>
      </c>
    </row>
    <row r="490" spans="1:8" ht="45">
      <c r="A490" s="33" t="s">
        <v>275</v>
      </c>
      <c r="B490" s="33" t="str">
        <f>_xlfn.IFNA(INDEX(nameStd[EIW],MATCH(Table2[[#This Row],[Name]],nameStd[Salary],0)),Table2[[#This Row],[Name]])</f>
        <v>Stroock &amp; Stroock &amp; Lavan</v>
      </c>
      <c r="C490" s="33" t="s">
        <v>5</v>
      </c>
      <c r="D490" s="33" t="s">
        <v>6</v>
      </c>
      <c r="E490" s="34">
        <v>42542</v>
      </c>
      <c r="F490" s="33" t="s">
        <v>276</v>
      </c>
      <c r="G490" s="33" t="s">
        <v>16</v>
      </c>
      <c r="H490" s="33" t="s">
        <v>278</v>
      </c>
    </row>
    <row r="491" spans="1:8" ht="30">
      <c r="A491" s="33" t="s">
        <v>275</v>
      </c>
      <c r="B491" s="33" t="str">
        <f>_xlfn.IFNA(INDEX(nameStd[EIW],MATCH(Table2[[#This Row],[Name]],nameStd[Salary],0)),Table2[[#This Row],[Name]])</f>
        <v>Stroock &amp; Stroock &amp; Lavan</v>
      </c>
      <c r="C491" s="33" t="s">
        <v>5</v>
      </c>
      <c r="D491" s="33" t="s">
        <v>6</v>
      </c>
      <c r="E491" s="34">
        <v>42542</v>
      </c>
      <c r="F491" s="33" t="s">
        <v>277</v>
      </c>
      <c r="G491" s="33" t="s">
        <v>16</v>
      </c>
      <c r="H491" s="33" t="s">
        <v>278</v>
      </c>
    </row>
    <row r="492" spans="1:8" ht="30">
      <c r="A492" s="32" t="s">
        <v>279</v>
      </c>
      <c r="B492" s="32" t="str">
        <f>_xlfn.IFNA(INDEX(nameStd[EIW],MATCH(Table2[[#This Row],[Name]],nameStd[Salary],0)),Table2[[#This Row],[Name]])</f>
        <v>Haynes &amp; Boone</v>
      </c>
      <c r="C492" s="33" t="s">
        <v>5</v>
      </c>
      <c r="D492" s="33" t="s">
        <v>27</v>
      </c>
      <c r="E492" s="34">
        <v>42542</v>
      </c>
      <c r="F492" s="37" t="s">
        <v>270</v>
      </c>
      <c r="G492" s="33" t="s">
        <v>16</v>
      </c>
      <c r="H492" s="33" t="s">
        <v>282</v>
      </c>
    </row>
    <row r="493" spans="1:8" ht="30">
      <c r="A493" s="15" t="s">
        <v>279</v>
      </c>
      <c r="B493" s="15" t="str">
        <f>_xlfn.IFNA(INDEX(nameStd[EIW],MATCH(Table2[[#This Row],[Name]],nameStd[Salary],0)),Table2[[#This Row],[Name]])</f>
        <v>Haynes &amp; Boone</v>
      </c>
      <c r="C493" s="33" t="s">
        <v>5</v>
      </c>
      <c r="D493" s="33" t="s">
        <v>27</v>
      </c>
      <c r="E493" s="34">
        <v>42542</v>
      </c>
      <c r="F493" s="33" t="s">
        <v>7</v>
      </c>
      <c r="G493" s="33" t="s">
        <v>16</v>
      </c>
      <c r="H493" s="33" t="s">
        <v>282</v>
      </c>
    </row>
    <row r="494" spans="1:8" ht="30">
      <c r="A494" s="15" t="s">
        <v>279</v>
      </c>
      <c r="B494" s="15" t="str">
        <f>_xlfn.IFNA(INDEX(nameStd[EIW],MATCH(Table2[[#This Row],[Name]],nameStd[Salary],0)),Table2[[#This Row],[Name]])</f>
        <v>Haynes &amp; Boone</v>
      </c>
      <c r="C494" s="33" t="s">
        <v>5</v>
      </c>
      <c r="D494" s="33" t="s">
        <v>27</v>
      </c>
      <c r="E494" s="34">
        <v>42542</v>
      </c>
      <c r="F494" s="33" t="s">
        <v>15</v>
      </c>
      <c r="G494" s="33" t="s">
        <v>16</v>
      </c>
      <c r="H494" s="33" t="s">
        <v>282</v>
      </c>
    </row>
    <row r="495" spans="1:8" ht="60">
      <c r="A495" s="33" t="s">
        <v>279</v>
      </c>
      <c r="B495" s="33" t="str">
        <f>_xlfn.IFNA(INDEX(nameStd[EIW],MATCH(Table2[[#This Row],[Name]],nameStd[Salary],0)),Table2[[#This Row],[Name]])</f>
        <v>Haynes &amp; Boone</v>
      </c>
      <c r="C495" s="33" t="s">
        <v>5</v>
      </c>
      <c r="D495" s="33" t="s">
        <v>27</v>
      </c>
      <c r="E495" s="34">
        <v>42542</v>
      </c>
      <c r="F495" s="37" t="s">
        <v>280</v>
      </c>
      <c r="G495" s="33" t="s">
        <v>16</v>
      </c>
      <c r="H495" s="33" t="s">
        <v>282</v>
      </c>
    </row>
    <row r="496" spans="1:8" ht="30">
      <c r="A496" s="33" t="s">
        <v>279</v>
      </c>
      <c r="B496" s="33" t="str">
        <f>_xlfn.IFNA(INDEX(nameStd[EIW],MATCH(Table2[[#This Row],[Name]],nameStd[Salary],0)),Table2[[#This Row],[Name]])</f>
        <v>Haynes &amp; Boone</v>
      </c>
      <c r="C496" s="33" t="s">
        <v>5</v>
      </c>
      <c r="D496" s="33" t="s">
        <v>27</v>
      </c>
      <c r="E496" s="34">
        <v>42542</v>
      </c>
      <c r="F496" s="33" t="s">
        <v>87</v>
      </c>
      <c r="G496" s="33" t="s">
        <v>16</v>
      </c>
      <c r="H496" s="33" t="s">
        <v>282</v>
      </c>
    </row>
    <row r="497" spans="1:8" ht="30">
      <c r="A497" s="33" t="s">
        <v>279</v>
      </c>
      <c r="B497" s="33" t="str">
        <f>_xlfn.IFNA(INDEX(nameStd[EIW],MATCH(Table2[[#This Row],[Name]],nameStd[Salary],0)),Table2[[#This Row],[Name]])</f>
        <v>Haynes &amp; Boone</v>
      </c>
      <c r="C497" s="33" t="s">
        <v>5</v>
      </c>
      <c r="D497" s="33" t="s">
        <v>27</v>
      </c>
      <c r="E497" s="34">
        <v>42542</v>
      </c>
      <c r="F497" s="33" t="s">
        <v>29</v>
      </c>
      <c r="G497" s="33" t="s">
        <v>16</v>
      </c>
      <c r="H497" s="33" t="s">
        <v>282</v>
      </c>
    </row>
    <row r="498" spans="1:8" ht="30">
      <c r="A498" s="33" t="s">
        <v>279</v>
      </c>
      <c r="B498" s="33" t="str">
        <f>_xlfn.IFNA(INDEX(nameStd[EIW],MATCH(Table2[[#This Row],[Name]],nameStd[Salary],0)),Table2[[#This Row],[Name]])</f>
        <v>Haynes &amp; Boone</v>
      </c>
      <c r="C498" s="33" t="s">
        <v>5</v>
      </c>
      <c r="D498" s="33" t="s">
        <v>27</v>
      </c>
      <c r="E498" s="34">
        <v>42542</v>
      </c>
      <c r="F498" s="33" t="s">
        <v>162</v>
      </c>
      <c r="G498" s="33" t="s">
        <v>16</v>
      </c>
      <c r="H498" s="33" t="s">
        <v>282</v>
      </c>
    </row>
    <row r="499" spans="1:8" ht="30">
      <c r="A499" s="33" t="s">
        <v>279</v>
      </c>
      <c r="B499" s="33" t="str">
        <f>_xlfn.IFNA(INDEX(nameStd[EIW],MATCH(Table2[[#This Row],[Name]],nameStd[Salary],0)),Table2[[#This Row],[Name]])</f>
        <v>Haynes &amp; Boone</v>
      </c>
      <c r="C499" s="33" t="s">
        <v>5</v>
      </c>
      <c r="D499" s="33" t="s">
        <v>27</v>
      </c>
      <c r="E499" s="34">
        <v>42542</v>
      </c>
      <c r="F499" s="33" t="s">
        <v>30</v>
      </c>
      <c r="G499" s="33" t="s">
        <v>16</v>
      </c>
      <c r="H499" s="33" t="s">
        <v>282</v>
      </c>
    </row>
    <row r="500" spans="1:8" ht="30">
      <c r="A500" s="33" t="s">
        <v>279</v>
      </c>
      <c r="B500" s="33" t="str">
        <f>_xlfn.IFNA(INDEX(nameStd[EIW],MATCH(Table2[[#This Row],[Name]],nameStd[Salary],0)),Table2[[#This Row],[Name]])</f>
        <v>Haynes &amp; Boone</v>
      </c>
      <c r="C500" s="33" t="s">
        <v>5</v>
      </c>
      <c r="D500" s="33" t="s">
        <v>27</v>
      </c>
      <c r="E500" s="34">
        <v>42542</v>
      </c>
      <c r="F500" s="33" t="s">
        <v>281</v>
      </c>
      <c r="G500" s="33" t="s">
        <v>16</v>
      </c>
      <c r="H500" s="33" t="s">
        <v>282</v>
      </c>
    </row>
    <row r="501" spans="1:8" ht="30">
      <c r="A501" s="33" t="s">
        <v>279</v>
      </c>
      <c r="B501" s="33" t="str">
        <f>_xlfn.IFNA(INDEX(nameStd[EIW],MATCH(Table2[[#This Row],[Name]],nameStd[Salary],0)),Table2[[#This Row],[Name]])</f>
        <v>Haynes &amp; Boone</v>
      </c>
      <c r="C501" s="33" t="s">
        <v>5</v>
      </c>
      <c r="D501" s="33" t="s">
        <v>27</v>
      </c>
      <c r="E501" s="34">
        <v>42542</v>
      </c>
      <c r="F501" s="33" t="s">
        <v>175</v>
      </c>
      <c r="G501" s="33" t="s">
        <v>16</v>
      </c>
      <c r="H501" s="33" t="s">
        <v>282</v>
      </c>
    </row>
    <row r="502" spans="1:8" ht="30">
      <c r="A502" s="33" t="s">
        <v>279</v>
      </c>
      <c r="B502" s="33" t="str">
        <f>_xlfn.IFNA(INDEX(nameStd[EIW],MATCH(Table2[[#This Row],[Name]],nameStd[Salary],0)),Table2[[#This Row],[Name]])</f>
        <v>Haynes &amp; Boone</v>
      </c>
      <c r="C502" s="33" t="s">
        <v>5</v>
      </c>
      <c r="D502" s="33" t="s">
        <v>27</v>
      </c>
      <c r="E502" s="34">
        <v>42542</v>
      </c>
      <c r="F502" s="33" t="s">
        <v>48</v>
      </c>
      <c r="G502" s="33" t="s">
        <v>16</v>
      </c>
      <c r="H502" s="33" t="s">
        <v>282</v>
      </c>
    </row>
    <row r="503" spans="1:8" ht="30">
      <c r="A503" s="33" t="s">
        <v>279</v>
      </c>
      <c r="B503" s="33" t="str">
        <f>_xlfn.IFNA(INDEX(nameStd[EIW],MATCH(Table2[[#This Row],[Name]],nameStd[Salary],0)),Table2[[#This Row],[Name]])</f>
        <v>Haynes &amp; Boone</v>
      </c>
      <c r="C503" s="33" t="s">
        <v>5</v>
      </c>
      <c r="D503" s="33" t="s">
        <v>27</v>
      </c>
      <c r="E503" s="34">
        <v>42542</v>
      </c>
      <c r="F503" s="33" t="s">
        <v>147</v>
      </c>
      <c r="G503" s="33" t="s">
        <v>16</v>
      </c>
      <c r="H503" s="33" t="s">
        <v>282</v>
      </c>
    </row>
    <row r="504" spans="1:8" ht="30">
      <c r="A504" s="33" t="s">
        <v>279</v>
      </c>
      <c r="B504" s="33" t="str">
        <f>_xlfn.IFNA(INDEX(nameStd[EIW],MATCH(Table2[[#This Row],[Name]],nameStd[Salary],0)),Table2[[#This Row],[Name]])</f>
        <v>Haynes &amp; Boone</v>
      </c>
      <c r="C504" s="33" t="s">
        <v>5</v>
      </c>
      <c r="D504" s="33" t="s">
        <v>27</v>
      </c>
      <c r="E504" s="34">
        <v>42542</v>
      </c>
      <c r="F504" s="33" t="s">
        <v>81</v>
      </c>
      <c r="G504" s="33" t="s">
        <v>16</v>
      </c>
      <c r="H504" s="33" t="s">
        <v>282</v>
      </c>
    </row>
    <row r="505" spans="1:8" ht="30">
      <c r="A505" s="33" t="s">
        <v>279</v>
      </c>
      <c r="B505" s="33" t="str">
        <f>_xlfn.IFNA(INDEX(nameStd[EIW],MATCH(Table2[[#This Row],[Name]],nameStd[Salary],0)),Table2[[#This Row],[Name]])</f>
        <v>Haynes &amp; Boone</v>
      </c>
      <c r="C505" s="33" t="s">
        <v>5</v>
      </c>
      <c r="D505" s="33" t="s">
        <v>27</v>
      </c>
      <c r="E505" s="34">
        <v>42542</v>
      </c>
      <c r="F505" s="33" t="s">
        <v>40</v>
      </c>
      <c r="G505" s="33" t="s">
        <v>16</v>
      </c>
      <c r="H505" s="33" t="s">
        <v>282</v>
      </c>
    </row>
    <row r="506" spans="1:8" ht="30">
      <c r="A506" s="32" t="s">
        <v>283</v>
      </c>
      <c r="B506" s="32" t="str">
        <f>_xlfn.IFNA(INDEX(nameStd[EIW],MATCH(Table2[[#This Row],[Name]],nameStd[Salary],0)),Table2[[#This Row],[Name]])</f>
        <v>Sheppard Mullin Richter &amp; Hampton</v>
      </c>
      <c r="C506" s="33" t="s">
        <v>5</v>
      </c>
      <c r="D506" s="33" t="s">
        <v>6</v>
      </c>
      <c r="E506" s="34">
        <v>42543</v>
      </c>
      <c r="F506" s="33" t="s">
        <v>90</v>
      </c>
      <c r="G506" s="33" t="s">
        <v>16</v>
      </c>
      <c r="H506" s="33" t="s">
        <v>285</v>
      </c>
    </row>
    <row r="507" spans="1:8" ht="30">
      <c r="A507" s="15" t="s">
        <v>283</v>
      </c>
      <c r="B507" s="15" t="str">
        <f>_xlfn.IFNA(INDEX(nameStd[EIW],MATCH(Table2[[#This Row],[Name]],nameStd[Salary],0)),Table2[[#This Row],[Name]])</f>
        <v>Sheppard Mullin Richter &amp; Hampton</v>
      </c>
      <c r="C507" s="33" t="s">
        <v>5</v>
      </c>
      <c r="D507" s="33" t="s">
        <v>6</v>
      </c>
      <c r="E507" s="34">
        <v>42543</v>
      </c>
      <c r="F507" s="33" t="s">
        <v>48</v>
      </c>
      <c r="G507" s="33" t="s">
        <v>16</v>
      </c>
      <c r="H507" s="33" t="s">
        <v>285</v>
      </c>
    </row>
    <row r="508" spans="1:8" ht="30">
      <c r="A508" s="15" t="s">
        <v>283</v>
      </c>
      <c r="B508" s="15" t="str">
        <f>_xlfn.IFNA(INDEX(nameStd[EIW],MATCH(Table2[[#This Row],[Name]],nameStd[Salary],0)),Table2[[#This Row],[Name]])</f>
        <v>Sheppard Mullin Richter &amp; Hampton</v>
      </c>
      <c r="C508" s="33" t="s">
        <v>5</v>
      </c>
      <c r="D508" s="33" t="s">
        <v>6</v>
      </c>
      <c r="E508" s="34">
        <v>42543</v>
      </c>
      <c r="F508" s="33" t="s">
        <v>11</v>
      </c>
      <c r="G508" s="33" t="s">
        <v>16</v>
      </c>
      <c r="H508" s="33" t="s">
        <v>285</v>
      </c>
    </row>
    <row r="509" spans="1:8" ht="30">
      <c r="A509" s="33" t="s">
        <v>283</v>
      </c>
      <c r="B509" s="33" t="str">
        <f>_xlfn.IFNA(INDEX(nameStd[EIW],MATCH(Table2[[#This Row],[Name]],nameStd[Salary],0)),Table2[[#This Row],[Name]])</f>
        <v>Sheppard Mullin Richter &amp; Hampton</v>
      </c>
      <c r="C509" s="33" t="s">
        <v>5</v>
      </c>
      <c r="D509" s="33" t="s">
        <v>6</v>
      </c>
      <c r="E509" s="34">
        <v>42543</v>
      </c>
      <c r="F509" s="33" t="s">
        <v>7</v>
      </c>
      <c r="G509" s="33" t="s">
        <v>16</v>
      </c>
      <c r="H509" s="33" t="s">
        <v>285</v>
      </c>
    </row>
    <row r="510" spans="1:8" ht="30">
      <c r="A510" s="33" t="s">
        <v>283</v>
      </c>
      <c r="B510" s="33" t="str">
        <f>_xlfn.IFNA(INDEX(nameStd[EIW],MATCH(Table2[[#This Row],[Name]],nameStd[Salary],0)),Table2[[#This Row],[Name]])</f>
        <v>Sheppard Mullin Richter &amp; Hampton</v>
      </c>
      <c r="C510" s="33" t="s">
        <v>5</v>
      </c>
      <c r="D510" s="33" t="s">
        <v>6</v>
      </c>
      <c r="E510" s="34">
        <v>42543</v>
      </c>
      <c r="F510" s="33" t="s">
        <v>91</v>
      </c>
      <c r="G510" s="33" t="s">
        <v>16</v>
      </c>
      <c r="H510" s="33" t="s">
        <v>285</v>
      </c>
    </row>
    <row r="511" spans="1:8" ht="30">
      <c r="A511" s="33" t="s">
        <v>283</v>
      </c>
      <c r="B511" s="33" t="str">
        <f>_xlfn.IFNA(INDEX(nameStd[EIW],MATCH(Table2[[#This Row],[Name]],nameStd[Salary],0)),Table2[[#This Row],[Name]])</f>
        <v>Sheppard Mullin Richter &amp; Hampton</v>
      </c>
      <c r="C511" s="33" t="s">
        <v>5</v>
      </c>
      <c r="D511" s="33" t="s">
        <v>6</v>
      </c>
      <c r="E511" s="34">
        <v>42543</v>
      </c>
      <c r="F511" s="33" t="s">
        <v>69</v>
      </c>
      <c r="G511" s="33" t="s">
        <v>16</v>
      </c>
      <c r="H511" s="33" t="s">
        <v>285</v>
      </c>
    </row>
    <row r="512" spans="1:8" ht="30">
      <c r="A512" s="33" t="s">
        <v>283</v>
      </c>
      <c r="B512" s="33" t="str">
        <f>_xlfn.IFNA(INDEX(nameStd[EIW],MATCH(Table2[[#This Row],[Name]],nameStd[Salary],0)),Table2[[#This Row],[Name]])</f>
        <v>Sheppard Mullin Richter &amp; Hampton</v>
      </c>
      <c r="C512" s="33" t="s">
        <v>5</v>
      </c>
      <c r="D512" s="33" t="s">
        <v>6</v>
      </c>
      <c r="E512" s="34">
        <v>42543</v>
      </c>
      <c r="F512" s="33" t="s">
        <v>49</v>
      </c>
      <c r="G512" s="33" t="s">
        <v>16</v>
      </c>
      <c r="H512" s="33" t="s">
        <v>285</v>
      </c>
    </row>
    <row r="513" spans="1:8" ht="30">
      <c r="A513" s="33" t="s">
        <v>283</v>
      </c>
      <c r="B513" s="33" t="str">
        <f>_xlfn.IFNA(INDEX(nameStd[EIW],MATCH(Table2[[#This Row],[Name]],nameStd[Salary],0)),Table2[[#This Row],[Name]])</f>
        <v>Sheppard Mullin Richter &amp; Hampton</v>
      </c>
      <c r="C513" s="33" t="s">
        <v>5</v>
      </c>
      <c r="D513" s="33" t="s">
        <v>6</v>
      </c>
      <c r="E513" s="34">
        <v>42543</v>
      </c>
      <c r="F513" s="33" t="s">
        <v>284</v>
      </c>
      <c r="G513" s="33" t="s">
        <v>16</v>
      </c>
      <c r="H513" s="33" t="s">
        <v>285</v>
      </c>
    </row>
    <row r="514" spans="1:8" ht="30">
      <c r="A514" s="33" t="s">
        <v>283</v>
      </c>
      <c r="B514" s="33" t="str">
        <f>_xlfn.IFNA(INDEX(nameStd[EIW],MATCH(Table2[[#This Row],[Name]],nameStd[Salary],0)),Table2[[#This Row],[Name]])</f>
        <v>Sheppard Mullin Richter &amp; Hampton</v>
      </c>
      <c r="C514" s="33" t="s">
        <v>5</v>
      </c>
      <c r="D514" s="33" t="s">
        <v>6</v>
      </c>
      <c r="E514" s="34">
        <v>42543</v>
      </c>
      <c r="F514" s="33" t="s">
        <v>15</v>
      </c>
      <c r="G514" s="33" t="s">
        <v>16</v>
      </c>
      <c r="H514" s="33" t="s">
        <v>285</v>
      </c>
    </row>
    <row r="515" spans="1:8" ht="30">
      <c r="A515" s="32" t="s">
        <v>286</v>
      </c>
      <c r="B515" s="32" t="str">
        <f>_xlfn.IFNA(INDEX(nameStd[EIW],MATCH(Table2[[#This Row],[Name]],nameStd[Salary],0)),Table2[[#This Row],[Name]])</f>
        <v>Linklaters</v>
      </c>
      <c r="C515" s="33" t="s">
        <v>5</v>
      </c>
      <c r="D515" s="33" t="s">
        <v>6</v>
      </c>
      <c r="E515" s="34">
        <v>42543</v>
      </c>
      <c r="F515" s="33" t="s">
        <v>7</v>
      </c>
      <c r="G515" s="33" t="s">
        <v>16</v>
      </c>
      <c r="H515" s="33" t="s">
        <v>13</v>
      </c>
    </row>
    <row r="516" spans="1:8" ht="30">
      <c r="A516" s="15" t="s">
        <v>286</v>
      </c>
      <c r="B516" s="15" t="str">
        <f>_xlfn.IFNA(INDEX(nameStd[EIW],MATCH(Table2[[#This Row],[Name]],nameStd[Salary],0)),Table2[[#This Row],[Name]])</f>
        <v>Linklaters</v>
      </c>
      <c r="C516" s="33" t="s">
        <v>5</v>
      </c>
      <c r="D516" s="33" t="s">
        <v>6</v>
      </c>
      <c r="E516" s="34">
        <v>42543</v>
      </c>
      <c r="F516" s="33" t="s">
        <v>15</v>
      </c>
      <c r="G516" s="33" t="s">
        <v>16</v>
      </c>
      <c r="H516" s="33" t="s">
        <v>13</v>
      </c>
    </row>
    <row r="517" spans="1:8">
      <c r="C517" s="2"/>
      <c r="D517" s="2"/>
      <c r="E517" s="7"/>
      <c r="F517" s="2"/>
      <c r="G517" s="4"/>
      <c r="H517" s="4"/>
    </row>
    <row r="518" spans="1:8" ht="13.5" thickBot="1">
      <c r="A518" s="1"/>
      <c r="B518" s="1"/>
      <c r="C518" s="1"/>
      <c r="D518" s="1"/>
      <c r="E518" s="8"/>
      <c r="F518" s="3"/>
      <c r="G518" s="5"/>
      <c r="H518" s="5"/>
    </row>
  </sheetData>
  <pageMargins left="0.7" right="0.7" top="0.75" bottom="0.75" header="0.3" footer="0.3"/>
  <pageSetup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8"/>
  <sheetViews>
    <sheetView showGridLines="0" workbookViewId="0">
      <selection activeCell="D22" sqref="D22"/>
    </sheetView>
  </sheetViews>
  <sheetFormatPr defaultColWidth="8.83203125" defaultRowHeight="12.75"/>
  <cols>
    <col min="1" max="1" width="56.5" bestFit="1" customWidth="1"/>
    <col min="2" max="2" width="21.6640625" bestFit="1" customWidth="1"/>
    <col min="4" max="4" width="43.83203125" bestFit="1" customWidth="1"/>
    <col min="5" max="5" width="53.83203125" bestFit="1" customWidth="1"/>
    <col min="7" max="7" width="37.6640625" bestFit="1" customWidth="1"/>
    <col min="8" max="8" width="35.6640625" bestFit="1" customWidth="1"/>
  </cols>
  <sheetData>
    <row r="1" spans="1:8">
      <c r="A1" s="10" t="s">
        <v>530</v>
      </c>
      <c r="B1" s="10" t="s">
        <v>531</v>
      </c>
      <c r="D1" s="10" t="s">
        <v>530</v>
      </c>
      <c r="E1" s="10" t="s">
        <v>646</v>
      </c>
      <c r="G1" s="10" t="s">
        <v>530</v>
      </c>
      <c r="H1" s="10" t="s">
        <v>684</v>
      </c>
    </row>
    <row r="2" spans="1:8">
      <c r="A2" t="s">
        <v>398</v>
      </c>
      <c r="B2" t="s">
        <v>4</v>
      </c>
      <c r="D2" t="s">
        <v>398</v>
      </c>
      <c r="E2" t="s">
        <v>553</v>
      </c>
      <c r="G2" t="s">
        <v>298</v>
      </c>
      <c r="H2" t="s">
        <v>536</v>
      </c>
    </row>
    <row r="3" spans="1:8">
      <c r="A3" t="s">
        <v>463</v>
      </c>
      <c r="B3" t="s">
        <v>14</v>
      </c>
      <c r="D3" t="s">
        <v>521</v>
      </c>
      <c r="E3" t="s">
        <v>641</v>
      </c>
      <c r="G3" t="s">
        <v>250</v>
      </c>
      <c r="H3" t="s">
        <v>537</v>
      </c>
    </row>
    <row r="4" spans="1:8">
      <c r="A4" t="s">
        <v>489</v>
      </c>
      <c r="B4" t="s">
        <v>18</v>
      </c>
      <c r="D4" t="s">
        <v>511</v>
      </c>
      <c r="E4" t="s">
        <v>640</v>
      </c>
      <c r="G4" t="s">
        <v>265</v>
      </c>
      <c r="H4" t="s">
        <v>538</v>
      </c>
    </row>
    <row r="5" spans="1:8">
      <c r="A5" t="s">
        <v>383</v>
      </c>
      <c r="B5" t="s">
        <v>22</v>
      </c>
      <c r="D5" t="s">
        <v>59</v>
      </c>
      <c r="E5" t="s">
        <v>597</v>
      </c>
      <c r="G5" t="s">
        <v>204</v>
      </c>
      <c r="H5" t="s">
        <v>539</v>
      </c>
    </row>
    <row r="6" spans="1:8">
      <c r="A6" t="s">
        <v>24</v>
      </c>
      <c r="B6" t="s">
        <v>24</v>
      </c>
      <c r="D6" t="s">
        <v>381</v>
      </c>
      <c r="E6" t="s">
        <v>642</v>
      </c>
      <c r="G6" t="s">
        <v>318</v>
      </c>
      <c r="H6" t="s">
        <v>540</v>
      </c>
    </row>
    <row r="7" spans="1:8">
      <c r="A7" t="s">
        <v>522</v>
      </c>
      <c r="B7" t="s">
        <v>26</v>
      </c>
      <c r="D7" t="s">
        <v>508</v>
      </c>
      <c r="E7" t="s">
        <v>594</v>
      </c>
      <c r="G7" t="s">
        <v>168</v>
      </c>
      <c r="H7" t="s">
        <v>168</v>
      </c>
    </row>
    <row r="8" spans="1:8">
      <c r="A8" t="s">
        <v>374</v>
      </c>
      <c r="B8" t="s">
        <v>36</v>
      </c>
      <c r="D8" t="s">
        <v>89</v>
      </c>
      <c r="E8" t="s">
        <v>575</v>
      </c>
      <c r="G8" t="s">
        <v>128</v>
      </c>
      <c r="H8" t="s">
        <v>542</v>
      </c>
    </row>
    <row r="9" spans="1:8">
      <c r="A9" t="s">
        <v>508</v>
      </c>
      <c r="B9" t="s">
        <v>39</v>
      </c>
      <c r="D9" t="s">
        <v>63</v>
      </c>
      <c r="E9" t="s">
        <v>573</v>
      </c>
      <c r="G9" t="s">
        <v>174</v>
      </c>
      <c r="H9" t="s">
        <v>544</v>
      </c>
    </row>
    <row r="10" spans="1:8">
      <c r="A10" t="s">
        <v>44</v>
      </c>
      <c r="B10" t="s">
        <v>44</v>
      </c>
      <c r="D10" t="s">
        <v>374</v>
      </c>
      <c r="E10" t="s">
        <v>550</v>
      </c>
      <c r="G10" t="s">
        <v>115</v>
      </c>
      <c r="H10" t="s">
        <v>545</v>
      </c>
    </row>
    <row r="11" spans="1:8">
      <c r="A11" t="s">
        <v>52</v>
      </c>
      <c r="B11" t="s">
        <v>52</v>
      </c>
      <c r="D11" t="s">
        <v>423</v>
      </c>
      <c r="E11" t="s">
        <v>639</v>
      </c>
      <c r="G11" t="s">
        <v>370</v>
      </c>
      <c r="H11" t="s">
        <v>632</v>
      </c>
    </row>
    <row r="12" spans="1:8">
      <c r="A12" t="s">
        <v>511</v>
      </c>
      <c r="B12" t="s">
        <v>57</v>
      </c>
      <c r="D12" t="s">
        <v>522</v>
      </c>
      <c r="E12" t="s">
        <v>601</v>
      </c>
      <c r="G12" t="s">
        <v>383</v>
      </c>
      <c r="H12" t="s">
        <v>547</v>
      </c>
    </row>
    <row r="13" spans="1:8">
      <c r="A13" t="s">
        <v>59</v>
      </c>
      <c r="B13" t="s">
        <v>59</v>
      </c>
      <c r="D13" t="s">
        <v>489</v>
      </c>
      <c r="E13" t="s">
        <v>638</v>
      </c>
      <c r="G13" t="s">
        <v>372</v>
      </c>
      <c r="H13" t="s">
        <v>548</v>
      </c>
    </row>
    <row r="14" spans="1:8">
      <c r="A14" t="s">
        <v>63</v>
      </c>
      <c r="B14" t="s">
        <v>63</v>
      </c>
      <c r="D14" t="s">
        <v>182</v>
      </c>
      <c r="E14" t="s">
        <v>552</v>
      </c>
      <c r="G14" t="s">
        <v>373</v>
      </c>
      <c r="H14" t="s">
        <v>549</v>
      </c>
    </row>
    <row r="15" spans="1:8">
      <c r="A15" t="s">
        <v>417</v>
      </c>
      <c r="B15" t="s">
        <v>66</v>
      </c>
      <c r="D15" t="s">
        <v>96</v>
      </c>
      <c r="E15" t="s">
        <v>593</v>
      </c>
      <c r="G15" t="s">
        <v>374</v>
      </c>
      <c r="H15" t="s">
        <v>550</v>
      </c>
    </row>
    <row r="16" spans="1:8">
      <c r="A16" t="s">
        <v>67</v>
      </c>
      <c r="B16" t="s">
        <v>67</v>
      </c>
      <c r="D16" t="s">
        <v>352</v>
      </c>
      <c r="E16" t="s">
        <v>637</v>
      </c>
      <c r="G16" t="s">
        <v>95</v>
      </c>
      <c r="H16" t="s">
        <v>635</v>
      </c>
    </row>
    <row r="17" spans="1:8">
      <c r="A17" t="s">
        <v>381</v>
      </c>
      <c r="B17" t="s">
        <v>72</v>
      </c>
      <c r="D17" t="s">
        <v>44</v>
      </c>
      <c r="E17" t="s">
        <v>555</v>
      </c>
      <c r="G17" t="s">
        <v>67</v>
      </c>
      <c r="H17" t="s">
        <v>551</v>
      </c>
    </row>
    <row r="18" spans="1:8">
      <c r="A18" t="s">
        <v>526</v>
      </c>
      <c r="B18" t="s">
        <v>82</v>
      </c>
      <c r="D18" t="s">
        <v>321</v>
      </c>
      <c r="E18" t="s">
        <v>321</v>
      </c>
      <c r="G18" t="s">
        <v>305</v>
      </c>
      <c r="H18" t="s">
        <v>305</v>
      </c>
    </row>
    <row r="19" spans="1:8">
      <c r="A19" t="s">
        <v>425</v>
      </c>
      <c r="B19" t="s">
        <v>84</v>
      </c>
      <c r="D19" t="s">
        <v>124</v>
      </c>
      <c r="E19" t="s">
        <v>602</v>
      </c>
      <c r="G19" t="s">
        <v>398</v>
      </c>
      <c r="H19" t="s">
        <v>553</v>
      </c>
    </row>
    <row r="20" spans="1:8">
      <c r="A20" t="s">
        <v>86</v>
      </c>
      <c r="B20" t="s">
        <v>86</v>
      </c>
      <c r="D20" t="s">
        <v>171</v>
      </c>
      <c r="E20" t="s">
        <v>589</v>
      </c>
      <c r="G20" t="s">
        <v>228</v>
      </c>
      <c r="H20" t="s">
        <v>554</v>
      </c>
    </row>
    <row r="21" spans="1:8">
      <c r="A21" t="s">
        <v>89</v>
      </c>
      <c r="B21" t="s">
        <v>89</v>
      </c>
      <c r="D21" t="s">
        <v>252</v>
      </c>
      <c r="E21" t="s">
        <v>252</v>
      </c>
      <c r="G21" t="s">
        <v>407</v>
      </c>
      <c r="H21" t="s">
        <v>660</v>
      </c>
    </row>
    <row r="22" spans="1:8">
      <c r="A22" t="s">
        <v>95</v>
      </c>
      <c r="B22" t="s">
        <v>95</v>
      </c>
      <c r="D22" t="s">
        <v>151</v>
      </c>
      <c r="E22" t="s">
        <v>580</v>
      </c>
      <c r="G22" t="s">
        <v>197</v>
      </c>
      <c r="H22" t="s">
        <v>661</v>
      </c>
    </row>
    <row r="23" spans="1:8">
      <c r="A23" t="s">
        <v>96</v>
      </c>
      <c r="B23" t="s">
        <v>96</v>
      </c>
      <c r="D23" t="s">
        <v>154</v>
      </c>
      <c r="E23" t="s">
        <v>583</v>
      </c>
      <c r="G23" t="s">
        <v>381</v>
      </c>
      <c r="H23" t="s">
        <v>642</v>
      </c>
    </row>
    <row r="24" spans="1:8">
      <c r="A24" t="s">
        <v>100</v>
      </c>
      <c r="B24" t="s">
        <v>100</v>
      </c>
      <c r="D24" t="s">
        <v>204</v>
      </c>
      <c r="E24" t="s">
        <v>539</v>
      </c>
      <c r="G24" t="s">
        <v>44</v>
      </c>
      <c r="H24" t="s">
        <v>555</v>
      </c>
    </row>
    <row r="25" spans="1:8">
      <c r="A25" t="s">
        <v>483</v>
      </c>
      <c r="B25" t="s">
        <v>102</v>
      </c>
      <c r="D25" t="s">
        <v>483</v>
      </c>
      <c r="E25" t="s">
        <v>582</v>
      </c>
      <c r="G25" t="s">
        <v>218</v>
      </c>
      <c r="H25" t="s">
        <v>556</v>
      </c>
    </row>
    <row r="26" spans="1:8">
      <c r="A26" t="s">
        <v>104</v>
      </c>
      <c r="B26" t="s">
        <v>104</v>
      </c>
      <c r="D26" t="s">
        <v>95</v>
      </c>
      <c r="E26" t="s">
        <v>635</v>
      </c>
      <c r="G26" t="s">
        <v>392</v>
      </c>
      <c r="H26" t="s">
        <v>557</v>
      </c>
    </row>
    <row r="27" spans="1:8">
      <c r="A27" t="s">
        <v>106</v>
      </c>
      <c r="B27" t="s">
        <v>106</v>
      </c>
      <c r="D27" t="s">
        <v>168</v>
      </c>
      <c r="E27" t="s">
        <v>168</v>
      </c>
      <c r="G27" t="s">
        <v>396</v>
      </c>
      <c r="H27" t="s">
        <v>558</v>
      </c>
    </row>
    <row r="28" spans="1:8">
      <c r="A28" t="s">
        <v>422</v>
      </c>
      <c r="B28" t="s">
        <v>112</v>
      </c>
      <c r="D28" t="s">
        <v>298</v>
      </c>
      <c r="E28" t="s">
        <v>536</v>
      </c>
      <c r="G28" t="s">
        <v>258</v>
      </c>
      <c r="H28" t="s">
        <v>561</v>
      </c>
    </row>
    <row r="29" spans="1:8">
      <c r="A29" t="s">
        <v>115</v>
      </c>
      <c r="B29" t="s">
        <v>115</v>
      </c>
      <c r="D29" t="s">
        <v>100</v>
      </c>
      <c r="E29" t="s">
        <v>587</v>
      </c>
      <c r="G29" t="s">
        <v>405</v>
      </c>
      <c r="H29" t="s">
        <v>664</v>
      </c>
    </row>
    <row r="30" spans="1:8">
      <c r="A30" t="s">
        <v>121</v>
      </c>
      <c r="B30" t="s">
        <v>121</v>
      </c>
      <c r="D30" t="s">
        <v>428</v>
      </c>
      <c r="E30" t="s">
        <v>634</v>
      </c>
      <c r="G30" t="s">
        <v>315</v>
      </c>
      <c r="H30" t="s">
        <v>562</v>
      </c>
    </row>
    <row r="31" spans="1:8">
      <c r="A31" t="s">
        <v>124</v>
      </c>
      <c r="B31" t="s">
        <v>124</v>
      </c>
      <c r="D31" t="s">
        <v>199</v>
      </c>
      <c r="E31" t="s">
        <v>564</v>
      </c>
      <c r="G31" t="s">
        <v>417</v>
      </c>
      <c r="H31" t="s">
        <v>563</v>
      </c>
    </row>
    <row r="32" spans="1:8">
      <c r="A32" t="s">
        <v>126</v>
      </c>
      <c r="B32" t="s">
        <v>126</v>
      </c>
      <c r="D32" t="s">
        <v>286</v>
      </c>
      <c r="E32" t="s">
        <v>633</v>
      </c>
      <c r="G32" t="s">
        <v>420</v>
      </c>
      <c r="H32" t="s">
        <v>665</v>
      </c>
    </row>
    <row r="33" spans="1:8">
      <c r="A33" t="s">
        <v>128</v>
      </c>
      <c r="B33" t="s">
        <v>128</v>
      </c>
      <c r="D33" t="s">
        <v>195</v>
      </c>
      <c r="E33" t="s">
        <v>577</v>
      </c>
      <c r="G33" t="s">
        <v>423</v>
      </c>
      <c r="H33" t="s">
        <v>639</v>
      </c>
    </row>
    <row r="34" spans="1:8">
      <c r="A34" t="s">
        <v>131</v>
      </c>
      <c r="B34" t="s">
        <v>131</v>
      </c>
      <c r="D34" t="s">
        <v>67</v>
      </c>
      <c r="E34" t="s">
        <v>551</v>
      </c>
      <c r="G34" t="s">
        <v>199</v>
      </c>
      <c r="H34" t="s">
        <v>564</v>
      </c>
    </row>
    <row r="35" spans="1:8">
      <c r="A35" t="s">
        <v>428</v>
      </c>
      <c r="B35" t="s">
        <v>144</v>
      </c>
      <c r="D35" t="s">
        <v>126</v>
      </c>
      <c r="E35" t="s">
        <v>592</v>
      </c>
      <c r="G35" t="s">
        <v>272</v>
      </c>
      <c r="H35" t="s">
        <v>666</v>
      </c>
    </row>
    <row r="36" spans="1:8">
      <c r="A36" t="s">
        <v>151</v>
      </c>
      <c r="B36" t="s">
        <v>151</v>
      </c>
      <c r="D36" t="s">
        <v>370</v>
      </c>
      <c r="E36" t="s">
        <v>632</v>
      </c>
      <c r="G36" t="s">
        <v>428</v>
      </c>
      <c r="H36" t="s">
        <v>144</v>
      </c>
    </row>
    <row r="37" spans="1:8">
      <c r="A37" t="s">
        <v>154</v>
      </c>
      <c r="B37" t="s">
        <v>154</v>
      </c>
      <c r="D37" t="s">
        <v>269</v>
      </c>
      <c r="E37" t="s">
        <v>570</v>
      </c>
      <c r="G37" t="s">
        <v>317</v>
      </c>
      <c r="H37" t="s">
        <v>565</v>
      </c>
    </row>
    <row r="38" spans="1:8">
      <c r="A38" t="s">
        <v>527</v>
      </c>
      <c r="B38" t="s">
        <v>156</v>
      </c>
      <c r="D38" t="s">
        <v>250</v>
      </c>
      <c r="E38" t="s">
        <v>537</v>
      </c>
      <c r="G38" t="s">
        <v>433</v>
      </c>
      <c r="H38" t="s">
        <v>567</v>
      </c>
    </row>
    <row r="39" spans="1:8">
      <c r="A39" t="s">
        <v>423</v>
      </c>
      <c r="B39" t="s">
        <v>159</v>
      </c>
      <c r="D39" t="s">
        <v>197</v>
      </c>
      <c r="E39" t="s">
        <v>197</v>
      </c>
      <c r="G39" t="s">
        <v>24</v>
      </c>
      <c r="H39" t="s">
        <v>568</v>
      </c>
    </row>
    <row r="40" spans="1:8">
      <c r="A40" t="s">
        <v>298</v>
      </c>
      <c r="B40" t="s">
        <v>161</v>
      </c>
      <c r="D40" t="s">
        <v>612</v>
      </c>
      <c r="E40" t="s">
        <v>579</v>
      </c>
      <c r="G40" t="s">
        <v>180</v>
      </c>
      <c r="H40" t="s">
        <v>569</v>
      </c>
    </row>
    <row r="41" spans="1:8">
      <c r="A41" t="s">
        <v>168</v>
      </c>
      <c r="B41" t="s">
        <v>168</v>
      </c>
      <c r="D41" t="s">
        <v>487</v>
      </c>
      <c r="E41" t="s">
        <v>630</v>
      </c>
      <c r="G41" t="s">
        <v>321</v>
      </c>
      <c r="H41" t="s">
        <v>321</v>
      </c>
    </row>
    <row r="42" spans="1:8">
      <c r="A42" t="s">
        <v>171</v>
      </c>
      <c r="B42" t="s">
        <v>171</v>
      </c>
      <c r="D42" t="s">
        <v>128</v>
      </c>
      <c r="E42" t="s">
        <v>542</v>
      </c>
      <c r="G42" t="s">
        <v>269</v>
      </c>
      <c r="H42" t="s">
        <v>269</v>
      </c>
    </row>
    <row r="43" spans="1:8">
      <c r="A43" t="s">
        <v>174</v>
      </c>
      <c r="B43" t="s">
        <v>174</v>
      </c>
      <c r="D43" t="s">
        <v>420</v>
      </c>
      <c r="E43" t="s">
        <v>629</v>
      </c>
      <c r="G43" t="s">
        <v>446</v>
      </c>
      <c r="H43" t="s">
        <v>669</v>
      </c>
    </row>
    <row r="44" spans="1:8">
      <c r="A44" t="s">
        <v>420</v>
      </c>
      <c r="B44" t="s">
        <v>178</v>
      </c>
      <c r="D44" t="s">
        <v>472</v>
      </c>
      <c r="E44" t="s">
        <v>628</v>
      </c>
      <c r="G44" t="s">
        <v>448</v>
      </c>
      <c r="H44" t="s">
        <v>571</v>
      </c>
    </row>
    <row r="45" spans="1:8">
      <c r="A45" t="s">
        <v>180</v>
      </c>
      <c r="B45" t="s">
        <v>180</v>
      </c>
      <c r="D45" t="s">
        <v>527</v>
      </c>
      <c r="E45" t="s">
        <v>527</v>
      </c>
      <c r="G45" t="s">
        <v>450</v>
      </c>
      <c r="H45" t="s">
        <v>572</v>
      </c>
    </row>
    <row r="46" spans="1:8">
      <c r="A46" t="s">
        <v>182</v>
      </c>
      <c r="B46" t="s">
        <v>182</v>
      </c>
      <c r="D46" t="s">
        <v>417</v>
      </c>
      <c r="E46" t="s">
        <v>563</v>
      </c>
      <c r="G46" t="s">
        <v>255</v>
      </c>
      <c r="H46" t="s">
        <v>652</v>
      </c>
    </row>
    <row r="47" spans="1:8">
      <c r="A47" t="s">
        <v>352</v>
      </c>
      <c r="B47" t="s">
        <v>185</v>
      </c>
      <c r="D47" t="s">
        <v>255</v>
      </c>
      <c r="E47" t="s">
        <v>255</v>
      </c>
      <c r="G47" t="s">
        <v>63</v>
      </c>
      <c r="H47" t="s">
        <v>573</v>
      </c>
    </row>
    <row r="48" spans="1:8">
      <c r="A48" t="s">
        <v>195</v>
      </c>
      <c r="B48" t="s">
        <v>195</v>
      </c>
      <c r="D48" t="s">
        <v>383</v>
      </c>
      <c r="E48" t="s">
        <v>547</v>
      </c>
      <c r="G48" t="s">
        <v>460</v>
      </c>
      <c r="H48" t="s">
        <v>574</v>
      </c>
    </row>
    <row r="49" spans="1:8">
      <c r="A49" t="s">
        <v>197</v>
      </c>
      <c r="B49" t="s">
        <v>197</v>
      </c>
      <c r="D49" t="s">
        <v>218</v>
      </c>
      <c r="E49" t="s">
        <v>556</v>
      </c>
      <c r="G49" t="s">
        <v>89</v>
      </c>
      <c r="H49" t="s">
        <v>575</v>
      </c>
    </row>
    <row r="50" spans="1:8">
      <c r="A50" t="s">
        <v>199</v>
      </c>
      <c r="B50" t="s">
        <v>199</v>
      </c>
      <c r="D50" t="s">
        <v>272</v>
      </c>
      <c r="E50" t="s">
        <v>627</v>
      </c>
      <c r="G50" t="s">
        <v>286</v>
      </c>
      <c r="H50" t="s">
        <v>286</v>
      </c>
    </row>
    <row r="51" spans="1:8">
      <c r="A51" t="s">
        <v>504</v>
      </c>
      <c r="B51" t="s">
        <v>201</v>
      </c>
      <c r="D51" t="s">
        <v>526</v>
      </c>
      <c r="E51" t="s">
        <v>603</v>
      </c>
      <c r="G51" t="s">
        <v>195</v>
      </c>
      <c r="H51" t="s">
        <v>577</v>
      </c>
    </row>
    <row r="52" spans="1:8">
      <c r="A52" t="s">
        <v>204</v>
      </c>
      <c r="B52" t="s">
        <v>204</v>
      </c>
      <c r="D52" t="s">
        <v>52</v>
      </c>
      <c r="E52" t="s">
        <v>604</v>
      </c>
      <c r="G52" t="s">
        <v>463</v>
      </c>
      <c r="H52" t="s">
        <v>670</v>
      </c>
    </row>
    <row r="53" spans="1:8">
      <c r="A53" t="s">
        <v>460</v>
      </c>
      <c r="B53" t="s">
        <v>206</v>
      </c>
      <c r="D53" t="s">
        <v>265</v>
      </c>
      <c r="E53" t="s">
        <v>538</v>
      </c>
      <c r="G53" t="s">
        <v>472</v>
      </c>
      <c r="H53" t="s">
        <v>628</v>
      </c>
    </row>
    <row r="54" spans="1:8">
      <c r="A54" t="s">
        <v>432</v>
      </c>
      <c r="B54" t="s">
        <v>209</v>
      </c>
      <c r="D54" t="s">
        <v>351</v>
      </c>
      <c r="E54" t="s">
        <v>585</v>
      </c>
      <c r="G54" t="s">
        <v>151</v>
      </c>
      <c r="H54" t="s">
        <v>580</v>
      </c>
    </row>
    <row r="55" spans="1:8">
      <c r="A55" t="s">
        <v>465</v>
      </c>
      <c r="B55" t="s">
        <v>214</v>
      </c>
      <c r="D55" t="s">
        <v>180</v>
      </c>
      <c r="E55" t="s">
        <v>569</v>
      </c>
      <c r="G55" t="s">
        <v>486</v>
      </c>
      <c r="H55" t="s">
        <v>581</v>
      </c>
    </row>
    <row r="56" spans="1:8">
      <c r="A56" t="s">
        <v>370</v>
      </c>
      <c r="B56" t="s">
        <v>216</v>
      </c>
      <c r="D56" t="s">
        <v>24</v>
      </c>
      <c r="E56" t="s">
        <v>568</v>
      </c>
      <c r="G56" t="s">
        <v>482</v>
      </c>
      <c r="H56" t="s">
        <v>671</v>
      </c>
    </row>
    <row r="57" spans="1:8">
      <c r="A57" t="s">
        <v>218</v>
      </c>
      <c r="B57" t="s">
        <v>218</v>
      </c>
      <c r="D57" t="s">
        <v>465</v>
      </c>
      <c r="E57" t="s">
        <v>578</v>
      </c>
      <c r="G57" t="s">
        <v>483</v>
      </c>
      <c r="H57" t="s">
        <v>582</v>
      </c>
    </row>
    <row r="58" spans="1:8">
      <c r="A58" t="s">
        <v>487</v>
      </c>
      <c r="B58" t="s">
        <v>221</v>
      </c>
      <c r="D58" t="s">
        <v>121</v>
      </c>
      <c r="E58" t="s">
        <v>598</v>
      </c>
      <c r="G58" t="s">
        <v>487</v>
      </c>
      <c r="H58" t="s">
        <v>630</v>
      </c>
    </row>
    <row r="59" spans="1:8">
      <c r="A59" t="s">
        <v>228</v>
      </c>
      <c r="B59" t="s">
        <v>228</v>
      </c>
      <c r="D59" t="s">
        <v>494</v>
      </c>
      <c r="E59" t="s">
        <v>586</v>
      </c>
      <c r="G59" t="s">
        <v>154</v>
      </c>
      <c r="H59" t="s">
        <v>583</v>
      </c>
    </row>
    <row r="60" spans="1:8">
      <c r="A60" t="s">
        <v>472</v>
      </c>
      <c r="B60" t="s">
        <v>238</v>
      </c>
      <c r="D60" t="s">
        <v>86</v>
      </c>
      <c r="E60" t="s">
        <v>600</v>
      </c>
      <c r="G60" t="s">
        <v>489</v>
      </c>
      <c r="H60" t="s">
        <v>673</v>
      </c>
    </row>
    <row r="61" spans="1:8">
      <c r="A61" t="s">
        <v>448</v>
      </c>
      <c r="B61" t="s">
        <v>245</v>
      </c>
      <c r="D61" t="s">
        <v>322</v>
      </c>
      <c r="E61" t="s">
        <v>541</v>
      </c>
      <c r="G61" t="s">
        <v>493</v>
      </c>
      <c r="H61" t="s">
        <v>584</v>
      </c>
    </row>
    <row r="62" spans="1:8">
      <c r="A62" t="s">
        <v>250</v>
      </c>
      <c r="B62" t="s">
        <v>250</v>
      </c>
      <c r="D62" t="s">
        <v>317</v>
      </c>
      <c r="E62" t="s">
        <v>565</v>
      </c>
      <c r="G62" t="s">
        <v>351</v>
      </c>
      <c r="H62" t="s">
        <v>585</v>
      </c>
    </row>
    <row r="63" spans="1:8">
      <c r="A63" t="s">
        <v>252</v>
      </c>
      <c r="B63" t="s">
        <v>252</v>
      </c>
      <c r="D63" t="s">
        <v>499</v>
      </c>
      <c r="E63" t="s">
        <v>588</v>
      </c>
      <c r="G63" t="s">
        <v>494</v>
      </c>
      <c r="H63" t="s">
        <v>586</v>
      </c>
    </row>
    <row r="64" spans="1:8">
      <c r="A64" t="s">
        <v>255</v>
      </c>
      <c r="B64" t="s">
        <v>255</v>
      </c>
      <c r="D64" t="s">
        <v>228</v>
      </c>
      <c r="E64" t="s">
        <v>554</v>
      </c>
      <c r="G64" t="s">
        <v>100</v>
      </c>
      <c r="H64" t="s">
        <v>587</v>
      </c>
    </row>
    <row r="65" spans="1:8">
      <c r="A65" t="s">
        <v>258</v>
      </c>
      <c r="B65" t="s">
        <v>258</v>
      </c>
      <c r="D65" t="s">
        <v>486</v>
      </c>
      <c r="E65" t="s">
        <v>581</v>
      </c>
      <c r="G65" t="s">
        <v>499</v>
      </c>
      <c r="H65" t="s">
        <v>588</v>
      </c>
    </row>
    <row r="66" spans="1:8">
      <c r="A66" t="s">
        <v>373</v>
      </c>
      <c r="B66" t="s">
        <v>261</v>
      </c>
      <c r="D66" t="s">
        <v>421</v>
      </c>
      <c r="E66" t="s">
        <v>421</v>
      </c>
      <c r="G66" t="s">
        <v>171</v>
      </c>
      <c r="H66" t="s">
        <v>589</v>
      </c>
    </row>
    <row r="67" spans="1:8">
      <c r="A67" t="s">
        <v>488</v>
      </c>
      <c r="B67" t="s">
        <v>263</v>
      </c>
      <c r="D67" t="s">
        <v>258</v>
      </c>
      <c r="E67" t="s">
        <v>626</v>
      </c>
      <c r="G67" t="s">
        <v>505</v>
      </c>
      <c r="H67" t="s">
        <v>591</v>
      </c>
    </row>
    <row r="68" spans="1:8">
      <c r="A68" t="s">
        <v>265</v>
      </c>
      <c r="B68" t="s">
        <v>265</v>
      </c>
      <c r="D68" t="s">
        <v>450</v>
      </c>
      <c r="E68" t="s">
        <v>572</v>
      </c>
      <c r="G68" t="s">
        <v>126</v>
      </c>
      <c r="H68" t="s">
        <v>592</v>
      </c>
    </row>
    <row r="69" spans="1:8">
      <c r="A69" t="s">
        <v>269</v>
      </c>
      <c r="B69" t="s">
        <v>269</v>
      </c>
      <c r="D69" t="s">
        <v>380</v>
      </c>
      <c r="E69" t="s">
        <v>546</v>
      </c>
      <c r="G69" t="s">
        <v>506</v>
      </c>
      <c r="H69" t="s">
        <v>678</v>
      </c>
    </row>
    <row r="70" spans="1:8">
      <c r="A70" t="s">
        <v>272</v>
      </c>
      <c r="B70" t="s">
        <v>272</v>
      </c>
      <c r="D70" t="s">
        <v>315</v>
      </c>
      <c r="E70" t="s">
        <v>562</v>
      </c>
      <c r="G70" t="s">
        <v>96</v>
      </c>
      <c r="H70" t="s">
        <v>593</v>
      </c>
    </row>
    <row r="71" spans="1:8">
      <c r="A71" t="s">
        <v>514</v>
      </c>
      <c r="B71" t="s">
        <v>275</v>
      </c>
      <c r="D71" t="s">
        <v>479</v>
      </c>
      <c r="E71" t="s">
        <v>479</v>
      </c>
      <c r="G71" t="s">
        <v>508</v>
      </c>
      <c r="H71" t="s">
        <v>594</v>
      </c>
    </row>
    <row r="72" spans="1:8">
      <c r="A72" t="s">
        <v>506</v>
      </c>
      <c r="B72" t="s">
        <v>283</v>
      </c>
      <c r="D72" t="s">
        <v>513</v>
      </c>
      <c r="E72" t="s">
        <v>595</v>
      </c>
      <c r="G72" t="s">
        <v>511</v>
      </c>
      <c r="H72" t="s">
        <v>679</v>
      </c>
    </row>
    <row r="73" spans="1:8">
      <c r="A73" t="s">
        <v>286</v>
      </c>
      <c r="B73" t="s">
        <v>286</v>
      </c>
      <c r="D73" t="s">
        <v>520</v>
      </c>
      <c r="E73" t="s">
        <v>599</v>
      </c>
      <c r="G73" t="s">
        <v>514</v>
      </c>
      <c r="H73" t="s">
        <v>596</v>
      </c>
    </row>
    <row r="74" spans="1:8">
      <c r="D74" t="s">
        <v>372</v>
      </c>
      <c r="E74" t="s">
        <v>548</v>
      </c>
      <c r="G74" t="s">
        <v>59</v>
      </c>
      <c r="H74" t="s">
        <v>597</v>
      </c>
    </row>
    <row r="75" spans="1:8">
      <c r="D75" t="s">
        <v>106</v>
      </c>
      <c r="E75" t="s">
        <v>560</v>
      </c>
      <c r="G75" t="s">
        <v>520</v>
      </c>
      <c r="H75" t="s">
        <v>599</v>
      </c>
    </row>
    <row r="76" spans="1:8">
      <c r="D76" t="s">
        <v>371</v>
      </c>
      <c r="E76" t="s">
        <v>624</v>
      </c>
      <c r="G76" t="s">
        <v>86</v>
      </c>
      <c r="H76" t="s">
        <v>600</v>
      </c>
    </row>
    <row r="77" spans="1:8">
      <c r="D77" t="s">
        <v>504</v>
      </c>
      <c r="E77" t="s">
        <v>590</v>
      </c>
      <c r="G77" t="s">
        <v>522</v>
      </c>
      <c r="H77" t="s">
        <v>601</v>
      </c>
    </row>
    <row r="78" spans="1:8">
      <c r="D78" t="s">
        <v>433</v>
      </c>
      <c r="E78" t="s">
        <v>567</v>
      </c>
      <c r="G78" t="s">
        <v>124</v>
      </c>
      <c r="H78" t="s">
        <v>602</v>
      </c>
    </row>
    <row r="79" spans="1:8">
      <c r="D79" t="s">
        <v>506</v>
      </c>
      <c r="E79" t="s">
        <v>622</v>
      </c>
      <c r="G79" t="s">
        <v>526</v>
      </c>
      <c r="H79" t="s">
        <v>603</v>
      </c>
    </row>
    <row r="80" spans="1:8">
      <c r="D80" t="s">
        <v>131</v>
      </c>
      <c r="E80" t="s">
        <v>576</v>
      </c>
      <c r="G80" t="s">
        <v>252</v>
      </c>
      <c r="H80" t="s">
        <v>252</v>
      </c>
    </row>
    <row r="81" spans="4:8">
      <c r="D81" t="s">
        <v>448</v>
      </c>
      <c r="E81" t="s">
        <v>571</v>
      </c>
      <c r="G81" t="s">
        <v>52</v>
      </c>
      <c r="H81" t="s">
        <v>604</v>
      </c>
    </row>
    <row r="82" spans="4:8">
      <c r="D82" t="s">
        <v>432</v>
      </c>
      <c r="E82" t="s">
        <v>566</v>
      </c>
    </row>
    <row r="83" spans="4:8">
      <c r="D83" t="s">
        <v>460</v>
      </c>
      <c r="E83" t="s">
        <v>574</v>
      </c>
    </row>
    <row r="84" spans="4:8">
      <c r="D84" t="s">
        <v>379</v>
      </c>
      <c r="E84" t="s">
        <v>543</v>
      </c>
    </row>
    <row r="85" spans="4:8">
      <c r="D85" t="s">
        <v>469</v>
      </c>
      <c r="E85" t="s">
        <v>619</v>
      </c>
    </row>
    <row r="86" spans="4:8">
      <c r="D86" t="s">
        <v>493</v>
      </c>
      <c r="E86" t="s">
        <v>584</v>
      </c>
    </row>
    <row r="87" spans="4:8">
      <c r="D87" t="s">
        <v>392</v>
      </c>
      <c r="E87" t="s">
        <v>557</v>
      </c>
    </row>
    <row r="88" spans="4:8">
      <c r="D88" t="s">
        <v>174</v>
      </c>
      <c r="E88" t="s">
        <v>544</v>
      </c>
    </row>
  </sheetData>
  <pageMargins left="0.7" right="0.7" top="0.75" bottom="0.75" header="0.3" footer="0.3"/>
  <tableParts count="3">
    <tablePart r:id="rId1"/>
    <tablePart r:id="rId2"/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01"/>
  <sheetViews>
    <sheetView zoomScale="80" zoomScaleNormal="80" zoomScalePageLayoutView="80" workbookViewId="0">
      <selection activeCell="C3" sqref="C3"/>
    </sheetView>
  </sheetViews>
  <sheetFormatPr defaultColWidth="8.83203125" defaultRowHeight="14.25"/>
  <cols>
    <col min="1" max="1" width="8.83203125" style="41"/>
    <col min="2" max="2" width="53.83203125" style="41" bestFit="1" customWidth="1"/>
    <col min="3" max="3" width="49.1640625" style="41" bestFit="1" customWidth="1"/>
  </cols>
  <sheetData>
    <row r="1" spans="1:3">
      <c r="A1" s="38" t="s">
        <v>648</v>
      </c>
      <c r="B1" s="38" t="s">
        <v>649</v>
      </c>
      <c r="C1" s="38" t="s">
        <v>685</v>
      </c>
    </row>
    <row r="2" spans="1:3">
      <c r="A2" s="39" t="s">
        <v>645</v>
      </c>
      <c r="B2" s="39" t="s">
        <v>553</v>
      </c>
      <c r="C2" s="40" t="str">
        <f>IFERROR(INDEX(VaultStd[EIW],MATCH(VaultRank[[#This Row],[Name]],VaultStd[Vault],0)),VaultRank[[#This Row],[Name]])</f>
        <v>Cravath, Swaine &amp; Moore</v>
      </c>
    </row>
    <row r="3" spans="1:3">
      <c r="A3" s="39">
        <v>2</v>
      </c>
      <c r="B3" s="39" t="s">
        <v>641</v>
      </c>
      <c r="C3" s="40" t="str">
        <f>IFERROR(INDEX(VaultStd[EIW],MATCH(VaultRank[[#This Row],[Name]],VaultStd[Vault],0)),VaultRank[[#This Row],[Name]])</f>
        <v>Wachtell Lipton Rosen &amp; Katz</v>
      </c>
    </row>
    <row r="4" spans="1:3">
      <c r="A4" s="39">
        <v>3</v>
      </c>
      <c r="B4" s="39" t="s">
        <v>640</v>
      </c>
      <c r="C4" s="40" t="str">
        <f>IFERROR(INDEX(VaultStd[EIW],MATCH(VaultRank[[#This Row],[Name]],VaultStd[Vault],0)),VaultRank[[#This Row],[Name]])</f>
        <v>Skadden, Arps, Slate, Meagher &amp; Flom</v>
      </c>
    </row>
    <row r="5" spans="1:3">
      <c r="A5" s="39">
        <v>4</v>
      </c>
      <c r="B5" s="39" t="s">
        <v>597</v>
      </c>
      <c r="C5" s="40" t="str">
        <f>IFERROR(INDEX(VaultStd[EIW],MATCH(VaultRank[[#This Row],[Name]],VaultStd[Vault],0)),VaultRank[[#This Row],[Name]])</f>
        <v>Sullivan &amp; Cromwell</v>
      </c>
    </row>
    <row r="6" spans="1:3">
      <c r="A6" s="39">
        <v>5</v>
      </c>
      <c r="B6" s="39" t="s">
        <v>642</v>
      </c>
      <c r="C6" s="40" t="str">
        <f>IFERROR(INDEX(VaultStd[EIW],MATCH(VaultRank[[#This Row],[Name]],VaultStd[Vault],0)),VaultRank[[#This Row],[Name]])</f>
        <v>Davis Polk &amp; Wardwell</v>
      </c>
    </row>
    <row r="7" spans="1:3">
      <c r="A7" s="39">
        <v>6</v>
      </c>
      <c r="B7" s="39" t="s">
        <v>594</v>
      </c>
      <c r="C7" s="40" t="str">
        <f>IFERROR(INDEX(VaultStd[EIW],MATCH(VaultRank[[#This Row],[Name]],VaultStd[Vault],0)),VaultRank[[#This Row],[Name]])</f>
        <v>Simpson Thacher &amp; Bartlett</v>
      </c>
    </row>
    <row r="8" spans="1:3">
      <c r="A8" s="39">
        <v>7</v>
      </c>
      <c r="B8" s="39" t="s">
        <v>575</v>
      </c>
      <c r="C8" s="40" t="str">
        <f>IFERROR(INDEX(VaultStd[EIW],MATCH(VaultRank[[#This Row],[Name]],VaultStd[Vault],0)),VaultRank[[#This Row],[Name]])</f>
        <v>Latham &amp; Watkins</v>
      </c>
    </row>
    <row r="9" spans="1:3">
      <c r="A9" s="39">
        <v>8</v>
      </c>
      <c r="B9" s="39" t="s">
        <v>573</v>
      </c>
      <c r="C9" s="40" t="str">
        <f>IFERROR(INDEX(VaultStd[EIW],MATCH(VaultRank[[#This Row],[Name]],VaultStd[Vault],0)),VaultRank[[#This Row],[Name]])</f>
        <v>Kirkland &amp; Ellis</v>
      </c>
    </row>
    <row r="10" spans="1:3">
      <c r="A10" s="39">
        <v>9</v>
      </c>
      <c r="B10" s="39" t="s">
        <v>550</v>
      </c>
      <c r="C10" s="40" t="str">
        <f>IFERROR(INDEX(VaultStd[EIW],MATCH(VaultRank[[#This Row],[Name]],VaultStd[Vault],0)),VaultRank[[#This Row],[Name]])</f>
        <v>Cleary Gottlieb Steen &amp; Hamilton</v>
      </c>
    </row>
    <row r="11" spans="1:3">
      <c r="A11" s="39">
        <v>10</v>
      </c>
      <c r="B11" s="39" t="s">
        <v>639</v>
      </c>
      <c r="C11" s="40" t="str">
        <f>IFERROR(INDEX(VaultStd[EIW],MATCH(VaultRank[[#This Row],[Name]],VaultStd[Vault],0)),VaultRank[[#This Row],[Name]])</f>
        <v>Gibson Dunn &amp; Crutcher</v>
      </c>
    </row>
    <row r="12" spans="1:3">
      <c r="A12" s="39">
        <v>11</v>
      </c>
      <c r="B12" s="39" t="s">
        <v>601</v>
      </c>
      <c r="C12" s="40" t="str">
        <f>IFERROR(INDEX(VaultStd[EIW],MATCH(VaultRank[[#This Row],[Name]],VaultStd[Vault],0)),VaultRank[[#This Row],[Name]])</f>
        <v>Weil, Gotshal &amp; Manges</v>
      </c>
    </row>
    <row r="13" spans="1:3">
      <c r="A13" s="39">
        <v>12</v>
      </c>
      <c r="B13" s="39" t="s">
        <v>638</v>
      </c>
      <c r="C13" s="40" t="str">
        <f>IFERROR(INDEX(VaultStd[EIW],MATCH(VaultRank[[#This Row],[Name]],VaultStd[Vault],0)),VaultRank[[#This Row],[Name]])</f>
        <v>Paul Weiss Rifkind Wharton &amp; Garrison</v>
      </c>
    </row>
    <row r="14" spans="1:3">
      <c r="A14" s="39">
        <v>13</v>
      </c>
      <c r="B14" s="39" t="s">
        <v>552</v>
      </c>
      <c r="C14" s="40" t="str">
        <f>IFERROR(INDEX(VaultStd[EIW],MATCH(VaultRank[[#This Row],[Name]],VaultStd[Vault],0)),VaultRank[[#This Row],[Name]])</f>
        <v>Covington &amp; Burling</v>
      </c>
    </row>
    <row r="15" spans="1:3">
      <c r="A15" s="39">
        <v>14</v>
      </c>
      <c r="B15" s="39" t="s">
        <v>593</v>
      </c>
      <c r="C15" s="40" t="str">
        <f>IFERROR(INDEX(VaultStd[EIW],MATCH(VaultRank[[#This Row],[Name]],VaultStd[Vault],0)),VaultRank[[#This Row],[Name]])</f>
        <v>Sidley Austin</v>
      </c>
    </row>
    <row r="16" spans="1:3">
      <c r="A16" s="39">
        <v>15</v>
      </c>
      <c r="B16" s="39" t="s">
        <v>643</v>
      </c>
      <c r="C16" s="40" t="str">
        <f>IFERROR(INDEX(VaultStd[EIW],MATCH(VaultRank[[#This Row],[Name]],VaultStd[Vault],0)),VaultRank[[#This Row],[Name]])</f>
        <v>Quinn Emanuel Urquhart &amp; Sullivan, LLP</v>
      </c>
    </row>
    <row r="17" spans="1:3">
      <c r="A17" s="39">
        <v>16</v>
      </c>
      <c r="B17" s="39" t="s">
        <v>637</v>
      </c>
      <c r="C17" s="40" t="str">
        <f>IFERROR(INDEX(VaultStd[EIW],MATCH(VaultRank[[#This Row],[Name]],VaultStd[Vault],0)),VaultRank[[#This Row],[Name]])</f>
        <v>Boies, Schiller &amp; Flexner</v>
      </c>
    </row>
    <row r="18" spans="1:3">
      <c r="A18" s="39">
        <v>17</v>
      </c>
      <c r="B18" s="39" t="s">
        <v>555</v>
      </c>
      <c r="C18" s="40" t="str">
        <f>IFERROR(INDEX(VaultStd[EIW],MATCH(VaultRank[[#This Row],[Name]],VaultStd[Vault],0)),VaultRank[[#This Row],[Name]])</f>
        <v>Debevoise &amp; Plimpton</v>
      </c>
    </row>
    <row r="19" spans="1:3">
      <c r="A19" s="39">
        <v>18</v>
      </c>
      <c r="B19" s="39" t="s">
        <v>321</v>
      </c>
      <c r="C19" s="40" t="str">
        <f>IFERROR(INDEX(VaultStd[EIW],MATCH(VaultRank[[#This Row],[Name]],VaultStd[Vault],0)),VaultRank[[#This Row],[Name]])</f>
        <v>Jones Day</v>
      </c>
    </row>
    <row r="20" spans="1:3">
      <c r="A20" s="39">
        <v>19</v>
      </c>
      <c r="B20" s="39" t="s">
        <v>636</v>
      </c>
      <c r="C20" s="40" t="str">
        <f>IFERROR(INDEX(VaultStd[EIW],MATCH(VaultRank[[#This Row],[Name]],VaultStd[Vault],0)),VaultRank[[#This Row],[Name]])</f>
        <v>Williams &amp; Connolly LLP</v>
      </c>
    </row>
    <row r="21" spans="1:3">
      <c r="A21" s="39">
        <v>20</v>
      </c>
      <c r="B21" s="39" t="s">
        <v>602</v>
      </c>
      <c r="C21" s="40" t="str">
        <f>IFERROR(INDEX(VaultStd[EIW],MATCH(VaultRank[[#This Row],[Name]],VaultStd[Vault],0)),VaultRank[[#This Row],[Name]])</f>
        <v>White &amp; Case</v>
      </c>
    </row>
    <row r="22" spans="1:3">
      <c r="A22" s="39">
        <v>21</v>
      </c>
      <c r="B22" s="39" t="s">
        <v>589</v>
      </c>
      <c r="C22" s="40" t="str">
        <f>IFERROR(INDEX(VaultStd[EIW],MATCH(VaultRank[[#This Row],[Name]],VaultStd[Vault],0)),VaultRank[[#This Row],[Name]])</f>
        <v>Ropes &amp; Gray</v>
      </c>
    </row>
    <row r="23" spans="1:3">
      <c r="A23" s="39">
        <v>22</v>
      </c>
      <c r="B23" s="39" t="s">
        <v>252</v>
      </c>
      <c r="C23" s="40" t="str">
        <f>IFERROR(INDEX(VaultStd[EIW],MATCH(VaultRank[[#This Row],[Name]],VaultStd[Vault],0)),VaultRank[[#This Row],[Name]])</f>
        <v>WilmerHale</v>
      </c>
    </row>
    <row r="24" spans="1:3">
      <c r="A24" s="39">
        <v>23</v>
      </c>
      <c r="B24" s="39" t="s">
        <v>580</v>
      </c>
      <c r="C24" s="40" t="str">
        <f>IFERROR(INDEX(VaultStd[EIW],MATCH(VaultRank[[#This Row],[Name]],VaultStd[Vault],0)),VaultRank[[#This Row],[Name]])</f>
        <v>Morrison &amp; Foerster</v>
      </c>
    </row>
    <row r="25" spans="1:3">
      <c r="A25" s="39">
        <v>24</v>
      </c>
      <c r="B25" s="39" t="s">
        <v>583</v>
      </c>
      <c r="C25" s="40" t="str">
        <f>IFERROR(INDEX(VaultStd[EIW],MATCH(VaultRank[[#This Row],[Name]],VaultStd[Vault],0)),VaultRank[[#This Row],[Name]])</f>
        <v>Paul Hastings</v>
      </c>
    </row>
    <row r="26" spans="1:3">
      <c r="A26" s="39">
        <v>25</v>
      </c>
      <c r="B26" s="39" t="s">
        <v>539</v>
      </c>
      <c r="C26" s="40" t="str">
        <f>IFERROR(INDEX(VaultStd[EIW],MATCH(VaultRank[[#This Row],[Name]],VaultStd[Vault],0)),VaultRank[[#This Row],[Name]])</f>
        <v>Arnold &amp; Porter</v>
      </c>
    </row>
    <row r="27" spans="1:3">
      <c r="A27" s="39">
        <v>26</v>
      </c>
      <c r="B27" s="39" t="s">
        <v>582</v>
      </c>
      <c r="C27" s="40" t="str">
        <f>IFERROR(INDEX(VaultStd[EIW],MATCH(VaultRank[[#This Row],[Name]],VaultStd[Vault],0)),VaultRank[[#This Row],[Name]])</f>
        <v>O'Melveny &amp; Myers</v>
      </c>
    </row>
    <row r="28" spans="1:3">
      <c r="A28" s="39">
        <v>27</v>
      </c>
      <c r="B28" s="39" t="s">
        <v>635</v>
      </c>
      <c r="C28" s="40" t="str">
        <f>IFERROR(INDEX(VaultStd[EIW],MATCH(VaultRank[[#This Row],[Name]],VaultStd[Vault],0)),VaultRank[[#This Row],[Name]])</f>
        <v>Clifford Chance</v>
      </c>
    </row>
    <row r="29" spans="1:3">
      <c r="A29" s="39">
        <v>28</v>
      </c>
      <c r="B29" s="39" t="s">
        <v>168</v>
      </c>
      <c r="C29" s="40" t="str">
        <f>IFERROR(INDEX(VaultStd[EIW],MATCH(VaultRank[[#This Row],[Name]],VaultStd[Vault],0)),VaultRank[[#This Row],[Name]])</f>
        <v>Baker &amp; McKenzie</v>
      </c>
    </row>
    <row r="30" spans="1:3">
      <c r="A30" s="39">
        <v>29</v>
      </c>
      <c r="B30" s="39" t="s">
        <v>536</v>
      </c>
      <c r="C30" s="40" t="str">
        <f>IFERROR(INDEX(VaultStd[EIW],MATCH(VaultRank[[#This Row],[Name]],VaultStd[Vault],0)),VaultRank[[#This Row],[Name]])</f>
        <v>Akin Gump Strauss Hauer &amp; Feld</v>
      </c>
    </row>
    <row r="31" spans="1:3">
      <c r="A31" s="39">
        <v>30</v>
      </c>
      <c r="B31" s="39" t="s">
        <v>587</v>
      </c>
      <c r="C31" s="40" t="str">
        <f>IFERROR(INDEX(VaultStd[EIW],MATCH(VaultRank[[#This Row],[Name]],VaultStd[Vault],0)),VaultRank[[#This Row],[Name]])</f>
        <v>Proskauer Rose</v>
      </c>
    </row>
    <row r="32" spans="1:3">
      <c r="A32" s="39">
        <v>31</v>
      </c>
      <c r="B32" s="39" t="s">
        <v>634</v>
      </c>
      <c r="C32" s="40" t="str">
        <f>IFERROR(INDEX(VaultStd[EIW],MATCH(VaultRank[[#This Row],[Name]],VaultStd[Vault],0)),VaultRank[[#This Row],[Name]])</f>
        <v>Hogan Lovells US</v>
      </c>
    </row>
    <row r="33" spans="1:3">
      <c r="A33" s="39">
        <v>32</v>
      </c>
      <c r="B33" s="39" t="s">
        <v>564</v>
      </c>
      <c r="C33" s="40" t="str">
        <f>IFERROR(INDEX(VaultStd[EIW],MATCH(VaultRank[[#This Row],[Name]],VaultStd[Vault],0)),VaultRank[[#This Row],[Name]])</f>
        <v>Goodwin Procter</v>
      </c>
    </row>
    <row r="34" spans="1:3">
      <c r="A34" s="39">
        <v>33</v>
      </c>
      <c r="B34" s="39" t="s">
        <v>633</v>
      </c>
      <c r="C34" s="40" t="str">
        <f>IFERROR(INDEX(VaultStd[EIW],MATCH(VaultRank[[#This Row],[Name]],VaultStd[Vault],0)),VaultRank[[#This Row],[Name]])</f>
        <v>Linklaters</v>
      </c>
    </row>
    <row r="35" spans="1:3">
      <c r="A35" s="39">
        <v>34</v>
      </c>
      <c r="B35" s="39" t="s">
        <v>577</v>
      </c>
      <c r="C35" s="40" t="str">
        <f>IFERROR(INDEX(VaultStd[EIW],MATCH(VaultRank[[#This Row],[Name]],VaultStd[Vault],0)),VaultRank[[#This Row],[Name]])</f>
        <v>Mayer Brown</v>
      </c>
    </row>
    <row r="36" spans="1:3">
      <c r="A36" s="39">
        <v>35</v>
      </c>
      <c r="B36" s="39" t="s">
        <v>551</v>
      </c>
      <c r="C36" s="40" t="str">
        <f>IFERROR(INDEX(VaultStd[EIW],MATCH(VaultRank[[#This Row],[Name]],VaultStd[Vault],0)),VaultRank[[#This Row],[Name]])</f>
        <v>Cooley</v>
      </c>
    </row>
    <row r="37" spans="1:3">
      <c r="A37" s="39">
        <v>36</v>
      </c>
      <c r="B37" s="39" t="s">
        <v>592</v>
      </c>
      <c r="C37" s="40" t="str">
        <f>IFERROR(INDEX(VaultStd[EIW],MATCH(VaultRank[[#This Row],[Name]],VaultStd[Vault],0)),VaultRank[[#This Row],[Name]])</f>
        <v>Shearman &amp; Sterling</v>
      </c>
    </row>
    <row r="38" spans="1:3">
      <c r="A38" s="39">
        <v>37</v>
      </c>
      <c r="B38" s="39" t="s">
        <v>632</v>
      </c>
      <c r="C38" s="40" t="str">
        <f>IFERROR(INDEX(VaultStd[EIW],MATCH(VaultRank[[#This Row],[Name]],VaultStd[Vault],0)),VaultRank[[#This Row],[Name]])</f>
        <v>Cadwalader Wickersham &amp; Taft</v>
      </c>
    </row>
    <row r="39" spans="1:3">
      <c r="A39" s="39">
        <v>38</v>
      </c>
      <c r="B39" s="39" t="s">
        <v>631</v>
      </c>
      <c r="C39" s="40" t="str">
        <f>IFERROR(INDEX(VaultStd[EIW],MATCH(VaultRank[[#This Row],[Name]],VaultStd[Vault],0)),VaultRank[[#This Row],[Name]])</f>
        <v>Munger, Tolles &amp; Olson LLP</v>
      </c>
    </row>
    <row r="40" spans="1:3">
      <c r="A40" s="39">
        <v>39</v>
      </c>
      <c r="B40" s="39" t="s">
        <v>570</v>
      </c>
      <c r="C40" s="40" t="str">
        <f>IFERROR(INDEX(VaultStd[EIW],MATCH(VaultRank[[#This Row],[Name]],VaultStd[Vault],0)),VaultRank[[#This Row],[Name]])</f>
        <v>K&amp;L Gates</v>
      </c>
    </row>
    <row r="41" spans="1:3">
      <c r="A41" s="39">
        <v>40</v>
      </c>
      <c r="B41" s="39" t="s">
        <v>537</v>
      </c>
      <c r="C41" s="40" t="str">
        <f>IFERROR(INDEX(VaultStd[EIW],MATCH(VaultRank[[#This Row],[Name]],VaultStd[Vault],0)),VaultRank[[#This Row],[Name]])</f>
        <v>Allen &amp; Overy</v>
      </c>
    </row>
    <row r="42" spans="1:3">
      <c r="A42" s="39">
        <v>41</v>
      </c>
      <c r="B42" s="39" t="s">
        <v>197</v>
      </c>
      <c r="C42" s="40" t="str">
        <f>IFERROR(INDEX(VaultStd[EIW],MATCH(VaultRank[[#This Row],[Name]],VaultStd[Vault],0)),VaultRank[[#This Row],[Name]])</f>
        <v>DLA Piper</v>
      </c>
    </row>
    <row r="43" spans="1:3">
      <c r="A43" s="39">
        <v>42</v>
      </c>
      <c r="B43" s="39" t="s">
        <v>579</v>
      </c>
      <c r="C43" s="40" t="str">
        <f>IFERROR(INDEX(VaultStd[EIW],MATCH(VaultRank[[#This Row],[Name]],VaultStd[Vault],0)),VaultRank[[#This Row],[Name]])</f>
        <v>Milbank Tweed Hadley &amp; McCloy</v>
      </c>
    </row>
    <row r="44" spans="1:3">
      <c r="A44" s="39">
        <v>43</v>
      </c>
      <c r="B44" s="39" t="s">
        <v>630</v>
      </c>
      <c r="C44" s="40" t="str">
        <f>IFERROR(INDEX(VaultStd[EIW],MATCH(VaultRank[[#This Row],[Name]],VaultStd[Vault],0)),VaultRank[[#This Row],[Name]])</f>
        <v>Orrick Herrington &amp; Sutcliffe</v>
      </c>
    </row>
    <row r="45" spans="1:3">
      <c r="A45" s="39">
        <v>44</v>
      </c>
      <c r="B45" s="39" t="s">
        <v>542</v>
      </c>
      <c r="C45" s="40" t="str">
        <f>IFERROR(INDEX(VaultStd[EIW],MATCH(VaultRank[[#This Row],[Name]],VaultStd[Vault],0)),VaultRank[[#This Row],[Name]])</f>
        <v>Baker Botts</v>
      </c>
    </row>
    <row r="46" spans="1:3">
      <c r="A46" s="39">
        <v>45</v>
      </c>
      <c r="B46" s="39" t="s">
        <v>629</v>
      </c>
      <c r="C46" s="40" t="str">
        <f>IFERROR(INDEX(VaultStd[EIW],MATCH(VaultRank[[#This Row],[Name]],VaultStd[Vault],0)),VaultRank[[#This Row],[Name]])</f>
        <v>Fried Frank Harris Shriver &amp; Jacobson</v>
      </c>
    </row>
    <row r="47" spans="1:3">
      <c r="A47" s="39">
        <v>46</v>
      </c>
      <c r="B47" s="39" t="s">
        <v>628</v>
      </c>
      <c r="C47" s="40" t="str">
        <f>IFERROR(INDEX(VaultStd[EIW],MATCH(VaultRank[[#This Row],[Name]],VaultStd[Vault],0)),VaultRank[[#This Row],[Name]])</f>
        <v>Morgan, Lewis &amp; Bockius</v>
      </c>
    </row>
    <row r="48" spans="1:3">
      <c r="A48" s="39">
        <v>47</v>
      </c>
      <c r="B48" s="39" t="s">
        <v>527</v>
      </c>
      <c r="C48" s="40" t="str">
        <f>IFERROR(INDEX(VaultStd[EIW],MATCH(VaultRank[[#This Row],[Name]],VaultStd[Vault],0)),VaultRank[[#This Row],[Name]])</f>
        <v>Wilson Sonsini Goodrich &amp; Rosati</v>
      </c>
    </row>
    <row r="49" spans="1:3">
      <c r="A49" s="39">
        <v>48</v>
      </c>
      <c r="B49" s="39" t="s">
        <v>563</v>
      </c>
      <c r="C49" s="40" t="str">
        <f>IFERROR(INDEX(VaultStd[EIW],MATCH(VaultRank[[#This Row],[Name]],VaultStd[Vault],0)),VaultRank[[#This Row],[Name]])</f>
        <v>Freshfields Bruckhaus Deringer</v>
      </c>
    </row>
    <row r="50" spans="1:3">
      <c r="A50" s="39">
        <v>49</v>
      </c>
      <c r="B50" s="39" t="s">
        <v>255</v>
      </c>
      <c r="C50" s="40" t="str">
        <f>IFERROR(INDEX(VaultStd[EIW],MATCH(VaultRank[[#This Row],[Name]],VaultStd[Vault],0)),VaultRank[[#This Row],[Name]])</f>
        <v>King &amp; Spalding</v>
      </c>
    </row>
    <row r="51" spans="1:3">
      <c r="A51" s="39">
        <v>50</v>
      </c>
      <c r="B51" s="39" t="s">
        <v>547</v>
      </c>
      <c r="C51" s="40" t="str">
        <f>IFERROR(INDEX(VaultStd[EIW],MATCH(VaultRank[[#This Row],[Name]],VaultStd[Vault],0)),VaultRank[[#This Row],[Name]])</f>
        <v>Cahill Gordon &amp; Reindel</v>
      </c>
    </row>
    <row r="52" spans="1:3">
      <c r="A52" s="39">
        <v>51</v>
      </c>
      <c r="B52" s="39" t="s">
        <v>556</v>
      </c>
      <c r="C52" s="40" t="str">
        <f>IFERROR(INDEX(VaultStd[EIW],MATCH(VaultRank[[#This Row],[Name]],VaultStd[Vault],0)),VaultRank[[#This Row],[Name]])</f>
        <v>Dechert</v>
      </c>
    </row>
    <row r="53" spans="1:3">
      <c r="A53" s="39">
        <v>52</v>
      </c>
      <c r="B53" s="39" t="s">
        <v>627</v>
      </c>
      <c r="C53" s="40" t="str">
        <f>IFERROR(INDEX(VaultStd[EIW],MATCH(VaultRank[[#This Row],[Name]],VaultStd[Vault],0)),VaultRank[[#This Row],[Name]])</f>
        <v>Greenberg Traurig</v>
      </c>
    </row>
    <row r="54" spans="1:3">
      <c r="A54" s="39">
        <v>53</v>
      </c>
      <c r="B54" s="39" t="s">
        <v>603</v>
      </c>
      <c r="C54" s="40" t="str">
        <f>IFERROR(INDEX(VaultStd[EIW],MATCH(VaultRank[[#This Row],[Name]],VaultStd[Vault],0)),VaultRank[[#This Row],[Name]])</f>
        <v>Willkie Farr &amp; Gallagher</v>
      </c>
    </row>
    <row r="55" spans="1:3">
      <c r="A55" s="39">
        <v>54</v>
      </c>
      <c r="B55" s="39" t="s">
        <v>604</v>
      </c>
      <c r="C55" s="40" t="str">
        <f>IFERROR(INDEX(VaultStd[EIW],MATCH(VaultRank[[#This Row],[Name]],VaultStd[Vault],0)),VaultRank[[#This Row],[Name]])</f>
        <v>Winston &amp; Strawn</v>
      </c>
    </row>
    <row r="56" spans="1:3">
      <c r="A56" s="39">
        <v>55</v>
      </c>
      <c r="B56" s="39" t="s">
        <v>538</v>
      </c>
      <c r="C56" s="40" t="str">
        <f>IFERROR(INDEX(VaultStd[EIW],MATCH(VaultRank[[#This Row],[Name]],VaultStd[Vault],0)),VaultRank[[#This Row],[Name]])</f>
        <v>Alston &amp; Bird</v>
      </c>
    </row>
    <row r="57" spans="1:3">
      <c r="A57" s="39">
        <v>56</v>
      </c>
      <c r="B57" s="39" t="s">
        <v>585</v>
      </c>
      <c r="C57" s="40" t="str">
        <f>IFERROR(INDEX(VaultStd[EIW],MATCH(VaultRank[[#This Row],[Name]],VaultStd[Vault],0)),VaultRank[[#This Row],[Name]])</f>
        <v>Perkins Coie</v>
      </c>
    </row>
    <row r="58" spans="1:3">
      <c r="A58" s="39">
        <v>57</v>
      </c>
      <c r="B58" s="39" t="s">
        <v>569</v>
      </c>
      <c r="C58" s="40" t="str">
        <f>IFERROR(INDEX(VaultStd[EIW],MATCH(VaultRank[[#This Row],[Name]],VaultStd[Vault],0)),VaultRank[[#This Row],[Name]])</f>
        <v>Jenner &amp; Block</v>
      </c>
    </row>
    <row r="59" spans="1:3">
      <c r="A59" s="39">
        <v>58</v>
      </c>
      <c r="B59" s="39" t="s">
        <v>568</v>
      </c>
      <c r="C59" s="40" t="str">
        <f>IFERROR(INDEX(VaultStd[EIW],MATCH(VaultRank[[#This Row],[Name]],VaultStd[Vault],0)),VaultRank[[#This Row],[Name]])</f>
        <v>Irell &amp; Manella</v>
      </c>
    </row>
    <row r="60" spans="1:3">
      <c r="A60" s="39">
        <v>59</v>
      </c>
      <c r="B60" s="39" t="s">
        <v>578</v>
      </c>
      <c r="C60" s="40" t="str">
        <f>IFERROR(INDEX(VaultStd[EIW],MATCH(VaultRank[[#This Row],[Name]],VaultStd[Vault],0)),VaultRank[[#This Row],[Name]])</f>
        <v>McDermott Will &amp; Emery</v>
      </c>
    </row>
    <row r="61" spans="1:3">
      <c r="A61" s="39">
        <v>60</v>
      </c>
      <c r="B61" s="39" t="s">
        <v>598</v>
      </c>
      <c r="C61" s="40" t="str">
        <f>IFERROR(INDEX(VaultStd[EIW],MATCH(VaultRank[[#This Row],[Name]],VaultStd[Vault],0)),VaultRank[[#This Row],[Name]])</f>
        <v>Susman Godfrey</v>
      </c>
    </row>
    <row r="62" spans="1:3">
      <c r="A62" s="39">
        <v>61</v>
      </c>
      <c r="B62" s="39" t="s">
        <v>586</v>
      </c>
      <c r="C62" s="40" t="str">
        <f>IFERROR(INDEX(VaultStd[EIW],MATCH(VaultRank[[#This Row],[Name]],VaultStd[Vault],0)),VaultRank[[#This Row],[Name]])</f>
        <v>Pillsbury Winthrop Shaw Pittman</v>
      </c>
    </row>
    <row r="63" spans="1:3">
      <c r="A63" s="39">
        <v>62</v>
      </c>
      <c r="B63" s="39" t="s">
        <v>600</v>
      </c>
      <c r="C63" s="40" t="str">
        <f>IFERROR(INDEX(VaultStd[EIW],MATCH(VaultRank[[#This Row],[Name]],VaultStd[Vault],0)),VaultRank[[#This Row],[Name]])</f>
        <v>Vinson &amp; Elkins</v>
      </c>
    </row>
    <row r="64" spans="1:3">
      <c r="A64" s="39">
        <v>63</v>
      </c>
      <c r="B64" s="39" t="s">
        <v>541</v>
      </c>
      <c r="C64" s="40" t="str">
        <f>IFERROR(INDEX(VaultStd[EIW],MATCH(VaultRank[[#This Row],[Name]],VaultStd[Vault],0)),VaultRank[[#This Row],[Name]])</f>
        <v>Baker &amp; Hostetler</v>
      </c>
    </row>
    <row r="65" spans="1:3">
      <c r="A65" s="39">
        <v>64</v>
      </c>
      <c r="B65" s="39" t="s">
        <v>565</v>
      </c>
      <c r="C65" s="40" t="str">
        <f>IFERROR(INDEX(VaultStd[EIW],MATCH(VaultRank[[#This Row],[Name]],VaultStd[Vault],0)),VaultRank[[#This Row],[Name]])</f>
        <v>Holland &amp; Knight</v>
      </c>
    </row>
    <row r="66" spans="1:3">
      <c r="A66" s="39">
        <v>65</v>
      </c>
      <c r="B66" s="39" t="s">
        <v>588</v>
      </c>
      <c r="C66" s="40" t="str">
        <f>IFERROR(INDEX(VaultStd[EIW],MATCH(VaultRank[[#This Row],[Name]],VaultStd[Vault],0)),VaultRank[[#This Row],[Name]])</f>
        <v>Reed Smith</v>
      </c>
    </row>
    <row r="67" spans="1:3">
      <c r="A67" s="39">
        <v>66</v>
      </c>
      <c r="B67" s="39" t="s">
        <v>554</v>
      </c>
      <c r="C67" s="40" t="str">
        <f>IFERROR(INDEX(VaultStd[EIW],MATCH(VaultRank[[#This Row],[Name]],VaultStd[Vault],0)),VaultRank[[#This Row],[Name]])</f>
        <v>Crowell &amp; Moring</v>
      </c>
    </row>
    <row r="68" spans="1:3">
      <c r="A68" s="39">
        <v>67</v>
      </c>
      <c r="B68" s="39" t="s">
        <v>581</v>
      </c>
      <c r="C68" s="40" t="str">
        <f>IFERROR(INDEX(VaultStd[EIW],MATCH(VaultRank[[#This Row],[Name]],VaultStd[Vault],0)),VaultRank[[#This Row],[Name]])</f>
        <v>Nixon Peabody</v>
      </c>
    </row>
    <row r="69" spans="1:3">
      <c r="A69" s="39">
        <v>68</v>
      </c>
      <c r="B69" s="39" t="s">
        <v>421</v>
      </c>
      <c r="C69" s="40" t="str">
        <f>IFERROR(INDEX(VaultStd[EIW],MATCH(VaultRank[[#This Row],[Name]],VaultStd[Vault],0)),VaultRank[[#This Row],[Name]])</f>
        <v>Dentons</v>
      </c>
    </row>
    <row r="70" spans="1:3">
      <c r="A70" s="39">
        <v>69</v>
      </c>
      <c r="B70" s="39" t="s">
        <v>626</v>
      </c>
      <c r="C70" s="40" t="str">
        <f>IFERROR(INDEX(VaultStd[EIW],MATCH(VaultRank[[#This Row],[Name]],VaultStd[Vault],0)),VaultRank[[#This Row],[Name]])</f>
        <v>Fish &amp; Richardson</v>
      </c>
    </row>
    <row r="71" spans="1:3">
      <c r="A71" s="39">
        <v>70</v>
      </c>
      <c r="B71" s="39" t="s">
        <v>572</v>
      </c>
      <c r="C71" s="40" t="str">
        <f>IFERROR(INDEX(VaultStd[EIW],MATCH(VaultRank[[#This Row],[Name]],VaultStd[Vault],0)),VaultRank[[#This Row],[Name]])</f>
        <v>Kaye Scholer</v>
      </c>
    </row>
    <row r="72" spans="1:3">
      <c r="A72" s="39">
        <v>71</v>
      </c>
      <c r="B72" s="39" t="s">
        <v>546</v>
      </c>
      <c r="C72" s="40" t="str">
        <f>IFERROR(INDEX(VaultStd[EIW],MATCH(VaultRank[[#This Row],[Name]],VaultStd[Vault],0)),VaultRank[[#This Row],[Name]])</f>
        <v>Bryan Cave</v>
      </c>
    </row>
    <row r="73" spans="1:3">
      <c r="A73" s="39">
        <v>72</v>
      </c>
      <c r="B73" s="39" t="s">
        <v>562</v>
      </c>
      <c r="C73" s="40" t="str">
        <f>IFERROR(INDEX(VaultStd[EIW],MATCH(VaultRank[[#This Row],[Name]],VaultStd[Vault],0)),VaultRank[[#This Row],[Name]])</f>
        <v>Foley &amp; Lardner</v>
      </c>
    </row>
    <row r="74" spans="1:3">
      <c r="A74" s="39">
        <v>73</v>
      </c>
      <c r="B74" s="39" t="s">
        <v>479</v>
      </c>
      <c r="C74" s="40" t="str">
        <f>IFERROR(INDEX(VaultStd[EIW],MATCH(VaultRank[[#This Row],[Name]],VaultStd[Vault],0)),VaultRank[[#This Row],[Name]])</f>
        <v>Norton Rose Fulbright</v>
      </c>
    </row>
    <row r="75" spans="1:3">
      <c r="A75" s="39">
        <v>74</v>
      </c>
      <c r="B75" s="39" t="s">
        <v>595</v>
      </c>
      <c r="C75" s="40" t="str">
        <f>IFERROR(INDEX(VaultStd[EIW],MATCH(VaultRank[[#This Row],[Name]],VaultStd[Vault],0)),VaultRank[[#This Row],[Name]])</f>
        <v>Steptoe &amp; Johnson</v>
      </c>
    </row>
    <row r="76" spans="1:3">
      <c r="A76" s="39">
        <v>75</v>
      </c>
      <c r="B76" s="39" t="s">
        <v>599</v>
      </c>
      <c r="C76" s="40" t="str">
        <f>IFERROR(INDEX(VaultStd[EIW],MATCH(VaultRank[[#This Row],[Name]],VaultStd[Vault],0)),VaultRank[[#This Row],[Name]])</f>
        <v>Venable</v>
      </c>
    </row>
    <row r="77" spans="1:3">
      <c r="A77" s="39">
        <v>76</v>
      </c>
      <c r="B77" s="39" t="s">
        <v>548</v>
      </c>
      <c r="C77" s="40" t="str">
        <f>IFERROR(INDEX(VaultStd[EIW],MATCH(VaultRank[[#This Row],[Name]],VaultStd[Vault],0)),VaultRank[[#This Row],[Name]])</f>
        <v>Chadbourne &amp; Parke</v>
      </c>
    </row>
    <row r="78" spans="1:3">
      <c r="A78" s="39">
        <v>77</v>
      </c>
      <c r="B78" s="39" t="s">
        <v>560</v>
      </c>
      <c r="C78" s="40" t="str">
        <f>IFERROR(INDEX(VaultStd[EIW],MATCH(VaultRank[[#This Row],[Name]],VaultStd[Vault],0)),VaultRank[[#This Row],[Name]])</f>
        <v>Fenwick &amp; West</v>
      </c>
    </row>
    <row r="79" spans="1:3">
      <c r="A79" s="39">
        <v>78</v>
      </c>
      <c r="B79" s="39" t="s">
        <v>625</v>
      </c>
      <c r="C79" s="40" t="str">
        <f>IFERROR(INDEX(VaultStd[EIW],MATCH(VaultRank[[#This Row],[Name]],VaultStd[Vault],0)),VaultRank[[#This Row],[Name]])</f>
        <v>Squire Patton Boggs LLP</v>
      </c>
    </row>
    <row r="80" spans="1:3">
      <c r="A80" s="39">
        <v>79</v>
      </c>
      <c r="B80" s="39" t="s">
        <v>624</v>
      </c>
      <c r="C80" s="40" t="str">
        <f>IFERROR(INDEX(VaultStd[EIW],MATCH(VaultRank[[#This Row],[Name]],VaultStd[Vault],0)),VaultRank[[#This Row],[Name]])</f>
        <v>Arent Fox</v>
      </c>
    </row>
    <row r="81" spans="1:3">
      <c r="A81" s="39">
        <v>80</v>
      </c>
      <c r="B81" s="39" t="s">
        <v>590</v>
      </c>
      <c r="C81" s="40" t="str">
        <f>IFERROR(INDEX(VaultStd[EIW],MATCH(VaultRank[[#This Row],[Name]],VaultStd[Vault],0)),VaultRank[[#This Row],[Name]])</f>
        <v>Schulte Roth &amp; Zabel</v>
      </c>
    </row>
    <row r="82" spans="1:3">
      <c r="A82" s="39">
        <v>81</v>
      </c>
      <c r="B82" s="39" t="s">
        <v>623</v>
      </c>
      <c r="C82" s="40" t="str">
        <f>IFERROR(INDEX(VaultStd[EIW],MATCH(VaultRank[[#This Row],[Name]],VaultStd[Vault],0)),VaultRank[[#This Row],[Name]])</f>
        <v>McGuireWoods LLP</v>
      </c>
    </row>
    <row r="83" spans="1:3">
      <c r="A83" s="39">
        <v>82</v>
      </c>
      <c r="B83" s="39" t="s">
        <v>567</v>
      </c>
      <c r="C83" s="40" t="str">
        <f>IFERROR(INDEX(VaultStd[EIW],MATCH(VaultRank[[#This Row],[Name]],VaultStd[Vault],0)),VaultRank[[#This Row],[Name]])</f>
        <v>Hunton &amp; Williams</v>
      </c>
    </row>
    <row r="84" spans="1:3">
      <c r="A84" s="39">
        <v>83</v>
      </c>
      <c r="B84" s="39" t="s">
        <v>622</v>
      </c>
      <c r="C84" s="40" t="str">
        <f>IFERROR(INDEX(VaultStd[EIW],MATCH(VaultRank[[#This Row],[Name]],VaultStd[Vault],0)),VaultRank[[#This Row],[Name]])</f>
        <v>Sheppard Mullin Richter &amp; Hampton</v>
      </c>
    </row>
    <row r="85" spans="1:3">
      <c r="A85" s="39">
        <v>84</v>
      </c>
      <c r="B85" s="39" t="s">
        <v>576</v>
      </c>
      <c r="C85" s="40" t="str">
        <f>IFERROR(INDEX(VaultStd[EIW],MATCH(VaultRank[[#This Row],[Name]],VaultStd[Vault],0)),VaultRank[[#This Row],[Name]])</f>
        <v>Locke Lord</v>
      </c>
    </row>
    <row r="86" spans="1:3">
      <c r="A86" s="39">
        <v>85</v>
      </c>
      <c r="B86" s="39" t="s">
        <v>571</v>
      </c>
      <c r="C86" s="40" t="str">
        <f>IFERROR(INDEX(VaultStd[EIW],MATCH(VaultRank[[#This Row],[Name]],VaultStd[Vault],0)),VaultRank[[#This Row],[Name]])</f>
        <v>Katten Muchin Rosenman</v>
      </c>
    </row>
    <row r="87" spans="1:3">
      <c r="A87" s="39">
        <v>86</v>
      </c>
      <c r="B87" s="39" t="s">
        <v>566</v>
      </c>
      <c r="C87" s="40" t="str">
        <f>IFERROR(INDEX(VaultStd[EIW],MATCH(VaultRank[[#This Row],[Name]],VaultStd[Vault],0)),VaultRank[[#This Row],[Name]])</f>
        <v>Hughes Hubbard &amp; Reed</v>
      </c>
    </row>
    <row r="88" spans="1:3">
      <c r="A88" s="39">
        <v>87</v>
      </c>
      <c r="B88" s="39" t="s">
        <v>574</v>
      </c>
      <c r="C88" s="40" t="str">
        <f>IFERROR(INDEX(VaultStd[EIW],MATCH(VaultRank[[#This Row],[Name]],VaultStd[Vault],0)),VaultRank[[#This Row],[Name]])</f>
        <v>Kramer Levin Naftalis &amp; Frankel</v>
      </c>
    </row>
    <row r="89" spans="1:3">
      <c r="A89" s="39">
        <v>88</v>
      </c>
      <c r="B89" s="39" t="s">
        <v>621</v>
      </c>
      <c r="C89" s="40" t="str">
        <f>IFERROR(INDEX(VaultStd[EIW],MATCH(VaultRank[[#This Row],[Name]],VaultStd[Vault],0)),VaultRank[[#This Row],[Name]])</f>
        <v>Seyfarth Shaw LLP</v>
      </c>
    </row>
    <row r="90" spans="1:3">
      <c r="A90" s="39">
        <v>89</v>
      </c>
      <c r="B90" s="39" t="s">
        <v>543</v>
      </c>
      <c r="C90" s="40" t="str">
        <f>IFERROR(INDEX(VaultStd[EIW],MATCH(VaultRank[[#This Row],[Name]],VaultStd[Vault],0)),VaultRank[[#This Row],[Name]])</f>
        <v>Blank Rome</v>
      </c>
    </row>
    <row r="91" spans="1:3">
      <c r="A91" s="39">
        <v>90</v>
      </c>
      <c r="B91" s="39" t="s">
        <v>620</v>
      </c>
      <c r="C91" s="40" t="str">
        <f>IFERROR(INDEX(VaultStd[EIW],MATCH(VaultRank[[#This Row],[Name]],VaultStd[Vault],0)),VaultRank[[#This Row],[Name]])</f>
        <v>Keker &amp; Van Nest LLP</v>
      </c>
    </row>
    <row r="92" spans="1:3">
      <c r="A92" s="39">
        <v>91</v>
      </c>
      <c r="B92" s="39" t="s">
        <v>619</v>
      </c>
      <c r="C92" s="40" t="str">
        <f>IFERROR(INDEX(VaultStd[EIW],MATCH(VaultRank[[#This Row],[Name]],VaultStd[Vault],0)),VaultRank[[#This Row],[Name]])</f>
        <v>Mintz, Levin, Cohn, Ferris, Glovsky and Popeo</v>
      </c>
    </row>
    <row r="93" spans="1:3">
      <c r="A93" s="39">
        <v>92</v>
      </c>
      <c r="B93" s="39" t="s">
        <v>584</v>
      </c>
      <c r="C93" s="40" t="str">
        <f>IFERROR(INDEX(VaultStd[EIW],MATCH(VaultRank[[#This Row],[Name]],VaultStd[Vault],0)),VaultRank[[#This Row],[Name]])</f>
        <v>Pepper Hamilton</v>
      </c>
    </row>
    <row r="94" spans="1:3">
      <c r="A94" s="39">
        <v>93</v>
      </c>
      <c r="B94" s="39" t="s">
        <v>618</v>
      </c>
      <c r="C94" s="40" t="str">
        <f>IFERROR(INDEX(VaultStd[EIW],MATCH(VaultRank[[#This Row],[Name]],VaultStd[Vault],0)),VaultRank[[#This Row],[Name]])</f>
        <v>Haynes and Boone, LLP</v>
      </c>
    </row>
    <row r="95" spans="1:3">
      <c r="A95" s="39">
        <v>94</v>
      </c>
      <c r="B95" s="39" t="s">
        <v>617</v>
      </c>
      <c r="C95" s="40" t="str">
        <f>IFERROR(INDEX(VaultStd[EIW],MATCH(VaultRank[[#This Row],[Name]],VaultStd[Vault],0)),VaultRank[[#This Row],[Name]])</f>
        <v>Fox Rothschild LLP</v>
      </c>
    </row>
    <row r="96" spans="1:3">
      <c r="A96" s="39">
        <v>95</v>
      </c>
      <c r="B96" s="39" t="s">
        <v>557</v>
      </c>
      <c r="C96" s="40" t="str">
        <f>IFERROR(INDEX(VaultStd[EIW],MATCH(VaultRank[[#This Row],[Name]],VaultStd[Vault],0)),VaultRank[[#This Row],[Name]])</f>
        <v>Duane Morris</v>
      </c>
    </row>
    <row r="97" spans="1:3">
      <c r="A97" s="39">
        <v>96</v>
      </c>
      <c r="B97" s="39" t="s">
        <v>616</v>
      </c>
      <c r="C97" s="40" t="str">
        <f>IFERROR(INDEX(VaultStd[EIW],MATCH(VaultRank[[#This Row],[Name]],VaultStd[Vault],0)),VaultRank[[#This Row],[Name]])</f>
        <v>Littler Mendelson P.C.</v>
      </c>
    </row>
    <row r="98" spans="1:3">
      <c r="A98" s="39">
        <v>97</v>
      </c>
      <c r="B98" s="39" t="s">
        <v>615</v>
      </c>
      <c r="C98" s="40" t="str">
        <f>IFERROR(INDEX(VaultStd[EIW],MATCH(VaultRank[[#This Row],[Name]],VaultStd[Vault],0)),VaultRank[[#This Row],[Name]])</f>
        <v>Kellogg, Huber, Hansen, Todd, Evans &amp; Figel, PLLC</v>
      </c>
    </row>
    <row r="99" spans="1:3">
      <c r="A99" s="39">
        <v>98</v>
      </c>
      <c r="B99" s="39" t="s">
        <v>614</v>
      </c>
      <c r="C99" s="40" t="str">
        <f>IFERROR(INDEX(VaultStd[EIW],MATCH(VaultRank[[#This Row],[Name]],VaultStd[Vault],0)),VaultRank[[#This Row],[Name]])</f>
        <v>Patterson Belknap Webb &amp; Tyler LLP</v>
      </c>
    </row>
    <row r="100" spans="1:3">
      <c r="A100" s="39">
        <v>99</v>
      </c>
      <c r="B100" s="39" t="s">
        <v>544</v>
      </c>
      <c r="C100" s="40" t="str">
        <f>IFERROR(INDEX(VaultStd[EIW],MATCH(VaultRank[[#This Row],[Name]],VaultStd[Vault],0)),VaultRank[[#This Row],[Name]])</f>
        <v>Bracewell</v>
      </c>
    </row>
    <row r="101" spans="1:3">
      <c r="A101" s="39">
        <v>100</v>
      </c>
      <c r="B101" s="39" t="s">
        <v>644</v>
      </c>
      <c r="C101" s="40" t="str">
        <f>IFERROR(INDEX(VaultStd[EIW],MATCH(VaultRank[[#This Row],[Name]],VaultStd[Vault],0)),VaultRank[[#This Row],[Name]])</f>
        <v>Drinker Biddle &amp; Reath LLP</v>
      </c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       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        
</file>

<file path=customXml/item17.xml>�� 
</file>

<file path=customXml/itemProps1.xml><?xml version="1.0" encoding="utf-8"?>
<ds:datastoreItem xmlns:ds="http://schemas.openxmlformats.org/officeDocument/2006/customXml" ds:itemID="{877D9955-32C5-4874-9CC8-F4CE0B376A16}">
  <ds:schemaRefs/>
</ds:datastoreItem>
</file>

<file path=customXml/itemProps2.xml><?xml version="1.0" encoding="utf-8"?>
<ds:datastoreItem xmlns:ds="http://schemas.openxmlformats.org/officeDocument/2006/customXml" ds:itemID="{E3146E4C-8561-4FD3-A46C-31860B4544F0}">
  <ds:schemaRefs/>
</ds:datastoreItem>
</file>

<file path=customXml/itemProps3.xml><?xml version="1.0" encoding="utf-8"?>
<ds:datastoreItem xmlns:ds="http://schemas.openxmlformats.org/officeDocument/2006/customXml" ds:itemID="{3CA385D8-DE62-4493-B6AC-C62E08CF8849}">
  <ds:schemaRefs/>
</ds:datastoreItem>
</file>

<file path=customXml/itemProps4.xml><?xml version="1.0" encoding="utf-8"?>
<ds:datastoreItem xmlns:ds="http://schemas.openxmlformats.org/officeDocument/2006/customXml" ds:itemID="{54DD7E4D-69A3-46F7-B1A9-7DC44DA43DE8}">
  <ds:schemaRefs/>
</ds:datastoreItem>
</file>

<file path=customXml/itemProps5.xml><?xml version="1.0" encoding="utf-8"?>
<ds:datastoreItem xmlns:ds="http://schemas.openxmlformats.org/officeDocument/2006/customXml" ds:itemID="{6B2C7EC3-7116-4599-B84C-D75F76BD235A}">
  <ds:schemaRefs/>
</ds:datastoreItem>
</file>

<file path=customXml/itemProps6.xml><?xml version="1.0" encoding="utf-8"?>
<ds:datastoreItem xmlns:ds="http://schemas.openxmlformats.org/officeDocument/2006/customXml" ds:itemID="{81B72934-7B25-4947-A40E-6326938623F4}">
  <ds:schemaRefs/>
</ds:datastoreItem>
</file>

<file path=customXml/itemProps7.xml><?xml version="1.0" encoding="utf-8"?>
<ds:datastoreItem xmlns:ds="http://schemas.openxmlformats.org/officeDocument/2006/customXml" ds:itemID="{4D45EA0F-32A4-4D3E-BAD0-864FF41D64CB}">
  <ds:schemaRefs/>
</ds:datastoreItem>
</file>

<file path=customXml/itemProps8.xml><?xml version="1.0" encoding="utf-8"?>
<ds:datastoreItem xmlns:ds="http://schemas.openxmlformats.org/officeDocument/2006/customXml" ds:itemID="{405AEE5B-7975-4EC6-99E2-77B651710524}">
  <ds:schemaRefs/>
</ds:datastoreItem>
</file>

<file path=customXml/itemProps9.xml><?xml version="1.0" encoding="utf-8"?>
<ds:datastoreItem xmlns:ds="http://schemas.openxmlformats.org/officeDocument/2006/customXml" ds:itemID="{CB002782-AD86-4014-AA29-F487EF29B6FB}">
  <ds:schemaRefs/>
</ds:datastoreItem>
</file>

<file path=customXml/itemProps10.xml><?xml version="1.0" encoding="utf-8"?>
<ds:datastoreItem xmlns:ds="http://schemas.openxmlformats.org/officeDocument/2006/customXml" ds:itemID="{886CB805-4024-4AA7-8829-6CCB2AEF503E}">
  <ds:schemaRefs/>
</ds:datastoreItem>
</file>

<file path=customXml/itemProps11.xml><?xml version="1.0" encoding="utf-8"?>
<ds:datastoreItem xmlns:ds="http://schemas.openxmlformats.org/officeDocument/2006/customXml" ds:itemID="{2E08FFCB-CF09-48D7-966B-BC7107A4F6AD}">
  <ds:schemaRefs/>
</ds:datastoreItem>
</file>

<file path=customXml/itemProps12.xml><?xml version="1.0" encoding="utf-8"?>
<ds:datastoreItem xmlns:ds="http://schemas.openxmlformats.org/officeDocument/2006/customXml" ds:itemID="{A5A7A024-4761-4BA0-97DD-BF07A608B0C9}">
  <ds:schemaRefs/>
</ds:datastoreItem>
</file>

<file path=customXml/itemProps13.xml><?xml version="1.0" encoding="utf-8"?>
<ds:datastoreItem xmlns:ds="http://schemas.openxmlformats.org/officeDocument/2006/customXml" ds:itemID="{85FD604F-24C4-495F-BA3E-BD4EF480BAA9}">
  <ds:schemaRefs/>
</ds:datastoreItem>
</file>

<file path=customXml/itemProps14.xml><?xml version="1.0" encoding="utf-8"?>
<ds:datastoreItem xmlns:ds="http://schemas.openxmlformats.org/officeDocument/2006/customXml" ds:itemID="{88B7D9C5-5B67-4353-BC05-06D026F7AC68}">
  <ds:schemaRefs/>
</ds:datastoreItem>
</file>

<file path=customXml/itemProps15.xml><?xml version="1.0" encoding="utf-8"?>
<ds:datastoreItem xmlns:ds="http://schemas.openxmlformats.org/officeDocument/2006/customXml" ds:itemID="{F2C18E4A-66FD-4936-B414-848BC64581BC}">
  <ds:schemaRefs/>
</ds:datastoreItem>
</file>

<file path=customXml/itemProps16.xml><?xml version="1.0" encoding="utf-8"?>
<ds:datastoreItem xmlns:ds="http://schemas.openxmlformats.org/officeDocument/2006/customXml" ds:itemID="{39E6BF50-EAD3-42CE-B627-DECDDDBFF075}">
  <ds:schemaRefs/>
</ds:datastoreItem>
</file>

<file path=customXml/itemProps17.xml><?xml version="1.0" encoding="utf-8"?>
<ds:datastoreItem xmlns:ds="http://schemas.openxmlformats.org/officeDocument/2006/customXml" ds:itemID="{07244436-5A70-4D15-A2A6-8EB39AB4A4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 EIW firms</vt:lpstr>
      <vt:lpstr>Weights</vt:lpstr>
      <vt:lpstr>NY and CHI adjustable list</vt:lpstr>
      <vt:lpstr>SA CAGR - Chambers</vt:lpstr>
      <vt:lpstr>Salary - ATL</vt:lpstr>
      <vt:lpstr>name Std</vt:lpstr>
      <vt:lpstr>Vault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2016 Summer Associate Class Sizes- For CSM.xlsx</dc:title>
  <dc:creator>stumpc</dc:creator>
  <cp:lastModifiedBy>Grant Thornton LLP</cp:lastModifiedBy>
  <dcterms:created xsi:type="dcterms:W3CDTF">2016-06-24T09:55:08Z</dcterms:created>
  <dcterms:modified xsi:type="dcterms:W3CDTF">2016-10-05T23:25:38Z</dcterms:modified>
</cp:coreProperties>
</file>